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21027" documentId="8_{9058C769-37DB-4D75-B77A-5C1D47EA4B73}" xr6:coauthVersionLast="47" xr6:coauthVersionMax="47" xr10:uidLastSave="{070079F9-CE22-4709-B87E-6BE8112B62A8}"/>
  <bookViews>
    <workbookView xWindow="-120" yWindow="-120" windowWidth="51840" windowHeight="21120" tabRatio="500" firstSheet="4" activeTab="2"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8" i="3" l="1"/>
  <c r="J8" i="3"/>
  <c r="J7" i="3"/>
  <c r="T76" i="3"/>
  <c r="J76" i="3"/>
  <c r="T75" i="3"/>
  <c r="J75" i="3"/>
  <c r="T74" i="3"/>
  <c r="S74" i="3"/>
  <c r="R74" i="3"/>
  <c r="Q74" i="3"/>
  <c r="P74" i="3"/>
  <c r="O74" i="3"/>
  <c r="N74" i="3"/>
  <c r="M74" i="3"/>
  <c r="J74" i="3"/>
  <c r="T73" i="3"/>
  <c r="S73" i="3"/>
  <c r="R73" i="3"/>
  <c r="Q73" i="3"/>
  <c r="P73" i="3"/>
  <c r="O73" i="3"/>
  <c r="N73" i="3"/>
  <c r="M73" i="3"/>
  <c r="J73" i="3"/>
  <c r="T72" i="3"/>
  <c r="J72" i="3"/>
  <c r="T71" i="3"/>
  <c r="J71" i="3"/>
  <c r="T70" i="3"/>
  <c r="S70" i="3"/>
  <c r="R70" i="3"/>
  <c r="Q70" i="3"/>
  <c r="P70" i="3"/>
  <c r="O70" i="3"/>
  <c r="N70" i="3"/>
  <c r="M70" i="3"/>
  <c r="J70" i="3"/>
  <c r="T69" i="3"/>
  <c r="J69" i="3"/>
  <c r="T67" i="3"/>
  <c r="S67" i="3"/>
  <c r="R67" i="3"/>
  <c r="Q67" i="3"/>
  <c r="P67" i="3"/>
  <c r="O67" i="3"/>
  <c r="N67" i="3"/>
  <c r="M67" i="3"/>
  <c r="J67" i="3"/>
  <c r="T64" i="3"/>
  <c r="J64" i="3"/>
  <c r="T63" i="3"/>
  <c r="J63" i="3"/>
  <c r="T62" i="3"/>
  <c r="S62" i="3"/>
  <c r="R62" i="3"/>
  <c r="Q62" i="3"/>
  <c r="P62" i="3"/>
  <c r="O62" i="3"/>
  <c r="N62" i="3"/>
  <c r="M62" i="3"/>
  <c r="J62" i="3"/>
  <c r="S61" i="3"/>
  <c r="R61" i="3"/>
  <c r="Q61" i="3"/>
  <c r="P61" i="3"/>
  <c r="O61" i="3"/>
  <c r="N61" i="3"/>
  <c r="M61" i="3"/>
  <c r="J61" i="3"/>
  <c r="J60" i="3"/>
  <c r="J59" i="3"/>
  <c r="S57" i="3"/>
  <c r="R57" i="3"/>
  <c r="Q57" i="3"/>
  <c r="P57" i="3"/>
  <c r="O57" i="3"/>
  <c r="N57" i="3"/>
  <c r="M57" i="3"/>
  <c r="J57" i="3"/>
  <c r="J56" i="3"/>
  <c r="J55" i="3"/>
  <c r="T54" i="3"/>
  <c r="S54" i="3"/>
  <c r="R54" i="3"/>
  <c r="Q54" i="3"/>
  <c r="P54" i="3"/>
  <c r="O54" i="3"/>
  <c r="N54" i="3"/>
  <c r="M54" i="3"/>
  <c r="J54" i="3"/>
  <c r="T51" i="3"/>
  <c r="J51" i="3"/>
  <c r="T50" i="3"/>
  <c r="J50" i="3"/>
  <c r="T49" i="3"/>
  <c r="S49" i="3"/>
  <c r="R49" i="3"/>
  <c r="Q49" i="3"/>
  <c r="P49" i="3"/>
  <c r="O49" i="3"/>
  <c r="N49" i="3"/>
  <c r="M49" i="3"/>
  <c r="J49" i="3"/>
  <c r="T48" i="3"/>
  <c r="S48" i="3"/>
  <c r="R48" i="3"/>
  <c r="Q48" i="3"/>
  <c r="P48" i="3"/>
  <c r="O48" i="3"/>
  <c r="N48" i="3"/>
  <c r="M48" i="3"/>
  <c r="J48" i="3"/>
  <c r="J47" i="3"/>
  <c r="J46" i="3"/>
  <c r="T45" i="3"/>
  <c r="J45" i="3"/>
  <c r="T44" i="3"/>
  <c r="J44" i="3"/>
  <c r="J43" i="3"/>
  <c r="T42" i="3"/>
  <c r="S42" i="3"/>
  <c r="R42" i="3"/>
  <c r="Q42" i="3"/>
  <c r="P42" i="3"/>
  <c r="O42" i="3"/>
  <c r="N42" i="3"/>
  <c r="M42" i="3"/>
  <c r="J42" i="3"/>
  <c r="T41" i="3"/>
  <c r="J41" i="3"/>
  <c r="J40" i="3"/>
  <c r="J39" i="3"/>
  <c r="J38" i="3"/>
  <c r="T37" i="3"/>
  <c r="S37" i="3"/>
  <c r="R37" i="3"/>
  <c r="Q37" i="3"/>
  <c r="P37" i="3"/>
  <c r="O37" i="3"/>
  <c r="N37" i="3"/>
  <c r="M37" i="3"/>
  <c r="J37" i="3"/>
  <c r="T34" i="3"/>
  <c r="J34" i="3"/>
  <c r="T33" i="3"/>
  <c r="J33" i="3"/>
  <c r="T32" i="3"/>
  <c r="S32" i="3"/>
  <c r="R32" i="3"/>
  <c r="Q32" i="3"/>
  <c r="P32" i="3"/>
  <c r="O32" i="3"/>
  <c r="N32" i="3"/>
  <c r="M32" i="3"/>
  <c r="J32" i="3"/>
  <c r="T30" i="3"/>
  <c r="S30" i="3"/>
  <c r="R30" i="3"/>
  <c r="Q30" i="3"/>
  <c r="P30" i="3"/>
  <c r="O30" i="3"/>
  <c r="N30" i="3"/>
  <c r="M30" i="3"/>
  <c r="J30" i="3"/>
  <c r="J26" i="3"/>
  <c r="T25" i="3"/>
  <c r="S25" i="3"/>
  <c r="R25" i="3"/>
  <c r="Q25" i="3"/>
  <c r="P25" i="3"/>
  <c r="O25" i="3"/>
  <c r="N25" i="3"/>
  <c r="M25" i="3"/>
  <c r="J25" i="3"/>
  <c r="J29" i="3"/>
  <c r="J27" i="3"/>
  <c r="J24" i="3"/>
  <c r="T23" i="3"/>
  <c r="S23" i="3"/>
  <c r="R23" i="3"/>
  <c r="Q23" i="3"/>
  <c r="P23" i="3"/>
  <c r="O23" i="3"/>
  <c r="N23" i="3"/>
  <c r="M23" i="3"/>
  <c r="J23" i="3"/>
  <c r="J20" i="3"/>
  <c r="J19" i="3"/>
  <c r="S18" i="3"/>
  <c r="R18" i="3"/>
  <c r="Q18" i="3"/>
  <c r="P18" i="3"/>
  <c r="O18" i="3"/>
  <c r="N18" i="3"/>
  <c r="M18" i="3"/>
  <c r="J18"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79" i="3"/>
  <c r="N79" i="3"/>
  <c r="O79" i="3"/>
  <c r="P79" i="3"/>
  <c r="Q79" i="3"/>
  <c r="R79" i="3"/>
  <c r="S79" i="3"/>
  <c r="M83" i="3"/>
  <c r="N83" i="3"/>
  <c r="O83" i="3"/>
  <c r="P83" i="3"/>
  <c r="Q83" i="3"/>
  <c r="R83" i="3"/>
  <c r="S83" i="3"/>
  <c r="M87" i="3"/>
  <c r="N87" i="3"/>
  <c r="O87" i="3"/>
  <c r="P87" i="3"/>
  <c r="Q87" i="3"/>
  <c r="R87" i="3"/>
  <c r="S87" i="3"/>
  <c r="M90" i="3"/>
  <c r="N90" i="3"/>
  <c r="O90" i="3"/>
  <c r="P90" i="3"/>
  <c r="Q90" i="3"/>
  <c r="R90" i="3"/>
  <c r="S90" i="3"/>
  <c r="M93" i="3"/>
  <c r="N93" i="3"/>
  <c r="O93" i="3"/>
  <c r="P93" i="3"/>
  <c r="Q93" i="3"/>
  <c r="R93" i="3"/>
  <c r="S93" i="3"/>
  <c r="M98" i="3"/>
  <c r="N98" i="3"/>
  <c r="O98" i="3"/>
  <c r="P98" i="3"/>
  <c r="Q98" i="3"/>
  <c r="R98" i="3"/>
  <c r="S98" i="3"/>
  <c r="M102" i="3"/>
  <c r="N102" i="3"/>
  <c r="O102" i="3"/>
  <c r="P102" i="3"/>
  <c r="Q102" i="3"/>
  <c r="R102" i="3"/>
  <c r="S102" i="3"/>
  <c r="M107" i="3"/>
  <c r="N107" i="3"/>
  <c r="O107" i="3"/>
  <c r="P107" i="3"/>
  <c r="Q107" i="3"/>
  <c r="R107" i="3"/>
  <c r="S107" i="3"/>
  <c r="M109" i="3"/>
  <c r="N109" i="3"/>
  <c r="O109" i="3"/>
  <c r="P109" i="3"/>
  <c r="Q109" i="3"/>
  <c r="R109" i="3"/>
  <c r="S109" i="3"/>
  <c r="M114" i="3"/>
  <c r="N114" i="3"/>
  <c r="O114" i="3"/>
  <c r="P114" i="3"/>
  <c r="Q114" i="3"/>
  <c r="R114" i="3"/>
  <c r="S114" i="3"/>
  <c r="M119" i="3"/>
  <c r="N119" i="3"/>
  <c r="O119" i="3"/>
  <c r="P119" i="3"/>
  <c r="Q119" i="3"/>
  <c r="R119" i="3"/>
  <c r="S119" i="3"/>
  <c r="M125" i="3"/>
  <c r="N125" i="3"/>
  <c r="O125" i="3"/>
  <c r="P125" i="3"/>
  <c r="Q125" i="3"/>
  <c r="R125" i="3"/>
  <c r="S125" i="3"/>
  <c r="M126" i="3"/>
  <c r="N126" i="3"/>
  <c r="O126" i="3"/>
  <c r="P126" i="3"/>
  <c r="Q126" i="3"/>
  <c r="R126" i="3"/>
  <c r="S126" i="3"/>
  <c r="M131" i="3"/>
  <c r="N131" i="3"/>
  <c r="O131" i="3"/>
  <c r="P131" i="3"/>
  <c r="Q131" i="3"/>
  <c r="R131" i="3"/>
  <c r="S131" i="3"/>
  <c r="M134" i="3"/>
  <c r="N134" i="3"/>
  <c r="O134" i="3"/>
  <c r="P134" i="3"/>
  <c r="Q134" i="3"/>
  <c r="R134" i="3"/>
  <c r="S134"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0" i="3"/>
  <c r="N150" i="3"/>
  <c r="O150" i="3"/>
  <c r="P150" i="3"/>
  <c r="Q150" i="3"/>
  <c r="R150" i="3"/>
  <c r="S150" i="3"/>
  <c r="M151" i="3"/>
  <c r="N151" i="3"/>
  <c r="O151" i="3"/>
  <c r="P151" i="3"/>
  <c r="Q151" i="3"/>
  <c r="R151" i="3"/>
  <c r="S151" i="3"/>
  <c r="M156" i="3"/>
  <c r="N156" i="3"/>
  <c r="O156" i="3"/>
  <c r="P156" i="3"/>
  <c r="Q156" i="3"/>
  <c r="R156" i="3"/>
  <c r="S156" i="3"/>
  <c r="M160" i="3"/>
  <c r="N160" i="3"/>
  <c r="O160" i="3"/>
  <c r="P160" i="3"/>
  <c r="Q160" i="3"/>
  <c r="R160" i="3"/>
  <c r="S160" i="3"/>
  <c r="M165" i="3"/>
  <c r="N165" i="3"/>
  <c r="O165" i="3"/>
  <c r="P165" i="3"/>
  <c r="Q165" i="3"/>
  <c r="R165" i="3"/>
  <c r="S165" i="3"/>
  <c r="M166" i="3"/>
  <c r="N166" i="3"/>
  <c r="O166" i="3"/>
  <c r="P166" i="3"/>
  <c r="Q166" i="3"/>
  <c r="R166" i="3"/>
  <c r="S166" i="3"/>
  <c r="K171" i="3"/>
  <c r="L171" i="3"/>
  <c r="M171" i="3"/>
  <c r="N171" i="3"/>
  <c r="O171" i="3"/>
  <c r="P171" i="3"/>
  <c r="Q171" i="3"/>
  <c r="R171" i="3"/>
  <c r="S171" i="3"/>
  <c r="M175" i="3"/>
  <c r="N175" i="3"/>
  <c r="O175" i="3"/>
  <c r="P175" i="3"/>
  <c r="Q175" i="3"/>
  <c r="R175" i="3"/>
  <c r="S175" i="3"/>
  <c r="M179" i="3"/>
  <c r="N179" i="3"/>
  <c r="O179" i="3"/>
  <c r="P179" i="3"/>
  <c r="Q179" i="3"/>
  <c r="R179" i="3"/>
  <c r="S179" i="3"/>
  <c r="M182" i="3"/>
  <c r="N182" i="3"/>
  <c r="O182" i="3"/>
  <c r="P182" i="3"/>
  <c r="Q182" i="3"/>
  <c r="R182" i="3"/>
  <c r="S182" i="3"/>
  <c r="M187" i="3"/>
  <c r="N187" i="3"/>
  <c r="O187" i="3"/>
  <c r="P187" i="3"/>
  <c r="Q187" i="3"/>
  <c r="R187" i="3"/>
  <c r="S187" i="3"/>
  <c r="M191" i="3"/>
  <c r="N191" i="3"/>
  <c r="O191" i="3"/>
  <c r="P191" i="3"/>
  <c r="Q191" i="3"/>
  <c r="R191" i="3"/>
  <c r="S191" i="3"/>
  <c r="M196" i="3"/>
  <c r="N196" i="3"/>
  <c r="O196" i="3"/>
  <c r="P196" i="3"/>
  <c r="Q196" i="3"/>
  <c r="R196" i="3"/>
  <c r="S196" i="3"/>
  <c r="M197" i="3"/>
  <c r="N197" i="3"/>
  <c r="O197" i="3"/>
  <c r="P197" i="3"/>
  <c r="Q197" i="3"/>
  <c r="R197" i="3"/>
  <c r="S197" i="3"/>
  <c r="M202" i="3"/>
  <c r="N202" i="3"/>
  <c r="O202" i="3"/>
  <c r="P202" i="3"/>
  <c r="Q202" i="3"/>
  <c r="R202" i="3"/>
  <c r="S202" i="3"/>
  <c r="M205" i="3"/>
  <c r="N205" i="3"/>
  <c r="O205" i="3"/>
  <c r="P205" i="3"/>
  <c r="Q205" i="3"/>
  <c r="R205" i="3"/>
  <c r="S205" i="3"/>
  <c r="O208" i="3"/>
  <c r="P208" i="3"/>
  <c r="Q208" i="3"/>
  <c r="R208" i="3"/>
  <c r="S208" i="3"/>
  <c r="M210" i="3"/>
  <c r="N210" i="3"/>
  <c r="O210" i="3"/>
  <c r="P210" i="3"/>
  <c r="Q210" i="3"/>
  <c r="R210" i="3"/>
  <c r="S210" i="3"/>
  <c r="M211" i="3"/>
  <c r="N211" i="3"/>
  <c r="O211" i="3"/>
  <c r="P211" i="3"/>
  <c r="Q211" i="3"/>
  <c r="R211" i="3"/>
  <c r="S211" i="3"/>
  <c r="M216" i="3"/>
  <c r="N216" i="3"/>
  <c r="O216" i="3"/>
  <c r="P216" i="3"/>
  <c r="Q216" i="3"/>
  <c r="R216" i="3"/>
  <c r="S216" i="3"/>
  <c r="M217" i="3"/>
  <c r="N217" i="3"/>
  <c r="O217" i="3"/>
  <c r="P217" i="3"/>
  <c r="Q217" i="3"/>
  <c r="R217" i="3"/>
  <c r="S217" i="3"/>
  <c r="M221" i="3"/>
  <c r="N221" i="3"/>
  <c r="O221" i="3"/>
  <c r="P221" i="3"/>
  <c r="Q221" i="3"/>
  <c r="R221" i="3"/>
  <c r="S221" i="3"/>
  <c r="M226" i="3"/>
  <c r="N226" i="3"/>
  <c r="O226" i="3"/>
  <c r="P226" i="3"/>
  <c r="Q226" i="3"/>
  <c r="R226" i="3"/>
  <c r="S226" i="3"/>
  <c r="M227" i="3"/>
  <c r="N227" i="3"/>
  <c r="O227" i="3"/>
  <c r="P227" i="3"/>
  <c r="Q227" i="3"/>
  <c r="R227" i="3"/>
  <c r="S227" i="3"/>
  <c r="M228" i="3"/>
  <c r="N228" i="3"/>
  <c r="O228" i="3"/>
  <c r="P228" i="3"/>
  <c r="Q228" i="3"/>
  <c r="R228" i="3"/>
  <c r="S228" i="3"/>
  <c r="M229" i="3"/>
  <c r="N229" i="3"/>
  <c r="O229" i="3"/>
  <c r="P229" i="3"/>
  <c r="Q229" i="3"/>
  <c r="R229" i="3"/>
  <c r="S229" i="3"/>
  <c r="M234" i="3"/>
  <c r="N234" i="3"/>
  <c r="O234" i="3"/>
  <c r="P234" i="3"/>
  <c r="Q234" i="3"/>
  <c r="R234" i="3"/>
  <c r="S234" i="3"/>
  <c r="M239" i="3"/>
  <c r="N239" i="3"/>
  <c r="O239" i="3"/>
  <c r="P239" i="3"/>
  <c r="Q239" i="3"/>
  <c r="R239" i="3"/>
  <c r="S239" i="3"/>
  <c r="M244" i="3"/>
  <c r="N244" i="3"/>
  <c r="O244" i="3"/>
  <c r="P244" i="3"/>
  <c r="Q244" i="3"/>
  <c r="R244" i="3"/>
  <c r="S244" i="3"/>
  <c r="M247" i="3"/>
  <c r="N247" i="3"/>
  <c r="O247" i="3"/>
  <c r="P247" i="3"/>
  <c r="Q247" i="3"/>
  <c r="R247" i="3"/>
  <c r="S247" i="3"/>
  <c r="M250" i="3"/>
  <c r="N250" i="3"/>
  <c r="O250" i="3"/>
  <c r="P250" i="3"/>
  <c r="Q250" i="3"/>
  <c r="R250" i="3"/>
  <c r="S250" i="3"/>
  <c r="M251" i="3"/>
  <c r="N251" i="3"/>
  <c r="O251" i="3"/>
  <c r="P251" i="3"/>
  <c r="Q251" i="3"/>
  <c r="R251" i="3"/>
  <c r="S251" i="3"/>
  <c r="M252" i="3"/>
  <c r="N252" i="3"/>
  <c r="O252" i="3"/>
  <c r="P252" i="3"/>
  <c r="Q252" i="3"/>
  <c r="R252" i="3"/>
  <c r="S252" i="3"/>
  <c r="M257" i="3"/>
  <c r="N257" i="3"/>
  <c r="O257" i="3"/>
  <c r="P257" i="3"/>
  <c r="Q257" i="3"/>
  <c r="R257" i="3"/>
  <c r="S257" i="3"/>
  <c r="M260" i="3"/>
  <c r="N260" i="3"/>
  <c r="O260" i="3"/>
  <c r="P260" i="3"/>
  <c r="Q260" i="3"/>
  <c r="R260" i="3"/>
  <c r="S260" i="3"/>
  <c r="M264" i="3"/>
  <c r="N264" i="3"/>
  <c r="O264" i="3"/>
  <c r="P264" i="3"/>
  <c r="Q264" i="3"/>
  <c r="R264" i="3"/>
  <c r="S264" i="3"/>
  <c r="M270" i="3"/>
  <c r="N270" i="3"/>
  <c r="O270" i="3"/>
  <c r="P270" i="3"/>
  <c r="Q270" i="3"/>
  <c r="R270" i="3"/>
  <c r="S270" i="3"/>
  <c r="M271" i="3"/>
  <c r="N271" i="3"/>
  <c r="O271" i="3"/>
  <c r="P271" i="3"/>
  <c r="Q271" i="3"/>
  <c r="R271" i="3"/>
  <c r="S271" i="3"/>
  <c r="M272" i="3"/>
  <c r="N272" i="3"/>
  <c r="O272" i="3"/>
  <c r="P272" i="3"/>
  <c r="Q272" i="3"/>
  <c r="R272" i="3"/>
  <c r="S272" i="3"/>
  <c r="M277" i="3"/>
  <c r="N277" i="3"/>
  <c r="O277" i="3"/>
  <c r="P277" i="3"/>
  <c r="Q277" i="3"/>
  <c r="R277" i="3"/>
  <c r="S277" i="3"/>
  <c r="M280" i="3"/>
  <c r="N280" i="3"/>
  <c r="O280" i="3"/>
  <c r="P280" i="3"/>
  <c r="Q280" i="3"/>
  <c r="R280" i="3"/>
  <c r="S280" i="3"/>
  <c r="M289" i="3"/>
  <c r="N289" i="3"/>
  <c r="O289" i="3"/>
  <c r="P289" i="3"/>
  <c r="Q289" i="3"/>
  <c r="R289" i="3"/>
  <c r="S289" i="3"/>
  <c r="M290" i="3"/>
  <c r="N290" i="3"/>
  <c r="O290" i="3"/>
  <c r="P290" i="3"/>
  <c r="Q290" i="3"/>
  <c r="R290" i="3"/>
  <c r="S290" i="3"/>
  <c r="M291" i="3"/>
  <c r="N291" i="3"/>
  <c r="O291" i="3"/>
  <c r="P291" i="3"/>
  <c r="Q291" i="3"/>
  <c r="R291" i="3"/>
  <c r="S291" i="3"/>
  <c r="M296" i="3"/>
  <c r="N296" i="3"/>
  <c r="O296" i="3"/>
  <c r="P296" i="3"/>
  <c r="Q296" i="3"/>
  <c r="R296" i="3"/>
  <c r="S296" i="3"/>
  <c r="M299" i="3"/>
  <c r="N299" i="3"/>
  <c r="O299" i="3"/>
  <c r="P299" i="3"/>
  <c r="Q299" i="3"/>
  <c r="R299" i="3"/>
  <c r="S299" i="3"/>
  <c r="M307" i="3"/>
  <c r="N307" i="3"/>
  <c r="O307" i="3"/>
  <c r="P307" i="3"/>
  <c r="Q307" i="3"/>
  <c r="R307" i="3"/>
  <c r="S307" i="3"/>
  <c r="M308" i="3"/>
  <c r="N308" i="3"/>
  <c r="O308" i="3"/>
  <c r="P308" i="3"/>
  <c r="Q308" i="3"/>
  <c r="R308" i="3"/>
  <c r="S308" i="3"/>
  <c r="M309" i="3"/>
  <c r="N309" i="3"/>
  <c r="O309" i="3"/>
  <c r="P309" i="3"/>
  <c r="Q309" i="3"/>
  <c r="R309" i="3"/>
  <c r="S309" i="3"/>
  <c r="M314" i="3"/>
  <c r="N314" i="3"/>
  <c r="O314" i="3"/>
  <c r="P314" i="3"/>
  <c r="Q314" i="3"/>
  <c r="R314" i="3"/>
  <c r="S314" i="3"/>
  <c r="M317" i="3"/>
  <c r="N317" i="3"/>
  <c r="O317" i="3"/>
  <c r="P317" i="3"/>
  <c r="Q317" i="3"/>
  <c r="R317" i="3"/>
  <c r="S317" i="3"/>
  <c r="M323" i="3"/>
  <c r="N323" i="3"/>
  <c r="O323" i="3"/>
  <c r="P323" i="3"/>
  <c r="Q323" i="3"/>
  <c r="R323" i="3"/>
  <c r="S323" i="3"/>
  <c r="M324" i="3"/>
  <c r="N324" i="3"/>
  <c r="O324" i="3"/>
  <c r="P324" i="3"/>
  <c r="Q324" i="3"/>
  <c r="R324" i="3"/>
  <c r="S324" i="3"/>
  <c r="M325" i="3"/>
  <c r="N325" i="3"/>
  <c r="O325" i="3"/>
  <c r="P325" i="3"/>
  <c r="Q325" i="3"/>
  <c r="R325" i="3"/>
  <c r="S325" i="3"/>
  <c r="M330" i="3"/>
  <c r="N330" i="3"/>
  <c r="O330" i="3"/>
  <c r="P330" i="3"/>
  <c r="Q330" i="3"/>
  <c r="R330" i="3"/>
  <c r="S330" i="3"/>
  <c r="M340" i="3"/>
  <c r="N340" i="3"/>
  <c r="O340" i="3"/>
  <c r="P340" i="3"/>
  <c r="Q340" i="3"/>
  <c r="R340" i="3"/>
  <c r="S340" i="3"/>
  <c r="M341" i="3"/>
  <c r="N341" i="3"/>
  <c r="O341" i="3"/>
  <c r="P341" i="3"/>
  <c r="Q341" i="3"/>
  <c r="R341" i="3"/>
  <c r="S341" i="3"/>
  <c r="M342" i="3"/>
  <c r="N342" i="3"/>
  <c r="O342" i="3"/>
  <c r="P342" i="3"/>
  <c r="Q342" i="3"/>
  <c r="R342" i="3"/>
  <c r="S342" i="3"/>
  <c r="J209" i="3"/>
  <c r="J208" i="3"/>
  <c r="J195" i="3"/>
  <c r="J164" i="3"/>
  <c r="J137" i="3"/>
  <c r="J124" i="3"/>
  <c r="J123" i="3"/>
  <c r="J106"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79" i="3"/>
  <c r="J80" i="3"/>
  <c r="J81" i="3"/>
  <c r="J82" i="3"/>
  <c r="J83" i="3"/>
  <c r="J84" i="3"/>
  <c r="J85" i="3"/>
  <c r="J86" i="3"/>
  <c r="J87" i="3"/>
  <c r="J88" i="3"/>
  <c r="J89" i="3"/>
  <c r="J90" i="3"/>
  <c r="J91" i="3"/>
  <c r="J92" i="3"/>
  <c r="J93" i="3"/>
  <c r="J94" i="3"/>
  <c r="J95" i="3"/>
  <c r="J98" i="3"/>
  <c r="J99" i="3"/>
  <c r="J100" i="3"/>
  <c r="J101" i="3"/>
  <c r="J102" i="3"/>
  <c r="J103" i="3"/>
  <c r="J104" i="3"/>
  <c r="J105" i="3"/>
  <c r="J107" i="3"/>
  <c r="J109" i="3"/>
  <c r="J110" i="3"/>
  <c r="J111" i="3"/>
  <c r="J114" i="3"/>
  <c r="J115" i="3"/>
  <c r="J116" i="3"/>
  <c r="J117" i="3"/>
  <c r="J118" i="3"/>
  <c r="J119" i="3"/>
  <c r="J120" i="3"/>
  <c r="J121" i="3"/>
  <c r="J122" i="3"/>
  <c r="J125" i="3"/>
  <c r="J126" i="3"/>
  <c r="J127" i="3"/>
  <c r="J128" i="3"/>
  <c r="J131" i="3"/>
  <c r="J132" i="3"/>
  <c r="J133" i="3"/>
  <c r="J134" i="3"/>
  <c r="J136" i="3"/>
  <c r="J138" i="3"/>
  <c r="J139" i="3"/>
  <c r="J140" i="3"/>
  <c r="J141" i="3"/>
  <c r="J144" i="3"/>
  <c r="J146" i="3"/>
  <c r="J147" i="3"/>
  <c r="J148" i="3"/>
  <c r="J149" i="3"/>
  <c r="J150" i="3"/>
  <c r="J151" i="3"/>
  <c r="J152" i="3"/>
  <c r="J153" i="3"/>
  <c r="J156" i="3"/>
  <c r="J157" i="3"/>
  <c r="J158" i="3"/>
  <c r="J159" i="3"/>
  <c r="J160" i="3"/>
  <c r="J161" i="3"/>
  <c r="J162" i="3"/>
  <c r="J163" i="3"/>
  <c r="J165" i="3"/>
  <c r="J166" i="3"/>
  <c r="J167" i="3"/>
  <c r="J168" i="3"/>
  <c r="J171" i="3"/>
  <c r="J172" i="3"/>
  <c r="J173" i="3"/>
  <c r="J174" i="3"/>
  <c r="J175" i="3"/>
  <c r="J177" i="3"/>
  <c r="J179" i="3"/>
  <c r="J180" i="3"/>
  <c r="J181" i="3"/>
  <c r="J182" i="3"/>
  <c r="J183" i="3"/>
  <c r="J184" i="3"/>
  <c r="J187" i="3"/>
  <c r="J188" i="3"/>
  <c r="J189" i="3"/>
  <c r="J190" i="3"/>
  <c r="J191" i="3"/>
  <c r="J192" i="3"/>
  <c r="J193" i="3"/>
  <c r="J196" i="3"/>
  <c r="J197" i="3"/>
  <c r="J198" i="3"/>
  <c r="J199" i="3"/>
  <c r="J202" i="3"/>
  <c r="J203" i="3"/>
  <c r="J204" i="3"/>
  <c r="J205" i="3"/>
  <c r="J206" i="3"/>
  <c r="J207" i="3"/>
  <c r="J210" i="3"/>
  <c r="J211" i="3"/>
  <c r="J212" i="3"/>
  <c r="J213" i="3"/>
  <c r="J216" i="3"/>
  <c r="J220" i="3"/>
  <c r="J222" i="3"/>
  <c r="J223" i="3"/>
  <c r="J224" i="3"/>
  <c r="J225" i="3"/>
  <c r="J226" i="3"/>
  <c r="J227" i="3"/>
  <c r="J228" i="3"/>
  <c r="J229" i="3"/>
  <c r="J230" i="3"/>
  <c r="J231" i="3"/>
  <c r="J234" i="3"/>
  <c r="J235" i="3"/>
  <c r="J236" i="3"/>
  <c r="J237" i="3"/>
  <c r="J239" i="3"/>
  <c r="J240" i="3"/>
  <c r="J241" i="3"/>
  <c r="J242" i="3"/>
  <c r="J243" i="3"/>
  <c r="J244" i="3"/>
  <c r="J245" i="3"/>
  <c r="J246" i="3"/>
  <c r="J247" i="3"/>
  <c r="J250" i="3"/>
  <c r="J251" i="3"/>
  <c r="J252" i="3"/>
  <c r="J253" i="3"/>
  <c r="J254" i="3"/>
  <c r="J257" i="3"/>
  <c r="J259" i="3"/>
  <c r="J260" i="3"/>
  <c r="J261" i="3"/>
  <c r="J262" i="3"/>
  <c r="J263" i="3"/>
  <c r="J264" i="3"/>
  <c r="J265" i="3"/>
  <c r="J266" i="3"/>
  <c r="J267" i="3"/>
  <c r="J270" i="3"/>
  <c r="J271" i="3"/>
  <c r="J272" i="3"/>
  <c r="J273" i="3"/>
  <c r="J274" i="3"/>
  <c r="J277" i="3"/>
  <c r="J280" i="3"/>
  <c r="J281" i="3"/>
  <c r="J282" i="3"/>
  <c r="J289" i="3"/>
  <c r="J290" i="3"/>
  <c r="J291" i="3"/>
  <c r="J292" i="3"/>
  <c r="J293" i="3"/>
  <c r="J296" i="3"/>
  <c r="J298" i="3"/>
  <c r="J299" i="3"/>
  <c r="J300" i="3"/>
  <c r="J301" i="3"/>
  <c r="J302" i="3"/>
  <c r="J307" i="3"/>
  <c r="J308" i="3"/>
  <c r="J309" i="3"/>
  <c r="J310" i="3"/>
  <c r="J311" i="3"/>
  <c r="J314" i="3"/>
  <c r="J316" i="3"/>
  <c r="J317" i="3"/>
  <c r="J319" i="3"/>
  <c r="J323" i="3"/>
  <c r="J324" i="3"/>
  <c r="J325" i="3"/>
  <c r="J326" i="3"/>
  <c r="J327" i="3"/>
  <c r="J330" i="3"/>
  <c r="J332" i="3"/>
  <c r="J333" i="3"/>
  <c r="J334" i="3"/>
  <c r="J340" i="3"/>
  <c r="J341" i="3"/>
  <c r="J342" i="3"/>
  <c r="J343" i="3"/>
  <c r="J344" i="3"/>
  <c r="J347" i="3"/>
  <c r="J348" i="3"/>
  <c r="J349" i="3"/>
  <c r="J350" i="3"/>
  <c r="J351" i="3"/>
  <c r="J352" i="3"/>
  <c r="J353" i="3"/>
  <c r="J354" i="3"/>
  <c r="J355" i="3"/>
  <c r="J356" i="3"/>
  <c r="J357" i="3"/>
  <c r="J358" i="3"/>
  <c r="J359" i="3"/>
  <c r="J360" i="3"/>
  <c r="J361" i="3"/>
  <c r="J362" i="3"/>
  <c r="J363" i="3"/>
  <c r="J364" i="3"/>
  <c r="J365" i="3"/>
  <c r="J366" i="3"/>
  <c r="J367" i="3"/>
  <c r="J368" i="3"/>
  <c r="J369" i="3"/>
  <c r="J370"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T370" i="3"/>
  <c r="T369" i="3"/>
  <c r="T368" i="3"/>
  <c r="T367" i="3"/>
  <c r="T366" i="3"/>
  <c r="T365" i="3"/>
  <c r="T364" i="3"/>
  <c r="T363" i="3"/>
  <c r="T362" i="3"/>
  <c r="T361" i="3"/>
  <c r="T360" i="3"/>
  <c r="T359" i="3"/>
  <c r="T358" i="3"/>
  <c r="T357" i="3"/>
  <c r="T356" i="3"/>
  <c r="T355" i="3"/>
  <c r="T354" i="3"/>
  <c r="T353" i="3"/>
  <c r="T352" i="3"/>
  <c r="T351" i="3"/>
  <c r="T350" i="3"/>
  <c r="T349" i="3"/>
  <c r="T348" i="3"/>
  <c r="T347" i="3"/>
  <c r="T344" i="3"/>
  <c r="T343" i="3"/>
  <c r="T342" i="3"/>
  <c r="T341" i="3"/>
  <c r="T340" i="3"/>
  <c r="T334" i="3"/>
  <c r="T333" i="3"/>
  <c r="T332" i="3"/>
  <c r="T330" i="3"/>
  <c r="T327" i="3"/>
  <c r="T326" i="3"/>
  <c r="T325" i="3"/>
  <c r="T324" i="3"/>
  <c r="T323" i="3"/>
  <c r="T319" i="3"/>
  <c r="T317" i="3"/>
  <c r="T316" i="3"/>
  <c r="T314" i="3"/>
  <c r="T311" i="3"/>
  <c r="T310" i="3"/>
  <c r="T309" i="3"/>
  <c r="T308" i="3"/>
  <c r="T307" i="3"/>
  <c r="T302" i="3"/>
  <c r="T301" i="3"/>
  <c r="T300" i="3"/>
  <c r="T299" i="3"/>
  <c r="T298" i="3"/>
  <c r="T296" i="3"/>
  <c r="T293" i="3"/>
  <c r="T292" i="3"/>
  <c r="T291" i="3"/>
  <c r="T290" i="3"/>
  <c r="T289" i="3"/>
  <c r="T282" i="3"/>
  <c r="T281" i="3"/>
  <c r="T280" i="3"/>
  <c r="T277" i="3"/>
  <c r="T274" i="3"/>
  <c r="T273" i="3"/>
  <c r="T272" i="3"/>
  <c r="T271" i="3"/>
  <c r="T270" i="3"/>
  <c r="T267" i="3"/>
  <c r="T266" i="3"/>
  <c r="T265" i="3"/>
  <c r="T264" i="3"/>
  <c r="T263" i="3"/>
  <c r="T262" i="3"/>
  <c r="T261" i="3"/>
  <c r="T260" i="3"/>
  <c r="T259" i="3"/>
  <c r="T257" i="3"/>
  <c r="T254" i="3"/>
  <c r="T253" i="3"/>
  <c r="T252" i="3"/>
  <c r="T251" i="3"/>
  <c r="T250" i="3"/>
  <c r="T247" i="3"/>
  <c r="T246" i="3"/>
  <c r="T245" i="3"/>
  <c r="T244" i="3"/>
  <c r="T243" i="3"/>
  <c r="T242" i="3"/>
  <c r="T241" i="3"/>
  <c r="T240" i="3"/>
  <c r="T239" i="3"/>
  <c r="T237" i="3"/>
  <c r="T236" i="3"/>
  <c r="T235" i="3"/>
  <c r="T234" i="3"/>
  <c r="T231" i="3"/>
  <c r="T230" i="3"/>
  <c r="T229" i="3"/>
  <c r="T228" i="3"/>
  <c r="T227" i="3"/>
  <c r="T226" i="3"/>
  <c r="T225" i="3"/>
  <c r="T224" i="3"/>
  <c r="T223" i="3"/>
  <c r="T222" i="3"/>
  <c r="T220" i="3"/>
  <c r="T216" i="3"/>
  <c r="T213" i="3"/>
  <c r="T212" i="3"/>
  <c r="T211" i="3"/>
  <c r="T210" i="3"/>
  <c r="T207" i="3"/>
  <c r="T206" i="3"/>
  <c r="T205" i="3"/>
  <c r="T204" i="3"/>
  <c r="T203" i="3"/>
  <c r="T202" i="3"/>
  <c r="T199" i="3"/>
  <c r="T198" i="3"/>
  <c r="T197" i="3"/>
  <c r="T196" i="3"/>
  <c r="T193" i="3"/>
  <c r="T192" i="3"/>
  <c r="T191" i="3"/>
  <c r="T190" i="3"/>
  <c r="T189" i="3"/>
  <c r="T188" i="3"/>
  <c r="T187" i="3"/>
  <c r="T184" i="3"/>
  <c r="T183" i="3"/>
  <c r="T182" i="3"/>
  <c r="T181" i="3"/>
  <c r="T180" i="3"/>
  <c r="T179" i="3"/>
  <c r="T177" i="3"/>
  <c r="T175" i="3"/>
  <c r="T174" i="3"/>
  <c r="T173" i="3"/>
  <c r="T172" i="3"/>
  <c r="T171" i="3"/>
  <c r="T168" i="3"/>
  <c r="T167" i="3"/>
  <c r="T166" i="3"/>
  <c r="T165" i="3"/>
  <c r="T163" i="3"/>
  <c r="T162" i="3"/>
  <c r="T161" i="3"/>
  <c r="T160" i="3"/>
  <c r="T159" i="3"/>
  <c r="T158" i="3"/>
  <c r="T157" i="3"/>
  <c r="T156" i="3"/>
  <c r="T153" i="3"/>
  <c r="T152" i="3"/>
  <c r="T151" i="3"/>
  <c r="T150" i="3"/>
  <c r="T149" i="3"/>
  <c r="T148" i="3"/>
  <c r="T147" i="3"/>
  <c r="T146" i="3"/>
  <c r="T144" i="3"/>
  <c r="T141" i="3"/>
  <c r="T140" i="3"/>
  <c r="T139" i="3"/>
  <c r="T131" i="3"/>
  <c r="T128" i="3"/>
  <c r="T127" i="3"/>
  <c r="T126" i="3"/>
  <c r="T125" i="3"/>
  <c r="T122" i="3"/>
  <c r="T121" i="3"/>
  <c r="T119" i="3"/>
  <c r="T118" i="3"/>
  <c r="T114" i="3"/>
  <c r="T111" i="3"/>
  <c r="T110" i="3"/>
  <c r="T109" i="3"/>
  <c r="T107" i="3"/>
  <c r="T105" i="3"/>
  <c r="T102" i="3"/>
  <c r="T98" i="3"/>
  <c r="T92" i="3"/>
  <c r="T91" i="3"/>
  <c r="T90" i="3"/>
  <c r="T86" i="3"/>
  <c r="T85" i="3"/>
  <c r="T84" i="3"/>
  <c r="T83" i="3"/>
  <c r="T82" i="3"/>
  <c r="T81" i="3"/>
  <c r="T80" i="3"/>
  <c r="T79" i="3"/>
  <c r="J22" i="3" l="1"/>
  <c r="J21" i="3"/>
  <c r="J36" i="3"/>
  <c r="J35" i="3"/>
  <c r="J53" i="3"/>
  <c r="J52" i="3"/>
  <c r="J66" i="3"/>
  <c r="J65"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97" i="3"/>
  <c r="J96" i="3"/>
  <c r="J113" i="3"/>
  <c r="J112" i="3"/>
  <c r="J130" i="3"/>
  <c r="J129" i="3"/>
  <c r="J143" i="3"/>
  <c r="J142" i="3"/>
  <c r="J170" i="3"/>
  <c r="J169" i="3"/>
  <c r="J186" i="3"/>
  <c r="J185" i="3"/>
  <c r="J200" i="3"/>
  <c r="J201" i="3"/>
  <c r="J215" i="3"/>
  <c r="J214" i="3"/>
  <c r="J256" i="3"/>
  <c r="J255" i="3"/>
  <c r="U3" i="2"/>
  <c r="U515" i="2"/>
  <c r="U525" i="2"/>
  <c r="U535" i="2"/>
  <c r="U544" i="2"/>
  <c r="U556" i="2"/>
  <c r="U566" i="2"/>
  <c r="U573" i="2"/>
  <c r="U581" i="2"/>
  <c r="U408" i="2"/>
  <c r="U590" i="2"/>
  <c r="U609" i="2"/>
  <c r="U622" i="2"/>
  <c r="U636" i="2"/>
  <c r="U646" i="2"/>
  <c r="U667" i="2"/>
  <c r="U676" i="2"/>
  <c r="U688" i="2"/>
  <c r="J178" i="3" s="1"/>
  <c r="U694" i="2"/>
  <c r="U707" i="2"/>
  <c r="U719" i="2"/>
  <c r="U728" i="2"/>
  <c r="U279" i="2"/>
  <c r="U288" i="2"/>
  <c r="U296" i="2"/>
  <c r="U305" i="2"/>
  <c r="U314" i="2"/>
  <c r="U322" i="2"/>
  <c r="J318" i="3" s="1"/>
  <c r="U339" i="2"/>
  <c r="U356" i="2"/>
  <c r="U366" i="2"/>
  <c r="U375" i="2"/>
  <c r="U384" i="2"/>
  <c r="U393" i="2"/>
  <c r="U401" i="2"/>
  <c r="U658" i="2"/>
  <c r="U417" i="2"/>
  <c r="U425" i="2"/>
  <c r="U433" i="2"/>
  <c r="U441" i="2"/>
  <c r="U450" i="2"/>
  <c r="U459" i="2"/>
  <c r="U467" i="2"/>
  <c r="U476" i="2"/>
  <c r="U485" i="2"/>
  <c r="U493" i="2"/>
  <c r="J58" i="3" s="1"/>
  <c r="U505" i="2"/>
  <c r="U18" i="2"/>
  <c r="U34" i="2"/>
  <c r="U48" i="2"/>
  <c r="J219" i="3" s="1"/>
  <c r="U60" i="2"/>
  <c r="U74" i="2"/>
  <c r="U87" i="2"/>
  <c r="U97" i="2"/>
  <c r="J194" i="3" s="1"/>
  <c r="U111" i="2"/>
  <c r="U139" i="2"/>
  <c r="U155" i="2"/>
  <c r="U165" i="2"/>
  <c r="U174" i="2"/>
  <c r="U186" i="2"/>
  <c r="J258" i="3" s="1"/>
  <c r="U200" i="2"/>
  <c r="J278" i="3" s="1"/>
  <c r="U217" i="2"/>
  <c r="J297" i="3" s="1"/>
  <c r="U229" i="2"/>
  <c r="J315" i="3" s="1"/>
  <c r="U247" i="2"/>
  <c r="J331" i="3" s="1"/>
  <c r="U257" i="2"/>
  <c r="J279"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45" i="3" l="1"/>
  <c r="J68" i="3"/>
  <c r="J154" i="3"/>
  <c r="J155" i="3"/>
  <c r="J238" i="3"/>
  <c r="J135" i="3"/>
  <c r="J276" i="3"/>
  <c r="J275" i="3"/>
  <c r="J295" i="3"/>
  <c r="J294" i="3"/>
  <c r="J313" i="3"/>
  <c r="J312" i="3"/>
  <c r="J329" i="3"/>
  <c r="J328" i="3"/>
  <c r="J345" i="3"/>
  <c r="J346" i="3"/>
  <c r="J218" i="3"/>
  <c r="J78" i="3" l="1"/>
  <c r="J77" i="3"/>
  <c r="J233" i="3"/>
  <c r="J232" i="3"/>
  <c r="J17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<sst xmlns="http://schemas.openxmlformats.org/spreadsheetml/2006/main" count="88346" uniqueCount="4218">
  <si>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</si>
  <si>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</si>
  <si>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</si>
  <si>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</si>
  <si>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</si>
  <si>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</si>
  <si>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</si>
  <si>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</si>
  <si>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</si>
  <si>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</si>
  <si>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</si>
  <si>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</si>
  <si>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</si>
  <si>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</si>
  <si>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</si>
  <si>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</si>
  <si>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</si>
  <si>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</si>
  <si>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</si>
  <si>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</si>
  <si>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</si>
  <si>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</si>
  <si>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</si>
  <si>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</si>
  <si>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</si>
  <si>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</si>
  <si>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</si>
  <si>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</si>
  <si>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</si>
  <si>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</si>
  <si>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</si>
  <si>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</si>
  <si>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</si>
  <si>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</si>
  <si>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</si>
  <si>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</si>
  <si>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</si>
  <si>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</si>
  <si>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</si>
  <si>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</si>
  <si>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</si>
  <si>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</si>
  <si>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</si>
  <si>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</si>
  <si>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</si>
  <si>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</si>
  <si>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</si>
  <si>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</si>
  <si>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</si>
  <si>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</si>
  <si>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</si>
  <si>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</si>
  <si>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</si>
  <si>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</si>
  <si>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</si>
  <si>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</si>
  <si>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</si>
  <si>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</si>
  <si>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</si>
  <si>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</si>
  <si>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</si>
  <si>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</si>
  <si>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</si>
  <si>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</si>
  <si>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</si>
  <si>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</si>
  <si>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</si>
  <si>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</si>
  <si>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</si>
  <si>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</si>
  <si>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</si>
  <si>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</si>
  <si>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</si>
  <si>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</si>
  <si>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</si>
  <si>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</si>
  <si>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</si>
  <si>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</si>
  <si>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</si>
  <si>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</si>
  <si>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</si>
  <si>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</si>
  <si>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</si>
  <si>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</si>
  <si>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</si>
  <si>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</si>
  <si>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</si>
  <si>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</si>
  <si>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</si>
  <si>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</si>
  <si>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</si>
  <si>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</si>
  <si>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</si>
  <si>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</si>
  <si>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</si>
  <si>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</si>
  <si>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</si>
  <si>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</si>
  <si>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</si>
  <si>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</si>
  <si>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</si>
  <si>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</si>
  <si>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</si>
  <si>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</si>
  <si>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</si>
  <si>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</si>
  <si>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</si>
  <si>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</si>
  <si>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</si>
  <si>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</si>
  <si>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</si>
  <si>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</si>
  <si>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</si>
  <si>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</si>
  <si>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</si>
  <si>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</si>
  <si>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</si>
  <si>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</si>
  <si>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</si>
  <si>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</si>
  <si>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</si>
  <si>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</si>
  <si>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</si>
  <si>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</si>
  <si>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</si>
  <si>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</si>
  <si>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</si>
  <si>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</si>
  <si>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</si>
  <si>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</si>
  <si>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</si>
  <si>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</si>
  <si>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</si>
  <si>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</si>
  <si>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</si>
  <si>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</si>
  <si>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</si>
  <si>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</si>
  <si>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</si>
  <si>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</si>
  <si>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</si>
  <si>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</si>
  <si>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</si>
  <si>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</si>
  <si>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</si>
  <si>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</si>
  <si>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</si>
  <si>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</si>
  <si>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</si>
  <si>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</si>
  <si>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</si>
  <si>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</si>
  <si>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</si>
  <si>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</si>
  <si>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</si>
  <si>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</si>
  <si>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</si>
  <si>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</si>
  <si>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</si>
  <si>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</si>
  <si>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</si>
  <si>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</si>
  <si>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</si>
  <si>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</si>
  <si>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</si>
  <si>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</si>
  <si>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</si>
  <si>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</si>
  <si>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</si>
  <si>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</si>
  <si>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</si>
  <si>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</si>
  <si>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</si>
  <si>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</si>
  <si>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</si>
  <si>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</si>
  <si>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</si>
  <si>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</si>
  <si>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</si>
  <si>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</si>
  <si>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</si>
  <si>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</si>
  <si>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</si>
  <si>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</si>
  <si>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</si>
  <si>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</si>
  <si>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</si>
  <si>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</si>
  <si>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</si>
  <si>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</si>
  <si>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</si>
  <si>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</si>
  <si>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</si>
  <si>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</si>
  <si>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</si>
  <si>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</si>
  <si>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</si>
  <si>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</si>
  <si>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</si>
  <si>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</si>
  <si>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</si>
  <si>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</si>
  <si>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</si>
  <si>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</si>
  <si>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</si>
  <si>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</si>
  <si>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</si>
  <si>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</si>
  <si>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</si>
  <si>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</si>
  <si>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</si>
  <si>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</si>
  <si>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</si>
  <si>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</si>
  <si>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</si>
  <si>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</si>
  <si>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</si>
  <si>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</si>
  <si>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</si>
  <si>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</si>
  <si>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</si>
  <si>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</si>
  <si>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</si>
  <si>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</si>
  <si>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</si>
  <si>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</si>
  <si>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</si>
  <si>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</si>
  <si>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</si>
  <si>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</si>
  <si>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</si>
  <si>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</si>
  <si>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</si>
  <si>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</si>
  <si>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</si>
  <si>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</si>
  <si>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</si>
  <si>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</si>
  <si>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</si>
  <si>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</si>
  <si>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</si>
  <si>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</si>
  <si>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</si>
  <si>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</si>
  <si>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</si>
  <si>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</si>
  <si>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</si>
  <si>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</si>
  <si>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</si>
  <si>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</si>
  <si>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</si>
  <si>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</si>
  <si>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</si>
  <si>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</si>
  <si>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</si>
  <si>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</si>
  <si>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</si>
  <si>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</si>
  <si>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</si>
  <si>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</si>
  <si>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</si>
  <si>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</si>
  <si>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</si>
  <si>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</si>
  <si>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</si>
  <si>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</si>
  <si>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</si>
  <si>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</si>
  <si>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</si>
  <si>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</si>
  <si>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</si>
  <si>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</si>
  <si>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</si>
  <si>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</si>
  <si>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</si>
  <si>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</si>
  <si>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</si>
  <si>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</si>
  <si>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</si>
  <si>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</si>
  <si>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</si>
  <si>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</si>
  <si>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</si>
  <si>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</si>
  <si>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</si>
  <si>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</si>
  <si>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</si>
  <si>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</si>
  <si>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</si>
  <si>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</si>
  <si>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</si>
  <si>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</si>
  <si>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</si>
  <si>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</si>
  <si>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</si>
  <si>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</si>
  <si>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</si>
  <si>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</si>
  <si>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</si>
  <si>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</si>
  <si>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</si>
  <si>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</si>
  <si>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</si>
  <si>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</si>
  <si>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</si>
  <si>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</si>
  <si>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</si>
  <si>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</si>
  <si>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</si>
  <si>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</si>
  <si>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</si>
  <si>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</si>
  <si>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</si>
  <si>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</si>
  <si>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</si>
  <si>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</si>
  <si>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</si>
  <si>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</si>
  <si>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</si>
  <si>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</si>
  <si>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</si>
  <si>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</si>
  <si>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</si>
  <si>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</si>
  <si>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</si>
  <si>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</si>
  <si>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</si>
  <si>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</si>
  <si>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</si>
  <si>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</si>
  <si>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</si>
  <si>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</si>
  <si>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</si>
  <si>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</si>
  <si>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</si>
  <si>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</si>
  <si>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</si>
  <si>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</si>
  <si>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</si>
  <si>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</si>
  <si>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</si>
  <si>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</si>
  <si>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</si>
  <si>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</si>
  <si>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</si>
  <si>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</si>
  <si>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</si>
  <si>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</si>
  <si>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</si>
  <si>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</si>
  <si>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</si>
  <si>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</si>
  <si>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</si>
  <si>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</si>
  <si>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</si>
  <si>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</si>
  <si>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</si>
  <si>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</si>
  <si>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</si>
  <si>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</si>
  <si>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</si>
  <si>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</si>
  <si>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</si>
  <si>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</si>
  <si>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</si>
  <si>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</si>
  <si>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</si>
  <si>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</si>
  <si>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</si>
  <si>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</si>
  <si>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</si>
  <si>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</si>
  <si>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</si>
  <si>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</si>
  <si>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</si>
  <si>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</si>
  <si>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</si>
  <si>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</si>
  <si>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</si>
  <si>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</si>
  <si>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</si>
  <si>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</si>
  <si>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</si>
  <si>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</si>
  <si>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</si>
  <si>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</si>
  <si>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</si>
  <si>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</si>
  <si>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</si>
  <si>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</si>
  <si>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</si>
  <si>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</si>
  <si>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</si>
  <si>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</si>
  <si>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</si>
  <si>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</si>
  <si>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</si>
  <si>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</si>
  <si>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</si>
  <si>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</si>
  <si>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</si>
  <si>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</si>
  <si>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</si>
  <si>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</si>
  <si>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</si>
  <si>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</si>
  <si>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</si>
  <si>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</si>
  <si>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</si>
  <si>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</si>
  <si>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</si>
  <si>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</si>
  <si>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</si>
  <si>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</si>
  <si>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</si>
  <si>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</si>
  <si>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</si>
  <si>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</si>
  <si>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</si>
  <si>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</si>
  <si>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</si>
  <si>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</si>
  <si>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</si>
  <si>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</si>
  <si>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</si>
  <si>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</si>
  <si>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</si>
  <si>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</si>
  <si>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</si>
  <si>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</si>
  <si>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</si>
  <si>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</si>
  <si>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</si>
  <si>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</si>
  <si>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</si>
  <si>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</si>
  <si>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</si>
  <si>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</si>
  <si>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</si>
  <si>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</si>
  <si>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</si>
  <si>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</si>
  <si>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</si>
  <si>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</si>
  <si>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</si>
  <si>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</si>
  <si>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</si>
  <si>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</si>
  <si>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</si>
  <si>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</si>
  <si>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</si>
  <si>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</si>
  <si>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</si>
  <si>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</si>
  <si>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</si>
  <si>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</si>
  <si>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</si>
  <si>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</si>
  <si>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</si>
  <si>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</si>
  <si>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</si>
  <si>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</si>
  <si>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</si>
  <si>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</si>
  <si>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</si>
  <si>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</si>
  <si>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</si>
  <si>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</si>
  <si>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</si>
  <si>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</si>
  <si>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</si>
  <si>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</si>
  <si>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</si>
  <si>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</si>
  <si>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</si>
  <si>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</si>
  <si>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</si>
  <si>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</si>
  <si>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</si>
  <si>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</si>
  <si>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</si>
  <si>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</si>
  <si>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</si>
  <si>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</si>
  <si>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</si>
  <si>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</si>
  <si>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</si>
  <si>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</si>
  <si>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</si>
  <si>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</si>
  <si>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</si>
  <si>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</si>
  <si>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</si>
  <si>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</si>
  <si>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</si>
  <si>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</si>
  <si>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</si>
  <si>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</si>
  <si>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</si>
  <si>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</si>
  <si>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</si>
  <si>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</si>
  <si>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</si>
  <si>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</si>
  <si>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</si>
  <si>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</si>
  <si>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</si>
  <si>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</si>
  <si>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</si>
  <si>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</si>
  <si>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</si>
  <si>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</si>
  <si>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</si>
  <si>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</si>
  <si>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</si>
  <si>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</si>
  <si>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</si>
  <si>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</si>
  <si>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</si>
  <si>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</si>
  <si>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</si>
  <si>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</si>
  <si>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</si>
  <si>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</si>
  <si>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</si>
  <si>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</si>
  <si>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</si>
  <si>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</si>
  <si>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</si>
  <si>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</si>
  <si>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</si>
  <si>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</si>
  <si>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</si>
  <si>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</si>
  <si>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</si>
  <si>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</si>
  <si>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</si>
  <si>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</si>
  <si>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</si>
  <si>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</si>
  <si>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</si>
  <si>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</si>
  <si>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</si>
  <si>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</si>
  <si>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</si>
  <si>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</si>
  <si>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</si>
  <si>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</si>
  <si>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</si>
  <si>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</si>
  <si>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</si>
  <si>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</si>
  <si>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</si>
  <si>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</si>
  <si>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</si>
  <si>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</si>
  <si>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</si>
  <si>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</si>
  <si>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</si>
  <si>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</si>
  <si>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</si>
  <si>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</si>
  <si>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</si>
  <si>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</si>
  <si>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</si>
  <si>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</si>
  <si>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</si>
  <si>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</si>
  <si>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</si>
  <si>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</si>
  <si>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</si>
  <si>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</si>
  <si>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</si>
  <si>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</si>
  <si>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</si>
  <si>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</si>
  <si>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</si>
  <si>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</si>
  <si>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</si>
  <si>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</si>
  <si>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</si>
  <si>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</si>
  <si>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</si>
  <si>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</si>
  <si>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</si>
  <si>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</si>
  <si>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</si>
  <si>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</si>
  <si>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</si>
  <si>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</si>
  <si>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</si>
  <si>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</si>
  <si>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</si>
  <si>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</si>
  <si>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</si>
  <si>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</si>
  <si>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</si>
  <si>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</si>
  <si>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</si>
  <si>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</si>
  <si>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</si>
  <si>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</si>
  <si>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</si>
  <si>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</si>
  <si>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</si>
  <si>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</si>
  <si>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</si>
  <si>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</si>
  <si>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</si>
  <si>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</si>
  <si>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</si>
  <si>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</si>
  <si>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</si>
  <si>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</si>
  <si>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</si>
  <si>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</si>
  <si>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</si>
  <si>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</si>
  <si>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</si>
  <si>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</si>
  <si>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</si>
  <si>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</si>
  <si>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</si>
  <si>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</si>
  <si>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</si>
  <si>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</si>
  <si>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</si>
  <si>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</si>
  <si>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</si>
  <si>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</si>
  <si>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</si>
  <si>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</si>
  <si>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</si>
  <si>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</si>
  <si>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</si>
  <si>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</si>
  <si>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</si>
  <si>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</si>
  <si>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</si>
  <si>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</si>
  <si>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</si>
  <si>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</si>
  <si>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</si>
  <si>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</si>
  <si>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</si>
  <si>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</si>
  <si>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</si>
  <si>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</si>
  <si>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</si>
  <si>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</si>
  <si>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</si>
  <si>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</si>
  <si>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</si>
  <si>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</si>
  <si>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</si>
  <si>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</si>
  <si>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</si>
  <si>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</si>
  <si>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</si>
  <si>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</si>
  <si>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</si>
  <si>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</si>
  <si>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</si>
  <si>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</si>
  <si>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</si>
  <si>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</si>
  <si>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</si>
  <si>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</si>
  <si>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</si>
  <si>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</si>
  <si>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</si>
  <si>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</si>
  <si>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</si>
  <si>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</si>
  <si>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</si>
  <si>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</si>
  <si>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</si>
  <si>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</si>
  <si>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</si>
  <si>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</si>
  <si>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</si>
  <si>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</si>
  <si>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</si>
  <si>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</si>
  <si>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</si>
  <si>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</si>
  <si>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</si>
  <si>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</si>
  <si>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</si>
  <si>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</si>
  <si>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</si>
  <si>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</si>
  <si>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</si>
  <si>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</si>
  <si>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</si>
  <si>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</si>
  <si>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</si>
  <si>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</si>
  <si>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</si>
  <si>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</si>
  <si>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</si>
  <si>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</si>
  <si>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</si>
  <si>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</si>
  <si>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</si>
  <si>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</si>
  <si>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</si>
  <si>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</si>
  <si>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</si>
  <si>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</si>
  <si>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</si>
  <si>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</si>
  <si>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</si>
  <si>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</si>
  <si>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</si>
  <si>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</si>
  <si>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</si>
  <si>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</si>
  <si>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</si>
  <si>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</si>
  <si>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</si>
  <si>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</si>
  <si>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</si>
  <si>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</si>
  <si>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</si>
  <si>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</si>
  <si>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</si>
  <si>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</si>
  <si>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</si>
  <si>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</si>
  <si>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</si>
  <si>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</si>
  <si>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</si>
  <si>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</si>
  <si>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</si>
  <si>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</si>
  <si>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</si>
  <si>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</si>
  <si>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</si>
  <si>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</si>
  <si>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</si>
  <si>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</si>
  <si>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</si>
  <si>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</si>
  <si>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</si>
  <si>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</si>
  <si>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</si>
  <si>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</si>
  <si>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</si>
  <si>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</si>
  <si>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</si>
  <si>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</si>
  <si>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</si>
  <si>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</si>
  <si>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</si>
  <si>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</si>
  <si>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</si>
  <si>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</si>
  <si>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</si>
  <si>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</si>
  <si>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</si>
  <si>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</si>
  <si>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</si>
  <si>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</si>
  <si>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</si>
  <si>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</si>
  <si>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</si>
  <si>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</si>
  <si>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</si>
  <si>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</si>
  <si>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</si>
  <si>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</si>
  <si>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</si>
  <si>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</si>
  <si>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</si>
  <si>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</si>
  <si>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</si>
  <si>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</si>
  <si>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</si>
  <si>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</si>
  <si>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</si>
  <si>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</si>
  <si>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</si>
  <si>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</si>
  <si>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</si>
  <si>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</si>
  <si>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</si>
  <si>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</si>
  <si>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</si>
  <si>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</si>
  <si>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</si>
  <si>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</si>
  <si>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</si>
  <si>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</si>
  <si>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</si>
  <si>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</si>
  <si>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</si>
  <si>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</si>
  <si>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</si>
  <si>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</si>
  <si>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</si>
  <si>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</si>
  <si>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</si>
  <si>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</si>
  <si>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</si>
  <si>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</si>
  <si>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</si>
  <si>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</si>
  <si>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</si>
  <si>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</si>
  <si>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</si>
  <si>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</si>
  <si>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</si>
  <si>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</si>
  <si>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</si>
  <si>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</si>
  <si>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</si>
  <si>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</si>
  <si>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</si>
  <si>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</si>
  <si>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</si>
  <si>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</si>
  <si>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</si>
  <si>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</si>
  <si>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</si>
  <si>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</si>
  <si>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</si>
  <si>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</si>
  <si>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</si>
  <si>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</si>
  <si>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</si>
  <si>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</si>
  <si>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</si>
  <si>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</si>
  <si>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</si>
  <si>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</si>
  <si>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</si>
  <si>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</si>
  <si>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</si>
  <si>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</si>
  <si>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</si>
  <si>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</si>
  <si>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</si>
  <si>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</si>
  <si>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</si>
  <si>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</si>
  <si>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</si>
  <si>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</si>
  <si>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</si>
  <si>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</si>
  <si>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</si>
  <si>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</si>
  <si>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</si>
  <si>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</si>
  <si>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</si>
  <si>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</si>
  <si>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</si>
  <si>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</si>
  <si>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</si>
  <si>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</si>
  <si>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</si>
  <si>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</si>
  <si>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</si>
  <si>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</si>
  <si>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</si>
  <si>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</si>
  <si>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</si>
  <si>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</si>
  <si>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</si>
  <si>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</si>
  <si>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</si>
  <si>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</si>
  <si>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</si>
  <si>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</si>
  <si>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</si>
  <si>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</si>
  <si>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</si>
  <si>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</si>
  <si>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</si>
  <si>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</si>
  <si>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</si>
  <si>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</si>
  <si>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</si>
  <si>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</si>
  <si>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</si>
  <si>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</si>
  <si>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</si>
  <si>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</si>
  <si>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</si>
  <si>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</si>
  <si>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</si>
  <si>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</si>
  <si>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</si>
  <si>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</si>
  <si>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</si>
  <si>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</si>
  <si>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</si>
  <si>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</si>
  <si>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</si>
  <si>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</si>
  <si>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</si>
  <si>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</si>
  <si>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</si>
  <si>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</si>
  <si>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</si>
  <si>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</si>
  <si>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</si>
  <si>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</si>
  <si>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</si>
  <si>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</si>
  <si>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</si>
  <si>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</si>
  <si>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</si>
  <si>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</si>
  <si>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</si>
  <si>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</si>
  <si>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</si>
  <si>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</si>
  <si>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</si>
  <si>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</si>
  <si>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</si>
  <si>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</si>
  <si>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</si>
  <si>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</si>
  <si>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</si>
  <si>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</si>
  <si>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</si>
  <si>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</si>
  <si>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</si>
  <si>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</si>
  <si>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</si>
  <si>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</si>
  <si>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</si>
  <si>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</si>
  <si>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</si>
  <si>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</si>
  <si>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</si>
  <si>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</si>
  <si>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</si>
  <si>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</si>
  <si>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</si>
  <si>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</si>
  <si>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</si>
  <si>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</si>
  <si>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</si>
  <si>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</si>
  <si>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</si>
  <si>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</si>
  <si>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</si>
  <si>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</si>
  <si>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</si>
  <si>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</si>
  <si>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</si>
  <si>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</si>
  <si>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</si>
  <si>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</si>
  <si>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</si>
  <si>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</si>
  <si>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</si>
  <si>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</si>
  <si>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</si>
  <si>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</si>
  <si>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</si>
  <si>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</si>
  <si>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</si>
  <si>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</si>
  <si>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</si>
  <si>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</si>
  <si>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</si>
  <si>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</si>
  <si>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</si>
  <si>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</si>
  <si>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</si>
  <si>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</si>
  <si>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</si>
  <si>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</si>
  <si>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</si>
  <si>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</si>
  <si>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</si>
  <si>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</si>
  <si>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</si>
  <si>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</si>
  <si>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</si>
  <si>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</si>
  <si>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</si>
  <si>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</si>
  <si>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</si>
  <si>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</si>
  <si>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</si>
  <si>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</si>
  <si>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</si>
  <si>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</si>
  <si>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</si>
  <si>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</si>
  <si>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</si>
  <si>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</si>
  <si>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</si>
  <si>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</si>
  <si>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</si>
  <si>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</si>
  <si>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</si>
  <si>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</si>
  <si>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</si>
  <si>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</si>
  <si>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</si>
  <si>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</si>
  <si>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</si>
  <si>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</si>
  <si>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</si>
  <si>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</si>
  <si>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</si>
  <si>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</si>
  <si>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</si>
  <si>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</si>
  <si>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</si>
  <si>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</si>
  <si>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</si>
  <si>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</si>
  <si>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</si>
  <si>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</si>
  <si>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</si>
  <si>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</si>
  <si>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</si>
  <si>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</si>
  <si>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</si>
  <si>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</si>
  <si>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</si>
  <si>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</si>
  <si>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</si>
  <si>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</si>
  <si>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</si>
  <si>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</si>
  <si>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</si>
  <si>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</si>
  <si>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</si>
  <si>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</si>
  <si>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</si>
  <si>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</si>
  <si>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</si>
  <si>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</si>
  <si>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</si>
  <si>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</si>
  <si>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</si>
  <si>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</si>
  <si>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</si>
  <si>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</si>
  <si>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</si>
  <si>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</si>
  <si>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</si>
  <si>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</si>
  <si>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</si>
  <si>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</si>
  <si>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</si>
  <si>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</si>
  <si>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</si>
  <si>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</si>
  <si>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</si>
  <si>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</si>
  <si>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</si>
  <si>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</si>
  <si>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</si>
  <si>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</si>
  <si>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</si>
  <si>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</si>
  <si>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</si>
  <si>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</si>
  <si>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</si>
  <si>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</si>
  <si>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</si>
  <si>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</si>
  <si>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</si>
  <si>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</si>
  <si>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</si>
  <si>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</si>
  <si>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</si>
  <si>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</si>
  <si>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</si>
  <si>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</si>
  <si>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</si>
  <si>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</si>
  <si>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</si>
  <si>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</si>
  <si>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</si>
  <si>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</si>
  <si>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</si>
  <si>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</si>
  <si>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</si>
  <si>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</si>
  <si>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</si>
  <si>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</si>
  <si>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</si>
  <si>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</si>
  <si>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</si>
  <si>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</si>
  <si>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</si>
  <si>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</si>
  <si>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</si>
  <si>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</si>
  <si>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</si>
  <si>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</si>
  <si>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</si>
  <si>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</si>
  <si>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</si>
  <si>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</si>
  <si>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</si>
  <si>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</si>
  <si>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</si>
  <si>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</si>
  <si>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</si>
  <si>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</si>
  <si>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</si>
  <si>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</si>
  <si>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</si>
  <si>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</si>
  <si>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</si>
  <si>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</si>
  <si>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</si>
  <si>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</si>
  <si>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</si>
  <si>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</si>
  <si>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</si>
  <si>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</si>
  <si>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</si>
  <si>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</si>
  <si>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</si>
  <si>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</si>
  <si>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</si>
  <si>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</si>
  <si>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</si>
  <si>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</si>
  <si>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</si>
  <si>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</si>
  <si>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</si>
  <si>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</si>
  <si>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</si>
  <si>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</si>
  <si>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</si>
  <si>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</si>
  <si>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</si>
  <si>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</si>
  <si>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</si>
  <si>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</si>
  <si>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</si>
  <si>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</si>
  <si>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</si>
  <si>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</si>
  <si>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</si>
  <si>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</si>
  <si>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</si>
  <si>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</si>
  <si>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</si>
  <si>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</si>
  <si>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</si>
  <si>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</si>
  <si>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</si>
  <si>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</si>
  <si>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</si>
  <si>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</si>
  <si>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</si>
  <si>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</si>
  <si>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</si>
  <si>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</si>
  <si>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</si>
  <si>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</si>
  <si>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</si>
  <si>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</si>
  <si>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</si>
  <si>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</si>
  <si>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</si>
  <si>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</si>
  <si>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</si>
  <si>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</si>
  <si>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</si>
  <si>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</si>
  <si>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</si>
  <si>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</si>
  <si>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</si>
  <si>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</si>
  <si>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</si>
  <si>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</si>
  <si>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</si>
  <si>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</si>
  <si>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</si>
  <si>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</si>
  <si>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</si>
  <si>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</si>
  <si>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</si>
  <si>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</si>
  <si>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</si>
  <si>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</si>
  <si>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</si>
  <si>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</si>
  <si>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</si>
  <si>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</si>
  <si>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</si>
  <si>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</si>
  <si>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</si>
  <si>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</si>
  <si>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</si>
  <si>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</si>
  <si>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</si>
  <si>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</si>
  <si>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</si>
  <si>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</si>
  <si>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</si>
  <si>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</si>
  <si>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</si>
  <si>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</si>
  <si>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</si>
  <si>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</si>
  <si>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</si>
  <si>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</si>
  <si>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</si>
  <si>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</si>
  <si>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</si>
  <si>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</si>
  <si>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</si>
  <si>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</si>
  <si>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</si>
  <si>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</si>
  <si>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</si>
  <si>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</si>
  <si>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</si>
  <si>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</si>
  <si>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</si>
  <si>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</si>
  <si>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</si>
  <si>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</si>
  <si>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</si>
  <si>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</si>
  <si>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</si>
  <si>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</si>
  <si>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</si>
  <si>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</si>
  <si>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</si>
  <si>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</si>
  <si>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</si>
  <si>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</si>
  <si>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</si>
  <si>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</si>
  <si>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</si>
  <si>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</si>
  <si>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</si>
  <si>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</si>
  <si>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</si>
  <si>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</si>
  <si>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</si>
  <si>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</si>
  <si>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</si>
  <si>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</si>
  <si>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</si>
  <si>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</si>
  <si>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</si>
  <si>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</si>
  <si>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</si>
  <si>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</si>
  <si>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</si>
  <si>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</si>
  <si>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</si>
  <si>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</si>
  <si>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</si>
  <si>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</si>
  <si>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</si>
  <si>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</si>
  <si>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</si>
  <si>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</si>
  <si>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</si>
  <si>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</si>
  <si>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</si>
  <si>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</si>
  <si>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</si>
  <si>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</si>
  <si>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</si>
  <si>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</si>
  <si>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</si>
  <si>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</si>
  <si>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</si>
  <si>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</si>
  <si>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</si>
  <si>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</si>
  <si>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</si>
  <si>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</si>
  <si>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</si>
  <si>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</si>
  <si>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</si>
  <si>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</si>
  <si>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</si>
  <si>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</si>
  <si>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</si>
  <si>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</si>
  <si>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</si>
  <si>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</si>
  <si>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</si>
  <si>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</si>
  <si>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</si>
  <si>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</si>
  <si>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</si>
  <si>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</si>
  <si>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</si>
  <si>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</si>
  <si>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</si>
  <si>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</si>
  <si>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</si>
  <si>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</si>
  <si>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</si>
  <si>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</si>
  <si>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</si>
  <si>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</si>
  <si>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</si>
  <si>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</si>
  <si>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</si>
  <si>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</si>
  <si>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</si>
  <si>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</si>
  <si>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</si>
  <si>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</si>
  <si>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</si>
  <si>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</si>
  <si>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</si>
  <si>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</si>
  <si>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</si>
  <si>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</si>
  <si>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</si>
  <si>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</si>
  <si>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</si>
  <si>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</si>
  <si>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</si>
  <si>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</si>
  <si>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</si>
  <si>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</si>
  <si>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</si>
  <si>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</si>
  <si>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</si>
  <si>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</si>
  <si>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</si>
  <si>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</si>
  <si>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</si>
  <si>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</si>
  <si>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</si>
  <si>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</si>
  <si>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</si>
  <si>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</si>
  <si>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</si>
  <si>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</si>
  <si>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</si>
  <si>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</si>
  <si>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</si>
  <si>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</si>
  <si>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</si>
  <si>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</si>
  <si>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</si>
  <si>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</si>
  <si>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</si>
  <si>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</si>
  <si>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</si>
  <si>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</si>
  <si>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</si>
  <si>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</si>
  <si>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</si>
  <si>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</si>
  <si>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</si>
  <si>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</si>
  <si>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</si>
  <si>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</si>
  <si>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</si>
  <si>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</si>
  <si>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</si>
  <si>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</si>
  <si>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</si>
  <si>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</si>
  <si>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</si>
  <si>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</si>
  <si>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</si>
  <si>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</si>
  <si>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</si>
  <si>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</si>
  <si>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</si>
  <si>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</si>
  <si>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</si>
  <si>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</si>
  <si>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</si>
  <si>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</si>
  <si>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</si>
  <si>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</si>
  <si>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</si>
  <si>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</si>
  <si>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</si>
  <si>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</si>
  <si>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</si>
  <si>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</si>
  <si>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</si>
  <si>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</si>
  <si>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</si>
  <si>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</si>
  <si>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</si>
  <si>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</si>
  <si>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</si>
  <si>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</si>
  <si>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</si>
  <si>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</si>
  <si>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</si>
  <si>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</si>
  <si>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</si>
  <si>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</si>
  <si>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</si>
  <si>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</si>
  <si>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</si>
  <si>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</si>
  <si>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</si>
  <si>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</si>
  <si>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</si>
  <si>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</si>
  <si>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</si>
  <si>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</si>
  <si>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</si>
  <si>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</si>
  <si>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</si>
  <si>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</si>
  <si>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</si>
  <si>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</si>
  <si>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</si>
  <si>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</si>
  <si>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</si>
  <si>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</si>
  <si>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</si>
  <si>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</si>
  <si>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</si>
  <si>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</si>
  <si>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</si>
  <si>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</si>
  <si>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</si>
  <si>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</si>
  <si>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</si>
  <si>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</si>
  <si>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</si>
  <si>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</si>
  <si>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</si>
  <si>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</si>
  <si>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</si>
  <si>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</si>
  <si>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</si>
  <si>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</si>
  <si>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</si>
  <si>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</si>
  <si>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</si>
  <si>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</si>
  <si>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</si>
  <si>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</si>
  <si>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</si>
  <si>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</si>
  <si>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</si>
  <si>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</si>
  <si>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</si>
  <si>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</si>
  <si>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</si>
  <si>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</si>
  <si>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</si>
  <si>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</si>
  <si>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</si>
  <si>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</si>
  <si>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</si>
  <si>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</si>
  <si>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</si>
  <si>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</si>
  <si>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</si>
  <si>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</si>
  <si>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</si>
  <si>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</si>
  <si>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</si>
  <si>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</si>
  <si>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</si>
  <si>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</si>
  <si>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</si>
  <si>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</si>
  <si>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</si>
  <si>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</si>
  <si>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</si>
  <si>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</si>
  <si>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</si>
  <si>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</si>
  <si>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</si>
  <si>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</si>
  <si>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</si>
  <si>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</si>
  <si>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</si>
  <si>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</si>
  <si>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</si>
  <si>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</si>
  <si>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</si>
  <si>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</si>
  <si>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</si>
  <si>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</si>
  <si>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</si>
  <si>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</si>
  <si>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</si>
  <si>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</si>
  <si>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</si>
  <si>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</si>
  <si>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</si>
  <si>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</si>
  <si>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</si>
  <si>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</si>
  <si>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</si>
  <si>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</si>
  <si>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</si>
  <si>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</si>
  <si>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</si>
  <si>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</si>
  <si>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</si>
  <si>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</si>
  <si>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</si>
  <si>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</si>
  <si>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</si>
  <si>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</si>
  <si>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</si>
  <si>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</si>
  <si>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</si>
  <si>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</si>
  <si>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</si>
  <si>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</si>
  <si>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</si>
  <si>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</si>
  <si>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</si>
  <si>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</si>
  <si>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</si>
  <si>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</si>
  <si>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</si>
  <si>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</si>
  <si>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</si>
  <si>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</si>
  <si>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</si>
  <si>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</si>
  <si>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</si>
  <si>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</si>
  <si>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</si>
  <si>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</si>
  <si>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</si>
  <si>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</si>
  <si>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</si>
  <si>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</si>
  <si>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</si>
  <si>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</si>
  <si>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</si>
  <si>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</si>
  <si>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</si>
  <si>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</si>
  <si>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</si>
  <si>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</si>
  <si>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</si>
  <si>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</si>
  <si>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</si>
  <si>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</si>
  <si>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</si>
  <si>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</si>
  <si>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</si>
  <si>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</si>
  <si>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</si>
  <si>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</si>
  <si>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</si>
  <si>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</si>
  <si>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</si>
  <si>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</si>
  <si>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</si>
  <si>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</si>
  <si>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</si>
  <si>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</si>
  <si>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</si>
  <si>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</si>
  <si>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</si>
  <si>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</si>
  <si>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</si>
  <si>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</si>
  <si>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</si>
  <si>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</si>
  <si>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</si>
  <si>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</si>
  <si>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</si>
  <si>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</si>
  <si>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</si>
  <si>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</si>
  <si>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</si>
  <si>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</si>
  <si>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</si>
  <si>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</si>
  <si>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</si>
  <si>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</si>
  <si>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</si>
  <si>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</si>
  <si>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</si>
  <si>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</si>
  <si>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</si>
  <si>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</si>
  <si>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</si>
  <si>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</si>
  <si>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</si>
  <si>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</si>
  <si>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</si>
  <si>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</si>
  <si>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</si>
  <si>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</si>
  <si>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</si>
  <si>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</si>
  <si>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</si>
  <si>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</si>
  <si>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</si>
  <si>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</si>
  <si>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</si>
  <si>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</si>
  <si>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</si>
  <si>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</si>
  <si>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</si>
  <si>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</si>
  <si>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</si>
  <si>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</si>
  <si>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</si>
  <si>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</si>
  <si>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</si>
  <si>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</si>
  <si>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</si>
  <si>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</si>
  <si>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</si>
  <si>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</si>
  <si>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</si>
  <si>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</si>
  <si>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</si>
  <si>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</si>
  <si>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</si>
  <si>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</si>
  <si>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</si>
  <si>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</si>
  <si>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</si>
  <si>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</si>
  <si>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</si>
  <si>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</si>
  <si>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</si>
  <si>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</si>
  <si>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</si>
  <si>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</si>
  <si>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</si>
  <si>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</si>
  <si>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</si>
  <si>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</si>
  <si>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</si>
  <si>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</si>
  <si>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</si>
  <si>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</si>
  <si>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</si>
  <si>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</si>
  <si>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</si>
  <si>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</si>
  <si>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</si>
  <si>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</si>
  <si>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</si>
  <si>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</si>
  <si>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</si>
  <si>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</si>
  <si>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</si>
  <si>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</si>
  <si>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</si>
  <si>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</si>
  <si>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</si>
  <si>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</si>
  <si>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</si>
  <si>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</si>
  <si>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</si>
  <si>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</si>
  <si>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</si>
  <si>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</si>
  <si>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</si>
  <si>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</si>
  <si>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</si>
  <si>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</si>
  <si>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</si>
  <si>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</si>
  <si>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</si>
  <si>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</si>
  <si>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</si>
  <si>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</si>
  <si>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</si>
  <si>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</si>
  <si>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</si>
  <si>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</si>
  <si>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</si>
  <si>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</si>
  <si>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</si>
  <si>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</si>
  <si>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</si>
  <si>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</si>
  <si>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</si>
  <si>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</si>
  <si>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</si>
  <si>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</si>
  <si>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</si>
  <si>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</si>
  <si>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</si>
  <si>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</si>
  <si>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</si>
  <si>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</si>
  <si>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</si>
  <si>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</si>
  <si>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</si>
  <si>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</si>
  <si>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</si>
  <si>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</si>
  <si>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</si>
  <si>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</si>
  <si>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</si>
  <si>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</si>
  <si>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</si>
  <si>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</si>
  <si>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</si>
  <si>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</si>
  <si>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</si>
  <si>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</si>
  <si>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</si>
  <si>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</si>
  <si>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</si>
  <si>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</si>
  <si>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</si>
  <si>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</si>
  <si>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</si>
  <si>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</si>
  <si>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</si>
  <si>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</si>
  <si>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</si>
  <si>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</si>
  <si>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</si>
  <si>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</si>
  <si>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</si>
  <si>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</si>
  <si>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</si>
  <si>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</si>
  <si>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</si>
  <si>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</si>
  <si>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</si>
  <si>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</si>
  <si>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</si>
  <si>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</si>
  <si>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</si>
  <si>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</si>
  <si>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</si>
  <si>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</si>
  <si>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</si>
  <si>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</si>
  <si>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</si>
  <si>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</si>
  <si>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</si>
  <si>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</si>
  <si>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</si>
  <si>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</si>
  <si>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</si>
  <si>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</si>
  <si>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</si>
  <si>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</si>
  <si>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</si>
  <si>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</si>
  <si>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</si>
  <si>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</si>
  <si>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</si>
  <si>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</si>
  <si>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</si>
  <si>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</si>
  <si>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</si>
  <si>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</si>
  <si>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</si>
  <si>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</si>
  <si>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</si>
  <si>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</si>
  <si>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</si>
  <si>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</si>
  <si>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</si>
  <si>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</si>
  <si>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</si>
  <si>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</si>
  <si>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</si>
  <si>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</si>
  <si>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</si>
  <si>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</si>
  <si>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</si>
  <si>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</si>
  <si>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</si>
  <si>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</si>
  <si>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</si>
  <si>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</si>
  <si>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</si>
  <si>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</si>
  <si>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</si>
  <si>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</si>
  <si>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</si>
  <si>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</si>
  <si>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</si>
  <si>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</si>
  <si>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</si>
  <si>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</si>
  <si>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</si>
  <si>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</si>
  <si>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</si>
  <si>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</si>
  <si>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</si>
  <si>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</si>
  <si>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</si>
  <si>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</si>
  <si>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</si>
  <si>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</si>
  <si>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</si>
  <si>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</si>
  <si>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</si>
  <si>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</si>
  <si>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</si>
  <si>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</si>
  <si>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</si>
  <si>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</si>
  <si>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</si>
  <si>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</si>
  <si>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</si>
  <si>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</si>
  <si>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</si>
  <si>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</si>
  <si>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</si>
  <si>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</si>
  <si>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</si>
  <si>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</si>
  <si>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</si>
  <si>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</si>
  <si>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</si>
  <si>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</si>
  <si>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</si>
  <si>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</si>
  <si>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</si>
  <si>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</si>
  <si>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</si>
  <si>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</si>
  <si>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</si>
  <si>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</si>
  <si>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</si>
  <si>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</si>
  <si>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</si>
  <si>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</si>
  <si>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</si>
  <si>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</si>
  <si>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</si>
  <si>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</si>
  <si>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</si>
  <si>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</si>
  <si>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</si>
  <si>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</si>
  <si>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</si>
  <si>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</si>
  <si>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</si>
  <si>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</si>
  <si>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</si>
  <si>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</si>
  <si>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</si>
  <si>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</si>
  <si>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</si>
  <si>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</si>
  <si>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</si>
  <si>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</si>
  <si>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</si>
  <si>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</si>
  <si>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</si>
  <si>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</si>
  <si>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</si>
  <si>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</si>
  <si>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</si>
  <si>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</si>
  <si>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</si>
  <si>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</si>
  <si>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</si>
  <si>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</si>
  <si>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</si>
  <si>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</si>
  <si>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</si>
  <si>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</si>
  <si>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</si>
  <si>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</si>
  <si>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</si>
  <si>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</si>
  <si>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</si>
  <si>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</si>
  <si>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</si>
  <si>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</si>
  <si>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</si>
  <si>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</si>
  <si>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</si>
  <si>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</si>
  <si>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</si>
  <si>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</si>
  <si>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</si>
  <si>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</si>
  <si>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</si>
  <si>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</si>
  <si>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</si>
  <si>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</si>
  <si>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</si>
  <si>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</si>
  <si>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</si>
  <si>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</si>
  <si>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</si>
  <si>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</si>
  <si>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</si>
  <si>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Kartöflur</t>
  </si>
  <si>
    <t>Víðivellir</t>
  </si>
  <si>
    <t>Kjötbollur</t>
  </si>
  <si>
    <t>Ofn</t>
  </si>
  <si>
    <t>180°c</t>
  </si>
  <si>
    <t>18-20</t>
  </si>
  <si>
    <t>Min 75</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</si>
  <si>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</si>
  <si>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</si>
  <si>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</si>
  <si>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Meðlæti</t>
  </si>
  <si>
    <t>Kartöflumús</t>
  </si>
  <si>
    <t>100°c Steam</t>
  </si>
  <si>
    <t>35-45</t>
  </si>
  <si>
    <t>Kartöflumús (Mjólkurlaust)</t>
  </si>
  <si>
    <t>Brún sósa</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</si>
  <si>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</si>
  <si>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</si>
  <si>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</si>
  <si>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</si>
  <si>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</si>
  <si>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</si>
  <si>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</si>
  <si>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</si>
  <si>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</si>
  <si>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</si>
  <si>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</si>
  <si>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</si>
  <si>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</si>
  <si>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</si>
  <si>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</si>
  <si>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</si>
  <si>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</si>
  <si>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</si>
  <si>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</si>
  <si>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</si>
  <si>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</si>
  <si>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</si>
  <si>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</si>
  <si>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</si>
  <si>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</si>
  <si>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</si>
  <si>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</si>
  <si>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</si>
  <si>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</si>
  <si>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</si>
  <si>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</si>
  <si>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</si>
  <si>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</si>
  <si>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</si>
  <si>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</si>
  <si>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</si>
  <si>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</si>
  <si>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</si>
  <si>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</si>
  <si>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</si>
  <si>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</si>
  <si>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</si>
  <si>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</si>
  <si>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</si>
  <si>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</si>
  <si>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</si>
  <si>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</si>
  <si>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</si>
  <si>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</si>
  <si>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</si>
  <si>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</si>
  <si>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</si>
  <si>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</si>
  <si>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</si>
  <si>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</si>
  <si>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</si>
  <si>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</si>
  <si>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</si>
  <si>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</si>
  <si>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</si>
  <si>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</si>
  <si>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</si>
  <si>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</si>
  <si>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20-25</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</si>
  <si>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</si>
  <si>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</si>
  <si>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</si>
  <si>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</si>
  <si>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</si>
  <si>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</si>
  <si>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</si>
  <si>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</si>
  <si>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</si>
  <si>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</si>
  <si>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</si>
  <si>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</si>
  <si>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</si>
  <si>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</si>
  <si>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</si>
  <si>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</si>
  <si>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</si>
  <si>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</si>
  <si>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</si>
  <si>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</si>
  <si>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</si>
  <si>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</si>
  <si>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</si>
  <si>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</si>
  <si>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</si>
  <si>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</si>
  <si>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</si>
  <si>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</si>
  <si>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</si>
  <si>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</si>
  <si>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</si>
  <si>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</si>
  <si>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</si>
  <si>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</si>
  <si>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</si>
  <si>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</si>
  <si>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</si>
  <si>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</si>
  <si>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</si>
  <si>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</si>
  <si>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</si>
  <si>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</si>
  <si>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</si>
  <si>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</si>
  <si>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</si>
  <si>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</si>
  <si>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</si>
  <si>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</si>
  <si>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</si>
  <si>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</si>
  <si>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</si>
  <si>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</si>
  <si>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</si>
  <si>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</si>
  <si>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</si>
  <si>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</si>
  <si>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</si>
  <si>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</si>
  <si>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</si>
  <si>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</si>
  <si>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</si>
  <si>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</si>
  <si>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</si>
  <si>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</si>
  <si>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</si>
  <si>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</si>
  <si>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</si>
  <si>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</si>
  <si>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</si>
  <si>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</si>
  <si>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</si>
  <si>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</si>
  <si>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</si>
  <si>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</si>
  <si>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</si>
  <si>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</si>
  <si>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</si>
  <si>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</si>
  <si>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</si>
  <si>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</si>
  <si>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</si>
  <si>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</si>
  <si>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</si>
  <si>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</si>
  <si>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</si>
  <si>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</si>
  <si>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</si>
  <si>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</si>
  <si>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</si>
  <si>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</si>
  <si>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</si>
  <si>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</si>
  <si>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</si>
  <si>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</si>
  <si>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</si>
  <si>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</si>
  <si>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</si>
  <si>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</si>
  <si>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</si>
  <si>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</si>
  <si>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</si>
  <si>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</si>
  <si>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</si>
  <si>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</si>
  <si>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</si>
  <si>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</si>
  <si>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</si>
  <si>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</si>
  <si>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</si>
  <si>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</si>
  <si>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</si>
  <si>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</si>
  <si>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</si>
  <si>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</si>
  <si>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</si>
  <si>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</si>
  <si>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</si>
  <si>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</si>
  <si>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</si>
  <si>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</si>
  <si>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</si>
  <si>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</si>
  <si>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</si>
  <si>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</si>
  <si>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</si>
  <si>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</si>
  <si>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</si>
  <si>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</si>
  <si>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</si>
  <si>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</si>
  <si>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</si>
  <si>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</si>
  <si>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</si>
  <si>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</si>
  <si>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</si>
  <si>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</si>
  <si>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</si>
  <si>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</si>
  <si>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</si>
  <si>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</si>
  <si>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</si>
  <si>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</si>
  <si>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</si>
  <si>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</si>
  <si>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</si>
  <si>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</si>
  <si>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</si>
  <si>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</si>
  <si>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</si>
  <si>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</si>
  <si>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</si>
  <si>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</si>
  <si>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</si>
  <si>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</si>
  <si>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</si>
  <si>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</si>
  <si>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</si>
  <si>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</si>
  <si>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</si>
  <si>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</si>
  <si>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</si>
  <si>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</si>
  <si>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</si>
  <si>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</si>
  <si>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</si>
  <si>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</si>
  <si>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</si>
  <si>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</si>
  <si>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</si>
  <si>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</si>
  <si>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</si>
  <si>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</si>
  <si>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</si>
  <si>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</si>
  <si>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</si>
  <si>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</si>
  <si>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</si>
  <si>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</si>
  <si>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</si>
  <si>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</si>
  <si>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</si>
  <si>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</si>
  <si>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</si>
  <si>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</si>
  <si>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</si>
  <si>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</si>
  <si>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</si>
  <si>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</si>
  <si>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</si>
  <si>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</si>
  <si>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</si>
  <si>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</si>
  <si>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</si>
  <si>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</si>
  <si>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</si>
  <si>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</si>
  <si>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</si>
  <si>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</si>
  <si>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</si>
  <si>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</si>
  <si>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</si>
  <si>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</si>
  <si>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</si>
  <si>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</si>
  <si>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</si>
  <si>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</si>
  <si>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</si>
  <si>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</si>
  <si>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</si>
  <si>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</si>
  <si>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</si>
  <si>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</si>
  <si>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</si>
  <si>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</si>
  <si>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</si>
  <si>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</si>
  <si>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</si>
  <si>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</si>
  <si>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</si>
  <si>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</si>
  <si>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</si>
  <si>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</si>
  <si>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</si>
  <si>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</si>
  <si>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</si>
  <si>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</si>
  <si>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</si>
  <si>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</si>
  <si>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</si>
  <si>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</si>
  <si>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</si>
  <si>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</si>
  <si>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</si>
  <si>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</si>
  <si>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</si>
  <si>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</si>
  <si>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</si>
  <si>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</si>
  <si>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</si>
  <si>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</si>
  <si>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</si>
  <si>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</si>
  <si>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</si>
  <si>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</si>
  <si>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</si>
  <si>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</si>
  <si>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</si>
  <si>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</si>
  <si>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</si>
  <si>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</si>
  <si>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</si>
  <si>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</si>
  <si>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</si>
  <si>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</si>
  <si>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</si>
  <si>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</si>
  <si>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</si>
  <si>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</si>
  <si>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</si>
  <si>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</si>
  <si>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</si>
  <si>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</si>
  <si>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</si>
  <si>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</si>
  <si>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</si>
  <si>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</si>
  <si>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</si>
  <si>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</si>
  <si>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</si>
  <si>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</si>
  <si>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</si>
  <si>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</si>
  <si>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</si>
  <si>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</si>
  <si>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</si>
  <si>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</si>
  <si>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</si>
  <si>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</si>
  <si>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</si>
  <si>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</si>
  <si>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</si>
  <si>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</si>
  <si>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</si>
  <si>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</si>
  <si>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</si>
  <si>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</si>
  <si>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</si>
  <si>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</si>
  <si>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</si>
  <si>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</si>
  <si>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</si>
  <si>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</si>
  <si>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</si>
  <si>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</si>
  <si>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</si>
  <si>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</si>
  <si>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</si>
  <si>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</si>
  <si>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</si>
  <si>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</si>
  <si>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</si>
  <si>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</si>
  <si>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</si>
  <si>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</si>
  <si>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</si>
  <si>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</si>
  <si>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</si>
  <si>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</si>
  <si>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</si>
  <si>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</si>
  <si>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</si>
  <si>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</si>
  <si>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</si>
  <si>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</si>
  <si>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</si>
  <si>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</si>
  <si>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</si>
  <si>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</si>
  <si>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</si>
  <si>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</si>
  <si>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</si>
  <si>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</si>
  <si>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</si>
  <si>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</si>
  <si>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</si>
  <si>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</si>
  <si>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</si>
  <si>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</si>
  <si>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</si>
  <si>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</si>
  <si>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</si>
  <si>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</si>
  <si>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</si>
  <si>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</si>
  <si>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</si>
  <si>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</si>
  <si>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</si>
  <si>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</si>
  <si>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</si>
  <si>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</si>
  <si>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</si>
  <si>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</si>
  <si>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</si>
  <si>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</si>
  <si>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</si>
  <si>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</si>
  <si>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</si>
  <si>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</si>
  <si>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</si>
  <si>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</si>
  <si>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</si>
  <si>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</si>
  <si>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</si>
  <si>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</si>
  <si>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</si>
  <si>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</si>
  <si>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</si>
  <si>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</si>
  <si>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</si>
  <si>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</si>
  <si>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</si>
  <si>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</si>
  <si>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</si>
  <si>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</si>
  <si>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</si>
  <si>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</si>
  <si>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</si>
  <si>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</si>
  <si>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ENGINN RÉTTUR HENTAR</t>
  </si>
  <si>
    <t>📍 Álfaberg  ·  29. júlí</t>
  </si>
  <si>
    <t>Aðalréttur – Ýsa, kartöflur, smjör, rúgbrauð</t>
  </si>
  <si>
    <t>Marta</t>
  </si>
  <si>
    <t>Mjólk, Glúten</t>
  </si>
  <si>
    <t>📍 Arnarberg  ·  29. júlí</t>
  </si>
  <si>
    <t>Vegan (fiskur), Vegan (dýraafurð)</t>
  </si>
  <si>
    <t>📍 Bjarkarlundur  ·  29. júlí</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</si>
  <si>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</si>
  <si>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</si>
  <si>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</si>
  <si>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</si>
  <si>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</si>
  <si>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</si>
  <si>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</si>
  <si>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</si>
  <si>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</si>
  <si>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</si>
  <si>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Fiskur, Laktósi</t>
  </si>
  <si>
    <t>📍 Smáralundur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</si>
  <si>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</si>
  <si>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</si>
  <si>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</si>
  <si>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</si>
  <si>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</si>
  <si>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</si>
  <si>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</si>
  <si>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</si>
  <si>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Mjólk, Glúten, Hveiti, Rúgur, Bygg, malt, mjöl</t>
  </si>
  <si>
    <t>Erna Rósa</t>
  </si>
  <si>
    <t>Grænmetisæta (fiskur)</t>
  </si>
  <si>
    <t>📍 Vesturkot  ·  29. júlí</t>
  </si>
  <si>
    <t>Jesica Rojas</t>
  </si>
  <si>
    <t>Mjólk, Hveiti, Glúten, Bygg</t>
  </si>
  <si>
    <t>📍 Víðivellir  ·  29. júlí</t>
  </si>
  <si>
    <t>📍 Norðuberg  ·  29. júlí</t>
  </si>
  <si>
    <t>Baldur Bragi</t>
  </si>
  <si>
    <t>Ofnæmi fyrir ýsu - 22 juni til 3. juli</t>
  </si>
  <si>
    <t>📍 Álfaberg  ·  30. júlí</t>
  </si>
  <si>
    <t>Aðalréttur – Bolognese, spaghetti</t>
  </si>
  <si>
    <t>📍 Tjarnarás  ·  30. júlí</t>
  </si>
  <si>
    <t>Glúten, Hveiti, semolina</t>
  </si>
  <si>
    <t>📍 Vesturkot  ·  30. júlí</t>
  </si>
  <si>
    <t>Hveiti, Glúten, durum hveiti</t>
  </si>
  <si>
    <t>📍 Norðuberg  ·  30. júlí</t>
  </si>
  <si>
    <t>Kartöflusterkja</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</si>
  <si>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</si>
  <si>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</si>
  <si>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</si>
  <si>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</si>
  <si>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</si>
  <si>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</si>
  <si>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</si>
  <si>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</si>
  <si>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</si>
  <si>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</si>
  <si>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</si>
  <si>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</si>
  <si>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</si>
  <si>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</si>
  <si>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</si>
  <si>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</si>
  <si>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</si>
  <si>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</si>
  <si>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</si>
  <si>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</si>
  <si>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</si>
  <si>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</si>
  <si>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</si>
  <si>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</si>
  <si>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</si>
  <si>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</si>
  <si>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</si>
  <si>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</si>
  <si>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</si>
  <si>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</si>
  <si>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</si>
  <si>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</si>
  <si>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</si>
  <si>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</si>
  <si>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</si>
  <si>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</si>
  <si>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</si>
  <si>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</si>
  <si>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</si>
  <si>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</si>
  <si>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</si>
  <si>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</si>
  <si>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</si>
  <si>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</si>
  <si>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</si>
  <si>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</si>
  <si>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</si>
  <si>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</si>
  <si>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</si>
  <si>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Norðuberg  ·  6. ágúst</t>
  </si>
  <si>
    <t>📍 Álfaberg  ·  7. ágúst</t>
  </si>
  <si>
    <t>📍 Tjarnarás  ·  7. ágúst</t>
  </si>
  <si>
    <t>📍 Vesturkot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</si>
  <si>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</si>
  <si>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</si>
  <si>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</si>
  <si>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</si>
  <si>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</si>
  <si>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</si>
  <si>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</si>
  <si>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</si>
  <si>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</si>
  <si>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</si>
  <si>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</si>
  <si>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</si>
  <si>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</si>
  <si>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</si>
  <si>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</si>
  <si>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</si>
  <si>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</si>
  <si>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</si>
  <si>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</si>
  <si>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</si>
  <si>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</si>
  <si>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</si>
  <si>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</si>
  <si>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</si>
  <si>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</si>
  <si>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</si>
  <si>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</si>
  <si>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</si>
  <si>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</si>
  <si>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</si>
  <si>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</si>
  <si>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</si>
  <si>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</si>
  <si>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</si>
  <si>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</si>
  <si>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</si>
  <si>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</si>
  <si>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</si>
  <si>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</si>
  <si>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</si>
  <si>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</si>
  <si>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</si>
  <si>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</si>
  <si>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</si>
  <si>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</si>
  <si>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</si>
  <si>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</si>
  <si>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</si>
  <si>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</si>
  <si>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</si>
  <si>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</si>
  <si>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</si>
  <si>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</si>
  <si>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</si>
  <si>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</si>
  <si>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</si>
  <si>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</si>
  <si>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</si>
  <si>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</si>
  <si>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</si>
  <si>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</si>
  <si>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</si>
  <si>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</si>
  <si>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</si>
  <si>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</si>
  <si>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</si>
  <si>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</si>
  <si>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</si>
  <si>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</si>
  <si>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</si>
  <si>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</si>
  <si>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</si>
  <si>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</si>
  <si>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</si>
  <si>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</si>
  <si>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</si>
  <si>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</si>
  <si>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</si>
  <si>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</si>
  <si>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</si>
  <si>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</si>
  <si>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</si>
  <si>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</si>
  <si>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</si>
  <si>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</si>
  <si>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</si>
  <si>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</si>
  <si>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</si>
  <si>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</si>
  <si>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</si>
  <si>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</si>
  <si>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</si>
  <si>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</si>
  <si>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</si>
  <si>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</si>
  <si>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</si>
  <si>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</si>
  <si>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</si>
  <si>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</si>
  <si>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</si>
  <si>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</si>
  <si>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</si>
  <si>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</si>
  <si>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</si>
  <si>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</si>
  <si>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</si>
  <si>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</si>
  <si>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</si>
  <si>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</si>
  <si>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</si>
  <si>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</si>
  <si>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</si>
  <si>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</si>
  <si>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</si>
  <si>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</si>
  <si>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</si>
  <si>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</si>
  <si>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</si>
  <si>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</si>
  <si>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</si>
  <si>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</si>
  <si>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</si>
  <si>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</si>
  <si>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</si>
  <si>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</si>
  <si>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</si>
  <si>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</si>
  <si>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</si>
  <si>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</si>
  <si>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</si>
  <si>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</si>
  <si>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</si>
  <si>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</si>
  <si>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</si>
  <si>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</si>
  <si>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</si>
  <si>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</si>
  <si>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</si>
  <si>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</si>
  <si>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</si>
  <si>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</si>
  <si>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</si>
  <si>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</si>
  <si>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</si>
  <si>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</si>
  <si>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</si>
  <si>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</si>
  <si>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</si>
  <si>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</si>
  <si>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</si>
  <si>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</si>
  <si>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</si>
  <si>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</si>
  <si>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</si>
  <si>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</si>
  <si>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</si>
  <si>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</si>
  <si>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</si>
  <si>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</si>
  <si>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</si>
  <si>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</si>
  <si>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</si>
  <si>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</si>
  <si>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</si>
  <si>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</si>
  <si>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</si>
  <si>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</si>
  <si>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</si>
  <si>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</si>
  <si>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</si>
  <si>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</si>
  <si>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</si>
  <si>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</si>
  <si>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</si>
  <si>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</si>
  <si>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</si>
  <si>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</si>
  <si>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</si>
  <si>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</si>
  <si>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</si>
  <si>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</si>
  <si>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</si>
  <si>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</si>
  <si>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</si>
  <si>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</si>
  <si>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</si>
  <si>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</si>
  <si>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</si>
  <si>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</si>
  <si>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</si>
  <si>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</si>
  <si>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</si>
  <si>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</si>
  <si>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</si>
  <si>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</si>
  <si>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</si>
  <si>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</si>
  <si>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</si>
  <si>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</si>
  <si>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</si>
  <si>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</si>
  <si>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</si>
  <si>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</si>
  <si>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</si>
  <si>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</si>
  <si>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</si>
  <si>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</si>
  <si>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</si>
  <si>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</si>
  <si>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</si>
  <si>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</si>
  <si>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</si>
  <si>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</si>
  <si>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</si>
  <si>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</si>
  <si>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</si>
  <si>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</si>
  <si>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</si>
  <si>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</si>
  <si>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</si>
  <si>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</si>
  <si>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</si>
  <si>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</si>
  <si>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</si>
  <si>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</si>
  <si>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</si>
  <si>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</si>
  <si>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</si>
  <si>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</si>
  <si>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</si>
  <si>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</si>
  <si>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</si>
  <si>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</si>
  <si>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</si>
  <si>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</si>
  <si>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</si>
  <si>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</si>
  <si>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</si>
  <si>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</si>
  <si>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</si>
  <si>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</si>
  <si>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</si>
  <si>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</si>
  <si>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</si>
  <si>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</si>
  <si>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</si>
  <si>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</si>
  <si>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</si>
  <si>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</si>
  <si>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</si>
  <si>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</si>
  <si>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</si>
  <si>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</si>
  <si>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</si>
  <si>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</si>
  <si>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</si>
  <si>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</si>
  <si>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</si>
  <si>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</si>
  <si>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</si>
  <si>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</si>
  <si>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</si>
  <si>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</si>
  <si>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</si>
  <si>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</si>
  <si>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</si>
  <si>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</si>
  <si>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</si>
  <si>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</si>
  <si>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</si>
  <si>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</si>
  <si>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</si>
  <si>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</si>
  <si>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</si>
  <si>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</si>
  <si>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</si>
  <si>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</si>
  <si>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</si>
  <si>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</si>
  <si>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</si>
  <si>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</si>
  <si>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</si>
  <si>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</si>
  <si>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</si>
  <si>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</si>
  <si>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</si>
  <si>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</si>
  <si>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</si>
  <si>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</si>
  <si>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</si>
  <si>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</si>
  <si>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</si>
  <si>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</si>
  <si>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</si>
  <si>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</si>
  <si>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</si>
  <si>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</si>
  <si>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</si>
  <si>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</si>
  <si>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</si>
  <si>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</si>
  <si>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</si>
  <si>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</si>
  <si>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</si>
  <si>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</si>
  <si>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</si>
  <si>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</si>
  <si>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</si>
  <si>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</si>
  <si>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</si>
  <si>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</si>
  <si>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</si>
  <si>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</si>
  <si>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</si>
  <si>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</si>
  <si>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</si>
  <si>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</si>
  <si>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</si>
  <si>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</si>
  <si>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</si>
  <si>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</si>
  <si>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</si>
  <si>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</si>
  <si>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</si>
  <si>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</si>
  <si>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</si>
  <si>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</si>
  <si>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</si>
  <si>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</si>
  <si>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</si>
  <si>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</si>
  <si>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</si>
  <si>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</si>
  <si>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 Hvaleyrarskóli  ·  18. ágúst</t>
  </si>
  <si>
    <t>📍 Lækjarskóli  ·  18. ágúst</t>
  </si>
  <si>
    <t>Glúten, Mjólk, Laktósi</t>
  </si>
  <si>
    <t>📍 Öldutúnsskóli  ·  18. ágúst</t>
  </si>
  <si>
    <t>📍 Setbergsskóli  ·  18. ágúst</t>
  </si>
  <si>
    <t>Vegan (dýraafurð), Mjólk</t>
  </si>
  <si>
    <t>📍 Skarðshlíðarskóli  ·  18. ágúst</t>
  </si>
  <si>
    <t>Arngrímur Kató Kolbeinsson</t>
  </si>
  <si>
    <t>Hafrar, Maís</t>
  </si>
  <si>
    <t>Maís</t>
  </si>
  <si>
    <t>fæðuofnæmi, fæðuofnæmi</t>
  </si>
  <si>
    <t>Alda Karen Gunnarsdóttir</t>
  </si>
  <si>
    <t>Sellerí, Hnetur</t>
  </si>
  <si>
    <t>📍 Víðistaðaskóli  ·  18.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</si>
  <si>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</si>
  <si>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</si>
  <si>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</si>
  <si>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</si>
  <si>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</si>
  <si>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</si>
  <si>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</si>
  <si>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</si>
  <si>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</si>
  <si>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</si>
  <si>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</si>
  <si>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</si>
  <si>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</si>
  <si>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</si>
  <si>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</si>
  <si>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</si>
  <si>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</si>
  <si>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</si>
  <si>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</si>
  <si>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</si>
  <si>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</si>
  <si>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</si>
  <si>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</si>
  <si>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</si>
  <si>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</si>
  <si>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</si>
  <si>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</si>
  <si>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</si>
  <si>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</si>
  <si>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</si>
  <si>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</si>
  <si>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</si>
  <si>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</si>
  <si>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</si>
  <si>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</si>
  <si>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</si>
  <si>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</si>
  <si>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</si>
  <si>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</si>
  <si>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</si>
  <si>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</si>
  <si>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</si>
  <si>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</si>
  <si>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</si>
  <si>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</si>
  <si>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</si>
  <si>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</si>
  <si>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</si>
  <si>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</si>
  <si>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</si>
  <si>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</si>
  <si>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</si>
  <si>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</si>
  <si>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</si>
  <si>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</si>
  <si>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</si>
  <si>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</si>
  <si>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</si>
  <si>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</si>
  <si>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</si>
  <si>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</si>
  <si>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</si>
  <si>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</si>
  <si>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</si>
  <si>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</si>
  <si>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</si>
  <si>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</si>
  <si>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</si>
  <si>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</si>
  <si>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</si>
  <si>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</si>
  <si>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</si>
  <si>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</si>
  <si>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</si>
  <si>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</si>
  <si>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</si>
  <si>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</si>
  <si>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</si>
  <si>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</si>
  <si>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</si>
  <si>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</si>
  <si>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</si>
  <si>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</si>
  <si>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</si>
  <si>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</si>
  <si>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</si>
  <si>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</si>
  <si>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</si>
  <si>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</si>
  <si>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</si>
  <si>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</si>
  <si>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</si>
  <si>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</si>
  <si>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</si>
  <si>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</si>
  <si>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</si>
  <si>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</si>
  <si>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</si>
  <si>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</si>
  <si>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</si>
  <si>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</si>
  <si>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</si>
  <si>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</si>
  <si>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</si>
  <si>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</si>
  <si>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</si>
  <si>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</si>
  <si>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</si>
  <si>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</si>
  <si>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</si>
  <si>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</si>
  <si>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</si>
  <si>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</si>
  <si>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</si>
  <si>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</si>
  <si>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</si>
  <si>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</si>
  <si>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</si>
  <si>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</si>
  <si>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</si>
  <si>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</si>
  <si>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</si>
  <si>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</si>
  <si>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</si>
  <si>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</si>
  <si>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</si>
  <si>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</si>
  <si>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</si>
  <si>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</si>
  <si>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</si>
  <si>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</si>
  <si>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</si>
  <si>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</si>
  <si>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</si>
  <si>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</si>
  <si>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</si>
  <si>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</si>
  <si>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</si>
  <si>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</si>
  <si>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</si>
  <si>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</si>
  <si>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</si>
  <si>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</si>
  <si>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</si>
  <si>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</si>
  <si>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</si>
  <si>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</si>
  <si>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</si>
  <si>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</si>
  <si>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</si>
  <si>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</si>
  <si>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</si>
  <si>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</si>
  <si>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</si>
  <si>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</si>
  <si>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</si>
  <si>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</si>
  <si>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</si>
  <si>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</si>
  <si>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</si>
  <si>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</si>
  <si>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</si>
  <si>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</si>
  <si>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</si>
  <si>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</si>
  <si>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</si>
  <si>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</si>
  <si>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</si>
  <si>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</si>
  <si>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</si>
  <si>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</si>
  <si>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</si>
  <si>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</si>
  <si>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</si>
  <si>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</si>
  <si>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</si>
  <si>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</si>
  <si>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</si>
  <si>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</si>
  <si>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</si>
  <si>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</si>
  <si>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</si>
  <si>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</si>
  <si>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</si>
  <si>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</si>
  <si>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</si>
  <si>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</si>
  <si>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</si>
  <si>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</si>
  <si>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</si>
  <si>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</si>
  <si>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</si>
  <si>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</si>
  <si>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</si>
  <si>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</si>
  <si>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</si>
  <si>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</si>
  <si>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</si>
  <si>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</si>
  <si>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</si>
  <si>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</si>
  <si>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</si>
  <si>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</si>
  <si>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</si>
  <si>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</si>
  <si>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</si>
  <si>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</si>
  <si>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</si>
  <si>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</si>
  <si>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</si>
  <si>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</si>
  <si>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</si>
  <si>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</si>
  <si>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</si>
  <si>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</si>
  <si>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</si>
  <si>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</si>
  <si>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</si>
  <si>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</si>
  <si>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</si>
  <si>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</si>
  <si>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</si>
  <si>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</si>
  <si>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</si>
  <si>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</si>
  <si>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</si>
  <si>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</si>
  <si>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</si>
  <si>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</si>
  <si>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</si>
  <si>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</si>
  <si>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</si>
  <si>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</si>
  <si>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</si>
  <si>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</si>
  <si>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</si>
  <si>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</si>
  <si>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</si>
  <si>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</si>
  <si>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</si>
  <si>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</si>
  <si>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</si>
  <si>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</si>
  <si>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</si>
  <si>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</si>
  <si>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</si>
  <si>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</si>
  <si>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</si>
  <si>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</si>
  <si>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</si>
  <si>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</si>
  <si>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</si>
  <si>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</si>
  <si>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</si>
  <si>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</si>
  <si>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</si>
  <si>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</si>
  <si>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</si>
  <si>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</si>
  <si>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</si>
  <si>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</si>
  <si>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</si>
  <si>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</si>
  <si>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</si>
  <si>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</si>
  <si>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</si>
  <si>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</si>
  <si>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</si>
  <si>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</si>
  <si>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</si>
  <si>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</si>
  <si>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</si>
  <si>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</si>
  <si>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</si>
  <si>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</si>
  <si>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</si>
  <si>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</si>
  <si>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</si>
  <si>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</si>
  <si>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</si>
  <si>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</si>
  <si>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</si>
  <si>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</si>
  <si>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</si>
  <si>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</si>
  <si>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</si>
  <si>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</si>
  <si>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</si>
  <si>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</si>
  <si>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</si>
  <si>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</si>
  <si>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</si>
  <si>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</si>
  <si>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</si>
  <si>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</si>
  <si>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</si>
  <si>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</si>
  <si>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</si>
  <si>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</si>
  <si>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</si>
  <si>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</si>
  <si>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</si>
  <si>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</si>
  <si>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</si>
  <si>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</si>
  <si>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</si>
  <si>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</si>
  <si>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</si>
  <si>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</si>
  <si>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</si>
  <si>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</si>
  <si>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</si>
  <si>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</si>
  <si>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</si>
  <si>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</si>
  <si>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</si>
  <si>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</si>
  <si>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</si>
  <si>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</si>
  <si>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</si>
  <si>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</si>
  <si>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</si>
  <si>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</si>
  <si>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</si>
  <si>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</si>
  <si>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</si>
  <si>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</si>
  <si>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</si>
  <si>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</si>
  <si>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</si>
  <si>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</si>
  <si>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</si>
  <si>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</si>
  <si>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</si>
  <si>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</si>
  <si>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</si>
  <si>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</si>
  <si>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</si>
  <si>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</si>
  <si>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</si>
  <si>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</si>
  <si>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</si>
  <si>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</si>
  <si>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</si>
  <si>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</si>
  <si>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</si>
  <si>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</si>
  <si>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</si>
  <si>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</si>
  <si>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</si>
  <si>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</si>
  <si>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</si>
  <si>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</si>
  <si>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</si>
  <si>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</si>
  <si>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</si>
  <si>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</si>
  <si>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</si>
  <si>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</si>
  <si>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</si>
  <si>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</si>
  <si>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</si>
  <si>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</si>
  <si>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</si>
  <si>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</si>
  <si>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</si>
  <si>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</si>
  <si>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</si>
  <si>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</si>
  <si>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</si>
  <si>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</si>
  <si>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</si>
  <si>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</si>
  <si>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</si>
  <si>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</si>
  <si>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</si>
  <si>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</si>
  <si>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</si>
  <si>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</si>
  <si>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</si>
  <si>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</si>
  <si>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</si>
  <si>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</si>
  <si>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</si>
  <si>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</si>
  <si>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</si>
  <si>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</si>
  <si>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</si>
  <si>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</si>
  <si>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</si>
  <si>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</si>
  <si>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</si>
  <si>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</si>
  <si>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</si>
  <si>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</si>
  <si>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</si>
  <si>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</si>
  <si>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</si>
  <si>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</si>
  <si>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</si>
  <si>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</si>
  <si>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</si>
  <si>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</si>
  <si>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</si>
  <si>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</si>
  <si>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</si>
  <si>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</si>
  <si>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</si>
  <si>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</si>
  <si>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</si>
  <si>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</si>
  <si>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</si>
  <si>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</si>
  <si>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</si>
  <si>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</si>
  <si>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</si>
  <si>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</si>
  <si>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</si>
  <si>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</si>
  <si>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</si>
  <si>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</si>
  <si>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</si>
  <si>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</si>
  <si>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</si>
  <si>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</si>
  <si>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</si>
  <si>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</si>
  <si>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</si>
  <si>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</si>
  <si>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</si>
  <si>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</si>
  <si>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</si>
  <si>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</si>
  <si>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</si>
  <si>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</si>
  <si>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</si>
  <si>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</si>
  <si>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</si>
  <si>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</si>
  <si>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</si>
  <si>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</si>
  <si>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</si>
  <si>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</si>
  <si>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</si>
  <si>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</si>
  <si>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</si>
  <si>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</si>
  <si>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</si>
  <si>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</si>
  <si>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</si>
  <si>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</si>
  <si>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</si>
  <si>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</si>
  <si>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</si>
  <si>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</si>
  <si>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</si>
  <si>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</si>
  <si>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</si>
  <si>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</si>
  <si>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</si>
  <si>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</si>
  <si>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</si>
  <si>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</si>
  <si>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</si>
  <si>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</si>
  <si>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</si>
  <si>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</si>
  <si>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</si>
  <si>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</si>
  <si>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</si>
  <si>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</si>
  <si>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</si>
  <si>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</si>
  <si>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</si>
  <si>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</si>
  <si>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</si>
  <si>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</si>
  <si>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</si>
  <si>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</si>
  <si>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</si>
  <si>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</si>
  <si>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</si>
  <si>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</si>
  <si>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</si>
  <si>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</si>
  <si>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</si>
  <si>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</si>
  <si>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</si>
  <si>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</si>
  <si>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</si>
  <si>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</si>
  <si>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</si>
  <si>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</si>
  <si>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</si>
  <si>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</si>
  <si>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</si>
  <si>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</si>
  <si>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</si>
  <si>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</si>
  <si>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</si>
  <si>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</si>
  <si>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</si>
  <si>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</si>
  <si>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</si>
  <si>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</si>
  <si>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</si>
  <si>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</si>
  <si>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</si>
  <si>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</si>
  <si>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</si>
  <si>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</si>
  <si>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</si>
  <si>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</si>
  <si>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</si>
  <si>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</si>
  <si>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</si>
  <si>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</si>
  <si>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</si>
  <si>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</si>
  <si>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</si>
  <si>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</si>
  <si>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</si>
  <si>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</si>
  <si>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</si>
  <si>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</si>
  <si>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</si>
  <si>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</si>
  <si>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</si>
  <si>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</si>
  <si>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</si>
  <si>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</si>
  <si>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</si>
  <si>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</si>
  <si>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</si>
  <si>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</si>
  <si>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</si>
  <si>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</si>
  <si>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</si>
  <si>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</si>
  <si>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</si>
  <si>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</si>
  <si>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</si>
  <si>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</si>
  <si>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</si>
  <si>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</si>
  <si>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</si>
  <si>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</si>
  <si>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</si>
  <si>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</si>
  <si>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</si>
  <si>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</si>
  <si>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</si>
  <si>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</si>
  <si>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</si>
  <si>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</si>
  <si>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</si>
  <si>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</si>
  <si>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</si>
  <si>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</si>
  <si>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</si>
  <si>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</si>
  <si>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</si>
  <si>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</si>
  <si>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</si>
  <si>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</si>
  <si>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</si>
  <si>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</si>
  <si>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</si>
  <si>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</si>
  <si>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</si>
  <si>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</si>
  <si>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</si>
  <si>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</si>
  <si>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</si>
  <si>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</si>
  <si>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</si>
  <si>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</si>
  <si>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</si>
  <si>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</si>
  <si>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</si>
  <si>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</si>
  <si>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</si>
  <si>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</si>
  <si>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</si>
  <si>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</si>
  <si>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</si>
  <si>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</si>
  <si>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</si>
  <si>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</si>
  <si>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</si>
  <si>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</si>
  <si>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</si>
  <si>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</si>
  <si>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</si>
  <si>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</si>
  <si>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</si>
  <si>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</si>
  <si>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</si>
  <si>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</si>
  <si>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</si>
  <si>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</si>
  <si>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</si>
  <si>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</si>
  <si>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</si>
  <si>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</si>
  <si>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</si>
  <si>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</si>
  <si>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</si>
  <si>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</si>
  <si>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</si>
  <si>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</si>
  <si>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</si>
  <si>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</si>
  <si>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</si>
  <si>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</si>
  <si>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</si>
  <si>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</si>
  <si>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</si>
  <si>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</si>
  <si>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</si>
  <si>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</si>
  <si>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</si>
  <si>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</si>
  <si>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</si>
  <si>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</si>
  <si>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</si>
  <si>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</si>
  <si>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</si>
  <si>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</si>
  <si>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</si>
  <si>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</si>
  <si>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</si>
  <si>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</si>
  <si>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</si>
  <si>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</si>
  <si>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</si>
  <si>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</si>
  <si>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</si>
  <si>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</si>
  <si>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</si>
  <si>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</si>
  <si>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</si>
  <si>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</si>
  <si>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</si>
  <si>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</si>
  <si>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</si>
  <si>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</si>
  <si>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</si>
  <si>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</si>
  <si>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</si>
  <si>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</si>
  <si>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</si>
  <si>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</si>
  <si>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</si>
  <si>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</si>
  <si>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</si>
  <si>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</si>
  <si>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</si>
  <si>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</si>
  <si>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</si>
  <si>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</si>
  <si>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</si>
  <si>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</si>
  <si>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</si>
  <si>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</si>
  <si>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</si>
  <si>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</si>
  <si>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</si>
  <si>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</si>
  <si>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</si>
  <si>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</si>
  <si>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</si>
  <si>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</si>
  <si>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</si>
  <si>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</si>
  <si>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</si>
  <si>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</si>
  <si>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</si>
  <si>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</si>
  <si>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</si>
  <si>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</si>
  <si>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</si>
  <si>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</si>
  <si>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</si>
  <si>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</si>
  <si>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</si>
  <si>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</si>
  <si>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</si>
  <si>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</si>
  <si>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</si>
  <si>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</si>
  <si>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</si>
  <si>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</si>
  <si>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</si>
  <si>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</si>
  <si>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</si>
  <si>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</si>
  <si>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</si>
  <si>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</si>
  <si>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</si>
  <si>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</si>
  <si>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</si>
  <si>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</si>
  <si>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</si>
  <si>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</si>
  <si>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</si>
  <si>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</si>
  <si>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</si>
  <si>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</si>
  <si>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</si>
  <si>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</si>
  <si>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</si>
  <si>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</si>
  <si>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</si>
  <si>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</si>
  <si>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</si>
  <si>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</si>
  <si>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</si>
  <si>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</si>
  <si>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</si>
  <si>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</si>
  <si>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</si>
  <si>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</si>
  <si>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</si>
  <si>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</si>
  <si>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</si>
  <si>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</si>
  <si>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</si>
  <si>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</si>
  <si>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</si>
  <si>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</si>
  <si>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</si>
  <si>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</si>
  <si>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</si>
  <si>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</si>
  <si>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</si>
  <si>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</si>
  <si>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</si>
  <si>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</si>
  <si>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</si>
  <si>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</si>
  <si>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</si>
  <si>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</si>
  <si>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</si>
  <si>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</si>
  <si>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</si>
  <si>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</si>
  <si>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</si>
  <si>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</si>
  <si>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</si>
  <si>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</si>
  <si>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</si>
  <si>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</si>
  <si>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</si>
  <si>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</si>
  <si>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</si>
  <si>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</si>
  <si>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</si>
  <si>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</si>
  <si>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</si>
  <si>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</si>
  <si>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</si>
  <si>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</si>
  <si>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</si>
  <si>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</si>
  <si>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</si>
  <si>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</si>
  <si>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</si>
  <si>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</si>
  <si>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</si>
  <si>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</si>
  <si>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</si>
  <si>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</si>
  <si>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</si>
  <si>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</si>
  <si>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</si>
  <si>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</si>
  <si>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</si>
  <si>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</si>
  <si>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</si>
  <si>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</si>
  <si>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</si>
  <si>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</si>
  <si>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</si>
  <si>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</si>
  <si>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</si>
  <si>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</si>
  <si>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</si>
  <si>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</si>
  <si>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</si>
  <si>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</si>
  <si>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</si>
  <si>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</si>
  <si>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</si>
  <si>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</si>
  <si>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</si>
  <si>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</si>
  <si>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</si>
  <si>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</si>
  <si>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</si>
  <si>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</si>
  <si>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</si>
  <si>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</si>
  <si>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</si>
  <si>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</si>
  <si>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</si>
  <si>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</si>
  <si>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</si>
  <si>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</si>
  <si>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</si>
  <si>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</si>
  <si>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</si>
  <si>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</si>
  <si>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</si>
  <si>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</si>
  <si>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</si>
  <si>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</si>
  <si>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</si>
  <si>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</si>
  <si>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</si>
  <si>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</si>
  <si>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</si>
  <si>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</si>
  <si>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</si>
  <si>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</si>
  <si>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</si>
  <si>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</si>
  <si>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</si>
  <si>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</si>
  <si>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</si>
  <si>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</si>
  <si>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</si>
  <si>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</si>
  <si>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</si>
  <si>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</si>
  <si>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</si>
  <si>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</si>
  <si>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</si>
  <si>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</si>
  <si>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</si>
  <si>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</si>
  <si>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</si>
  <si>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</si>
  <si>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</si>
  <si>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</si>
  <si>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</si>
  <si>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</si>
  <si>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</si>
  <si>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</si>
  <si>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</si>
  <si>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</si>
  <si>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</si>
  <si>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</si>
  <si>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</si>
  <si>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</si>
  <si>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</si>
  <si>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</si>
  <si>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</si>
  <si>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</si>
  <si>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</si>
  <si>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</si>
  <si>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</si>
  <si>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</si>
  <si>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</si>
  <si>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</si>
  <si>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</si>
  <si>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</si>
  <si>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</si>
  <si>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</si>
  <si>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</si>
  <si>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</si>
  <si>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</si>
  <si>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</si>
  <si>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</si>
  <si>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</si>
  <si>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</si>
  <si>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</si>
  <si>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</si>
  <si>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</si>
  <si>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</si>
  <si>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</si>
  <si>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</si>
  <si>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</si>
  <si>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</si>
  <si>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</si>
  <si>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</si>
  <si>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</si>
  <si>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</si>
  <si>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</si>
  <si>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</si>
  <si>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</si>
  <si>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</si>
  <si>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</si>
  <si>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</si>
  <si>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</si>
  <si>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</si>
  <si>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</si>
  <si>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</si>
  <si>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</si>
  <si>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</si>
  <si>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</si>
  <si>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</si>
  <si>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</si>
  <si>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</si>
  <si>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</si>
  <si>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</si>
  <si>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</si>
  <si>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</si>
  <si>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</si>
  <si>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</si>
  <si>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</si>
  <si>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</si>
  <si>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</si>
  <si>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</si>
  <si>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</si>
  <si>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</si>
  <si>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</si>
  <si>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</si>
  <si>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</si>
  <si>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</si>
  <si>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</si>
  <si>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</si>
  <si>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</si>
  <si>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</si>
  <si>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</si>
  <si>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</si>
  <si>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</si>
  <si>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</si>
  <si>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</si>
  <si>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</si>
  <si>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</si>
  <si>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</si>
  <si>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</si>
  <si>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</si>
  <si>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</si>
  <si>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</si>
  <si>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</si>
  <si>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</si>
  <si>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</si>
  <si>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</si>
  <si>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</si>
  <si>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</si>
  <si>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</si>
  <si>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</si>
  <si>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</si>
  <si>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</si>
  <si>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</si>
  <si>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</si>
  <si>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</si>
  <si>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</si>
  <si>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</si>
  <si>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</si>
  <si>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</si>
  <si>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</si>
  <si>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</si>
  <si>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</si>
  <si>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</si>
  <si>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</si>
  <si>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</si>
  <si>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</si>
  <si>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</si>
  <si>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</si>
  <si>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</si>
  <si>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</si>
  <si>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</si>
  <si>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</si>
  <si>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</si>
  <si>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</si>
  <si>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</si>
  <si>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</si>
  <si>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</si>
  <si>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</si>
  <si>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</si>
  <si>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</si>
  <si>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</si>
  <si>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</si>
  <si>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</si>
  <si>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</si>
  <si>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</si>
  <si>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</si>
  <si>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</si>
  <si>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</si>
  <si>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</si>
  <si>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</si>
  <si>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</si>
  <si>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</si>
  <si>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</si>
  <si>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</si>
  <si>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</si>
  <si>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</si>
  <si>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</si>
  <si>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</si>
  <si>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</si>
  <si>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</si>
  <si>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</si>
  <si>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</si>
  <si>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</si>
  <si>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</si>
  <si>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</si>
  <si>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</si>
  <si>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</si>
  <si>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</si>
  <si>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</si>
  <si>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</si>
  <si>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</si>
  <si>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</si>
  <si>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</si>
  <si>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</si>
  <si>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</si>
  <si>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</si>
  <si>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</si>
  <si>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</si>
  <si>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</si>
  <si>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</si>
  <si>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</si>
  <si>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</si>
  <si>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</si>
  <si>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</si>
  <si>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</si>
  <si>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</si>
  <si>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</si>
  <si>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</si>
  <si>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</si>
  <si>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</si>
  <si>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</si>
  <si>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</si>
  <si>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</si>
  <si>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</si>
  <si>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</si>
  <si>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</si>
  <si>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</si>
  <si>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</si>
  <si>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</si>
  <si>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</si>
  <si>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</si>
  <si>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</si>
  <si>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</si>
  <si>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</si>
  <si>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</si>
  <si>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</si>
  <si>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</si>
  <si>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</si>
  <si>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</si>
  <si>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</si>
  <si>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</si>
  <si>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</si>
  <si>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</si>
  <si>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</si>
  <si>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</si>
  <si>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</si>
  <si>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</si>
  <si>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</si>
  <si>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</si>
  <si>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</si>
  <si>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</si>
  <si>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</si>
  <si>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</si>
  <si>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</si>
  <si>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</si>
  <si>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</si>
  <si>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</si>
  <si>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</si>
  <si>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</si>
  <si>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</si>
  <si>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</si>
  <si>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</si>
  <si>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</si>
  <si>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</si>
  <si>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</si>
  <si>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</si>
  <si>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</si>
  <si>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</si>
  <si>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</si>
  <si>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</si>
  <si>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</si>
  <si>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</si>
  <si>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</si>
  <si>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</si>
  <si>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</si>
  <si>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</si>
  <si>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</si>
  <si>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</si>
  <si>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</si>
  <si>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</si>
  <si>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</si>
  <si>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</si>
  <si>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</si>
  <si>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</si>
  <si>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</si>
  <si>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</si>
  <si>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</si>
  <si>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</si>
  <si>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</si>
  <si>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</si>
  <si>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</si>
  <si>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</si>
  <si>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</si>
  <si>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</si>
  <si>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</si>
  <si>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</si>
  <si>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</si>
  <si>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</si>
  <si>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</si>
  <si>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</si>
  <si>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</si>
  <si>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</si>
  <si>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</si>
  <si>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</si>
  <si>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</si>
  <si>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</si>
  <si>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</si>
  <si>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</si>
  <si>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</si>
  <si>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</si>
  <si>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</si>
  <si>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</si>
  <si>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</si>
  <si>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</si>
  <si>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</si>
  <si>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</si>
  <si>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</si>
  <si>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</si>
  <si>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</si>
  <si>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</si>
  <si>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</si>
  <si>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</si>
  <si>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</si>
  <si>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</si>
  <si>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</si>
  <si>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</si>
  <si>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</si>
  <si>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</si>
  <si>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</si>
  <si>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</si>
  <si>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</si>
  <si>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</si>
  <si>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</si>
  <si>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</si>
  <si>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</si>
  <si>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</si>
  <si>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</si>
  <si>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</si>
  <si>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</si>
  <si>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</si>
  <si>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</si>
  <si>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</si>
  <si>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</si>
  <si>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</si>
  <si>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</si>
  <si>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</si>
  <si>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</si>
  <si>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</si>
  <si>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</si>
  <si>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</si>
  <si>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</si>
  <si>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</si>
  <si>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</si>
  <si>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</si>
  <si>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</si>
  <si>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</si>
  <si>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</si>
  <si>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</si>
  <si>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</si>
  <si>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</si>
  <si>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</si>
  <si>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</si>
  <si>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</si>
  <si>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</si>
  <si>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</si>
  <si>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</si>
  <si>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</si>
  <si>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</si>
  <si>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</si>
  <si>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</si>
  <si>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</si>
  <si>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</si>
  <si>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</si>
  <si>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</si>
  <si>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</si>
  <si>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</si>
  <si>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</si>
  <si>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</si>
  <si>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</si>
  <si>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</si>
  <si>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</si>
  <si>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</si>
  <si>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</si>
  <si>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</si>
  <si>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</si>
  <si>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</si>
  <si>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</si>
  <si>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</si>
  <si>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</si>
  <si>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</si>
  <si>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</si>
  <si>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</si>
  <si>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</si>
  <si>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</si>
  <si>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</si>
  <si>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</si>
  <si>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</si>
  <si>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</si>
  <si>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</si>
  <si>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</si>
  <si>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</si>
  <si>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</si>
  <si>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</si>
  <si>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</si>
  <si>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</si>
  <si>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</si>
  <si>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</si>
  <si>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</si>
  <si>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</si>
  <si>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</si>
  <si>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</si>
  <si>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</si>
  <si>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</si>
  <si>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</si>
  <si>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</si>
  <si>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</si>
  <si>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</si>
  <si>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</si>
  <si>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</si>
  <si>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</si>
  <si>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</si>
  <si>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</si>
  <si>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</si>
  <si>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</si>
  <si>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</si>
  <si>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</si>
  <si>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</si>
  <si>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</si>
  <si>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</si>
  <si>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</si>
  <si>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</si>
  <si>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</si>
  <si>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</si>
  <si>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</si>
  <si>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</si>
  <si>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</si>
  <si>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</si>
  <si>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</si>
  <si>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</si>
  <si>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</si>
  <si>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</si>
  <si>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</si>
  <si>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</si>
  <si>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</si>
  <si>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</si>
  <si>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</si>
  <si>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</si>
  <si>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</si>
  <si>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</si>
  <si>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</si>
  <si>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</si>
  <si>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</si>
  <si>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</si>
  <si>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</si>
  <si>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</si>
  <si>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</si>
  <si>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</si>
  <si>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</si>
  <si>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</si>
  <si>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</si>
  <si>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</si>
  <si>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</si>
  <si>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</si>
  <si>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</si>
  <si>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</si>
  <si>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</si>
  <si>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</si>
  <si>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</si>
  <si>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</si>
  <si>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</si>
  <si>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</si>
  <si>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</si>
  <si>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</si>
  <si>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</si>
  <si>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</si>
  <si>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</si>
  <si>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</si>
  <si>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</si>
  <si>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</si>
  <si>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</si>
  <si>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</si>
  <si>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</si>
  <si>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</si>
  <si>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</si>
  <si>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</si>
  <si>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</si>
  <si>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</si>
  <si>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</si>
  <si>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</si>
  <si>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</si>
  <si>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</si>
  <si>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</si>
  <si>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</si>
  <si>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</si>
  <si>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</si>
  <si>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</si>
  <si>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</si>
  <si>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</si>
  <si>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</si>
  <si>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</si>
  <si>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</si>
  <si>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</si>
  <si>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</si>
  <si>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</si>
  <si>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</si>
  <si>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</si>
  <si>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</si>
  <si>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</si>
  <si>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</si>
  <si>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</si>
  <si>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</si>
  <si>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</si>
  <si>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</si>
  <si>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</si>
  <si>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</si>
  <si>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</si>
  <si>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</si>
  <si>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</si>
  <si>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</si>
  <si>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</si>
  <si>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</si>
  <si>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</si>
  <si>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</si>
  <si>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</si>
  <si>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</si>
  <si>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</si>
  <si>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</si>
  <si>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</si>
  <si>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</si>
  <si>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</si>
  <si>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</si>
  <si>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</si>
  <si>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</si>
  <si>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</si>
  <si>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</si>
  <si>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</si>
  <si>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</si>
  <si>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</si>
  <si>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</si>
  <si>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</si>
  <si>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</si>
  <si>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</si>
  <si>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</si>
  <si>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Aðalréttur → Kartöflumús (Mjólkurlaust)</t>
  </si>
  <si>
    <t>Aðalréttur → ENGINN RÉTTUR HENTAR</t>
  </si>
  <si>
    <t>2026-07-29</t>
  </si>
  <si>
    <t>Aðalréttur → Grænmetisbuff, kartöflur, kokteilsósa</t>
  </si>
  <si>
    <t>2026-07-30</t>
  </si>
  <si>
    <t>2026-07-31</t>
  </si>
  <si>
    <t>Aðalréttur → Grænmetiskarrí réttur, hrísgrjón</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</si>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</sst>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0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0" t="s">
        <v>0</v>
      </c>
      <c r="B1" s="290"/>
      <c r="C1" s="290"/>
      <c r="D1" s="290"/>
      <c r="E1" s="290"/>
      <c r="F1" s="290"/>
      <c r="G1" s="290"/>
      <c r="H1" s="290"/>
      <c r="I1" s="290"/>
      <c r="J1" s="290"/>
      <c r="K1" s="290"/>
      <c r="L1" s="290"/>
      <c r="M1" s="290"/>
      <c r="N1" s="290"/>
      <c r="O1" s="290"/>
      <c r="P1" s="290"/>
      <c r="Q1" s="290"/>
      <c r="R1" s="290"/>
      <c r="S1" s="290"/>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1"/>
      <c r="I176" s="292"/>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XFD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3" t="s">
        <v>1444</v>
      </c>
      <c r="B1" s="293"/>
      <c r="C1" s="293"/>
      <c r="D1" s="293"/>
      <c r="E1" s="293"/>
      <c r="F1" s="293"/>
      <c r="G1" s="293"/>
      <c r="H1" s="293"/>
      <c r="I1" s="293"/>
      <c r="J1" s="293"/>
      <c r="K1" s="293"/>
      <c r="L1" s="293"/>
      <c r="M1" s="293"/>
      <c r="N1" s="293"/>
      <c r="O1" s="293"/>
      <c r="P1" s="293"/>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70"/>
  <sheetViews>
    <sheetView tabSelected="1" zoomScaleNormal="100" workbookViewId="0">
      <pane xSplit="1" ySplit="2" topLeftCell="B9" activePane="bottomRight" state="frozen"/>
      <selection pane="bottomRight" activeCell="A30" sqref="A30:XFD30"/>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3" t="s">
        <v>1823</v>
      </c>
      <c r="B1" s="293"/>
      <c r="C1" s="293"/>
      <c r="D1" s="293"/>
      <c r="E1" s="293"/>
      <c r="F1" s="293"/>
      <c r="G1" s="293"/>
      <c r="H1" s="293"/>
      <c r="I1" s="293"/>
      <c r="J1" s="293"/>
      <c r="K1" s="293"/>
      <c r="L1" s="293"/>
      <c r="M1" s="293"/>
      <c r="N1" s="293"/>
      <c r="O1" s="293"/>
      <c r="P1" s="293"/>
      <c r="Q1" s="293"/>
      <c r="R1" s="293"/>
      <c r="S1" s="293"/>
      <c r="T1" s="294" t="s">
        <v>1453</v>
      </c>
      <c r="U1" s="294"/>
      <c r="V1" s="294"/>
      <c r="W1" s="294"/>
      <c r="X1" s="294"/>
      <c r="Y1" s="294"/>
      <c r="Z1" s="294"/>
      <c r="AA1" s="294"/>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c r="A5" s="31"/>
      <c r="B5" s="32" t="s">
        <v>1851</v>
      </c>
      <c r="C5" s="32">
        <v>31</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1861</v>
      </c>
    </row>
    <row r="6" spans="1:29">
      <c r="A6" s="31"/>
      <c r="B6" s="32" t="s">
        <v>1851</v>
      </c>
      <c r="C6" s="32">
        <v>31</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1862</v>
      </c>
    </row>
    <row r="7" spans="1:29" ht="36">
      <c r="A7" s="31"/>
      <c r="B7" s="32" t="s">
        <v>1851</v>
      </c>
      <c r="C7" s="32">
        <v>31</v>
      </c>
      <c r="D7" s="33" t="s">
        <v>1850</v>
      </c>
      <c r="E7" s="33" t="s">
        <v>946</v>
      </c>
      <c r="F7" s="33" t="s">
        <v>1255</v>
      </c>
      <c r="G7" s="33" t="s">
        <v>1863</v>
      </c>
      <c r="H7" s="34">
        <v>200</v>
      </c>
      <c r="I7" s="34"/>
      <c r="J7" s="149" t="str">
        <f>IF($F7="","",IFERROR(IFERROR(INDEX(Réttabanki!$U:$U,MATCH($F7,Réttabanki!$A:$A,0)),INDEX(Vöruskrá!$R:$R,MATCH($F7,Vöruskrá!$B:$B,0)))*($H7+IF($I7="",$H7*(1+#REF!),$I7))/2/1000,""))</f>
        <v/>
      </c>
      <c r="K7" s="21" t="s">
        <v>1257</v>
      </c>
      <c r="L7" s="21" t="s">
        <v>115</v>
      </c>
      <c r="M7" s="21"/>
      <c r="N7" s="22">
        <v>89</v>
      </c>
      <c r="O7" s="22">
        <v>2.1</v>
      </c>
      <c r="P7" s="22">
        <v>0.2</v>
      </c>
      <c r="Q7" s="22">
        <v>16</v>
      </c>
      <c r="R7" s="22"/>
      <c r="S7" s="22"/>
      <c r="T7" s="66"/>
      <c r="U7" s="284" t="s">
        <v>1858</v>
      </c>
      <c r="V7" s="284" t="s">
        <v>1859</v>
      </c>
      <c r="W7" s="284"/>
      <c r="X7" s="284"/>
      <c r="Y7" s="284"/>
      <c r="Z7" s="284"/>
      <c r="AA7" s="284"/>
      <c r="AC7" t="s">
        <v>1864</v>
      </c>
    </row>
    <row r="8" spans="1:29" ht="24">
      <c r="A8" s="31"/>
      <c r="B8" s="32" t="s">
        <v>1851</v>
      </c>
      <c r="C8" s="32">
        <v>31</v>
      </c>
      <c r="D8" s="33" t="s">
        <v>1850</v>
      </c>
      <c r="E8" s="33" t="s">
        <v>946</v>
      </c>
      <c r="F8" s="33" t="s">
        <v>1396</v>
      </c>
      <c r="G8" s="33" t="s">
        <v>1865</v>
      </c>
      <c r="H8" s="34">
        <v>200</v>
      </c>
      <c r="I8" s="34"/>
      <c r="J8" s="149" t="str">
        <f>IF($F8="","",IFERROR(IFERROR(INDEX(Réttabanki!$U:$U,MATCH($F8,Réttabanki!$A:$A,0)),INDEX(Vöruskrá!$R:$R,MATCH($F8,Vöruskrá!$B:$B,0)))*($H8+IF($I8="",$H8*(1+#REF!),$I8))/2/1000,""))</f>
        <v/>
      </c>
      <c r="K8" s="21" t="s">
        <v>1397</v>
      </c>
      <c r="L8" s="21"/>
      <c r="M8" s="21"/>
      <c r="N8" s="22">
        <v>165</v>
      </c>
      <c r="O8" s="22">
        <v>14</v>
      </c>
      <c r="P8" s="22">
        <v>12</v>
      </c>
      <c r="Q8" s="22">
        <v>24</v>
      </c>
      <c r="R8" s="22">
        <v>1</v>
      </c>
      <c r="S8" s="22">
        <v>0</v>
      </c>
      <c r="T8" s="66"/>
      <c r="U8" s="286" t="s">
        <v>1858</v>
      </c>
      <c r="V8" s="286" t="s">
        <v>1859</v>
      </c>
      <c r="W8" s="286"/>
      <c r="X8" s="286"/>
      <c r="Y8" s="286"/>
      <c r="Z8" s="286"/>
      <c r="AA8" s="286"/>
      <c r="AC8" t="s">
        <v>1866</v>
      </c>
    </row>
    <row r="9" spans="1:29" ht="84">
      <c r="A9" s="31"/>
      <c r="B9" s="32" t="s">
        <v>1851</v>
      </c>
      <c r="C9" s="32">
        <v>31</v>
      </c>
      <c r="D9" s="33" t="s">
        <v>1850</v>
      </c>
      <c r="E9" s="33" t="s">
        <v>1867</v>
      </c>
      <c r="F9" s="33"/>
      <c r="G9" s="33" t="s">
        <v>1868</v>
      </c>
      <c r="H9" s="34"/>
      <c r="I9" s="34"/>
      <c r="J9" s="149"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1870</v>
      </c>
    </row>
    <row r="10" spans="1:29" ht="36">
      <c r="A10" s="31"/>
      <c r="B10" s="32" t="s">
        <v>1851</v>
      </c>
      <c r="C10" s="32">
        <v>31</v>
      </c>
      <c r="D10" s="33" t="s">
        <v>1850</v>
      </c>
      <c r="E10" s="33" t="s">
        <v>1867</v>
      </c>
      <c r="F10" s="33" t="s">
        <v>1255</v>
      </c>
      <c r="G10" s="33" t="s">
        <v>1871</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1872</v>
      </c>
    </row>
    <row r="11" spans="1:29">
      <c r="A11" s="31"/>
      <c r="B11" s="32" t="s">
        <v>1851</v>
      </c>
      <c r="C11" s="32">
        <v>31</v>
      </c>
      <c r="D11" s="33" t="s">
        <v>1850</v>
      </c>
      <c r="E11" s="33" t="s">
        <v>1867</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1873</v>
      </c>
    </row>
    <row r="12" spans="1:29">
      <c r="A12" s="31"/>
      <c r="B12" s="32" t="s">
        <v>1851</v>
      </c>
      <c r="C12" s="32">
        <v>31</v>
      </c>
      <c r="D12" s="33" t="s">
        <v>1850</v>
      </c>
      <c r="E12" s="33" t="s">
        <v>1867</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1874</v>
      </c>
    </row>
    <row r="13" spans="1:29" ht="36">
      <c r="A13" s="31"/>
      <c r="B13" s="32" t="s">
        <v>1851</v>
      </c>
      <c r="C13" s="32">
        <v>31</v>
      </c>
      <c r="D13" s="33" t="s">
        <v>1850</v>
      </c>
      <c r="E13" s="33" t="s">
        <v>946</v>
      </c>
      <c r="F13" s="33" t="s">
        <v>1255</v>
      </c>
      <c r="G13" s="33" t="s">
        <v>1863</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1875</v>
      </c>
    </row>
    <row r="14" spans="1:29" ht="24">
      <c r="A14" s="31"/>
      <c r="B14" s="32" t="s">
        <v>1851</v>
      </c>
      <c r="C14" s="32">
        <v>31</v>
      </c>
      <c r="D14" s="33" t="s">
        <v>1850</v>
      </c>
      <c r="E14" s="33" t="s">
        <v>946</v>
      </c>
      <c r="F14" s="33" t="s">
        <v>1396</v>
      </c>
      <c r="G14" s="33" t="s">
        <v>1865</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1876</v>
      </c>
    </row>
    <row r="15" spans="1:29" ht="24">
      <c r="A15" s="31"/>
      <c r="B15" s="32" t="s">
        <v>1851</v>
      </c>
      <c r="C15" s="32">
        <v>31</v>
      </c>
      <c r="D15" s="33" t="s">
        <v>1850</v>
      </c>
      <c r="E15" s="33" t="s">
        <v>1877</v>
      </c>
      <c r="F15" s="33"/>
      <c r="G15" s="33" t="s">
        <v>1878</v>
      </c>
      <c r="H15" s="34"/>
      <c r="I15" s="34"/>
      <c r="J15" s="149"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1881</v>
      </c>
    </row>
    <row r="16" spans="1:29" ht="24">
      <c r="A16" s="31"/>
      <c r="B16" s="32" t="s">
        <v>1851</v>
      </c>
      <c r="C16" s="32">
        <v>31</v>
      </c>
      <c r="D16" s="33" t="s">
        <v>1850</v>
      </c>
      <c r="E16" s="33" t="s">
        <v>1877</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1882</v>
      </c>
    </row>
    <row r="17" spans="1:29">
      <c r="A17" s="31"/>
      <c r="B17" s="32" t="s">
        <v>1851</v>
      </c>
      <c r="C17" s="32">
        <v>31</v>
      </c>
      <c r="D17" s="33" t="s">
        <v>1850</v>
      </c>
      <c r="E17" s="33" t="s">
        <v>1877</v>
      </c>
      <c r="F17" s="33" t="s">
        <v>557</v>
      </c>
      <c r="G17" s="33" t="s">
        <v>1883</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1884</v>
      </c>
    </row>
    <row r="18" spans="1:29" ht="36">
      <c r="A18" s="31"/>
      <c r="B18" s="32" t="s">
        <v>1851</v>
      </c>
      <c r="C18" s="32">
        <v>31</v>
      </c>
      <c r="D18" s="33" t="s">
        <v>1850</v>
      </c>
      <c r="E18" s="33" t="s">
        <v>1885</v>
      </c>
      <c r="F18" s="33"/>
      <c r="G18" s="33" t="s">
        <v>1886</v>
      </c>
      <c r="H18" s="34"/>
      <c r="I18" s="34"/>
      <c r="J18" s="149" t="str">
        <f>IF($F18="","",IFERROR(IFERROR(INDEX(Réttabanki!$U:$U,MATCH($F18,Réttabanki!$A:$A,0)),INDEX(Vöruskrá!$R:$R,MATCH($F18,Vöruskrá!$B:$B,0)))*($H18+IF($I18="",$H18*(1+#REF!),$I18))/2/1000,""))</f>
        <v/>
      </c>
      <c r="K18" s="21" t="s">
        <v>1887</v>
      </c>
      <c r="L18" s="21" t="s">
        <v>1888</v>
      </c>
      <c r="M18" s="21" t="str">
        <f>IF($F18="","",IFERROR(IFERROR(INDEX(Réttabanki!$F:$F,MATCH($F18,Réttabanki!$A:$A,0)),INDEX(Vöruskrá!$H:$H,MATCH($F18,Vöruskrá!$B:$B,0))),""))</f>
        <v/>
      </c>
      <c r="N18" s="22" t="str">
        <f>IF($F18="","",IFERROR(IFERROR(INDEX(Réttabanki!$G:$G,MATCH($F18,Réttabanki!$A:$A,0)),INDEX(Vöruskrá!$J:$J,MATCH($F18,Vöruskrá!$B:$B,0)))*($H18+IF($I18="",$H18*(1+#REF!),$I18))/2/100,""))</f>
        <v/>
      </c>
      <c r="O18" s="22" t="str">
        <f>IF($F18="","",IFERROR(IFERROR(INDEX(Réttabanki!$H:$H,MATCH($F18,Réttabanki!$A:$A,0)),INDEX(Vöruskrá!$K:$K,MATCH($F18,Vöruskrá!$B:$B,0)))*($H18+IF($I18="",$H18*(1+#REF!),$I18))/2/100,""))</f>
        <v/>
      </c>
      <c r="P18" s="22" t="str">
        <f>IF($F18="","",IFERROR(IFERROR(INDEX(Réttabanki!$I:$I,MATCH($F18,Réttabanki!$A:$A,0)),INDEX(Vöruskrá!$L:$L,MATCH($F18,Vöruskrá!$B:$B,0)))*($H18+IF($I18="",$H18*(1+#REF!),$I18))/2/100,""))</f>
        <v/>
      </c>
      <c r="Q18" s="22" t="str">
        <f>IF($F18="","",IFERROR(IFERROR(INDEX(Réttabanki!$J:$J,MATCH($F18,Réttabanki!$A:$A,0)),INDEX(Vöruskrá!$M:$M,MATCH($F18,Vöruskrá!$B:$B,0)))*($H18+IF($I18="",$H18*(1+#REF!),$I18))/2/100,""))</f>
        <v/>
      </c>
      <c r="R18" s="22" t="str">
        <f>IF($F18="","",IFERROR(IFERROR(INDEX(Réttabanki!$L:$L,MATCH($F18,Réttabanki!$A:$A,0)),INDEX(Vöruskrá!$O:$O,MATCH($F18,Vöruskrá!$B:$B,0)))*($H18+IF($I18="",$H18*(1+#REF!),$I18))/2/100,""))</f>
        <v/>
      </c>
      <c r="S18" s="22" t="str">
        <f>IF($F18="","",IFERROR(IFERROR(INDEX(Réttabanki!$M:$M,MATCH($F18,Réttabanki!$A:$A,0)),INDEX(Vöruskrá!$P:$P,MATCH($F18,Vöruskrá!$B:$B,0)))*($H18+IF($I18="",$H18*(1+#REF!),$I18))/2/100,""))</f>
        <v/>
      </c>
      <c r="T18" s="65"/>
      <c r="U18" s="286"/>
      <c r="V18" s="286"/>
      <c r="W18" s="286"/>
      <c r="X18" s="286"/>
      <c r="Y18" s="286"/>
      <c r="Z18" s="286"/>
      <c r="AA18" s="286"/>
      <c r="AC18" t="s">
        <v>1889</v>
      </c>
    </row>
    <row r="19" spans="1:29">
      <c r="A19" s="31"/>
      <c r="B19" s="32" t="s">
        <v>1851</v>
      </c>
      <c r="C19" s="32">
        <v>31</v>
      </c>
      <c r="D19" s="33" t="s">
        <v>1850</v>
      </c>
      <c r="E19" s="33" t="s">
        <v>1885</v>
      </c>
      <c r="F19" s="33" t="s">
        <v>1093</v>
      </c>
      <c r="G19" s="33" t="s">
        <v>1093</v>
      </c>
      <c r="H19" s="34">
        <v>40</v>
      </c>
      <c r="I19" s="34"/>
      <c r="J19" s="149" t="str">
        <f>IF($F19="","",IFERROR(IFERROR(INDEX(Réttabanki!$U:$U,MATCH($F19,Réttabanki!$A:$A,0)),INDEX(Vöruskrá!$R:$R,MATCH($F19,Vöruskrá!$B:$B,0)))*($H19+IF($I19="",$H19*(1+#REF!),$I19))/2/1000,""))</f>
        <v/>
      </c>
      <c r="K19" s="21" t="s">
        <v>1095</v>
      </c>
      <c r="L19" s="21" t="s">
        <v>30</v>
      </c>
      <c r="M19" s="21"/>
      <c r="N19" s="22">
        <v>439</v>
      </c>
      <c r="O19" s="22">
        <v>13.6</v>
      </c>
      <c r="P19" s="22">
        <v>6.3</v>
      </c>
      <c r="Q19" s="22">
        <v>67.7</v>
      </c>
      <c r="R19" s="22">
        <v>10</v>
      </c>
      <c r="S19" s="22">
        <v>1.3</v>
      </c>
      <c r="T19" s="65"/>
      <c r="U19" s="284" t="s">
        <v>1890</v>
      </c>
      <c r="V19" s="284" t="s">
        <v>1859</v>
      </c>
      <c r="W19" s="284"/>
      <c r="X19" s="284"/>
      <c r="Y19" s="284"/>
      <c r="Z19" s="284"/>
      <c r="AA19" s="284"/>
      <c r="AC19" t="s">
        <v>1891</v>
      </c>
    </row>
    <row r="20" spans="1:29" ht="24">
      <c r="A20" s="31"/>
      <c r="B20" s="32" t="s">
        <v>1851</v>
      </c>
      <c r="C20" s="32">
        <v>31</v>
      </c>
      <c r="D20" s="33" t="s">
        <v>1850</v>
      </c>
      <c r="E20" s="33" t="s">
        <v>1885</v>
      </c>
      <c r="F20" s="33" t="s">
        <v>124</v>
      </c>
      <c r="G20" s="33" t="s">
        <v>1892</v>
      </c>
      <c r="H20" s="34">
        <v>20</v>
      </c>
      <c r="I20" s="34"/>
      <c r="J20" s="149" t="str">
        <f>IF($F20="","",IFERROR(IFERROR(INDEX(Réttabanki!$U:$U,MATCH($F20,Réttabanki!$A:$A,0)),INDEX(Vöruskrá!$R:$R,MATCH($F20,Vöruskrá!$B:$B,0)))*($H20+IF($I20="",$H20*(1+#REF!),$I20))/2/1000,""))</f>
        <v/>
      </c>
      <c r="K20" s="21" t="s">
        <v>127</v>
      </c>
      <c r="L20" s="21" t="s">
        <v>128</v>
      </c>
      <c r="M20" s="21"/>
      <c r="N20" s="22">
        <v>122</v>
      </c>
      <c r="O20" s="22">
        <v>5.9</v>
      </c>
      <c r="P20" s="22">
        <v>2.4</v>
      </c>
      <c r="Q20" s="22">
        <v>3.6</v>
      </c>
      <c r="R20" s="22">
        <v>13.4</v>
      </c>
      <c r="S20" s="22">
        <v>2.7</v>
      </c>
      <c r="T20" s="65"/>
      <c r="U20" s="286" t="s">
        <v>1858</v>
      </c>
      <c r="V20" s="286" t="s">
        <v>1859</v>
      </c>
      <c r="W20" s="286"/>
      <c r="X20" s="286"/>
      <c r="Y20" s="286"/>
      <c r="Z20" s="286"/>
      <c r="AA20" s="286"/>
      <c r="AC20" t="s">
        <v>1893</v>
      </c>
    </row>
    <row r="21" spans="1:29">
      <c r="A21" s="155"/>
      <c r="B21" s="156" t="s">
        <v>1851</v>
      </c>
      <c r="C21" s="156">
        <v>31</v>
      </c>
      <c r="D21" s="157"/>
      <c r="E21" s="157"/>
      <c r="F21" s="157" t="s">
        <v>1894</v>
      </c>
      <c r="G21" s="157"/>
      <c r="H21" s="158"/>
      <c r="I21" s="158"/>
      <c r="J21" s="159">
        <f>SUMIFS(J3:J20,E3:E20,"&lt;&gt;Hliðarréttur",E3:E20,"&lt;&gt;Sérfæði")</f>
        <v>0</v>
      </c>
      <c r="K21" s="21" t="s">
        <v>1895</v>
      </c>
      <c r="L21" s="21"/>
      <c r="M21" s="21"/>
      <c r="N21" s="22"/>
      <c r="O21" s="22"/>
      <c r="P21" s="22"/>
      <c r="Q21" s="22"/>
      <c r="R21" s="22"/>
      <c r="S21" s="22"/>
      <c r="T21" s="65"/>
      <c r="U21" s="284"/>
      <c r="V21" s="284"/>
      <c r="W21" s="284"/>
      <c r="X21" s="284"/>
      <c r="Y21" s="284"/>
      <c r="Z21" s="284"/>
      <c r="AA21" s="284"/>
      <c r="AC21" t="s">
        <v>1896</v>
      </c>
    </row>
    <row r="22" spans="1:29">
      <c r="A22" s="155"/>
      <c r="B22" s="156" t="s">
        <v>1851</v>
      </c>
      <c r="C22" s="156">
        <v>31</v>
      </c>
      <c r="D22" s="157"/>
      <c r="E22" s="157"/>
      <c r="F22" s="157" t="s">
        <v>1897</v>
      </c>
      <c r="G22" s="157"/>
      <c r="H22" s="158"/>
      <c r="I22" s="158"/>
      <c r="J22" s="159">
        <f>SUMIFS(J3:J20,E3:E20,"&lt;&gt;Hliðarréttur",E3:E20,"&lt;&gt;Sérfæði")</f>
        <v>0</v>
      </c>
      <c r="K22" s="21" t="s">
        <v>1895</v>
      </c>
      <c r="L22" s="21"/>
      <c r="M22" s="21"/>
      <c r="N22" s="22"/>
      <c r="O22" s="22"/>
      <c r="P22" s="22"/>
      <c r="Q22" s="22"/>
      <c r="R22" s="22"/>
      <c r="S22" s="22"/>
      <c r="T22" s="65"/>
      <c r="U22" s="286"/>
      <c r="V22" s="286"/>
      <c r="W22" s="286"/>
      <c r="X22" s="286"/>
      <c r="Y22" s="286"/>
      <c r="Z22" s="286"/>
      <c r="AA22" s="286"/>
      <c r="AC22" t="s">
        <v>1898</v>
      </c>
    </row>
    <row r="23" spans="1:29" ht="48">
      <c r="A23" s="31">
        <v>46231</v>
      </c>
      <c r="B23" s="32" t="s">
        <v>1899</v>
      </c>
      <c r="C23" s="32">
        <v>31</v>
      </c>
      <c r="D23" s="33" t="s">
        <v>1850</v>
      </c>
      <c r="E23" s="33" t="s">
        <v>1852</v>
      </c>
      <c r="F23" s="33"/>
      <c r="G23" s="33" t="s">
        <v>1900</v>
      </c>
      <c r="H23" s="34"/>
      <c r="I23" s="34"/>
      <c r="J23" s="149" t="str">
        <f>IF($F23="","",IFERROR(IFERROR(INDEX(Réttabanki!$U:$U,MATCH($F23,Réttabanki!$A:$A,0)),INDEX(Vöruskrá!$R:$R,MATCH($F23,Vöruskrá!$B:$B,0)))*($H23+IF($I23="",$H23*(1+#REF!),$I23))/2/1000,""))</f>
        <v/>
      </c>
      <c r="K23" s="21" t="s">
        <v>1901</v>
      </c>
      <c r="L23" s="21" t="s">
        <v>108</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6" t="str">
        <f>IF(F23="","",IFERROR(INDEX(Réttabanki!Q:Q,MATCH(F23,Réttabanki!A:A,0)),IFERROR(INDEX(Réttabanki!Q:Q,MATCH(F23,Réttabanki!B:B,0)),"")))</f>
        <v/>
      </c>
      <c r="U23" s="284"/>
      <c r="V23" s="284"/>
      <c r="W23" s="284"/>
      <c r="X23" s="284"/>
      <c r="Y23" s="284"/>
      <c r="Z23" s="284"/>
      <c r="AA23" s="284"/>
      <c r="AC23" t="s">
        <v>1902</v>
      </c>
    </row>
    <row r="24" spans="1:29" ht="24">
      <c r="A24" s="31"/>
      <c r="B24" s="32" t="s">
        <v>1899</v>
      </c>
      <c r="C24" s="32">
        <v>31</v>
      </c>
      <c r="D24" s="33" t="s">
        <v>1850</v>
      </c>
      <c r="E24" s="33" t="s">
        <v>1852</v>
      </c>
      <c r="F24" s="33" t="s">
        <v>592</v>
      </c>
      <c r="G24" s="33" t="s">
        <v>1903</v>
      </c>
      <c r="H24" s="34">
        <v>160</v>
      </c>
      <c r="I24" s="34"/>
      <c r="J24" s="149" t="str">
        <f>IF($F24="","",IFERROR(IFERROR(INDEX(Réttabanki!$U:$U,MATCH($F24,Réttabanki!$A:$A,0)),INDEX(Vöruskrá!$R:$R,MATCH($F24,Vöruskrá!$B:$B,0)))*($H24+IF($I24="",$H24*(1+#REF!),$I24))/2/1000,""))</f>
        <v/>
      </c>
      <c r="K24" s="21" t="s">
        <v>593</v>
      </c>
      <c r="L24" s="21"/>
      <c r="M24" s="21"/>
      <c r="N24" s="22">
        <v>110</v>
      </c>
      <c r="O24" s="22">
        <v>12</v>
      </c>
      <c r="P24" s="22">
        <v>6</v>
      </c>
      <c r="Q24" s="22">
        <v>12</v>
      </c>
      <c r="R24" s="22">
        <v>12</v>
      </c>
      <c r="S24" s="22">
        <v>1.6</v>
      </c>
      <c r="T24" s="65">
        <v>1</v>
      </c>
      <c r="U24" s="286" t="s">
        <v>1858</v>
      </c>
      <c r="V24" s="286" t="s">
        <v>1904</v>
      </c>
      <c r="W24" s="286" t="s">
        <v>1905</v>
      </c>
      <c r="X24" s="286" t="s">
        <v>1906</v>
      </c>
      <c r="Y24" s="286" t="s">
        <v>1907</v>
      </c>
      <c r="Z24" s="286"/>
      <c r="AA24" s="286"/>
    </row>
    <row r="25" spans="1:29" ht="60">
      <c r="A25" s="31"/>
      <c r="B25" s="32" t="s">
        <v>1899</v>
      </c>
      <c r="C25" s="32">
        <v>31</v>
      </c>
      <c r="D25" s="33" t="s">
        <v>1850</v>
      </c>
      <c r="E25" s="33" t="s">
        <v>1867</v>
      </c>
      <c r="F25" s="33"/>
      <c r="G25" s="33" t="s">
        <v>1908</v>
      </c>
      <c r="H25" s="34"/>
      <c r="I25" s="34"/>
      <c r="J25" s="149" t="str">
        <f>IF($F25="","",IFERROR(IFERROR(INDEX(Réttabanki!$U:$U,MATCH($F25,Réttabanki!$A:$A,0)),INDEX(Vöruskrá!$R:$R,MATCH($F25,Vöruskrá!$B:$B,0)))*($H25+IF($I25="",$H25*(1+#REF!),$I25))/2/1000,""))</f>
        <v/>
      </c>
      <c r="K25" s="21" t="s">
        <v>1909</v>
      </c>
      <c r="L25" s="21" t="s">
        <v>469</v>
      </c>
      <c r="M25" s="21" t="str">
        <f>IF($F25="","",IFERROR(IFERROR(INDEX(Réttabanki!$F:$F,MATCH($F25,Réttabanki!$A:$A,0)),INDEX(Vöruskrá!$H:$H,MATCH($F25,Vöruskrá!$B:$B,0))),""))</f>
        <v/>
      </c>
      <c r="N25" s="22" t="str">
        <f>IF($F25="","",IFERROR(IFERROR(INDEX(Réttabanki!$G:$G,MATCH($F25,Réttabanki!$A:$A,0)),INDEX(Vöruskrá!$J:$J,MATCH($F25,Vöruskrá!$B:$B,0)))*($H25+IF($I25="",$H25*(1+#REF!),$I25))/2/100,""))</f>
        <v/>
      </c>
      <c r="O25" s="22" t="str">
        <f>IF($F25="","",IFERROR(IFERROR(INDEX(Réttabanki!$H:$H,MATCH($F25,Réttabanki!$A:$A,0)),INDEX(Vöruskrá!$K:$K,MATCH($F25,Vöruskrá!$B:$B,0)))*($H25+IF($I25="",$H25*(1+#REF!),$I25))/2/100,""))</f>
        <v/>
      </c>
      <c r="P25" s="22" t="str">
        <f>IF($F25="","",IFERROR(IFERROR(INDEX(Réttabanki!$I:$I,MATCH($F25,Réttabanki!$A:$A,0)),INDEX(Vöruskrá!$L:$L,MATCH($F25,Vöruskrá!$B:$B,0)))*($H25+IF($I25="",$H25*(1+#REF!),$I25))/2/100,""))</f>
        <v/>
      </c>
      <c r="Q25" s="22" t="str">
        <f>IF($F25="","",IFERROR(IFERROR(INDEX(Réttabanki!$J:$J,MATCH($F25,Réttabanki!$A:$A,0)),INDEX(Vöruskrá!$M:$M,MATCH($F25,Vöruskrá!$B:$B,0)))*($H25+IF($I25="",$H25*(1+#REF!),$I25))/2/100,""))</f>
        <v/>
      </c>
      <c r="R25" s="22" t="str">
        <f>IF($F25="","",IFERROR(IFERROR(INDEX(Réttabanki!$L:$L,MATCH($F25,Réttabanki!$A:$A,0)),INDEX(Vöruskrá!$O:$O,MATCH($F25,Vöruskrá!$B:$B,0)))*($H25+IF($I25="",$H25*(1+#REF!),$I25))/2/100,""))</f>
        <v/>
      </c>
      <c r="S25" s="22" t="str">
        <f>IF($F25="","",IFERROR(IFERROR(INDEX(Réttabanki!$M:$M,MATCH($F25,Réttabanki!$A:$A,0)),INDEX(Vöruskrá!$P:$P,MATCH($F25,Vöruskrá!$B:$B,0)))*($H25+IF($I25="",$H25*(1+#REF!),$I25))/2/100,""))</f>
        <v/>
      </c>
      <c r="T25" s="66" t="str">
        <f>IF(F25="","",IFERROR(INDEX(Réttabanki!Q:Q,MATCH(F25,Réttabanki!A:A,0)),IFERROR(INDEX(Réttabanki!Q:Q,MATCH(F25,Réttabanki!B:B,0)),"")))</f>
        <v/>
      </c>
      <c r="U25" s="286"/>
      <c r="V25" s="286"/>
      <c r="W25" s="286"/>
      <c r="X25" s="286"/>
      <c r="Y25" s="286"/>
      <c r="Z25" s="286"/>
      <c r="AA25" s="286"/>
    </row>
    <row r="26" spans="1:29" ht="36">
      <c r="A26" s="31"/>
      <c r="B26" s="32" t="s">
        <v>1899</v>
      </c>
      <c r="C26" s="32">
        <v>31</v>
      </c>
      <c r="D26" s="33" t="s">
        <v>1850</v>
      </c>
      <c r="E26" s="33" t="s">
        <v>1867</v>
      </c>
      <c r="F26" s="33" t="s">
        <v>819</v>
      </c>
      <c r="G26" s="33" t="s">
        <v>497</v>
      </c>
      <c r="H26" s="34">
        <v>160</v>
      </c>
      <c r="I26" s="34"/>
      <c r="J26" s="149" t="str">
        <f>IF($F26="","",IFERROR(IFERROR(INDEX(Réttabanki!$U:$U,MATCH($F26,Réttabanki!$A:$A,0)),INDEX(Vöruskrá!$R:$R,MATCH($F26,Vöruskrá!$B:$B,0)))*($H26+IF($I26="",$H26*(1+#REF!),$I26))/2/1000,""))</f>
        <v/>
      </c>
      <c r="K26" s="21" t="s">
        <v>820</v>
      </c>
      <c r="L26" s="21" t="s">
        <v>469</v>
      </c>
      <c r="M26" s="21" t="s">
        <v>499</v>
      </c>
      <c r="N26" s="22">
        <v>215</v>
      </c>
      <c r="O26" s="22">
        <v>2</v>
      </c>
      <c r="P26" s="22">
        <v>0.3</v>
      </c>
      <c r="Q26" s="22">
        <v>36.9</v>
      </c>
      <c r="R26" s="22">
        <v>8.4</v>
      </c>
      <c r="S26" s="22">
        <v>0.9</v>
      </c>
      <c r="T26" s="65">
        <v>1</v>
      </c>
      <c r="U26" s="284" t="s">
        <v>1858</v>
      </c>
      <c r="V26" s="284" t="s">
        <v>1904</v>
      </c>
      <c r="W26" s="284" t="s">
        <v>1905</v>
      </c>
      <c r="X26" s="285" t="s">
        <v>1910</v>
      </c>
      <c r="Y26" s="284">
        <v>75</v>
      </c>
      <c r="Z26" s="284"/>
      <c r="AA26" s="284"/>
    </row>
    <row r="27" spans="1:29">
      <c r="A27" s="31"/>
      <c r="B27" s="32" t="s">
        <v>1899</v>
      </c>
      <c r="C27" s="32">
        <v>31</v>
      </c>
      <c r="D27" s="33" t="s">
        <v>1850</v>
      </c>
      <c r="E27" s="33" t="s">
        <v>1911</v>
      </c>
      <c r="F27" s="33" t="s">
        <v>1097</v>
      </c>
      <c r="G27" s="33" t="s">
        <v>1912</v>
      </c>
      <c r="H27" s="34">
        <v>80</v>
      </c>
      <c r="I27" s="34"/>
      <c r="J27" s="149" t="str">
        <f>IF($F27="","",IFERROR(IFERROR(INDEX(Réttabanki!$U:$U,MATCH($F27,Réttabanki!$A:$A,0)),INDEX(Vöruskrá!$R:$R,MATCH($F27,Vöruskrá!$B:$B,0)))*($H27+IF($I27="",$H27*(1+#REF!),$I27))/2/1000,""))</f>
        <v/>
      </c>
      <c r="K27" s="21" t="s">
        <v>1099</v>
      </c>
      <c r="L27" s="21" t="s">
        <v>108</v>
      </c>
      <c r="M27" s="21" t="s">
        <v>1100</v>
      </c>
      <c r="N27" s="22">
        <v>103</v>
      </c>
      <c r="O27" s="22">
        <v>3</v>
      </c>
      <c r="P27" s="22">
        <v>2.1</v>
      </c>
      <c r="Q27" s="22">
        <v>16</v>
      </c>
      <c r="R27" s="22">
        <v>2.2000000000000002</v>
      </c>
      <c r="S27" s="22">
        <v>0.7</v>
      </c>
      <c r="T27" s="66">
        <v>2</v>
      </c>
      <c r="U27" s="284" t="s">
        <v>1858</v>
      </c>
      <c r="V27" s="284" t="s">
        <v>1904</v>
      </c>
      <c r="W27" s="284" t="s">
        <v>1913</v>
      </c>
      <c r="X27" s="284" t="s">
        <v>1914</v>
      </c>
      <c r="Y27" s="284">
        <v>75</v>
      </c>
      <c r="Z27" s="284"/>
      <c r="AA27" s="284"/>
    </row>
    <row r="28" spans="1:29">
      <c r="A28" s="31"/>
      <c r="B28" s="32" t="s">
        <v>1899</v>
      </c>
      <c r="C28" s="32">
        <v>31</v>
      </c>
      <c r="D28" s="33" t="s">
        <v>1850</v>
      </c>
      <c r="E28" s="33" t="s">
        <v>946</v>
      </c>
      <c r="F28" s="33" t="s">
        <v>552</v>
      </c>
      <c r="G28" s="33" t="s">
        <v>1915</v>
      </c>
      <c r="H28" s="34">
        <v>80</v>
      </c>
      <c r="I28" s="34"/>
      <c r="J28" s="149" t="str">
        <f>IF($F28="","",IFERROR(IFERROR(INDEX(Réttabanki!$U:$U,MATCH($F28,Réttabanki!$A:$A,0)),INDEX(Vöruskrá!$R:$R,MATCH($F28,Vöruskrá!$B:$B,0)))*($H28+IF($I28="",$H28*(1+#REF!),$I28))/2/1000,""))</f>
        <v/>
      </c>
      <c r="K28" s="21" t="s">
        <v>554</v>
      </c>
      <c r="L28" s="21" t="s">
        <v>121</v>
      </c>
      <c r="M28" s="21"/>
      <c r="N28" s="22">
        <v>77</v>
      </c>
      <c r="O28" s="22">
        <v>0.1</v>
      </c>
      <c r="P28" s="22">
        <v>0</v>
      </c>
      <c r="Q28" s="22">
        <v>20</v>
      </c>
      <c r="R28" s="22">
        <v>1.7</v>
      </c>
      <c r="S28" s="22">
        <v>0</v>
      </c>
      <c r="T28" s="65"/>
      <c r="U28" s="284"/>
      <c r="V28" s="284"/>
      <c r="W28" s="284"/>
      <c r="X28" s="284"/>
      <c r="Y28" s="284"/>
      <c r="Z28" s="284"/>
      <c r="AA28" s="284"/>
    </row>
    <row r="29" spans="1:29" ht="30.75">
      <c r="A29" s="31"/>
      <c r="B29" s="32" t="s">
        <v>1899</v>
      </c>
      <c r="C29" s="32">
        <v>31</v>
      </c>
      <c r="D29" s="33" t="s">
        <v>1850</v>
      </c>
      <c r="E29" s="33" t="s">
        <v>1911</v>
      </c>
      <c r="F29" s="33" t="s">
        <v>261</v>
      </c>
      <c r="G29" s="33" t="s">
        <v>1916</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v>3</v>
      </c>
      <c r="U29" s="286"/>
      <c r="V29" s="286" t="s">
        <v>1904</v>
      </c>
      <c r="W29" s="286" t="s">
        <v>1913</v>
      </c>
      <c r="X29" s="286">
        <v>15</v>
      </c>
      <c r="Y29" s="286">
        <v>75</v>
      </c>
      <c r="Z29" s="286"/>
      <c r="AA29" s="286"/>
    </row>
    <row r="30" spans="1:29">
      <c r="A30" s="31"/>
      <c r="B30" s="32" t="s">
        <v>1899</v>
      </c>
      <c r="C30" s="32">
        <v>31</v>
      </c>
      <c r="D30" s="33" t="s">
        <v>1850</v>
      </c>
      <c r="E30" s="33" t="s">
        <v>1877</v>
      </c>
      <c r="F30" s="33"/>
      <c r="G30" s="33" t="s">
        <v>1917</v>
      </c>
      <c r="H30" s="34"/>
      <c r="I30" s="34"/>
      <c r="J30" s="149" t="str">
        <f>IF($F30="","",IFERROR(IFERROR(INDEX(Réttabanki!$U:$U,MATCH($F30,Réttabanki!$A:$A,0)),INDEX(Vöruskrá!$R:$R,MATCH($F30,Vöruskrá!$B:$B,0)))*($H30+IF($I30="",$H30*(1+#REF!),$I30))/2/1000,""))</f>
        <v/>
      </c>
      <c r="K30" s="21" t="s">
        <v>827</v>
      </c>
      <c r="L30" s="21" t="s">
        <v>469</v>
      </c>
      <c r="M30" s="21" t="str">
        <f>IF($F30="","",IFERROR(IFERROR(INDEX(Réttabanki!$F:$F,MATCH($F30,Réttabanki!$A:$A,0)),INDEX(Vöruskrá!$H:$H,MATCH($F30,Vöruskrá!$B:$B,0))),""))</f>
        <v/>
      </c>
      <c r="N30" s="22" t="str">
        <f>IF($F30="","",IFERROR(IFERROR(INDEX(Réttabanki!$G:$G,MATCH($F30,Réttabanki!$A:$A,0)),INDEX(Vöruskrá!$J:$J,MATCH($F30,Vöruskrá!$B:$B,0)))*($H30+IF($I30="",$H30*(1+#REF!),$I30))/2/100,""))</f>
        <v/>
      </c>
      <c r="O30" s="22" t="str">
        <f>IF($F30="","",IFERROR(IFERROR(INDEX(Réttabanki!$H:$H,MATCH($F30,Réttabanki!$A:$A,0)),INDEX(Vöruskrá!$K:$K,MATCH($F30,Vöruskrá!$B:$B,0)))*($H30+IF($I30="",$H30*(1+#REF!),$I30))/2/100,""))</f>
        <v/>
      </c>
      <c r="P30" s="22" t="str">
        <f>IF($F30="","",IFERROR(IFERROR(INDEX(Réttabanki!$I:$I,MATCH($F30,Réttabanki!$A:$A,0)),INDEX(Vöruskrá!$L:$L,MATCH($F30,Vöruskrá!$B:$B,0)))*($H30+IF($I30="",$H30*(1+#REF!),$I30))/2/100,""))</f>
        <v/>
      </c>
      <c r="Q30" s="22" t="str">
        <f>IF($F30="","",IFERROR(IFERROR(INDEX(Réttabanki!$J:$J,MATCH($F30,Réttabanki!$A:$A,0)),INDEX(Vöruskrá!$M:$M,MATCH($F30,Vöruskrá!$B:$B,0)))*($H30+IF($I30="",$H30*(1+#REF!),$I30))/2/100,""))</f>
        <v/>
      </c>
      <c r="R30" s="22" t="str">
        <f>IF($F30="","",IFERROR(IFERROR(INDEX(Réttabanki!$L:$L,MATCH($F30,Réttabanki!$A:$A,0)),INDEX(Vöruskrá!$O:$O,MATCH($F30,Vöruskrá!$B:$B,0)))*($H30+IF($I30="",$H30*(1+#REF!),$I30))/2/100,""))</f>
        <v/>
      </c>
      <c r="S30" s="22" t="str">
        <f>IF($F30="","",IFERROR(IFERROR(INDEX(Réttabanki!$M:$M,MATCH($F30,Réttabanki!$A:$A,0)),INDEX(Vöruskrá!$P:$P,MATCH($F30,Vöruskrá!$B:$B,0)))*($H30+IF($I30="",$H30*(1+#REF!),$I30))/2/100,""))</f>
        <v/>
      </c>
      <c r="T30" s="66" t="str">
        <f>IF(F30="","",IFERROR(INDEX(Réttabanki!Q:Q,MATCH(F30,Réttabanki!A:A,0)),IFERROR(INDEX(Réttabanki!Q:Q,MATCH(F30,Réttabanki!B:B,0)),"")))</f>
        <v/>
      </c>
      <c r="U30" s="284"/>
      <c r="V30" s="284"/>
      <c r="W30" s="284"/>
      <c r="X30" s="284"/>
      <c r="Y30" s="284"/>
      <c r="Z30" s="284"/>
      <c r="AA30" s="284"/>
    </row>
    <row r="31" spans="1:29">
      <c r="A31" s="31"/>
      <c r="B31" s="32" t="s">
        <v>1899</v>
      </c>
      <c r="C31" s="32">
        <v>31</v>
      </c>
      <c r="D31" s="33" t="s">
        <v>1850</v>
      </c>
      <c r="E31" s="33" t="s">
        <v>1877</v>
      </c>
      <c r="F31" s="33" t="s">
        <v>826</v>
      </c>
      <c r="G31" s="33" t="s">
        <v>826</v>
      </c>
      <c r="H31" s="34">
        <v>40</v>
      </c>
      <c r="I31" s="34"/>
      <c r="J31" s="149"/>
      <c r="K31" s="21" t="s">
        <v>827</v>
      </c>
      <c r="L31" s="21" t="s">
        <v>469</v>
      </c>
      <c r="M31" s="21"/>
      <c r="N31" s="22">
        <v>121</v>
      </c>
      <c r="O31" s="22">
        <v>0.5</v>
      </c>
      <c r="P31" s="22">
        <v>0.1</v>
      </c>
      <c r="Q31" s="22">
        <v>27.9</v>
      </c>
      <c r="R31" s="22">
        <v>2.5</v>
      </c>
      <c r="S31" s="22">
        <v>0</v>
      </c>
      <c r="T31" s="66"/>
      <c r="U31" s="286"/>
      <c r="V31" s="286"/>
      <c r="W31" s="286"/>
      <c r="X31" s="286"/>
      <c r="Y31" s="286"/>
      <c r="Z31" s="286"/>
      <c r="AA31" s="286"/>
    </row>
    <row r="32" spans="1:29" ht="36">
      <c r="A32" s="31"/>
      <c r="B32" s="32" t="s">
        <v>1899</v>
      </c>
      <c r="C32" s="32">
        <v>31</v>
      </c>
      <c r="D32" s="33" t="s">
        <v>1850</v>
      </c>
      <c r="E32" s="33" t="s">
        <v>1885</v>
      </c>
      <c r="F32" s="33"/>
      <c r="G32" s="33" t="s">
        <v>1918</v>
      </c>
      <c r="H32" s="34"/>
      <c r="I32" s="34"/>
      <c r="J32" s="149" t="str">
        <f>IF($F32="","",IFERROR(IFERROR(INDEX(Réttabanki!$U:$U,MATCH($F32,Réttabanki!$A:$A,0)),INDEX(Vöruskrá!$R:$R,MATCH($F32,Vöruskrá!$B:$B,0)))*($H32+IF($I32="",$H32*(1+#REF!),$I32))/2/1000,""))</f>
        <v/>
      </c>
      <c r="K32" s="21" t="s">
        <v>1919</v>
      </c>
      <c r="L32" s="21" t="s">
        <v>1920</v>
      </c>
      <c r="M32" s="21" t="str">
        <f>IF($F32="","",IFERROR(IFERROR(INDEX(Réttabanki!$F:$F,MATCH($F32,Réttabanki!$A:$A,0)),INDEX(Vöruskrá!$H:$H,MATCH($F32,Vöruskrá!$B:$B,0))),""))</f>
        <v/>
      </c>
      <c r="N32" s="22" t="str">
        <f>IF($F32="","",IFERROR(IFERROR(INDEX(Réttabanki!$G:$G,MATCH($F32,Réttabanki!$A:$A,0)),INDEX(Vöruskrá!$J:$J,MATCH($F32,Vöruskrá!$B:$B,0)))*($H32+IF($I32="",$H32*(1+#REF!),$I32))/2/100,""))</f>
        <v/>
      </c>
      <c r="O32" s="22" t="str">
        <f>IF($F32="","",IFERROR(IFERROR(INDEX(Réttabanki!$H:$H,MATCH($F32,Réttabanki!$A:$A,0)),INDEX(Vöruskrá!$K:$K,MATCH($F32,Vöruskrá!$B:$B,0)))*($H32+IF($I32="",$H32*(1+#REF!),$I32))/2/100,""))</f>
        <v/>
      </c>
      <c r="P32" s="22" t="str">
        <f>IF($F32="","",IFERROR(IFERROR(INDEX(Réttabanki!$I:$I,MATCH($F32,Réttabanki!$A:$A,0)),INDEX(Vöruskrá!$L:$L,MATCH($F32,Vöruskrá!$B:$B,0)))*($H32+IF($I32="",$H32*(1+#REF!),$I32))/2/100,""))</f>
        <v/>
      </c>
      <c r="Q32" s="22" t="str">
        <f>IF($F32="","",IFERROR(IFERROR(INDEX(Réttabanki!$J:$J,MATCH($F32,Réttabanki!$A:$A,0)),INDEX(Vöruskrá!$M:$M,MATCH($F32,Vöruskrá!$B:$B,0)))*($H32+IF($I32="",$H32*(1+#REF!),$I32))/2/100,""))</f>
        <v/>
      </c>
      <c r="R32" s="22" t="str">
        <f>IF($F32="","",IFERROR(IFERROR(INDEX(Réttabanki!$L:$L,MATCH($F32,Réttabanki!$A:$A,0)),INDEX(Vöruskrá!$O:$O,MATCH($F32,Vöruskrá!$B:$B,0)))*($H32+IF($I32="",$H32*(1+#REF!),$I32))/2/100,""))</f>
        <v/>
      </c>
      <c r="S32" s="22" t="str">
        <f>IF($F32="","",IFERROR(IFERROR(INDEX(Réttabanki!$M:$M,MATCH($F32,Réttabanki!$A:$A,0)),INDEX(Vöruskrá!$P:$P,MATCH($F32,Vöruskrá!$B:$B,0)))*($H32+IF($I32="",$H32*(1+#REF!),$I32))/2/100,""))</f>
        <v/>
      </c>
      <c r="T32" s="65" t="str">
        <f>IF(F32="","",IFERROR(INDEX(Réttabanki!Q:Q,MATCH(F32,Réttabanki!A:A,0)),IFERROR(INDEX(Réttabanki!Q:Q,MATCH(F32,Réttabanki!B:B,0)),"")))</f>
        <v/>
      </c>
      <c r="U32" s="284"/>
      <c r="V32" s="284"/>
      <c r="W32" s="284"/>
      <c r="X32" s="284"/>
      <c r="Y32" s="284"/>
      <c r="Z32" s="284"/>
      <c r="AA32" s="284"/>
    </row>
    <row r="33" spans="1:27" ht="36">
      <c r="A33" s="31"/>
      <c r="B33" s="32" t="s">
        <v>1899</v>
      </c>
      <c r="C33" s="32">
        <v>31</v>
      </c>
      <c r="D33" s="33" t="s">
        <v>1850</v>
      </c>
      <c r="E33" s="33" t="s">
        <v>1885</v>
      </c>
      <c r="F33" s="33" t="s">
        <v>340</v>
      </c>
      <c r="G33" s="33" t="s">
        <v>1921</v>
      </c>
      <c r="H33" s="34">
        <v>40</v>
      </c>
      <c r="I33" s="34"/>
      <c r="J33" s="149" t="str">
        <f>IF($F33="","",IFERROR(IFERROR(INDEX(Réttabanki!$U:$U,MATCH($F33,Réttabanki!$A:$A,0)),INDEX(Vöruskrá!$R:$R,MATCH($F33,Vöruskrá!$B:$B,0)))*($H33+IF($I33="",$H33*(1+#REF!),$I33))/2/1000,""))</f>
        <v/>
      </c>
      <c r="K33" s="21" t="s">
        <v>342</v>
      </c>
      <c r="L33" s="21" t="s">
        <v>343</v>
      </c>
      <c r="M33" s="21"/>
      <c r="N33" s="22">
        <v>296</v>
      </c>
      <c r="O33" s="22">
        <v>4.5</v>
      </c>
      <c r="P33" s="22">
        <v>0.5</v>
      </c>
      <c r="Q33" s="22">
        <v>52</v>
      </c>
      <c r="R33" s="22">
        <v>9.1</v>
      </c>
      <c r="S33" s="22">
        <v>0.8</v>
      </c>
      <c r="T33" s="66" t="str">
        <f>IF(F33="","",IFERROR(INDEX(Réttabanki!Q:Q,MATCH(F33,Réttabanki!A:A,0)),IFERROR(INDEX(Réttabanki!Q:Q,MATCH(F33,Réttabanki!B:B,0)),"")))</f>
        <v/>
      </c>
      <c r="U33" s="286" t="s">
        <v>1858</v>
      </c>
      <c r="V33" s="286" t="s">
        <v>1859</v>
      </c>
      <c r="W33" s="286"/>
      <c r="X33" s="286"/>
      <c r="Y33" s="286"/>
      <c r="Z33" s="286"/>
      <c r="AA33" s="286"/>
    </row>
    <row r="34" spans="1:27">
      <c r="A34" s="31"/>
      <c r="B34" s="32" t="s">
        <v>1899</v>
      </c>
      <c r="C34" s="32">
        <v>31</v>
      </c>
      <c r="D34" s="33" t="s">
        <v>1850</v>
      </c>
      <c r="E34" s="33" t="s">
        <v>1885</v>
      </c>
      <c r="F34" s="33" t="s">
        <v>395</v>
      </c>
      <c r="G34" s="33" t="s">
        <v>1409</v>
      </c>
      <c r="H34" s="34">
        <v>20</v>
      </c>
      <c r="I34" s="34"/>
      <c r="J34" s="149" t="str">
        <f>IF($F34="","",IFERROR(IFERROR(INDEX(Réttabanki!$U:$U,MATCH($F34,Réttabanki!$A:$A,0)),INDEX(Vöruskrá!$R:$R,MATCH($F34,Vöruskrá!$B:$B,0)))*($H34+IF($I34="",$H34*(1+#REF!),$I34))/2/1000,""))</f>
        <v/>
      </c>
      <c r="K34" s="21" t="s">
        <v>396</v>
      </c>
      <c r="L34" s="21" t="s">
        <v>108</v>
      </c>
      <c r="M34" s="21"/>
      <c r="N34" s="22">
        <v>702</v>
      </c>
      <c r="O34" s="22">
        <v>78</v>
      </c>
      <c r="P34" s="22">
        <v>37</v>
      </c>
      <c r="Q34" s="22">
        <v>0.4</v>
      </c>
      <c r="R34" s="22">
        <v>0.6</v>
      </c>
      <c r="S34" s="22">
        <v>1.2</v>
      </c>
      <c r="T34" s="65" t="str">
        <f>IF(F34="","",IFERROR(INDEX(Réttabanki!Q:Q,MATCH(F34,Réttabanki!A:A,0)),IFERROR(INDEX(Réttabanki!Q:Q,MATCH(F34,Réttabanki!B:B,0)),"")))</f>
        <v/>
      </c>
      <c r="U34" s="284" t="s">
        <v>1858</v>
      </c>
      <c r="V34" s="284" t="s">
        <v>1859</v>
      </c>
      <c r="W34" s="284"/>
      <c r="X34" s="284"/>
      <c r="Y34" s="284"/>
      <c r="Z34" s="284"/>
      <c r="AA34" s="284"/>
    </row>
    <row r="35" spans="1:27">
      <c r="A35" s="155"/>
      <c r="B35" s="156" t="s">
        <v>1899</v>
      </c>
      <c r="C35" s="156">
        <v>31</v>
      </c>
      <c r="D35" s="157"/>
      <c r="E35" s="157"/>
      <c r="F35" s="157" t="s">
        <v>1894</v>
      </c>
      <c r="G35" s="157"/>
      <c r="H35" s="158"/>
      <c r="I35" s="158"/>
      <c r="J35" s="159">
        <f>SUMIFS(J23:J34,E23:E34,"&lt;&gt;Hliðarréttur",E23:E34,"&lt;&gt;Sérfæði")</f>
        <v>0</v>
      </c>
      <c r="K35" s="21" t="s">
        <v>1895</v>
      </c>
      <c r="L35" s="21"/>
      <c r="M35" s="21"/>
      <c r="N35" s="22"/>
      <c r="O35" s="22"/>
      <c r="P35" s="22"/>
      <c r="Q35" s="22"/>
      <c r="R35" s="22"/>
      <c r="S35" s="22"/>
      <c r="T35" s="65"/>
      <c r="U35" s="286"/>
      <c r="V35" s="286"/>
      <c r="W35" s="286"/>
      <c r="X35" s="286"/>
      <c r="Y35" s="286"/>
      <c r="Z35" s="286"/>
      <c r="AA35" s="286"/>
    </row>
    <row r="36" spans="1:27">
      <c r="A36" s="155"/>
      <c r="B36" s="156" t="s">
        <v>1899</v>
      </c>
      <c r="C36" s="156">
        <v>31</v>
      </c>
      <c r="D36" s="157"/>
      <c r="E36" s="157"/>
      <c r="F36" s="157" t="s">
        <v>1897</v>
      </c>
      <c r="G36" s="157"/>
      <c r="H36" s="158"/>
      <c r="I36" s="158"/>
      <c r="J36" s="159">
        <f>SUMIFS(J23:J34,E23:E34,"&lt;&gt;Hliðarréttur",E23:E34,"&lt;&gt;Sérfæði")</f>
        <v>0</v>
      </c>
      <c r="K36" s="21" t="s">
        <v>1895</v>
      </c>
      <c r="L36" s="21"/>
      <c r="M36" s="21"/>
      <c r="N36" s="22"/>
      <c r="O36" s="22"/>
      <c r="P36" s="22"/>
      <c r="Q36" s="22"/>
      <c r="R36" s="22"/>
      <c r="S36" s="22"/>
      <c r="T36" s="65"/>
      <c r="U36" s="284"/>
      <c r="V36" s="284"/>
      <c r="W36" s="284"/>
      <c r="X36" s="284"/>
      <c r="Y36" s="284"/>
      <c r="Z36" s="284"/>
      <c r="AA36" s="284"/>
    </row>
    <row r="37" spans="1:27" ht="36">
      <c r="A37" s="31">
        <v>46232</v>
      </c>
      <c r="B37" s="32" t="s">
        <v>1922</v>
      </c>
      <c r="C37" s="32">
        <v>31</v>
      </c>
      <c r="D37" s="33" t="s">
        <v>1850</v>
      </c>
      <c r="E37" s="33" t="s">
        <v>1852</v>
      </c>
      <c r="F37" s="33"/>
      <c r="G37" s="33" t="s">
        <v>1923</v>
      </c>
      <c r="H37" s="34"/>
      <c r="I37" s="34"/>
      <c r="J37" s="149" t="str">
        <f>IF($F37="","",IFERROR(IFERROR(INDEX(Réttabanki!$U:$U,MATCH($F37,Réttabanki!$A:$A,0)),INDEX(Vöruskrá!$R:$R,MATCH($F37,Vöruskrá!$B:$B,0)))*($H37+IF($I37="",$H37*(1+#REF!),$I37))/2/1000,""))</f>
        <v/>
      </c>
      <c r="K37" s="21" t="s">
        <v>1924</v>
      </c>
      <c r="L37" s="21" t="s">
        <v>1925</v>
      </c>
      <c r="M37" s="21" t="str">
        <f>IF($F37="","",IFERROR(IFERROR(INDEX(Réttabanki!$F:$F,MATCH($F37,Réttabanki!$A:$A,0)),INDEX(Vöruskrá!$H:$H,MATCH($F37,Vöruskrá!$B:$B,0))),""))</f>
        <v/>
      </c>
      <c r="N37" s="22" t="str">
        <f>IF($F37="","",IFERROR(IFERROR(INDEX(Réttabanki!$G:$G,MATCH($F37,Réttabanki!$A:$A,0)),INDEX(Vöruskrá!$J:$J,MATCH($F37,Vöruskrá!$B:$B,0)))*($H37+IF($I37="",$H37*(1+#REF!),$I37))/2/100,""))</f>
        <v/>
      </c>
      <c r="O37" s="22" t="str">
        <f>IF($F37="","",IFERROR(IFERROR(INDEX(Réttabanki!$H:$H,MATCH($F37,Réttabanki!$A:$A,0)),INDEX(Vöruskrá!$K:$K,MATCH($F37,Vöruskrá!$B:$B,0)))*($H37+IF($I37="",$H37*(1+#REF!),$I37))/2/100,""))</f>
        <v/>
      </c>
      <c r="P37" s="22" t="str">
        <f>IF($F37="","",IFERROR(IFERROR(INDEX(Réttabanki!$I:$I,MATCH($F37,Réttabanki!$A:$A,0)),INDEX(Vöruskrá!$L:$L,MATCH($F37,Vöruskrá!$B:$B,0)))*($H37+IF($I37="",$H37*(1+#REF!),$I37))/2/100,""))</f>
        <v/>
      </c>
      <c r="Q37" s="22" t="str">
        <f>IF($F37="","",IFERROR(IFERROR(INDEX(Réttabanki!$J:$J,MATCH($F37,Réttabanki!$A:$A,0)),INDEX(Vöruskrá!$M:$M,MATCH($F37,Vöruskrá!$B:$B,0)))*($H37+IF($I37="",$H37*(1+#REF!),$I37))/2/100,""))</f>
        <v/>
      </c>
      <c r="R37" s="22" t="str">
        <f>IF($F37="","",IFERROR(IFERROR(INDEX(Réttabanki!$L:$L,MATCH($F37,Réttabanki!$A:$A,0)),INDEX(Vöruskrá!$O:$O,MATCH($F37,Vöruskrá!$B:$B,0)))*($H37+IF($I37="",$H37*(1+#REF!),$I37))/2/100,""))</f>
        <v/>
      </c>
      <c r="S37" s="22" t="str">
        <f>IF($F37="","",IFERROR(IFERROR(INDEX(Réttabanki!$M:$M,MATCH($F37,Réttabanki!$A:$A,0)),INDEX(Vöruskrá!$P:$P,MATCH($F37,Vöruskrá!$B:$B,0)))*($H37+IF($I37="",$H37*(1+#REF!),$I37))/2/100,""))</f>
        <v/>
      </c>
      <c r="T37" s="66" t="str">
        <f>IF(F37="","",IFERROR(INDEX(Réttabanki!Q:Q,MATCH(F37,Réttabanki!A:A,0)),IFERROR(INDEX(Réttabanki!Q:Q,MATCH(F37,Réttabanki!B:B,0)),"")))</f>
        <v/>
      </c>
      <c r="U37" s="286"/>
      <c r="V37" s="286"/>
      <c r="W37" s="286"/>
      <c r="X37" s="286"/>
      <c r="Y37" s="286"/>
      <c r="Z37" s="286"/>
      <c r="AA37" s="286"/>
    </row>
    <row r="38" spans="1:27">
      <c r="A38" s="31"/>
      <c r="B38" s="32" t="s">
        <v>1922</v>
      </c>
      <c r="C38" s="32">
        <v>31</v>
      </c>
      <c r="D38" s="33" t="s">
        <v>1850</v>
      </c>
      <c r="E38" s="33" t="s">
        <v>1852</v>
      </c>
      <c r="F38" s="33" t="s">
        <v>792</v>
      </c>
      <c r="G38" s="33" t="s">
        <v>792</v>
      </c>
      <c r="H38" s="34">
        <v>160</v>
      </c>
      <c r="I38" s="34"/>
      <c r="J38" s="149" t="str">
        <f>IF($F38="","",IFERROR(IFERROR(INDEX(Réttabanki!$U:$U,MATCH($F38,Réttabanki!$A:$A,0)),INDEX(Vöruskrá!$R:$R,MATCH($F38,Vöruskrá!$B:$B,0)))*($H38+IF($I38="",$H38*(1+#REF!),$I38))/2/1000,""))</f>
        <v/>
      </c>
      <c r="K38" s="21" t="s">
        <v>792</v>
      </c>
      <c r="L38" s="21" t="s">
        <v>543</v>
      </c>
      <c r="M38" s="21"/>
      <c r="N38" s="22">
        <v>100</v>
      </c>
      <c r="O38" s="22">
        <v>0.7</v>
      </c>
      <c r="P38" s="22">
        <v>0.1</v>
      </c>
      <c r="Q38" s="22">
        <v>0</v>
      </c>
      <c r="R38" s="22">
        <v>23</v>
      </c>
      <c r="S38" s="22">
        <v>0.3</v>
      </c>
      <c r="T38" s="65">
        <v>4</v>
      </c>
      <c r="U38" s="284" t="s">
        <v>1858</v>
      </c>
      <c r="V38" s="284" t="s">
        <v>1904</v>
      </c>
      <c r="W38" s="284" t="s">
        <v>1913</v>
      </c>
      <c r="X38" s="285" t="s">
        <v>1926</v>
      </c>
      <c r="Y38" s="284">
        <v>70</v>
      </c>
      <c r="Z38" s="284"/>
      <c r="AA38" s="284"/>
    </row>
    <row r="39" spans="1:27">
      <c r="A39" s="31"/>
      <c r="B39" s="32" t="s">
        <v>1922</v>
      </c>
      <c r="C39" s="32">
        <v>31</v>
      </c>
      <c r="D39" s="33" t="s">
        <v>1850</v>
      </c>
      <c r="E39" s="33" t="s">
        <v>1852</v>
      </c>
      <c r="F39" s="33" t="s">
        <v>867</v>
      </c>
      <c r="G39" s="33" t="s">
        <v>554</v>
      </c>
      <c r="H39" s="34">
        <v>80</v>
      </c>
      <c r="I39" s="34"/>
      <c r="J39" s="149" t="str">
        <f>IF($F39="","",IFERROR(IFERROR(INDEX(Réttabanki!$U:$U,MATCH($F39,Réttabanki!$A:$A,0)),INDEX(Vöruskrá!$R:$R,MATCH($F39,Vöruskrá!$B:$B,0)))*($H39+IF($I39="",$H39*(1+#REF!),$I39))/2/1000,""))</f>
        <v/>
      </c>
      <c r="K39" s="21" t="s">
        <v>554</v>
      </c>
      <c r="L39" s="21" t="s">
        <v>121</v>
      </c>
      <c r="M39" s="21"/>
      <c r="N39" s="22">
        <v>77</v>
      </c>
      <c r="O39" s="22">
        <v>0.1</v>
      </c>
      <c r="P39" s="22">
        <v>0</v>
      </c>
      <c r="Q39" s="22">
        <v>17</v>
      </c>
      <c r="R39" s="22">
        <v>2</v>
      </c>
      <c r="S39" s="22">
        <v>0</v>
      </c>
      <c r="T39" s="66">
        <v>1</v>
      </c>
      <c r="U39" s="286" t="s">
        <v>1858</v>
      </c>
      <c r="V39" s="286" t="s">
        <v>1904</v>
      </c>
      <c r="W39" s="286" t="s">
        <v>1913</v>
      </c>
      <c r="X39" s="286">
        <v>25</v>
      </c>
      <c r="Y39" s="286">
        <v>75</v>
      </c>
      <c r="Z39" s="286"/>
      <c r="AA39" s="286"/>
    </row>
    <row r="40" spans="1:27">
      <c r="A40" s="31"/>
      <c r="B40" s="32" t="s">
        <v>1922</v>
      </c>
      <c r="C40" s="32">
        <v>31</v>
      </c>
      <c r="D40" s="33" t="s">
        <v>1850</v>
      </c>
      <c r="E40" s="33" t="s">
        <v>1852</v>
      </c>
      <c r="F40" s="33" t="s">
        <v>390</v>
      </c>
      <c r="G40" s="33" t="s">
        <v>1927</v>
      </c>
      <c r="H40" s="34">
        <v>25</v>
      </c>
      <c r="I40" s="34"/>
      <c r="J40" s="149" t="str">
        <f>IF($F40="","",IFERROR(IFERROR(INDEX(Réttabanki!$U:$U,MATCH($F40,Réttabanki!$A:$A,0)),INDEX(Vöruskrá!$R:$R,MATCH($F40,Vöruskrá!$B:$B,0)))*($H40+IF($I40="",$H40*(1+#REF!),$I40))/2/1000,""))</f>
        <v/>
      </c>
      <c r="K40" s="21" t="s">
        <v>392</v>
      </c>
      <c r="L40" s="21" t="s">
        <v>108</v>
      </c>
      <c r="M40" s="21"/>
      <c r="N40" s="22">
        <v>738</v>
      </c>
      <c r="O40" s="22">
        <v>82</v>
      </c>
      <c r="P40" s="22">
        <v>49</v>
      </c>
      <c r="Q40" s="22">
        <v>0.4</v>
      </c>
      <c r="R40" s="22">
        <v>0.6</v>
      </c>
      <c r="S40" s="22">
        <v>1.2</v>
      </c>
      <c r="T40" s="65">
        <v>3</v>
      </c>
      <c r="U40" s="284" t="s">
        <v>1858</v>
      </c>
      <c r="V40" s="284" t="s">
        <v>1904</v>
      </c>
      <c r="W40" s="284" t="s">
        <v>1928</v>
      </c>
      <c r="X40" s="284" t="s">
        <v>1929</v>
      </c>
      <c r="Y40" s="284">
        <v>75</v>
      </c>
      <c r="Z40" s="284" t="s">
        <v>1930</v>
      </c>
      <c r="AA40" s="284"/>
    </row>
    <row r="41" spans="1:27" ht="36">
      <c r="A41" s="31"/>
      <c r="B41" s="32" t="s">
        <v>1922</v>
      </c>
      <c r="C41" s="32">
        <v>31</v>
      </c>
      <c r="D41" s="33" t="s">
        <v>1850</v>
      </c>
      <c r="E41" s="33" t="s">
        <v>1852</v>
      </c>
      <c r="F41" s="33" t="s">
        <v>324</v>
      </c>
      <c r="G41" s="33" t="s">
        <v>1931</v>
      </c>
      <c r="H41" s="34">
        <v>25</v>
      </c>
      <c r="I41" s="34"/>
      <c r="J41" s="149" t="str">
        <f>IF($F41="","",IFERROR(IFERROR(INDEX(Réttabanki!$U:$U,MATCH($F41,Réttabanki!$A:$A,0)),INDEX(Vöruskrá!$R:$R,MATCH($F41,Vöruskrá!$B:$B,0)))*($H41+IF($I41="",$H41*(1+#REF!),$I41))/2/1000,""))</f>
        <v/>
      </c>
      <c r="K41" s="21" t="s">
        <v>325</v>
      </c>
      <c r="L41" s="21" t="s">
        <v>326</v>
      </c>
      <c r="M41" s="21" t="s">
        <v>327</v>
      </c>
      <c r="N41" s="22">
        <v>252</v>
      </c>
      <c r="O41" s="22">
        <v>1.1000000000000001</v>
      </c>
      <c r="P41" s="22">
        <v>0.2</v>
      </c>
      <c r="Q41" s="22">
        <v>50</v>
      </c>
      <c r="R41" s="22">
        <v>4.8</v>
      </c>
      <c r="S41" s="22">
        <v>0.6</v>
      </c>
      <c r="T41" s="66" t="str">
        <f>IF(F41="","",IFERROR(INDEX(Réttabanki!Q:Q,MATCH(F41,Réttabanki!A:A,0)),IFERROR(INDEX(Réttabanki!Q:Q,MATCH(F41,Réttabanki!B:B,0)),"")))</f>
        <v/>
      </c>
      <c r="U41" s="286" t="s">
        <v>1932</v>
      </c>
      <c r="V41" s="286" t="s">
        <v>1859</v>
      </c>
      <c r="W41" s="286"/>
      <c r="X41" s="286"/>
      <c r="Y41" s="286"/>
      <c r="Z41" s="286"/>
      <c r="AA41" s="286"/>
    </row>
    <row r="42" spans="1:27" ht="54" customHeight="1">
      <c r="A42" s="31"/>
      <c r="B42" s="32" t="s">
        <v>1922</v>
      </c>
      <c r="C42" s="32">
        <v>31</v>
      </c>
      <c r="D42" s="33" t="s">
        <v>1850</v>
      </c>
      <c r="E42" s="33" t="s">
        <v>1867</v>
      </c>
      <c r="F42" s="33"/>
      <c r="G42" s="33" t="s">
        <v>1933</v>
      </c>
      <c r="H42" s="34"/>
      <c r="I42" s="34"/>
      <c r="J42" s="149" t="str">
        <f>IF($F42="","",IFERROR(IFERROR(INDEX(Réttabanki!$U:$U,MATCH($F42,Réttabanki!$A:$A,0)),INDEX(Vöruskrá!$R:$R,MATCH($F42,Vöruskrá!$B:$B,0)))*($H42+IF($I42="",$H42*(1+#REF!),$I42))/2/1000,""))</f>
        <v/>
      </c>
      <c r="K42" s="21" t="s">
        <v>1934</v>
      </c>
      <c r="L42" s="21" t="s">
        <v>1935</v>
      </c>
      <c r="M42" s="21" t="str">
        <f>IF($F42="","",IFERROR(IFERROR(INDEX(Réttabanki!$F:$F,MATCH($F42,Réttabanki!$A:$A,0)),INDEX(Vöruskrá!$H:$H,MATCH($F42,Vöruskrá!$B:$B,0))),""))</f>
        <v/>
      </c>
      <c r="N42" s="22" t="str">
        <f>IF($F42="","",IFERROR(IFERROR(INDEX(Réttabanki!$G:$G,MATCH($F42,Réttabanki!$A:$A,0)),INDEX(Vöruskrá!$J:$J,MATCH($F42,Vöruskrá!$B:$B,0)))*($H42+IF($I42="",$H42*(1+#REF!),$I42))/2/100,""))</f>
        <v/>
      </c>
      <c r="O42" s="22" t="str">
        <f>IF($F42="","",IFERROR(IFERROR(INDEX(Réttabanki!$H:$H,MATCH($F42,Réttabanki!$A:$A,0)),INDEX(Vöruskrá!$K:$K,MATCH($F42,Vöruskrá!$B:$B,0)))*($H42+IF($I42="",$H42*(1+#REF!),$I42))/2/100,""))</f>
        <v/>
      </c>
      <c r="P42" s="22" t="str">
        <f>IF($F42="","",IFERROR(IFERROR(INDEX(Réttabanki!$I:$I,MATCH($F42,Réttabanki!$A:$A,0)),INDEX(Vöruskrá!$L:$L,MATCH($F42,Vöruskrá!$B:$B,0)))*($H42+IF($I42="",$H42*(1+#REF!),$I42))/2/100,""))</f>
        <v/>
      </c>
      <c r="Q42" s="22" t="str">
        <f>IF($F42="","",IFERROR(IFERROR(INDEX(Réttabanki!$J:$J,MATCH($F42,Réttabanki!$A:$A,0)),INDEX(Vöruskrá!$M:$M,MATCH($F42,Vöruskrá!$B:$B,0)))*($H42+IF($I42="",$H42*(1+#REF!),$I42))/2/100,""))</f>
        <v/>
      </c>
      <c r="R42" s="22" t="str">
        <f>IF($F42="","",IFERROR(IFERROR(INDEX(Réttabanki!$L:$L,MATCH($F42,Réttabanki!$A:$A,0)),INDEX(Vöruskrá!$O:$O,MATCH($F42,Vöruskrá!$B:$B,0)))*($H42+IF($I42="",$H42*(1+#REF!),$I42))/2/100,""))</f>
        <v/>
      </c>
      <c r="S42" s="22" t="str">
        <f>IF($F42="","",IFERROR(IFERROR(INDEX(Réttabanki!$M:$M,MATCH($F42,Réttabanki!$A:$A,0)),INDEX(Vöruskrá!$P:$P,MATCH($F42,Vöruskrá!$B:$B,0)))*($H42+IF($I42="",$H42*(1+#REF!),$I42))/2/100,""))</f>
        <v/>
      </c>
      <c r="T42" s="65" t="str">
        <f>IF(F42="","",IFERROR(INDEX(Réttabanki!Q:Q,MATCH(F42,Réttabanki!A:A,0)),IFERROR(INDEX(Réttabanki!Q:Q,MATCH(F42,Réttabanki!B:B,0)),"")))</f>
        <v/>
      </c>
      <c r="U42" s="284"/>
      <c r="V42" s="284"/>
      <c r="W42" s="284"/>
      <c r="X42" s="284"/>
      <c r="Y42" s="284"/>
      <c r="Z42" s="284"/>
      <c r="AA42" s="284"/>
    </row>
    <row r="43" spans="1:27" ht="48">
      <c r="A43" s="31"/>
      <c r="B43" s="32" t="s">
        <v>1922</v>
      </c>
      <c r="C43" s="32">
        <v>31</v>
      </c>
      <c r="D43" s="33" t="s">
        <v>1850</v>
      </c>
      <c r="E43" s="33" t="s">
        <v>1867</v>
      </c>
      <c r="F43" s="33" t="s">
        <v>1117</v>
      </c>
      <c r="G43" s="33" t="s">
        <v>1936</v>
      </c>
      <c r="H43" s="34">
        <v>160</v>
      </c>
      <c r="I43" s="34"/>
      <c r="J43" s="149" t="str">
        <f>IF($F43="","",IFERROR(IFERROR(INDEX(Réttabanki!$U:$U,MATCH($F43,Réttabanki!$A:$A,0)),INDEX(Vöruskrá!$R:$R,MATCH($F43,Vöruskrá!$B:$B,0)))*($H43+IF($I43="",$H43*(1+#REF!),$I43))/2/1000,""))</f>
        <v/>
      </c>
      <c r="K43" s="21" t="s">
        <v>1119</v>
      </c>
      <c r="L43" s="21" t="s">
        <v>469</v>
      </c>
      <c r="M43" s="21" t="s">
        <v>499</v>
      </c>
      <c r="N43" s="22">
        <v>255</v>
      </c>
      <c r="O43" s="22">
        <v>1.9</v>
      </c>
      <c r="P43" s="22">
        <v>0.3</v>
      </c>
      <c r="Q43" s="22">
        <v>43.8</v>
      </c>
      <c r="R43" s="22">
        <v>10.4</v>
      </c>
      <c r="S43" s="22">
        <v>1.1000000000000001</v>
      </c>
      <c r="T43" s="66">
        <v>2</v>
      </c>
      <c r="U43" s="286" t="s">
        <v>1858</v>
      </c>
      <c r="V43" s="286" t="s">
        <v>1904</v>
      </c>
      <c r="W43" s="286" t="s">
        <v>1937</v>
      </c>
      <c r="X43" s="286" t="s">
        <v>1910</v>
      </c>
      <c r="Y43" s="286">
        <v>75</v>
      </c>
      <c r="Z43" s="286"/>
      <c r="AA43" s="286"/>
    </row>
    <row r="44" spans="1:27">
      <c r="A44" s="31"/>
      <c r="B44" s="32" t="s">
        <v>1922</v>
      </c>
      <c r="C44" s="32">
        <v>31</v>
      </c>
      <c r="D44" s="33" t="s">
        <v>1850</v>
      </c>
      <c r="E44" s="33" t="s">
        <v>1867</v>
      </c>
      <c r="F44" s="33" t="s">
        <v>867</v>
      </c>
      <c r="G44" s="33" t="s">
        <v>554</v>
      </c>
      <c r="H44" s="34">
        <v>80</v>
      </c>
      <c r="I44" s="34"/>
      <c r="J44" s="149" t="str">
        <f>IF($F44="","",IFERROR(IFERROR(INDEX(Réttabanki!$U:$U,MATCH($F44,Réttabanki!$A:$A,0)),INDEX(Vöruskrá!$R:$R,MATCH($F44,Vöruskrá!$B:$B,0)))*($H44+IF($I44="",$H44*(1+#REF!),$I44))/2/1000,""))</f>
        <v/>
      </c>
      <c r="K44" s="21" t="s">
        <v>554</v>
      </c>
      <c r="L44" s="21" t="s">
        <v>121</v>
      </c>
      <c r="M44" s="21"/>
      <c r="N44" s="22">
        <v>77</v>
      </c>
      <c r="O44" s="22">
        <v>0.1</v>
      </c>
      <c r="P44" s="22">
        <v>0</v>
      </c>
      <c r="Q44" s="22">
        <v>17</v>
      </c>
      <c r="R44" s="22">
        <v>2</v>
      </c>
      <c r="S44" s="22">
        <v>0</v>
      </c>
      <c r="T44" s="65">
        <f>IF(F44="","",IFERROR(INDEX(Réttabanki!Q:Q,MATCH(F44,Réttabanki!A:A,0)),IFERROR(INDEX(Réttabanki!Q:Q,MATCH(F44,Réttabanki!B:B,0)),"")))</f>
        <v>0</v>
      </c>
      <c r="U44" s="284"/>
      <c r="V44" s="284"/>
      <c r="W44" s="284"/>
      <c r="X44" s="284"/>
      <c r="Y44" s="284"/>
      <c r="Z44" s="284"/>
      <c r="AA44" s="284"/>
    </row>
    <row r="45" spans="1:27" ht="60">
      <c r="A45" s="31"/>
      <c r="B45" s="32" t="s">
        <v>1922</v>
      </c>
      <c r="C45" s="32">
        <v>31</v>
      </c>
      <c r="D45" s="33" t="s">
        <v>1850</v>
      </c>
      <c r="E45" s="33" t="s">
        <v>1867</v>
      </c>
      <c r="F45" s="33" t="s">
        <v>257</v>
      </c>
      <c r="G45" s="33" t="s">
        <v>1938</v>
      </c>
      <c r="H45" s="34">
        <v>25</v>
      </c>
      <c r="I45" s="34"/>
      <c r="J45" s="149" t="str">
        <f>IF($F45="","",IFERROR(IFERROR(INDEX(Réttabanki!$U:$U,MATCH($F45,Réttabanki!$A:$A,0)),INDEX(Vöruskrá!$R:$R,MATCH($F45,Vöruskrá!$B:$B,0)))*($H45+IF($I45="",$H45*(1+#REF!),$I45))/2/1000,""))</f>
        <v/>
      </c>
      <c r="K45" s="21" t="s">
        <v>258</v>
      </c>
      <c r="L45" s="21" t="s">
        <v>133</v>
      </c>
      <c r="M45" s="21"/>
      <c r="N45" s="22">
        <v>448</v>
      </c>
      <c r="O45" s="22">
        <v>45</v>
      </c>
      <c r="P45" s="22">
        <v>2.9</v>
      </c>
      <c r="Q45" s="22">
        <v>12</v>
      </c>
      <c r="R45" s="22"/>
      <c r="S45" s="22">
        <v>1.4</v>
      </c>
      <c r="T45" s="66" t="str">
        <f>IF(F45="","",IFERROR(INDEX(Réttabanki!Q:Q,MATCH(F45,Réttabanki!A:A,0)),IFERROR(INDEX(Réttabanki!Q:Q,MATCH(F45,Réttabanki!B:B,0)),"")))</f>
        <v/>
      </c>
      <c r="U45" s="286" t="s">
        <v>1858</v>
      </c>
      <c r="V45" s="286" t="s">
        <v>1859</v>
      </c>
      <c r="W45" s="286"/>
      <c r="X45" s="286"/>
      <c r="Y45" s="286"/>
      <c r="Z45" s="286"/>
      <c r="AA45" s="286"/>
    </row>
    <row r="46" spans="1:27" ht="24">
      <c r="A46" s="31"/>
      <c r="B46" s="32" t="s">
        <v>1922</v>
      </c>
      <c r="C46" s="32">
        <v>31</v>
      </c>
      <c r="D46" s="33" t="s">
        <v>1850</v>
      </c>
      <c r="E46" s="33" t="s">
        <v>946</v>
      </c>
      <c r="F46" s="33" t="s">
        <v>142</v>
      </c>
      <c r="G46" s="33" t="s">
        <v>1939</v>
      </c>
      <c r="H46" s="34">
        <v>160</v>
      </c>
      <c r="I46" s="34"/>
      <c r="J46" s="149" t="str">
        <f>IF($F46="","",IFERROR(IFERROR(INDEX(Réttabanki!$U:$U,MATCH($F46,Réttabanki!$A:$A,0)),INDEX(Vöruskrá!$R:$R,MATCH($F46,Vöruskrá!$B:$B,0)))*($H46+IF($I46="",$H46*(1+#REF!),$I46))/2/1000,""))</f>
        <v/>
      </c>
      <c r="K46" s="21" t="s">
        <v>144</v>
      </c>
      <c r="L46" s="21" t="s">
        <v>145</v>
      </c>
      <c r="M46" s="21"/>
      <c r="N46" s="22">
        <v>237</v>
      </c>
      <c r="O46" s="22">
        <v>13</v>
      </c>
      <c r="P46" s="22">
        <v>4.7</v>
      </c>
      <c r="Q46" s="22">
        <v>14</v>
      </c>
      <c r="R46" s="22">
        <v>16</v>
      </c>
      <c r="S46" s="22">
        <v>1.5</v>
      </c>
      <c r="T46" s="66">
        <v>2</v>
      </c>
      <c r="U46" s="284" t="s">
        <v>1858</v>
      </c>
      <c r="V46" s="284" t="s">
        <v>1904</v>
      </c>
      <c r="W46" s="284">
        <v>180</v>
      </c>
      <c r="X46" s="285" t="s">
        <v>1910</v>
      </c>
      <c r="Y46" s="284">
        <v>75</v>
      </c>
      <c r="Z46" s="284"/>
      <c r="AA46" s="284"/>
    </row>
    <row r="47" spans="1:27" ht="60">
      <c r="A47" s="31"/>
      <c r="B47" s="32" t="s">
        <v>1922</v>
      </c>
      <c r="C47" s="32">
        <v>31</v>
      </c>
      <c r="D47" s="33" t="s">
        <v>1850</v>
      </c>
      <c r="E47" s="33" t="s">
        <v>946</v>
      </c>
      <c r="F47" s="33" t="s">
        <v>257</v>
      </c>
      <c r="G47" s="33" t="s">
        <v>1940</v>
      </c>
      <c r="H47" s="34">
        <v>25</v>
      </c>
      <c r="I47" s="34"/>
      <c r="J47" s="149" t="str">
        <f>IF($F47="","",IFERROR(IFERROR(INDEX(Réttabanki!$U:$U,MATCH($F47,Réttabanki!$A:$A,0)),INDEX(Vöruskrá!$R:$R,MATCH($F47,Vöruskrá!$B:$B,0)))*($H47+IF($I47="",$H47*(1+#REF!),$I47))/2/1000,""))</f>
        <v/>
      </c>
      <c r="K47" s="21" t="s">
        <v>258</v>
      </c>
      <c r="L47" s="21" t="s">
        <v>133</v>
      </c>
      <c r="M47" s="21"/>
      <c r="N47" s="22">
        <v>448</v>
      </c>
      <c r="O47" s="22">
        <v>45</v>
      </c>
      <c r="P47" s="22">
        <v>2.9</v>
      </c>
      <c r="Q47" s="22">
        <v>12</v>
      </c>
      <c r="R47" s="22"/>
      <c r="S47" s="22">
        <v>1.4</v>
      </c>
      <c r="T47" s="66"/>
      <c r="U47" s="286"/>
      <c r="V47" s="286"/>
      <c r="W47" s="286"/>
      <c r="X47" s="286"/>
      <c r="Y47" s="286"/>
      <c r="Z47" s="286"/>
      <c r="AA47" s="286"/>
    </row>
    <row r="48" spans="1:27">
      <c r="A48" s="31"/>
      <c r="B48" s="32" t="s">
        <v>1922</v>
      </c>
      <c r="C48" s="32">
        <v>31</v>
      </c>
      <c r="D48" s="33" t="s">
        <v>1850</v>
      </c>
      <c r="E48" s="33" t="s">
        <v>1877</v>
      </c>
      <c r="F48" s="33"/>
      <c r="G48" s="33" t="s">
        <v>1941</v>
      </c>
      <c r="H48" s="34"/>
      <c r="I48" s="34"/>
      <c r="J48" s="149" t="str">
        <f>IF($F48="","",IFERROR(IFERROR(INDEX(Réttabanki!$U:$U,MATCH($F48,Réttabanki!$A:$A,0)),INDEX(Vöruskrá!$R:$R,MATCH($F48,Vöruskrá!$B:$B,0)))*($H48+IF($I48="",$H48*(1+#REF!),$I48))/2/1000,""))</f>
        <v/>
      </c>
      <c r="K48" s="21"/>
      <c r="L48" s="21" t="s">
        <v>121</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5" t="str">
        <f>IF(F48="","",IFERROR(INDEX(Réttabanki!Q:Q,MATCH(F48,Réttabanki!A:A,0)),IFERROR(INDEX(Réttabanki!Q:Q,MATCH(F48,Réttabanki!B:B,0)),"")))</f>
        <v/>
      </c>
      <c r="U48" s="284"/>
      <c r="V48" s="284"/>
      <c r="W48" s="284"/>
      <c r="X48" s="284"/>
      <c r="Y48" s="284"/>
      <c r="Z48" s="284"/>
      <c r="AA48" s="284"/>
    </row>
    <row r="49" spans="1:27" ht="36">
      <c r="A49" s="31"/>
      <c r="B49" s="32" t="s">
        <v>1922</v>
      </c>
      <c r="C49" s="32">
        <v>31</v>
      </c>
      <c r="D49" s="33" t="s">
        <v>1850</v>
      </c>
      <c r="E49" s="33" t="s">
        <v>1885</v>
      </c>
      <c r="F49" s="33"/>
      <c r="G49" s="33" t="s">
        <v>1942</v>
      </c>
      <c r="H49" s="34"/>
      <c r="I49" s="34"/>
      <c r="J49" s="149" t="str">
        <f>IF($F49="","",IFERROR(IFERROR(INDEX(Réttabanki!$U:$U,MATCH($F49,Réttabanki!$A:$A,0)),INDEX(Vöruskrá!$R:$R,MATCH($F49,Vöruskrá!$B:$B,0)))*($H49+IF($I49="",$H49*(1+#REF!),$I49))/2/1000,""))</f>
        <v/>
      </c>
      <c r="K49" s="21" t="s">
        <v>1943</v>
      </c>
      <c r="L49" s="21" t="s">
        <v>1944</v>
      </c>
      <c r="M49" s="21" t="str">
        <f>IF($F49="","",IFERROR(IFERROR(INDEX(Réttabanki!$F:$F,MATCH($F49,Réttabanki!$A:$A,0)),INDEX(Vöruskrá!$H:$H,MATCH($F49,Vöruskrá!$B:$B,0))),""))</f>
        <v/>
      </c>
      <c r="N49" s="22" t="str">
        <f>IF($F49="","",IFERROR(IFERROR(INDEX(Réttabanki!$G:$G,MATCH($F49,Réttabanki!$A:$A,0)),INDEX(Vöruskrá!$J:$J,MATCH($F49,Vöruskrá!$B:$B,0)))*($H49+IF($I49="",$H49*(1+#REF!),$I49))/2/100,""))</f>
        <v/>
      </c>
      <c r="O49" s="22" t="str">
        <f>IF($F49="","",IFERROR(IFERROR(INDEX(Réttabanki!$H:$H,MATCH($F49,Réttabanki!$A:$A,0)),INDEX(Vöruskrá!$K:$K,MATCH($F49,Vöruskrá!$B:$B,0)))*($H49+IF($I49="",$H49*(1+#REF!),$I49))/2/100,""))</f>
        <v/>
      </c>
      <c r="P49" s="22" t="str">
        <f>IF($F49="","",IFERROR(IFERROR(INDEX(Réttabanki!$I:$I,MATCH($F49,Réttabanki!$A:$A,0)),INDEX(Vöruskrá!$L:$L,MATCH($F49,Vöruskrá!$B:$B,0)))*($H49+IF($I49="",$H49*(1+#REF!),$I49))/2/100,""))</f>
        <v/>
      </c>
      <c r="Q49" s="22" t="str">
        <f>IF($F49="","",IFERROR(IFERROR(INDEX(Réttabanki!$J:$J,MATCH($F49,Réttabanki!$A:$A,0)),INDEX(Vöruskrá!$M:$M,MATCH($F49,Vöruskrá!$B:$B,0)))*($H49+IF($I49="",$H49*(1+#REF!),$I49))/2/100,""))</f>
        <v/>
      </c>
      <c r="R49" s="22" t="str">
        <f>IF($F49="","",IFERROR(IFERROR(INDEX(Réttabanki!$L:$L,MATCH($F49,Réttabanki!$A:$A,0)),INDEX(Vöruskrá!$O:$O,MATCH($F49,Vöruskrá!$B:$B,0)))*($H49+IF($I49="",$H49*(1+#REF!),$I49))/2/100,""))</f>
        <v/>
      </c>
      <c r="S49" s="22" t="str">
        <f>IF($F49="","",IFERROR(IFERROR(INDEX(Réttabanki!$M:$M,MATCH($F49,Réttabanki!$A:$A,0)),INDEX(Vöruskrá!$P:$P,MATCH($F49,Vöruskrá!$B:$B,0)))*($H49+IF($I49="",$H49*(1+#REF!),$I49))/2/100,""))</f>
        <v/>
      </c>
      <c r="T49" s="66" t="str">
        <f>IF(F49="","",IFERROR(INDEX(Réttabanki!Q:Q,MATCH(F49,Réttabanki!A:A,0)),IFERROR(INDEX(Réttabanki!Q:Q,MATCH(F49,Réttabanki!B:B,0)),"")))</f>
        <v/>
      </c>
      <c r="U49" s="286"/>
      <c r="V49" s="286"/>
      <c r="W49" s="286"/>
      <c r="X49" s="286"/>
      <c r="Y49" s="286"/>
      <c r="Z49" s="286"/>
      <c r="AA49" s="286"/>
    </row>
    <row r="50" spans="1:27" ht="24">
      <c r="A50" s="31"/>
      <c r="B50" s="32" t="s">
        <v>1922</v>
      </c>
      <c r="C50" s="32">
        <v>31</v>
      </c>
      <c r="D50" s="33" t="s">
        <v>1850</v>
      </c>
      <c r="E50" s="33" t="s">
        <v>1885</v>
      </c>
      <c r="F50" s="33" t="s">
        <v>40</v>
      </c>
      <c r="G50" s="33" t="s">
        <v>1426</v>
      </c>
      <c r="H50" s="34">
        <v>45</v>
      </c>
      <c r="I50" s="34"/>
      <c r="J50" s="149" t="str">
        <f>IF($F50="","",IFERROR(IFERROR(INDEX(Réttabanki!$U:$U,MATCH($F50,Réttabanki!$A:$A,0)),INDEX(Vöruskrá!$R:$R,MATCH($F50,Vöruskrá!$B:$B,0)))*($H50+IF($I50="",$H50*(1+#REF!),$I50))/2/1000,""))</f>
        <v/>
      </c>
      <c r="K50" s="21" t="s">
        <v>42</v>
      </c>
      <c r="L50" s="21" t="s">
        <v>43</v>
      </c>
      <c r="M50" s="21" t="s">
        <v>44</v>
      </c>
      <c r="N50" s="22">
        <v>257</v>
      </c>
      <c r="O50" s="22">
        <v>0.9</v>
      </c>
      <c r="P50" s="22">
        <v>0.2</v>
      </c>
      <c r="Q50" s="22">
        <v>51</v>
      </c>
      <c r="R50" s="22">
        <v>9.4</v>
      </c>
      <c r="S50" s="22">
        <v>1.5</v>
      </c>
      <c r="T50" s="65" t="str">
        <f>IF(F50="","",IFERROR(INDEX(Réttabanki!Q:Q,MATCH(F50,Réttabanki!A:A,0)),IFERROR(INDEX(Réttabanki!Q:Q,MATCH(F50,Réttabanki!B:B,0)),"")))</f>
        <v/>
      </c>
      <c r="U50" s="284" t="s">
        <v>1932</v>
      </c>
      <c r="V50" s="284" t="s">
        <v>1859</v>
      </c>
      <c r="W50" s="284"/>
      <c r="X50" s="284"/>
      <c r="Y50" s="284"/>
      <c r="Z50" s="284"/>
      <c r="AA50" s="284"/>
    </row>
    <row r="51" spans="1:27">
      <c r="A51" s="31"/>
      <c r="B51" s="32" t="s">
        <v>1922</v>
      </c>
      <c r="C51" s="32">
        <v>31</v>
      </c>
      <c r="D51" s="33" t="s">
        <v>1850</v>
      </c>
      <c r="E51" s="33" t="s">
        <v>1885</v>
      </c>
      <c r="F51" s="33" t="s">
        <v>829</v>
      </c>
      <c r="G51" s="33" t="s">
        <v>1945</v>
      </c>
      <c r="H51" s="34">
        <v>20</v>
      </c>
      <c r="I51" s="34"/>
      <c r="J51" s="149" t="str">
        <f>IF($F51="","",IFERROR(IFERROR(INDEX(Réttabanki!$U:$U,MATCH($F51,Réttabanki!$A:$A,0)),INDEX(Vöruskrá!$R:$R,MATCH($F51,Vöruskrá!$B:$B,0)))*($H51+IF($I51="",$H51*(1+#REF!),$I51))/2/1000,""))</f>
        <v/>
      </c>
      <c r="K51" s="21" t="s">
        <v>830</v>
      </c>
      <c r="L51" s="21" t="s">
        <v>831</v>
      </c>
      <c r="M51" s="21"/>
      <c r="N51" s="22">
        <v>235</v>
      </c>
      <c r="O51" s="22">
        <v>18</v>
      </c>
      <c r="P51" s="22">
        <v>10</v>
      </c>
      <c r="Q51" s="22">
        <v>0.3</v>
      </c>
      <c r="R51" s="22">
        <v>19</v>
      </c>
      <c r="S51" s="22">
        <v>2.8</v>
      </c>
      <c r="T51" s="66" t="str">
        <f>IF(F51="","",IFERROR(INDEX(Réttabanki!Q:Q,MATCH(F51,Réttabanki!A:A,0)),IFERROR(INDEX(Réttabanki!Q:Q,MATCH(F51,Réttabanki!B:B,0)),"")))</f>
        <v/>
      </c>
      <c r="U51" s="286" t="s">
        <v>1858</v>
      </c>
      <c r="V51" s="286" t="s">
        <v>1859</v>
      </c>
      <c r="W51" s="286"/>
      <c r="X51" s="286"/>
      <c r="Y51" s="286"/>
      <c r="Z51" s="286"/>
      <c r="AA51" s="286"/>
    </row>
    <row r="52" spans="1:27">
      <c r="A52" s="155"/>
      <c r="B52" s="156" t="s">
        <v>1922</v>
      </c>
      <c r="C52" s="156">
        <v>31</v>
      </c>
      <c r="D52" s="157"/>
      <c r="E52" s="157"/>
      <c r="F52" s="157" t="s">
        <v>1894</v>
      </c>
      <c r="G52" s="157"/>
      <c r="H52" s="158"/>
      <c r="I52" s="158"/>
      <c r="J52" s="159">
        <f>SUMIFS(J37:J51,E37:E51,"&lt;&gt;Hliðarréttur",E37:E51,"&lt;&gt;Sérfæði")</f>
        <v>0</v>
      </c>
      <c r="K52" s="21" t="s">
        <v>1895</v>
      </c>
      <c r="L52" s="21"/>
      <c r="M52" s="21"/>
      <c r="N52" s="22"/>
      <c r="O52" s="22"/>
      <c r="P52" s="22"/>
      <c r="Q52" s="22"/>
      <c r="R52" s="22"/>
      <c r="S52" s="22"/>
      <c r="T52" s="66"/>
      <c r="U52" s="284"/>
      <c r="V52" s="284"/>
      <c r="W52" s="284"/>
      <c r="X52" s="284"/>
      <c r="Y52" s="284"/>
      <c r="Z52" s="284"/>
      <c r="AA52" s="284"/>
    </row>
    <row r="53" spans="1:27">
      <c r="A53" s="155"/>
      <c r="B53" s="156" t="s">
        <v>1922</v>
      </c>
      <c r="C53" s="156">
        <v>31</v>
      </c>
      <c r="D53" s="157"/>
      <c r="E53" s="157"/>
      <c r="F53" s="157" t="s">
        <v>1897</v>
      </c>
      <c r="G53" s="157"/>
      <c r="H53" s="158"/>
      <c r="I53" s="158"/>
      <c r="J53" s="159">
        <f>SUMIFS(J37:J51,E37:E51,"&lt;&gt;Hliðarréttur",E37:E51,"&lt;&gt;Sérfæði")</f>
        <v>0</v>
      </c>
      <c r="K53" s="21" t="s">
        <v>1895</v>
      </c>
      <c r="L53" s="21"/>
      <c r="M53" s="21"/>
      <c r="N53" s="22"/>
      <c r="O53" s="22"/>
      <c r="P53" s="22"/>
      <c r="Q53" s="22"/>
      <c r="R53" s="22"/>
      <c r="S53" s="22"/>
      <c r="T53" s="66"/>
      <c r="U53" s="286"/>
      <c r="V53" s="286"/>
      <c r="W53" s="286"/>
      <c r="X53" s="286"/>
      <c r="Y53" s="286"/>
      <c r="Z53" s="286"/>
      <c r="AA53" s="286"/>
    </row>
    <row r="54" spans="1:27" ht="72">
      <c r="A54" s="31">
        <v>46233</v>
      </c>
      <c r="B54" s="32" t="s">
        <v>1946</v>
      </c>
      <c r="C54" s="32">
        <v>31</v>
      </c>
      <c r="D54" s="33" t="s">
        <v>1850</v>
      </c>
      <c r="E54" s="33" t="s">
        <v>1852</v>
      </c>
      <c r="F54" s="33"/>
      <c r="G54" s="33" t="s">
        <v>1947</v>
      </c>
      <c r="H54" s="34"/>
      <c r="I54" s="34"/>
      <c r="J54" s="149" t="str">
        <f>IF($F54="","",IFERROR(IFERROR(INDEX(Réttabanki!$U:$U,MATCH($F54,Réttabanki!$A:$A,0)),INDEX(Vöruskrá!$R:$R,MATCH($F54,Vöruskrá!$B:$B,0)))*($H54+IF($I54="",$H54*(1+#REF!),$I54))/2/1000,""))</f>
        <v/>
      </c>
      <c r="K54" s="21" t="s">
        <v>1948</v>
      </c>
      <c r="L54" s="21" t="s">
        <v>1949</v>
      </c>
      <c r="M54" s="21" t="str">
        <f>IF($F54="","",IFERROR(IFERROR(INDEX(Réttabanki!$F:$F,MATCH($F54,Réttabanki!$A:$A,0)),INDEX(Vöruskrá!$H:$H,MATCH($F54,Vöruskrá!$B:$B,0))),""))</f>
        <v/>
      </c>
      <c r="N54" s="22" t="str">
        <f>IF($F54="","",IFERROR(IFERROR(INDEX(Réttabanki!$G:$G,MATCH($F54,Réttabanki!$A:$A,0)),INDEX(Vöruskrá!$J:$J,MATCH($F54,Vöruskrá!$B:$B,0)))*($H54+IF($I54="",$H54*(1+#REF!),$I54))/2/100,""))</f>
        <v/>
      </c>
      <c r="O54" s="22" t="str">
        <f>IF($F54="","",IFERROR(IFERROR(INDEX(Réttabanki!$H:$H,MATCH($F54,Réttabanki!$A:$A,0)),INDEX(Vöruskrá!$K:$K,MATCH($F54,Vöruskrá!$B:$B,0)))*($H54+IF($I54="",$H54*(1+#REF!),$I54))/2/100,""))</f>
        <v/>
      </c>
      <c r="P54" s="22" t="str">
        <f>IF($F54="","",IFERROR(IFERROR(INDEX(Réttabanki!$I:$I,MATCH($F54,Réttabanki!$A:$A,0)),INDEX(Vöruskrá!$L:$L,MATCH($F54,Vöruskrá!$B:$B,0)))*($H54+IF($I54="",$H54*(1+#REF!),$I54))/2/100,""))</f>
        <v/>
      </c>
      <c r="Q54" s="22" t="str">
        <f>IF($F54="","",IFERROR(IFERROR(INDEX(Réttabanki!$J:$J,MATCH($F54,Réttabanki!$A:$A,0)),INDEX(Vöruskrá!$M:$M,MATCH($F54,Vöruskrá!$B:$B,0)))*($H54+IF($I54="",$H54*(1+#REF!),$I54))/2/100,""))</f>
        <v/>
      </c>
      <c r="R54" s="22" t="str">
        <f>IF($F54="","",IFERROR(IFERROR(INDEX(Réttabanki!$L:$L,MATCH($F54,Réttabanki!$A:$A,0)),INDEX(Vöruskrá!$O:$O,MATCH($F54,Vöruskrá!$B:$B,0)))*($H54+IF($I54="",$H54*(1+#REF!),$I54))/2/100,""))</f>
        <v/>
      </c>
      <c r="S54" s="22" t="str">
        <f>IF($F54="","",IFERROR(IFERROR(INDEX(Réttabanki!$M:$M,MATCH($F54,Réttabanki!$A:$A,0)),INDEX(Vöruskrá!$P:$P,MATCH($F54,Vöruskrá!$B:$B,0)))*($H54+IF($I54="",$H54*(1+#REF!),$I54))/2/100,""))</f>
        <v/>
      </c>
      <c r="T54" s="65" t="str">
        <f>IF(F54="","",IFERROR(INDEX(Réttabanki!Q:Q,MATCH(F54,Réttabanki!A:A,0)),IFERROR(INDEX(Réttabanki!Q:Q,MATCH(F54,Réttabanki!B:B,0)),"")))</f>
        <v/>
      </c>
      <c r="U54" s="284"/>
      <c r="V54" s="284"/>
      <c r="W54" s="284"/>
      <c r="X54" s="284"/>
      <c r="Y54" s="284"/>
      <c r="Z54" s="284"/>
      <c r="AA54" s="284"/>
    </row>
    <row r="55" spans="1:27" ht="60">
      <c r="A55" s="31"/>
      <c r="B55" s="32" t="s">
        <v>1946</v>
      </c>
      <c r="C55" s="32">
        <v>31</v>
      </c>
      <c r="D55" s="33" t="s">
        <v>1850</v>
      </c>
      <c r="E55" s="33" t="s">
        <v>1852</v>
      </c>
      <c r="F55" s="33" t="s">
        <v>785</v>
      </c>
      <c r="G55" s="33" t="s">
        <v>1950</v>
      </c>
      <c r="H55" s="34">
        <v>120</v>
      </c>
      <c r="I55" s="34"/>
      <c r="J55" s="149" t="str">
        <f>IF($F55="","",IFERROR(IFERROR(INDEX(Réttabanki!$U:$U,MATCH($F55,Réttabanki!$A:$A,0)),INDEX(Vöruskrá!$R:$R,MATCH($F55,Vöruskrá!$B:$B,0)))*($H55+IF($I55="",$H55*(1+#REF!),$I55))/2/1000,""))</f>
        <v/>
      </c>
      <c r="K55" s="21" t="s">
        <v>786</v>
      </c>
      <c r="L55" s="21" t="s">
        <v>227</v>
      </c>
      <c r="M55" s="21"/>
      <c r="N55" s="22">
        <v>96</v>
      </c>
      <c r="O55" s="22">
        <v>5.2</v>
      </c>
      <c r="P55" s="22">
        <v>1.9</v>
      </c>
      <c r="Q55" s="22">
        <v>5.5</v>
      </c>
      <c r="R55" s="22">
        <v>8.6</v>
      </c>
      <c r="S55" s="22">
        <v>0.9</v>
      </c>
      <c r="T55" s="66">
        <v>1</v>
      </c>
      <c r="U55" s="286" t="s">
        <v>1858</v>
      </c>
      <c r="V55" s="286" t="s">
        <v>1904</v>
      </c>
      <c r="W55" s="286">
        <v>160</v>
      </c>
      <c r="X55" s="286" t="s">
        <v>1951</v>
      </c>
      <c r="Y55" s="286">
        <v>85</v>
      </c>
      <c r="Z55" s="286" t="s">
        <v>1952</v>
      </c>
      <c r="AA55" s="286"/>
    </row>
    <row r="56" spans="1:27">
      <c r="A56" s="31"/>
      <c r="B56" s="32" t="s">
        <v>1946</v>
      </c>
      <c r="C56" s="32">
        <v>31</v>
      </c>
      <c r="D56" s="33" t="s">
        <v>1850</v>
      </c>
      <c r="E56" s="33" t="s">
        <v>1852</v>
      </c>
      <c r="F56" s="33" t="s">
        <v>1079</v>
      </c>
      <c r="G56" s="33" t="s">
        <v>779</v>
      </c>
      <c r="H56" s="34">
        <v>150</v>
      </c>
      <c r="I56" s="34"/>
      <c r="J56" s="149" t="str">
        <f>IF($F56="","",IFERROR(IFERROR(INDEX(Réttabanki!$U:$U,MATCH($F56,Réttabanki!$A:$A,0)),INDEX(Vöruskrá!$R:$R,MATCH($F56,Vöruskrá!$B:$B,0)))*($H56+IF($I56="",$H56*(1+#REF!),$I56))/2/1000,""))</f>
        <v/>
      </c>
      <c r="K56" s="21" t="s">
        <v>781</v>
      </c>
      <c r="L56" s="21" t="s">
        <v>30</v>
      </c>
      <c r="M56" s="21" t="s">
        <v>782</v>
      </c>
      <c r="N56" s="22">
        <v>146</v>
      </c>
      <c r="O56" s="22">
        <v>0.6</v>
      </c>
      <c r="P56" s="22">
        <v>0.1</v>
      </c>
      <c r="Q56" s="22">
        <v>30.4</v>
      </c>
      <c r="R56" s="22">
        <v>5</v>
      </c>
      <c r="S56" s="22">
        <v>0</v>
      </c>
      <c r="T56" s="65">
        <v>2</v>
      </c>
      <c r="U56" s="284" t="s">
        <v>1858</v>
      </c>
      <c r="V56" s="284" t="s">
        <v>1904</v>
      </c>
      <c r="W56" s="284" t="s">
        <v>1913</v>
      </c>
      <c r="X56" s="284">
        <v>6</v>
      </c>
      <c r="Y56" s="284"/>
      <c r="Z56" s="284"/>
      <c r="AA56" s="284"/>
    </row>
    <row r="57" spans="1:27" ht="96">
      <c r="A57" s="31"/>
      <c r="B57" s="32" t="s">
        <v>1946</v>
      </c>
      <c r="C57" s="32">
        <v>31</v>
      </c>
      <c r="D57" s="33" t="s">
        <v>1850</v>
      </c>
      <c r="E57" s="33" t="s">
        <v>1867</v>
      </c>
      <c r="F57" s="33"/>
      <c r="G57" s="33" t="s">
        <v>1953</v>
      </c>
      <c r="H57" s="34"/>
      <c r="I57" s="34"/>
      <c r="J57" s="149" t="str">
        <f>IF($F57="","",IFERROR(IFERROR(INDEX(Réttabanki!$U:$U,MATCH($F57,Réttabanki!$A:$A,0)),INDEX(Vöruskrá!$R:$R,MATCH($F57,Vöruskrá!$B:$B,0)))*($H57+IF($I57="",$H57*(1+#REF!),$I57))/2/1000,""))</f>
        <v/>
      </c>
      <c r="K57" s="21" t="s">
        <v>1954</v>
      </c>
      <c r="L57" s="21" t="s">
        <v>1955</v>
      </c>
      <c r="M57" s="21" t="str">
        <f>IF($F57="","",IFERROR(IFERROR(INDEX(Réttabanki!$F:$F,MATCH($F57,Réttabanki!$A:$A,0)),INDEX(Vöruskrá!$H:$H,MATCH($F57,Vöruskrá!$B:$B,0))),""))</f>
        <v/>
      </c>
      <c r="N57" s="22" t="str">
        <f>IF($F57="","",IFERROR(IFERROR(INDEX(Réttabanki!$G:$G,MATCH($F57,Réttabanki!$A:$A,0)),INDEX(Vöruskrá!$J:$J,MATCH($F57,Vöruskrá!$B:$B,0)))*($H57+IF($I57="",$H57*(1+#REF!),$I57))/2/100,""))</f>
        <v/>
      </c>
      <c r="O57" s="22" t="str">
        <f>IF($F57="","",IFERROR(IFERROR(INDEX(Réttabanki!$H:$H,MATCH($F57,Réttabanki!$A:$A,0)),INDEX(Vöruskrá!$K:$K,MATCH($F57,Vöruskrá!$B:$B,0)))*($H57+IF($I57="",$H57*(1+#REF!),$I57))/2/100,""))</f>
        <v/>
      </c>
      <c r="P57" s="22" t="str">
        <f>IF($F57="","",IFERROR(IFERROR(INDEX(Réttabanki!$I:$I,MATCH($F57,Réttabanki!$A:$A,0)),INDEX(Vöruskrá!$L:$L,MATCH($F57,Vöruskrá!$B:$B,0)))*($H57+IF($I57="",$H57*(1+#REF!),$I57))/2/100,""))</f>
        <v/>
      </c>
      <c r="Q57" s="22" t="str">
        <f>IF($F57="","",IFERROR(IFERROR(INDEX(Réttabanki!$J:$J,MATCH($F57,Réttabanki!$A:$A,0)),INDEX(Vöruskrá!$M:$M,MATCH($F57,Vöruskrá!$B:$B,0)))*($H57+IF($I57="",$H57*(1+#REF!),$I57))/2/100,""))</f>
        <v/>
      </c>
      <c r="R57" s="22" t="str">
        <f>IF($F57="","",IFERROR(IFERROR(INDEX(Réttabanki!$L:$L,MATCH($F57,Réttabanki!$A:$A,0)),INDEX(Vöruskrá!$O:$O,MATCH($F57,Vöruskrá!$B:$B,0)))*($H57+IF($I57="",$H57*(1+#REF!),$I57))/2/100,""))</f>
        <v/>
      </c>
      <c r="S57" s="22" t="str">
        <f>IF($F57="","",IFERROR(IFERROR(INDEX(Réttabanki!$M:$M,MATCH($F57,Réttabanki!$A:$A,0)),INDEX(Vöruskrá!$P:$P,MATCH($F57,Vöruskrá!$B:$B,0)))*($H57+IF($I57="",$H57*(1+#REF!),$I57))/2/100,""))</f>
        <v/>
      </c>
      <c r="T57" s="66"/>
      <c r="U57" s="286"/>
      <c r="V57" s="286"/>
      <c r="W57" s="286"/>
      <c r="X57" s="286"/>
      <c r="Y57" s="286"/>
      <c r="Z57" s="286"/>
      <c r="AA57" s="286"/>
    </row>
    <row r="58" spans="1:27" ht="84">
      <c r="A58" s="31"/>
      <c r="B58" s="32" t="s">
        <v>1946</v>
      </c>
      <c r="C58" s="32">
        <v>31</v>
      </c>
      <c r="D58" s="33" t="s">
        <v>1850</v>
      </c>
      <c r="E58" s="33" t="s">
        <v>1867</v>
      </c>
      <c r="F58" s="33" t="s">
        <v>1700</v>
      </c>
      <c r="G58" s="33" t="s">
        <v>1700</v>
      </c>
      <c r="H58" s="34">
        <v>120</v>
      </c>
      <c r="I58" s="34"/>
      <c r="J58" s="149" t="str">
        <f>IF($F58="","",IFERROR(IFERROR(INDEX(Réttabanki!$U:$U,MATCH($F58,Réttabanki!$A:$A,0)),INDEX(Vöruskrá!$R:$R,MATCH($F58,Vöruskrá!$B:$B,0)))*($H58+IF($I58="",$H58*(1+#REF!),$I58))/2/1000,""))</f>
        <v/>
      </c>
      <c r="K58" s="21" t="s">
        <v>1701</v>
      </c>
      <c r="L58" s="21" t="s">
        <v>1702</v>
      </c>
      <c r="M58" s="21"/>
      <c r="N58" s="22">
        <v>86.46</v>
      </c>
      <c r="O58" s="22">
        <v>2.4500000000000002</v>
      </c>
      <c r="P58" s="22">
        <v>0.27</v>
      </c>
      <c r="Q58" s="22">
        <v>4.71</v>
      </c>
      <c r="R58" s="22">
        <v>9.7200000000000006</v>
      </c>
      <c r="S58" s="22">
        <v>1.5</v>
      </c>
      <c r="T58" s="65">
        <v>1</v>
      </c>
      <c r="U58" s="284" t="s">
        <v>1858</v>
      </c>
      <c r="V58" s="284" t="s">
        <v>1904</v>
      </c>
      <c r="W58" s="284">
        <v>160</v>
      </c>
      <c r="X58" s="284" t="s">
        <v>1956</v>
      </c>
      <c r="Y58" s="284">
        <v>75</v>
      </c>
      <c r="Z58" s="284" t="s">
        <v>1957</v>
      </c>
      <c r="AA58" s="284"/>
    </row>
    <row r="59" spans="1:27">
      <c r="A59" s="31"/>
      <c r="B59" s="32" t="s">
        <v>1946</v>
      </c>
      <c r="C59" s="32">
        <v>31</v>
      </c>
      <c r="D59" s="33" t="s">
        <v>1850</v>
      </c>
      <c r="E59" s="33" t="s">
        <v>1867</v>
      </c>
      <c r="F59" s="33" t="s">
        <v>1079</v>
      </c>
      <c r="G59" s="33" t="s">
        <v>779</v>
      </c>
      <c r="H59" s="34">
        <v>150</v>
      </c>
      <c r="I59" s="34"/>
      <c r="J59" s="149" t="str">
        <f>IF($F59="","",IFERROR(IFERROR(INDEX(Réttabanki!$U:$U,MATCH($F59,Réttabanki!$A:$A,0)),INDEX(Vöruskrá!$R:$R,MATCH($F59,Vöruskrá!$B:$B,0)))*($H59+IF($I59="",$H59*(1+#REF!),$I59))/2/1000,""))</f>
        <v/>
      </c>
      <c r="K59" s="21" t="s">
        <v>781</v>
      </c>
      <c r="L59" s="21" t="s">
        <v>30</v>
      </c>
      <c r="M59" s="21" t="s">
        <v>782</v>
      </c>
      <c r="N59" s="22">
        <v>146</v>
      </c>
      <c r="O59" s="22">
        <v>0.6</v>
      </c>
      <c r="P59" s="22">
        <v>0.1</v>
      </c>
      <c r="Q59" s="22">
        <v>30.4</v>
      </c>
      <c r="R59" s="22">
        <v>5</v>
      </c>
      <c r="S59" s="22">
        <v>0</v>
      </c>
      <c r="T59" s="66"/>
      <c r="U59" s="286"/>
      <c r="V59" s="286"/>
      <c r="W59" s="286"/>
      <c r="X59" s="286"/>
      <c r="Y59" s="286"/>
      <c r="Z59" s="286"/>
      <c r="AA59" s="286"/>
    </row>
    <row r="60" spans="1:27">
      <c r="A60" s="31"/>
      <c r="B60" s="32" t="s">
        <v>1946</v>
      </c>
      <c r="C60" s="32">
        <v>31</v>
      </c>
      <c r="D60" s="33" t="s">
        <v>1850</v>
      </c>
      <c r="E60" s="33" t="s">
        <v>946</v>
      </c>
      <c r="F60" s="33" t="s">
        <v>1383</v>
      </c>
      <c r="G60" s="33" t="s">
        <v>1958</v>
      </c>
      <c r="H60" s="34">
        <v>150</v>
      </c>
      <c r="I60" s="34"/>
      <c r="J60" s="149" t="str">
        <f>IF($F60="","",IFERROR(IFERROR(INDEX(Réttabanki!$U:$U,MATCH($F60,Réttabanki!$A:$A,0)),INDEX(Vöruskrá!$R:$R,MATCH($F60,Vöruskrá!$B:$B,0)))*($H60+IF($I60="",$H60*(1+#REF!),$I60))/2/1000,""))</f>
        <v/>
      </c>
      <c r="K60" s="21" t="s">
        <v>1384</v>
      </c>
      <c r="L60" s="21"/>
      <c r="M60" s="21"/>
      <c r="N60" s="22">
        <v>144</v>
      </c>
      <c r="O60" s="22"/>
      <c r="P60" s="22"/>
      <c r="Q60" s="22">
        <v>33</v>
      </c>
      <c r="R60" s="22"/>
      <c r="S60" s="22">
        <v>0</v>
      </c>
      <c r="T60" s="66"/>
      <c r="U60" s="284"/>
      <c r="V60" s="284"/>
      <c r="W60" s="284"/>
      <c r="X60" s="284"/>
      <c r="Y60" s="284"/>
      <c r="Z60" s="284"/>
      <c r="AA60" s="284"/>
    </row>
    <row r="61" spans="1:27">
      <c r="A61" s="31"/>
      <c r="B61" s="32" t="s">
        <v>1946</v>
      </c>
      <c r="C61" s="32">
        <v>31</v>
      </c>
      <c r="D61" s="33" t="s">
        <v>1850</v>
      </c>
      <c r="E61" s="33" t="s">
        <v>1877</v>
      </c>
      <c r="F61" s="33"/>
      <c r="G61" s="33" t="s">
        <v>1959</v>
      </c>
      <c r="H61" s="34"/>
      <c r="I61" s="34"/>
      <c r="J61" s="149" t="str">
        <f>IF($F61="","",IFERROR(IFERROR(INDEX(Réttabanki!$U:$U,MATCH($F61,Réttabanki!$A:$A,0)),INDEX(Vöruskrá!$R:$R,MATCH($F61,Vöruskrá!$B:$B,0)))*($H61+IF($I61="",$H61*(1+#REF!),$I61))/2/1000,""))</f>
        <v/>
      </c>
      <c r="K61" s="21"/>
      <c r="L61" s="21" t="s">
        <v>121</v>
      </c>
      <c r="M61" s="21" t="str">
        <f>IF($F61="","",IFERROR(IFERROR(INDEX(Réttabanki!$F:$F,MATCH($F61,Réttabanki!$A:$A,0)),INDEX(Vöruskrá!$H:$H,MATCH($F61,Vöruskrá!$B:$B,0))),""))</f>
        <v/>
      </c>
      <c r="N61" s="22" t="str">
        <f>IF($F61="","",IFERROR(IFERROR(INDEX(Réttabanki!$G:$G,MATCH($F61,Réttabanki!$A:$A,0)),INDEX(Vöruskrá!$J:$J,MATCH($F61,Vöruskrá!$B:$B,0)))*($H61+IF($I61="",$H61*(1+#REF!),$I61))/2/100,""))</f>
        <v/>
      </c>
      <c r="O61" s="22" t="str">
        <f>IF($F61="","",IFERROR(IFERROR(INDEX(Réttabanki!$H:$H,MATCH($F61,Réttabanki!$A:$A,0)),INDEX(Vöruskrá!$K:$K,MATCH($F61,Vöruskrá!$B:$B,0)))*($H61+IF($I61="",$H61*(1+#REF!),$I61))/2/100,""))</f>
        <v/>
      </c>
      <c r="P61" s="22" t="str">
        <f>IF($F61="","",IFERROR(IFERROR(INDEX(Réttabanki!$I:$I,MATCH($F61,Réttabanki!$A:$A,0)),INDEX(Vöruskrá!$L:$L,MATCH($F61,Vöruskrá!$B:$B,0)))*($H61+IF($I61="",$H61*(1+#REF!),$I61))/2/100,""))</f>
        <v/>
      </c>
      <c r="Q61" s="22" t="str">
        <f>IF($F61="","",IFERROR(IFERROR(INDEX(Réttabanki!$J:$J,MATCH($F61,Réttabanki!$A:$A,0)),INDEX(Vöruskrá!$M:$M,MATCH($F61,Vöruskrá!$B:$B,0)))*($H61+IF($I61="",$H61*(1+#REF!),$I61))/2/100,""))</f>
        <v/>
      </c>
      <c r="R61" s="22" t="str">
        <f>IF($F61="","",IFERROR(IFERROR(INDEX(Réttabanki!$L:$L,MATCH($F61,Réttabanki!$A:$A,0)),INDEX(Vöruskrá!$O:$O,MATCH($F61,Vöruskrá!$B:$B,0)))*($H61+IF($I61="",$H61*(1+#REF!),$I61))/2/100,""))</f>
        <v/>
      </c>
      <c r="S61" s="22" t="str">
        <f>IF($F61="","",IFERROR(IFERROR(INDEX(Réttabanki!$M:$M,MATCH($F61,Réttabanki!$A:$A,0)),INDEX(Vöruskrá!$P:$P,MATCH($F61,Vöruskrá!$B:$B,0)))*($H61+IF($I61="",$H61*(1+#REF!),$I61))/2/100,""))</f>
        <v/>
      </c>
      <c r="T61" s="65"/>
      <c r="U61" s="286"/>
      <c r="V61" s="286"/>
      <c r="W61" s="286"/>
      <c r="X61" s="286"/>
      <c r="Y61" s="286"/>
      <c r="Z61" s="286"/>
      <c r="AA61" s="286"/>
    </row>
    <row r="62" spans="1:27" ht="36">
      <c r="A62" s="31"/>
      <c r="B62" s="32" t="s">
        <v>1946</v>
      </c>
      <c r="C62" s="32">
        <v>31</v>
      </c>
      <c r="D62" s="33" t="s">
        <v>1850</v>
      </c>
      <c r="E62" s="33" t="s">
        <v>1885</v>
      </c>
      <c r="F62" s="33"/>
      <c r="G62" s="33" t="s">
        <v>1960</v>
      </c>
      <c r="H62" s="34"/>
      <c r="I62" s="34"/>
      <c r="J62" s="149" t="str">
        <f>IF($F62="","",IFERROR(IFERROR(INDEX(Réttabanki!$U:$U,MATCH($F62,Réttabanki!$A:$A,0)),INDEX(Vöruskrá!$R:$R,MATCH($F62,Vöruskrá!$B:$B,0)))*($H62+IF($I62="",$H62*(1+#REF!),$I62))/2/1000,""))</f>
        <v/>
      </c>
      <c r="K62" s="21" t="s">
        <v>1961</v>
      </c>
      <c r="L62" s="21" t="s">
        <v>30</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6" t="str">
        <f>IF(F62="","",IFERROR(INDEX(Réttabanki!Q:Q,MATCH(F62,Réttabanki!A:A,0)),IFERROR(INDEX(Réttabanki!Q:Q,MATCH(F62,Réttabanki!B:B,0)),"")))</f>
        <v/>
      </c>
      <c r="U62" s="284"/>
      <c r="V62" s="284"/>
      <c r="W62" s="284"/>
      <c r="X62" s="284"/>
      <c r="Y62" s="284"/>
      <c r="Z62" s="284"/>
      <c r="AA62" s="284"/>
    </row>
    <row r="63" spans="1:27" ht="24">
      <c r="A63" s="31"/>
      <c r="B63" s="32" t="s">
        <v>1946</v>
      </c>
      <c r="C63" s="32">
        <v>31</v>
      </c>
      <c r="D63" s="33" t="s">
        <v>1850</v>
      </c>
      <c r="E63" s="33" t="s">
        <v>1885</v>
      </c>
      <c r="F63" s="33" t="s">
        <v>52</v>
      </c>
      <c r="G63" s="33" t="s">
        <v>1436</v>
      </c>
      <c r="H63" s="34">
        <v>40</v>
      </c>
      <c r="I63" s="34"/>
      <c r="J63" s="149" t="str">
        <f>IF($F63="","",IFERROR(IFERROR(INDEX(Réttabanki!$U:$U,MATCH($F63,Réttabanki!$A:$A,0)),INDEX(Vöruskrá!$R:$R,MATCH($F63,Vöruskrá!$B:$B,0)))*($H63+IF($I63="",$H63*(1+#REF!),$I63))/2/1000,""))</f>
        <v/>
      </c>
      <c r="K63" s="21" t="s">
        <v>53</v>
      </c>
      <c r="L63" s="21" t="s">
        <v>30</v>
      </c>
      <c r="M63" s="21" t="s">
        <v>54</v>
      </c>
      <c r="N63" s="22">
        <v>250</v>
      </c>
      <c r="O63" s="22">
        <v>2.7</v>
      </c>
      <c r="P63" s="22">
        <v>0.4</v>
      </c>
      <c r="Q63" s="22">
        <v>45</v>
      </c>
      <c r="R63" s="22">
        <v>9</v>
      </c>
      <c r="S63" s="22">
        <v>1.4</v>
      </c>
      <c r="T63" s="65" t="str">
        <f>IF(F63="","",IFERROR(INDEX(Réttabanki!Q:Q,MATCH(F63,Réttabanki!A:A,0)),IFERROR(INDEX(Réttabanki!Q:Q,MATCH(F63,Réttabanki!B:B,0)),"")))</f>
        <v/>
      </c>
      <c r="U63" s="286" t="s">
        <v>1932</v>
      </c>
      <c r="V63" s="286" t="s">
        <v>1859</v>
      </c>
      <c r="W63" s="286"/>
      <c r="X63" s="286"/>
      <c r="Y63" s="286"/>
      <c r="Z63" s="286"/>
      <c r="AA63" s="286"/>
    </row>
    <row r="64" spans="1:27" ht="24">
      <c r="A64" s="31"/>
      <c r="B64" s="32" t="s">
        <v>1946</v>
      </c>
      <c r="C64" s="32">
        <v>31</v>
      </c>
      <c r="D64" s="33" t="s">
        <v>1850</v>
      </c>
      <c r="E64" s="33" t="s">
        <v>1885</v>
      </c>
      <c r="F64" s="33" t="s">
        <v>376</v>
      </c>
      <c r="G64" s="33" t="s">
        <v>1962</v>
      </c>
      <c r="H64" s="34">
        <v>20</v>
      </c>
      <c r="I64" s="34"/>
      <c r="J64" s="149" t="str">
        <f>IF($F64="","",IFERROR(IFERROR(INDEX(Réttabanki!$U:$U,MATCH($F64,Réttabanki!$A:$A,0)),INDEX(Vöruskrá!$R:$R,MATCH($F64,Vöruskrá!$B:$B,0)))*($H64+IF($I64="",$H64*(1+#REF!),$I64))/2/1000,""))</f>
        <v/>
      </c>
      <c r="K64" s="21" t="s">
        <v>378</v>
      </c>
      <c r="L64" s="21" t="s">
        <v>121</v>
      </c>
      <c r="M64" s="21"/>
      <c r="N64" s="22">
        <v>85</v>
      </c>
      <c r="O64" s="22">
        <v>0.8</v>
      </c>
      <c r="P64" s="22">
        <v>0.3</v>
      </c>
      <c r="Q64" s="22">
        <v>1.8</v>
      </c>
      <c r="R64" s="22">
        <v>16</v>
      </c>
      <c r="S64" s="22">
        <v>2.6</v>
      </c>
      <c r="T64" s="66" t="str">
        <f>IF(F64="","",IFERROR(INDEX(Réttabanki!Q:Q,MATCH(F64,Réttabanki!A:A,0)),IFERROR(INDEX(Réttabanki!Q:Q,MATCH(F64,Réttabanki!B:B,0)),"")))</f>
        <v/>
      </c>
      <c r="U64" s="284" t="s">
        <v>1858</v>
      </c>
      <c r="V64" s="284" t="s">
        <v>1859</v>
      </c>
      <c r="W64" s="284"/>
      <c r="X64" s="284"/>
      <c r="Y64" s="284"/>
      <c r="Z64" s="284"/>
      <c r="AA64" s="284"/>
    </row>
    <row r="65" spans="1:27">
      <c r="A65" s="155"/>
      <c r="B65" s="156" t="s">
        <v>1946</v>
      </c>
      <c r="C65" s="156">
        <v>31</v>
      </c>
      <c r="D65" s="157"/>
      <c r="E65" s="157"/>
      <c r="F65" s="157" t="s">
        <v>1894</v>
      </c>
      <c r="G65" s="157"/>
      <c r="H65" s="158"/>
      <c r="I65" s="158"/>
      <c r="J65" s="159">
        <f>SUMIFS(J54:J64,E54:E64,"&lt;&gt;Hliðarréttur",E54:E64,"&lt;&gt;Sérfæði")</f>
        <v>0</v>
      </c>
      <c r="K65" s="21" t="s">
        <v>1895</v>
      </c>
      <c r="L65" s="21"/>
      <c r="M65" s="21"/>
      <c r="N65" s="22"/>
      <c r="O65" s="22"/>
      <c r="P65" s="22"/>
      <c r="Q65" s="22"/>
      <c r="R65" s="22"/>
      <c r="S65" s="22"/>
      <c r="T65" s="66"/>
      <c r="U65" s="286"/>
      <c r="V65" s="286"/>
      <c r="W65" s="286"/>
      <c r="X65" s="286"/>
      <c r="Y65" s="286"/>
      <c r="Z65" s="286"/>
      <c r="AA65" s="286"/>
    </row>
    <row r="66" spans="1:27">
      <c r="A66" s="155"/>
      <c r="B66" s="156" t="s">
        <v>1946</v>
      </c>
      <c r="C66" s="156">
        <v>31</v>
      </c>
      <c r="D66" s="157"/>
      <c r="E66" s="157"/>
      <c r="F66" s="157" t="s">
        <v>1897</v>
      </c>
      <c r="G66" s="157"/>
      <c r="H66" s="158"/>
      <c r="I66" s="158"/>
      <c r="J66" s="159">
        <f>SUMIFS(J54:J64,E54:E64,"&lt;&gt;Hliðarréttur",E54:E64,"&lt;&gt;Sérfæði")</f>
        <v>0</v>
      </c>
      <c r="K66" s="21" t="s">
        <v>1895</v>
      </c>
      <c r="L66" s="21"/>
      <c r="M66" s="21"/>
      <c r="N66" s="22"/>
      <c r="O66" s="22"/>
      <c r="P66" s="22"/>
      <c r="Q66" s="22"/>
      <c r="R66" s="22"/>
      <c r="S66" s="22"/>
      <c r="T66" s="66"/>
      <c r="U66" s="284"/>
      <c r="V66" s="284"/>
      <c r="W66" s="284"/>
      <c r="X66" s="284"/>
      <c r="Y66" s="284"/>
      <c r="Z66" s="284"/>
      <c r="AA66" s="284"/>
    </row>
    <row r="67" spans="1:27" ht="72">
      <c r="A67" s="31">
        <v>46234</v>
      </c>
      <c r="B67" s="32" t="s">
        <v>1963</v>
      </c>
      <c r="C67" s="32">
        <v>31</v>
      </c>
      <c r="D67" s="33" t="s">
        <v>1850</v>
      </c>
      <c r="E67" s="33" t="s">
        <v>1852</v>
      </c>
      <c r="F67" s="33"/>
      <c r="G67" s="33" t="s">
        <v>1964</v>
      </c>
      <c r="H67" s="34"/>
      <c r="I67" s="34"/>
      <c r="J67" s="149" t="str">
        <f>IF($F67="","",IFERROR(IFERROR(INDEX(Réttabanki!$U:$U,MATCH($F67,Réttabanki!$A:$A,0)),INDEX(Vöruskrá!$R:$R,MATCH($F67,Vöruskrá!$B:$B,0)))*($H67+IF($I67="",$H67*(1+#REF!),$I67))/2/1000,""))</f>
        <v/>
      </c>
      <c r="K67" s="21" t="s">
        <v>1965</v>
      </c>
      <c r="L67" s="21" t="s">
        <v>943</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5" t="str">
        <f>IF(F67="","",IFERROR(INDEX(Réttabanki!Q:Q,MATCH(F67,Réttabanki!A:A,0)),IFERROR(INDEX(Réttabanki!Q:Q,MATCH(F67,Réttabanki!B:B,0)),"")))</f>
        <v/>
      </c>
      <c r="U67" s="286"/>
      <c r="V67" s="286"/>
      <c r="W67" s="286"/>
      <c r="X67" s="286"/>
      <c r="Y67" s="286"/>
      <c r="Z67" s="286"/>
      <c r="AA67" s="286"/>
    </row>
    <row r="68" spans="1:27" ht="72">
      <c r="A68" s="31"/>
      <c r="B68" s="32" t="s">
        <v>1963</v>
      </c>
      <c r="C68" s="32">
        <v>31</v>
      </c>
      <c r="D68" s="33" t="s">
        <v>1850</v>
      </c>
      <c r="E68" s="33" t="s">
        <v>1852</v>
      </c>
      <c r="F68" s="33" t="s">
        <v>852</v>
      </c>
      <c r="G68" s="33" t="s">
        <v>1966</v>
      </c>
      <c r="H68" s="34">
        <v>200</v>
      </c>
      <c r="I68" s="34"/>
      <c r="J68" s="149" t="str">
        <f>IF($F68="","",IFERROR(IFERROR(INDEX(Réttabanki!$U:$U,MATCH($F68,Réttabanki!$A:$A,0)),INDEX(Vöruskrá!$R:$R,MATCH($F68,Vöruskrá!$B:$B,0)))*($H68+IF($I68="",$H68*(1+#REF!),$I68))/2/1000,""))</f>
        <v/>
      </c>
      <c r="K68" s="21" t="s">
        <v>1471</v>
      </c>
      <c r="L68" s="21" t="s">
        <v>943</v>
      </c>
      <c r="M68" s="21"/>
      <c r="N68" s="22">
        <v>132.01</v>
      </c>
      <c r="O68" s="22">
        <v>9.3000000000000007</v>
      </c>
      <c r="P68" s="22">
        <v>3.47</v>
      </c>
      <c r="Q68" s="22">
        <v>6.33</v>
      </c>
      <c r="R68" s="22">
        <v>6.96</v>
      </c>
      <c r="S68" s="22">
        <v>1.48</v>
      </c>
      <c r="T68" s="66"/>
      <c r="U68" s="284"/>
      <c r="V68" s="284"/>
      <c r="W68" s="284"/>
      <c r="X68" s="284"/>
      <c r="Y68" s="284"/>
      <c r="Z68" s="284"/>
      <c r="AA68" s="284"/>
    </row>
    <row r="69" spans="1:27">
      <c r="A69" s="31"/>
      <c r="B69" s="32" t="s">
        <v>1963</v>
      </c>
      <c r="C69" s="32">
        <v>31</v>
      </c>
      <c r="D69" s="33" t="s">
        <v>1850</v>
      </c>
      <c r="E69" s="33" t="s">
        <v>1852</v>
      </c>
      <c r="F69" s="33" t="s">
        <v>306</v>
      </c>
      <c r="G69" s="33" t="s">
        <v>1967</v>
      </c>
      <c r="H69" s="34">
        <v>80</v>
      </c>
      <c r="I69" s="34"/>
      <c r="J69" s="149" t="str">
        <f>IF($F69="","",IFERROR(IFERROR(INDEX(Réttabanki!$U:$U,MATCH($F69,Réttabanki!$A:$A,0)),INDEX(Vöruskrá!$R:$R,MATCH($F69,Vöruskrá!$B:$B,0)))*($H69+IF($I69="",$H69*(1+#REF!),$I69))/2/1000,""))</f>
        <v/>
      </c>
      <c r="K69" s="21" t="s">
        <v>304</v>
      </c>
      <c r="L69" s="21" t="s">
        <v>121</v>
      </c>
      <c r="M69" s="21"/>
      <c r="N69" s="22">
        <v>130</v>
      </c>
      <c r="O69" s="22">
        <v>0.3</v>
      </c>
      <c r="P69" s="22">
        <v>0.1</v>
      </c>
      <c r="Q69" s="22">
        <v>28.6</v>
      </c>
      <c r="R69" s="22">
        <v>2.7</v>
      </c>
      <c r="S69" s="22">
        <v>0</v>
      </c>
      <c r="T69" s="65" t="str">
        <f>IF(F69="","",IFERROR(INDEX(Réttabanki!Q:Q,MATCH(F69,Réttabanki!A:A,0)),IFERROR(INDEX(Réttabanki!Q:Q,MATCH(F69,Réttabanki!B:B,0)),"")))</f>
        <v/>
      </c>
      <c r="U69" s="286"/>
      <c r="V69" s="286"/>
      <c r="W69" s="286"/>
      <c r="X69" s="286"/>
      <c r="Y69" s="286"/>
      <c r="Z69" s="286"/>
      <c r="AA69" s="286"/>
    </row>
    <row r="70" spans="1:27" ht="60">
      <c r="A70" s="31"/>
      <c r="B70" s="32" t="s">
        <v>1963</v>
      </c>
      <c r="C70" s="32">
        <v>31</v>
      </c>
      <c r="D70" s="33" t="s">
        <v>1850</v>
      </c>
      <c r="E70" s="33" t="s">
        <v>1867</v>
      </c>
      <c r="F70" s="33"/>
      <c r="G70" s="33" t="s">
        <v>1968</v>
      </c>
      <c r="H70" s="34"/>
      <c r="I70" s="34"/>
      <c r="J70" s="149" t="str">
        <f>IF($F70="","",IFERROR(IFERROR(INDEX(Réttabanki!$U:$U,MATCH($F70,Réttabanki!$A:$A,0)),INDEX(Vöruskrá!$R:$R,MATCH($F70,Vöruskrá!$B:$B,0)))*($H70+IF($I70="",$H70*(1+#REF!),$I70))/2/1000,""))</f>
        <v/>
      </c>
      <c r="K70" s="21" t="s">
        <v>1969</v>
      </c>
      <c r="L70" s="21" t="s">
        <v>777</v>
      </c>
      <c r="M70" s="21" t="str">
        <f>IF($F70="","",IFERROR(IFERROR(INDEX(Réttabanki!$F:$F,MATCH($F70,Réttabanki!$A:$A,0)),INDEX(Vöruskrá!$H:$H,MATCH($F70,Vöruskrá!$B:$B,0))),""))</f>
        <v/>
      </c>
      <c r="N70" s="22" t="str">
        <f>IF($F70="","",IFERROR(IFERROR(INDEX(Réttabanki!$G:$G,MATCH($F70,Réttabanki!$A:$A,0)),INDEX(Vöruskrá!$J:$J,MATCH($F70,Vöruskrá!$B:$B,0)))*($H70+IF($I70="",$H70*(1+#REF!),$I70))/2/100,""))</f>
        <v/>
      </c>
      <c r="O70" s="22" t="str">
        <f>IF($F70="","",IFERROR(IFERROR(INDEX(Réttabanki!$H:$H,MATCH($F70,Réttabanki!$A:$A,0)),INDEX(Vöruskrá!$K:$K,MATCH($F70,Vöruskrá!$B:$B,0)))*($H70+IF($I70="",$H70*(1+#REF!),$I70))/2/100,""))</f>
        <v/>
      </c>
      <c r="P70" s="22" t="str">
        <f>IF($F70="","",IFERROR(IFERROR(INDEX(Réttabanki!$I:$I,MATCH($F70,Réttabanki!$A:$A,0)),INDEX(Vöruskrá!$L:$L,MATCH($F70,Vöruskrá!$B:$B,0)))*($H70+IF($I70="",$H70*(1+#REF!),$I70))/2/100,""))</f>
        <v/>
      </c>
      <c r="Q70" s="22" t="str">
        <f>IF($F70="","",IFERROR(IFERROR(INDEX(Réttabanki!$J:$J,MATCH($F70,Réttabanki!$A:$A,0)),INDEX(Vöruskrá!$M:$M,MATCH($F70,Vöruskrá!$B:$B,0)))*($H70+IF($I70="",$H70*(1+#REF!),$I70))/2/100,""))</f>
        <v/>
      </c>
      <c r="R70" s="22" t="str">
        <f>IF($F70="","",IFERROR(IFERROR(INDEX(Réttabanki!$L:$L,MATCH($F70,Réttabanki!$A:$A,0)),INDEX(Vöruskrá!$O:$O,MATCH($F70,Vöruskrá!$B:$B,0)))*($H70+IF($I70="",$H70*(1+#REF!),$I70))/2/100,""))</f>
        <v/>
      </c>
      <c r="S70" s="22" t="str">
        <f>IF($F70="","",IFERROR(IFERROR(INDEX(Réttabanki!$M:$M,MATCH($F70,Réttabanki!$A:$A,0)),INDEX(Vöruskrá!$P:$P,MATCH($F70,Vöruskrá!$B:$B,0)))*($H70+IF($I70="",$H70*(1+#REF!),$I70))/2/100,""))</f>
        <v/>
      </c>
      <c r="T70" s="66" t="str">
        <f>IF(F70="","",IFERROR(INDEX(Réttabanki!Q:Q,MATCH(F70,Réttabanki!A:A,0)),IFERROR(INDEX(Réttabanki!Q:Q,MATCH(F70,Réttabanki!B:B,0)),"")))</f>
        <v/>
      </c>
      <c r="U70" s="284"/>
      <c r="V70" s="284"/>
      <c r="W70" s="284"/>
      <c r="X70" s="284"/>
      <c r="Y70" s="284"/>
      <c r="Z70" s="284"/>
      <c r="AA70" s="284"/>
    </row>
    <row r="71" spans="1:27" ht="60">
      <c r="A71" s="31"/>
      <c r="B71" s="32" t="s">
        <v>1963</v>
      </c>
      <c r="C71" s="32">
        <v>31</v>
      </c>
      <c r="D71" s="33" t="s">
        <v>1850</v>
      </c>
      <c r="E71" s="33" t="s">
        <v>1867</v>
      </c>
      <c r="F71" s="33" t="s">
        <v>1074</v>
      </c>
      <c r="G71" s="33" t="s">
        <v>1970</v>
      </c>
      <c r="H71" s="34">
        <v>200</v>
      </c>
      <c r="I71" s="34"/>
      <c r="J71" s="149" t="str">
        <f>IF($F71="","",IFERROR(IFERROR(INDEX(Réttabanki!$U:$U,MATCH($F71,Réttabanki!$A:$A,0)),INDEX(Vöruskrá!$R:$R,MATCH($F71,Vöruskrá!$B:$B,0)))*($H71+IF($I71="",$H71*(1+#REF!),$I71))/2/1000,""))</f>
        <v/>
      </c>
      <c r="K71" s="21" t="s">
        <v>1075</v>
      </c>
      <c r="L71" s="21" t="s">
        <v>777</v>
      </c>
      <c r="M71" s="21" t="s">
        <v>1076</v>
      </c>
      <c r="N71" s="22">
        <v>140</v>
      </c>
      <c r="O71" s="22">
        <v>7.6</v>
      </c>
      <c r="P71" s="22">
        <v>3.1</v>
      </c>
      <c r="Q71" s="22">
        <v>6.1</v>
      </c>
      <c r="R71" s="22">
        <v>10.6</v>
      </c>
      <c r="S71" s="22">
        <v>1.1000000000000001</v>
      </c>
      <c r="T71" s="65" t="str">
        <f>IF(F71="","",IFERROR(INDEX(Réttabanki!Q:Q,MATCH(F71,Réttabanki!A:A,0)),IFERROR(INDEX(Réttabanki!Q:Q,MATCH(F71,Réttabanki!B:B,0)),"")))</f>
        <v/>
      </c>
      <c r="U71" s="286"/>
      <c r="V71" s="286"/>
      <c r="W71" s="286"/>
      <c r="X71" s="286"/>
      <c r="Y71" s="286"/>
      <c r="Z71" s="286"/>
      <c r="AA71" s="286"/>
    </row>
    <row r="72" spans="1:27">
      <c r="A72" s="31"/>
      <c r="B72" s="32" t="s">
        <v>1963</v>
      </c>
      <c r="C72" s="32">
        <v>31</v>
      </c>
      <c r="D72" s="33" t="s">
        <v>1850</v>
      </c>
      <c r="E72" s="33" t="s">
        <v>1867</v>
      </c>
      <c r="F72" s="33" t="s">
        <v>306</v>
      </c>
      <c r="G72" s="33" t="s">
        <v>1967</v>
      </c>
      <c r="H72" s="34">
        <v>80</v>
      </c>
      <c r="I72" s="34"/>
      <c r="J72" s="149" t="str">
        <f>IF($F72="","",IFERROR(IFERROR(INDEX(Réttabanki!$U:$U,MATCH($F72,Réttabanki!$A:$A,0)),INDEX(Vöruskrá!$R:$R,MATCH($F72,Vöruskrá!$B:$B,0)))*($H72+IF($I72="",$H72*(1+#REF!),$I72))/2/1000,""))</f>
        <v/>
      </c>
      <c r="K72" s="21" t="s">
        <v>304</v>
      </c>
      <c r="L72" s="21" t="s">
        <v>121</v>
      </c>
      <c r="M72" s="21"/>
      <c r="N72" s="22">
        <v>130</v>
      </c>
      <c r="O72" s="22">
        <v>0.3</v>
      </c>
      <c r="P72" s="22">
        <v>0.1</v>
      </c>
      <c r="Q72" s="22">
        <v>28.6</v>
      </c>
      <c r="R72" s="22">
        <v>2.7</v>
      </c>
      <c r="S72" s="22">
        <v>0</v>
      </c>
      <c r="T72" s="66" t="str">
        <f>IF(F72="","",IFERROR(INDEX(Réttabanki!Q:Q,MATCH(F72,Réttabanki!A:A,0)),IFERROR(INDEX(Réttabanki!Q:Q,MATCH(F72,Réttabanki!B:B,0)),"")))</f>
        <v/>
      </c>
      <c r="U72" s="284"/>
      <c r="V72" s="284"/>
      <c r="W72" s="284"/>
      <c r="X72" s="284"/>
      <c r="Y72" s="284"/>
      <c r="Z72" s="284"/>
      <c r="AA72" s="284"/>
    </row>
    <row r="73" spans="1:27">
      <c r="A73" s="31"/>
      <c r="B73" s="32" t="s">
        <v>1963</v>
      </c>
      <c r="C73" s="32">
        <v>31</v>
      </c>
      <c r="D73" s="33" t="s">
        <v>1850</v>
      </c>
      <c r="E73" s="33" t="s">
        <v>1877</v>
      </c>
      <c r="F73" s="33"/>
      <c r="G73" s="33" t="s">
        <v>1971</v>
      </c>
      <c r="H73" s="34"/>
      <c r="I73" s="34"/>
      <c r="J73" s="149" t="str">
        <f>IF($F73="","",IFERROR(IFERROR(INDEX(Réttabanki!$U:$U,MATCH($F73,Réttabanki!$A:$A,0)),INDEX(Vöruskrá!$R:$R,MATCH($F73,Vöruskrá!$B:$B,0)))*($H73+IF($I73="",$H73*(1+#REF!),$I73))/2/1000,""))</f>
        <v/>
      </c>
      <c r="K73" s="21"/>
      <c r="L73" s="21" t="s">
        <v>121</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5" t="str">
        <f>IF(F73="","",IFERROR(INDEX(Réttabanki!Q:Q,MATCH(F73,Réttabanki!A:A,0)),IFERROR(INDEX(Réttabanki!Q:Q,MATCH(F73,Réttabanki!B:B,0)),"")))</f>
        <v/>
      </c>
      <c r="U73" s="286"/>
      <c r="V73" s="286"/>
      <c r="W73" s="286"/>
      <c r="X73" s="286"/>
      <c r="Y73" s="286"/>
      <c r="Z73" s="286"/>
      <c r="AA73" s="286"/>
    </row>
    <row r="74" spans="1:27" ht="48">
      <c r="A74" s="31"/>
      <c r="B74" s="32" t="s">
        <v>1963</v>
      </c>
      <c r="C74" s="32">
        <v>31</v>
      </c>
      <c r="D74" s="33" t="s">
        <v>1850</v>
      </c>
      <c r="E74" s="33" t="s">
        <v>1885</v>
      </c>
      <c r="F74" s="33"/>
      <c r="G74" s="33" t="s">
        <v>1972</v>
      </c>
      <c r="H74" s="34"/>
      <c r="I74" s="34"/>
      <c r="J74" s="149" t="str">
        <f>IF($F74="","",IFERROR(IFERROR(INDEX(Réttabanki!$U:$U,MATCH($F74,Réttabanki!$A:$A,0)),INDEX(Vöruskrá!$R:$R,MATCH($F74,Vöruskrá!$B:$B,0)))*($H74+IF($I74="",$H74*(1+#REF!),$I74))/2/1000,""))</f>
        <v/>
      </c>
      <c r="K74" s="21" t="s">
        <v>1973</v>
      </c>
      <c r="L74" s="21" t="s">
        <v>1974</v>
      </c>
      <c r="M74" s="21" t="str">
        <f>IF($F74="","",IFERROR(IFERROR(INDEX(Réttabanki!$F:$F,MATCH($F74,Réttabanki!$A:$A,0)),INDEX(Vöruskrá!$H:$H,MATCH($F74,Vöruskrá!$B:$B,0))),""))</f>
        <v/>
      </c>
      <c r="N74" s="22" t="str">
        <f>IF($F74="","",IFERROR(IFERROR(INDEX(Réttabanki!$G:$G,MATCH($F74,Réttabanki!$A:$A,0)),INDEX(Vöruskrá!$J:$J,MATCH($F74,Vöruskrá!$B:$B,0)))*($H74+IF($I74="",$H74*(1+#REF!),$I74))/2/100,""))</f>
        <v/>
      </c>
      <c r="O74" s="22" t="str">
        <f>IF($F74="","",IFERROR(IFERROR(INDEX(Réttabanki!$H:$H,MATCH($F74,Réttabanki!$A:$A,0)),INDEX(Vöruskrá!$K:$K,MATCH($F74,Vöruskrá!$B:$B,0)))*($H74+IF($I74="",$H74*(1+#REF!),$I74))/2/100,""))</f>
        <v/>
      </c>
      <c r="P74" s="22" t="str">
        <f>IF($F74="","",IFERROR(IFERROR(INDEX(Réttabanki!$I:$I,MATCH($F74,Réttabanki!$A:$A,0)),INDEX(Vöruskrá!$L:$L,MATCH($F74,Vöruskrá!$B:$B,0)))*($H74+IF($I74="",$H74*(1+#REF!),$I74))/2/100,""))</f>
        <v/>
      </c>
      <c r="Q74" s="22" t="str">
        <f>IF($F74="","",IFERROR(IFERROR(INDEX(Réttabanki!$J:$J,MATCH($F74,Réttabanki!$A:$A,0)),INDEX(Vöruskrá!$M:$M,MATCH($F74,Vöruskrá!$B:$B,0)))*($H74+IF($I74="",$H74*(1+#REF!),$I74))/2/100,""))</f>
        <v/>
      </c>
      <c r="R74" s="22" t="str">
        <f>IF($F74="","",IFERROR(IFERROR(INDEX(Réttabanki!$L:$L,MATCH($F74,Réttabanki!$A:$A,0)),INDEX(Vöruskrá!$O:$O,MATCH($F74,Vöruskrá!$B:$B,0)))*($H74+IF($I74="",$H74*(1+#REF!),$I74))/2/100,""))</f>
        <v/>
      </c>
      <c r="S74" s="22" t="str">
        <f>IF($F74="","",IFERROR(IFERROR(INDEX(Réttabanki!$M:$M,MATCH($F74,Réttabanki!$A:$A,0)),INDEX(Vöruskrá!$P:$P,MATCH($F74,Vöruskrá!$B:$B,0)))*($H74+IF($I74="",$H74*(1+#REF!),$I74))/2/100,""))</f>
        <v/>
      </c>
      <c r="T74" s="66" t="str">
        <f>IF(F74="","",IFERROR(INDEX(Réttabanki!Q:Q,MATCH(F74,Réttabanki!A:A,0)),IFERROR(INDEX(Réttabanki!Q:Q,MATCH(F74,Réttabanki!B:B,0)),"")))</f>
        <v/>
      </c>
      <c r="U74" s="284"/>
      <c r="V74" s="284"/>
      <c r="W74" s="284"/>
      <c r="X74" s="284"/>
      <c r="Y74" s="284"/>
      <c r="Z74" s="284"/>
      <c r="AA74" s="284"/>
    </row>
    <row r="75" spans="1:27" ht="36">
      <c r="A75" s="31"/>
      <c r="B75" s="32" t="s">
        <v>1963</v>
      </c>
      <c r="C75" s="32">
        <v>31</v>
      </c>
      <c r="D75" s="33" t="s">
        <v>1850</v>
      </c>
      <c r="E75" s="33" t="s">
        <v>1885</v>
      </c>
      <c r="F75" s="33" t="s">
        <v>57</v>
      </c>
      <c r="G75" s="33" t="s">
        <v>1975</v>
      </c>
      <c r="H75" s="34">
        <v>40</v>
      </c>
      <c r="I75" s="34"/>
      <c r="J75" s="149" t="str">
        <f>IF($F75="","",IFERROR(IFERROR(INDEX(Réttabanki!$U:$U,MATCH($F75,Réttabanki!$A:$A,0)),INDEX(Vöruskrá!$R:$R,MATCH($F75,Vöruskrá!$B:$B,0)))*($H75+IF($I75="",$H75*(1+#REF!),$I75))/2/1000,""))</f>
        <v/>
      </c>
      <c r="K75" s="21" t="s">
        <v>58</v>
      </c>
      <c r="L75" s="21" t="s">
        <v>59</v>
      </c>
      <c r="M75" s="21" t="s">
        <v>49</v>
      </c>
      <c r="N75" s="22">
        <v>241</v>
      </c>
      <c r="O75" s="22">
        <v>4.3</v>
      </c>
      <c r="P75" s="22">
        <v>0.8</v>
      </c>
      <c r="Q75" s="22">
        <v>33</v>
      </c>
      <c r="R75" s="22">
        <v>14</v>
      </c>
      <c r="S75" s="22">
        <v>0.9</v>
      </c>
      <c r="T75" s="65" t="str">
        <f>IF(F75="","",IFERROR(INDEX(Réttabanki!Q:Q,MATCH(F75,Réttabanki!A:A,0)),IFERROR(INDEX(Réttabanki!Q:Q,MATCH(F75,Réttabanki!B:B,0)),"")))</f>
        <v/>
      </c>
      <c r="U75" s="286"/>
      <c r="V75" s="286"/>
      <c r="W75" s="286"/>
      <c r="X75" s="286"/>
      <c r="Y75" s="286"/>
      <c r="Z75" s="286"/>
      <c r="AA75" s="286"/>
    </row>
    <row r="76" spans="1:27">
      <c r="A76" s="31"/>
      <c r="B76" s="32" t="s">
        <v>1963</v>
      </c>
      <c r="C76" s="32">
        <v>31</v>
      </c>
      <c r="D76" s="33" t="s">
        <v>1850</v>
      </c>
      <c r="E76" s="33" t="s">
        <v>1885</v>
      </c>
      <c r="F76" s="33" t="s">
        <v>557</v>
      </c>
      <c r="G76" s="33" t="s">
        <v>1883</v>
      </c>
      <c r="H76" s="34">
        <v>20</v>
      </c>
      <c r="I76" s="34"/>
      <c r="J76" s="149" t="str">
        <f>IF($F76="","",IFERROR(IFERROR(INDEX(Réttabanki!$U:$U,MATCH($F76,Réttabanki!$A:$A,0)),INDEX(Vöruskrá!$R:$R,MATCH($F76,Vöruskrá!$B:$B,0)))*($H76+IF($I76="",$H76*(1+#REF!),$I76))/2/1000,""))</f>
        <v/>
      </c>
      <c r="K76" s="21" t="s">
        <v>559</v>
      </c>
      <c r="L76" s="21" t="s">
        <v>108</v>
      </c>
      <c r="M76" s="21"/>
      <c r="N76" s="22">
        <v>330</v>
      </c>
      <c r="O76" s="22">
        <v>26</v>
      </c>
      <c r="P76" s="22">
        <v>14</v>
      </c>
      <c r="Q76" s="22">
        <v>0</v>
      </c>
      <c r="R76" s="22">
        <v>25</v>
      </c>
      <c r="S76" s="22">
        <v>1.5</v>
      </c>
      <c r="T76" s="66" t="str">
        <f>IF(F76="","",IFERROR(INDEX(Réttabanki!Q:Q,MATCH(F76,Réttabanki!A:A,0)),IFERROR(INDEX(Réttabanki!Q:Q,MATCH(F76,Réttabanki!B:B,0)),"")))</f>
        <v/>
      </c>
      <c r="U76" s="284"/>
      <c r="V76" s="284"/>
      <c r="W76" s="284"/>
      <c r="X76" s="284"/>
      <c r="Y76" s="284"/>
      <c r="Z76" s="284"/>
      <c r="AA76" s="284"/>
    </row>
    <row r="77" spans="1:27">
      <c r="A77" s="155"/>
      <c r="B77" s="156" t="s">
        <v>1963</v>
      </c>
      <c r="C77" s="156">
        <v>31</v>
      </c>
      <c r="D77" s="157"/>
      <c r="E77" s="157"/>
      <c r="F77" s="157" t="s">
        <v>1894</v>
      </c>
      <c r="G77" s="157"/>
      <c r="H77" s="158"/>
      <c r="I77" s="158"/>
      <c r="J77" s="159">
        <f>SUMIFS(J67:J76,E67:E76,"&lt;&gt;Hliðarréttur",E67:E76,"&lt;&gt;Sérfæði")</f>
        <v>0</v>
      </c>
      <c r="K77" s="21" t="s">
        <v>1895</v>
      </c>
      <c r="L77" s="21"/>
      <c r="M77" s="21"/>
      <c r="N77" s="22"/>
      <c r="O77" s="22"/>
      <c r="P77" s="22"/>
      <c r="Q77" s="22"/>
      <c r="R77" s="22"/>
      <c r="S77" s="22"/>
      <c r="T77" s="66"/>
      <c r="U77" s="286"/>
      <c r="V77" s="286"/>
      <c r="W77" s="286"/>
      <c r="X77" s="286"/>
      <c r="Y77" s="286"/>
      <c r="Z77" s="286"/>
      <c r="AA77" s="286"/>
    </row>
    <row r="78" spans="1:27">
      <c r="A78" s="155"/>
      <c r="B78" s="156" t="s">
        <v>1963</v>
      </c>
      <c r="C78" s="156">
        <v>31</v>
      </c>
      <c r="D78" s="157"/>
      <c r="E78" s="157"/>
      <c r="F78" s="157" t="s">
        <v>1897</v>
      </c>
      <c r="G78" s="157"/>
      <c r="H78" s="158"/>
      <c r="I78" s="158"/>
      <c r="J78" s="159">
        <f>SUMIFS(J67:J76,E67:E76,"&lt;&gt;Hliðarréttur",E67:E76,"&lt;&gt;Sérfæði")</f>
        <v>0</v>
      </c>
      <c r="K78" s="21" t="s">
        <v>1895</v>
      </c>
      <c r="L78" s="21"/>
      <c r="M78" s="21"/>
      <c r="N78" s="22"/>
      <c r="O78" s="22"/>
      <c r="P78" s="22"/>
      <c r="Q78" s="22"/>
      <c r="R78" s="22"/>
      <c r="S78" s="22"/>
      <c r="T78" s="66"/>
      <c r="U78" s="284"/>
      <c r="V78" s="284"/>
      <c r="W78" s="284"/>
      <c r="X78" s="284"/>
      <c r="Y78" s="284"/>
      <c r="Z78" s="284"/>
      <c r="AA78" s="284"/>
    </row>
    <row r="79" spans="1:27" ht="24">
      <c r="A79" s="31">
        <v>46238</v>
      </c>
      <c r="B79" s="32" t="s">
        <v>1899</v>
      </c>
      <c r="C79" s="32">
        <v>32</v>
      </c>
      <c r="D79" s="33" t="s">
        <v>1850</v>
      </c>
      <c r="E79" s="33" t="s">
        <v>1852</v>
      </c>
      <c r="F79" s="33"/>
      <c r="G79" s="33" t="s">
        <v>1853</v>
      </c>
      <c r="H79" s="34"/>
      <c r="I79" s="34"/>
      <c r="J79" s="149" t="str">
        <f>IF($F79="","",IFERROR(IFERROR(INDEX(Réttabanki!$U:$U,MATCH($F79,Réttabanki!$A:$A,0)),INDEX(Vöruskrá!$R:$R,MATCH($F79,Vöruskrá!$B:$B,0)))*($H79+IF($I79="",$H79*(1+#REF!),$I79))/2/1000,""))</f>
        <v/>
      </c>
      <c r="K79" s="21" t="s">
        <v>1976</v>
      </c>
      <c r="L79" s="21" t="s">
        <v>1394</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5" t="str">
        <f>IF(F79="","",IFERROR(INDEX(Réttabanki!Q:Q,MATCH(F79,Réttabanki!A:A,0)),IFERROR(INDEX(Réttabanki!Q:Q,MATCH(F79,Réttabanki!B:B,0)),"")))</f>
        <v/>
      </c>
      <c r="U79" s="286"/>
      <c r="V79" s="286"/>
      <c r="W79" s="286"/>
      <c r="X79" s="286"/>
      <c r="Y79" s="286"/>
      <c r="Z79" s="286"/>
      <c r="AA79" s="286"/>
    </row>
    <row r="80" spans="1:27" ht="24">
      <c r="A80" s="31"/>
      <c r="B80" s="32" t="s">
        <v>1899</v>
      </c>
      <c r="C80" s="32">
        <v>32</v>
      </c>
      <c r="D80" s="33" t="s">
        <v>1850</v>
      </c>
      <c r="E80" s="33" t="s">
        <v>1852</v>
      </c>
      <c r="F80" s="33" t="s">
        <v>1391</v>
      </c>
      <c r="G80" s="33" t="s">
        <v>1857</v>
      </c>
      <c r="H80" s="34">
        <v>200</v>
      </c>
      <c r="I80" s="34"/>
      <c r="J80" s="149" t="str">
        <f>IF($F80="","",IFERROR(IFERROR(INDEX(Réttabanki!$U:$U,MATCH($F80,Réttabanki!$A:$A,0)),INDEX(Vöruskrá!$R:$R,MATCH($F80,Vöruskrá!$B:$B,0)))*($H80+IF($I80="",$H80*(1+#REF!),$I80))/2/1000,""))</f>
        <v/>
      </c>
      <c r="K80" s="21" t="s">
        <v>1393</v>
      </c>
      <c r="L80" s="21" t="s">
        <v>1394</v>
      </c>
      <c r="M80" s="21"/>
      <c r="N80" s="22">
        <v>81</v>
      </c>
      <c r="O80" s="22">
        <v>0.6</v>
      </c>
      <c r="P80" s="22">
        <v>0.4</v>
      </c>
      <c r="Q80" s="22">
        <v>15.8</v>
      </c>
      <c r="R80" s="22">
        <v>10</v>
      </c>
      <c r="S80" s="22">
        <v>0.2</v>
      </c>
      <c r="T80" s="66" t="str">
        <f>IF(F80="","",IFERROR(INDEX(Réttabanki!Q:Q,MATCH(F80,Réttabanki!A:A,0)),IFERROR(INDEX(Réttabanki!Q:Q,MATCH(F80,Réttabanki!B:B,0)),"")))</f>
        <v/>
      </c>
      <c r="U80" s="284" t="s">
        <v>1858</v>
      </c>
      <c r="V80" s="284" t="s">
        <v>1859</v>
      </c>
      <c r="W80" s="284"/>
      <c r="X80" s="284"/>
      <c r="Y80" s="284"/>
      <c r="Z80" s="284"/>
      <c r="AA80" s="284"/>
    </row>
    <row r="81" spans="1:27">
      <c r="A81" s="31"/>
      <c r="B81" s="32" t="s">
        <v>1899</v>
      </c>
      <c r="C81" s="32">
        <v>32</v>
      </c>
      <c r="D81" s="33" t="s">
        <v>1850</v>
      </c>
      <c r="E81" s="33" t="s">
        <v>1852</v>
      </c>
      <c r="F81" s="33" t="s">
        <v>477</v>
      </c>
      <c r="G81" s="33" t="s">
        <v>480</v>
      </c>
      <c r="H81" s="34">
        <v>20</v>
      </c>
      <c r="I81" s="34"/>
      <c r="J81" s="149" t="str">
        <f>IF($F81="","",IFERROR(IFERROR(INDEX(Réttabanki!$U:$U,MATCH($F81,Réttabanki!$A:$A,0)),INDEX(Vöruskrá!$R:$R,MATCH($F81,Vöruskrá!$B:$B,0)))*($H81+IF($I81="",$H81*(1+#REF!),$I81))/2/1000,""))</f>
        <v/>
      </c>
      <c r="K81" s="21" t="s">
        <v>480</v>
      </c>
      <c r="L81" s="21" t="s">
        <v>121</v>
      </c>
      <c r="M81" s="21"/>
      <c r="N81" s="22">
        <v>37</v>
      </c>
      <c r="O81" s="22">
        <v>0.5</v>
      </c>
      <c r="P81" s="22">
        <v>0.1</v>
      </c>
      <c r="Q81" s="22">
        <v>3.7</v>
      </c>
      <c r="R81" s="22">
        <v>0</v>
      </c>
      <c r="S81" s="22">
        <v>0</v>
      </c>
      <c r="T81" s="65" t="str">
        <f>IF(F81="","",IFERROR(INDEX(Réttabanki!Q:Q,MATCH(F81,Réttabanki!A:A,0)),IFERROR(INDEX(Réttabanki!Q:Q,MATCH(F81,Réttabanki!B:B,0)),"")))</f>
        <v/>
      </c>
      <c r="U81" s="286"/>
      <c r="V81" s="286"/>
      <c r="W81" s="286"/>
      <c r="X81" s="286"/>
      <c r="Y81" s="286"/>
      <c r="Z81" s="286"/>
      <c r="AA81" s="286"/>
    </row>
    <row r="82" spans="1:27">
      <c r="A82" s="31"/>
      <c r="B82" s="32" t="s">
        <v>1899</v>
      </c>
      <c r="C82" s="32">
        <v>32</v>
      </c>
      <c r="D82" s="33" t="s">
        <v>1850</v>
      </c>
      <c r="E82" s="33" t="s">
        <v>1852</v>
      </c>
      <c r="F82" s="33" t="s">
        <v>508</v>
      </c>
      <c r="G82" s="33" t="s">
        <v>510</v>
      </c>
      <c r="H82" s="34">
        <v>20</v>
      </c>
      <c r="I82" s="34"/>
      <c r="J82" s="149" t="str">
        <f>IF($F82="","",IFERROR(IFERROR(INDEX(Réttabanki!$U:$U,MATCH($F82,Réttabanki!$A:$A,0)),INDEX(Vöruskrá!$R:$R,MATCH($F82,Vöruskrá!$B:$B,0)))*($H82+IF($I82="",$H82*(1+#REF!),$I82))/2/1000,""))</f>
        <v/>
      </c>
      <c r="K82" s="21" t="s">
        <v>510</v>
      </c>
      <c r="L82" s="21" t="s">
        <v>121</v>
      </c>
      <c r="M82" s="21"/>
      <c r="N82" s="22">
        <v>43</v>
      </c>
      <c r="O82" s="22">
        <v>0.5</v>
      </c>
      <c r="P82" s="22">
        <v>0.1</v>
      </c>
      <c r="Q82" s="22">
        <v>9.1</v>
      </c>
      <c r="R82" s="22">
        <v>0.4</v>
      </c>
      <c r="S82" s="22">
        <v>0</v>
      </c>
      <c r="T82" s="66" t="str">
        <f>IF(F82="","",IFERROR(INDEX(Réttabanki!Q:Q,MATCH(F82,Réttabanki!A:A,0)),IFERROR(INDEX(Réttabanki!Q:Q,MATCH(F82,Réttabanki!B:B,0)),"")))</f>
        <v/>
      </c>
      <c r="U82" s="284"/>
      <c r="V82" s="284"/>
      <c r="W82" s="284"/>
      <c r="X82" s="284"/>
      <c r="Y82" s="284"/>
      <c r="Z82" s="284"/>
      <c r="AA82" s="284"/>
    </row>
    <row r="83" spans="1:27" ht="36">
      <c r="A83" s="31"/>
      <c r="B83" s="32" t="s">
        <v>1899</v>
      </c>
      <c r="C83" s="32">
        <v>32</v>
      </c>
      <c r="D83" s="33" t="s">
        <v>1850</v>
      </c>
      <c r="E83" s="33" t="s">
        <v>1867</v>
      </c>
      <c r="F83" s="33"/>
      <c r="G83" s="33" t="s">
        <v>1868</v>
      </c>
      <c r="H83" s="34"/>
      <c r="I83" s="34"/>
      <c r="J83" s="149" t="str">
        <f>IF($F83="","",IFERROR(IFERROR(INDEX(Réttabanki!$U:$U,MATCH($F83,Réttabanki!$A:$A,0)),INDEX(Vöruskrá!$R:$R,MATCH($F83,Vöruskrá!$B:$B,0)))*($H83+IF($I83="",$H83*(1+#REF!),$I83))/2/1000,""))</f>
        <v/>
      </c>
      <c r="K83" s="21" t="s">
        <v>1977</v>
      </c>
      <c r="L83" s="21" t="s">
        <v>115</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5" t="str">
        <f>IF(F83="","",IFERROR(INDEX(Réttabanki!Q:Q,MATCH(F83,Réttabanki!A:A,0)),IFERROR(INDEX(Réttabanki!Q:Q,MATCH(F83,Réttabanki!B:B,0)),"")))</f>
        <v/>
      </c>
      <c r="U83" s="286"/>
      <c r="V83" s="286"/>
      <c r="W83" s="286"/>
      <c r="X83" s="286"/>
      <c r="Y83" s="286"/>
      <c r="Z83" s="286"/>
      <c r="AA83" s="286"/>
    </row>
    <row r="84" spans="1:27" ht="36">
      <c r="A84" s="31"/>
      <c r="B84" s="32" t="s">
        <v>1899</v>
      </c>
      <c r="C84" s="32">
        <v>32</v>
      </c>
      <c r="D84" s="33" t="s">
        <v>1850</v>
      </c>
      <c r="E84" s="33" t="s">
        <v>1867</v>
      </c>
      <c r="F84" s="33" t="s">
        <v>1255</v>
      </c>
      <c r="G84" s="33" t="s">
        <v>1871</v>
      </c>
      <c r="H84" s="34">
        <v>200</v>
      </c>
      <c r="I84" s="34"/>
      <c r="J84" s="149" t="str">
        <f>IF($F84="","",IFERROR(IFERROR(INDEX(Réttabanki!$U:$U,MATCH($F84,Réttabanki!$A:$A,0)),INDEX(Vöruskrá!$R:$R,MATCH($F84,Vöruskrá!$B:$B,0)))*($H84+IF($I84="",$H84*(1+#REF!),$I84))/2/1000,""))</f>
        <v/>
      </c>
      <c r="K84" s="21" t="s">
        <v>1257</v>
      </c>
      <c r="L84" s="21" t="s">
        <v>115</v>
      </c>
      <c r="M84" s="21"/>
      <c r="N84" s="22">
        <v>89</v>
      </c>
      <c r="O84" s="22">
        <v>2.1</v>
      </c>
      <c r="P84" s="22">
        <v>0.2</v>
      </c>
      <c r="Q84" s="22">
        <v>16</v>
      </c>
      <c r="R84" s="22"/>
      <c r="S84" s="22"/>
      <c r="T84" s="66" t="str">
        <f>IF(F84="","",IFERROR(INDEX(Réttabanki!Q:Q,MATCH(F84,Réttabanki!A:A,0)),IFERROR(INDEX(Réttabanki!Q:Q,MATCH(F84,Réttabanki!B:B,0)),"")))</f>
        <v/>
      </c>
      <c r="U84" s="284" t="s">
        <v>1858</v>
      </c>
      <c r="V84" s="284" t="s">
        <v>1859</v>
      </c>
      <c r="W84" s="284"/>
      <c r="X84" s="284"/>
      <c r="Y84" s="284"/>
      <c r="Z84" s="284"/>
      <c r="AA84" s="284"/>
    </row>
    <row r="85" spans="1:27">
      <c r="A85" s="31"/>
      <c r="B85" s="32" t="s">
        <v>1899</v>
      </c>
      <c r="C85" s="32">
        <v>32</v>
      </c>
      <c r="D85" s="33" t="s">
        <v>1850</v>
      </c>
      <c r="E85" s="33" t="s">
        <v>1867</v>
      </c>
      <c r="F85" s="33" t="s">
        <v>477</v>
      </c>
      <c r="G85" s="33" t="s">
        <v>480</v>
      </c>
      <c r="H85" s="34">
        <v>20</v>
      </c>
      <c r="I85" s="34"/>
      <c r="J85" s="149" t="str">
        <f>IF($F85="","",IFERROR(IFERROR(INDEX(Réttabanki!$U:$U,MATCH($F85,Réttabanki!$A:$A,0)),INDEX(Vöruskrá!$R:$R,MATCH($F85,Vöruskrá!$B:$B,0)))*($H85+IF($I85="",$H85*(1+#REF!),$I85))/2/1000,""))</f>
        <v/>
      </c>
      <c r="K85" s="21" t="s">
        <v>480</v>
      </c>
      <c r="L85" s="21" t="s">
        <v>121</v>
      </c>
      <c r="M85" s="21"/>
      <c r="N85" s="22">
        <v>37</v>
      </c>
      <c r="O85" s="22">
        <v>0.5</v>
      </c>
      <c r="P85" s="22">
        <v>0.1</v>
      </c>
      <c r="Q85" s="22">
        <v>3.7</v>
      </c>
      <c r="R85" s="22">
        <v>0</v>
      </c>
      <c r="S85" s="22">
        <v>0</v>
      </c>
      <c r="T85" s="65" t="str">
        <f>IF(F85="","",IFERROR(INDEX(Réttabanki!Q:Q,MATCH(F85,Réttabanki!A:A,0)),IFERROR(INDEX(Réttabanki!Q:Q,MATCH(F85,Réttabanki!B:B,0)),"")))</f>
        <v/>
      </c>
      <c r="U85" s="286"/>
      <c r="V85" s="286"/>
      <c r="W85" s="286"/>
      <c r="X85" s="286"/>
      <c r="Y85" s="286"/>
      <c r="Z85" s="286"/>
      <c r="AA85" s="286"/>
    </row>
    <row r="86" spans="1:27">
      <c r="A86" s="31"/>
      <c r="B86" s="32" t="s">
        <v>1899</v>
      </c>
      <c r="C86" s="32">
        <v>32</v>
      </c>
      <c r="D86" s="33" t="s">
        <v>1850</v>
      </c>
      <c r="E86" s="33" t="s">
        <v>1867</v>
      </c>
      <c r="F86" s="33" t="s">
        <v>508</v>
      </c>
      <c r="G86" s="33" t="s">
        <v>510</v>
      </c>
      <c r="H86" s="34">
        <v>20</v>
      </c>
      <c r="I86" s="34"/>
      <c r="J86" s="149" t="str">
        <f>IF($F86="","",IFERROR(IFERROR(INDEX(Réttabanki!$U:$U,MATCH($F86,Réttabanki!$A:$A,0)),INDEX(Vöruskrá!$R:$R,MATCH($F86,Vöruskrá!$B:$B,0)))*($H86+IF($I86="",$H86*(1+#REF!),$I86))/2/1000,""))</f>
        <v/>
      </c>
      <c r="K86" s="21" t="s">
        <v>510</v>
      </c>
      <c r="L86" s="21" t="s">
        <v>121</v>
      </c>
      <c r="M86" s="21"/>
      <c r="N86" s="22">
        <v>43</v>
      </c>
      <c r="O86" s="22">
        <v>0.5</v>
      </c>
      <c r="P86" s="22">
        <v>0.1</v>
      </c>
      <c r="Q86" s="22">
        <v>9.1</v>
      </c>
      <c r="R86" s="22">
        <v>0.4</v>
      </c>
      <c r="S86" s="22">
        <v>0</v>
      </c>
      <c r="T86" s="66" t="str">
        <f>IF(F86="","",IFERROR(INDEX(Réttabanki!Q:Q,MATCH(F86,Réttabanki!A:A,0)),IFERROR(INDEX(Réttabanki!Q:Q,MATCH(F86,Réttabanki!B:B,0)),"")))</f>
        <v/>
      </c>
      <c r="U86" s="284"/>
      <c r="V86" s="284"/>
      <c r="W86" s="284"/>
      <c r="X86" s="284"/>
      <c r="Y86" s="284"/>
      <c r="Z86" s="284"/>
      <c r="AA86" s="284"/>
    </row>
    <row r="87" spans="1:27" ht="48">
      <c r="A87" s="31"/>
      <c r="B87" s="32" t="s">
        <v>1899</v>
      </c>
      <c r="C87" s="32">
        <v>32</v>
      </c>
      <c r="D87" s="33" t="s">
        <v>1850</v>
      </c>
      <c r="E87" s="33" t="s">
        <v>946</v>
      </c>
      <c r="F87" s="33"/>
      <c r="G87" s="33"/>
      <c r="H87" s="34"/>
      <c r="I87" s="34"/>
      <c r="J87" s="149" t="str">
        <f>IF($F87="","",IFERROR(IFERROR(INDEX(Réttabanki!$U:$U,MATCH($F87,Réttabanki!$A:$A,0)),INDEX(Vöruskrá!$R:$R,MATCH($F87,Vöruskrá!$B:$B,0)))*($H87+IF($I87="",$H87*(1+#REF!),$I87))/2/1000,""))</f>
        <v/>
      </c>
      <c r="K87" s="21" t="s">
        <v>1978</v>
      </c>
      <c r="L87" s="21" t="s">
        <v>115</v>
      </c>
      <c r="M87" s="21" t="str">
        <f>IF($F87="","",IFERROR(IFERROR(INDEX(Réttabanki!$F:$F,MATCH($F87,Réttabanki!$A:$A,0)),INDEX(Vöruskrá!$H:$H,MATCH($F87,Vöruskrá!$B:$B,0))),""))</f>
        <v/>
      </c>
      <c r="N87" s="22" t="str">
        <f>IF($F87="","",IFERROR(IFERROR(INDEX(Réttabanki!$G:$G,MATCH($F87,Réttabanki!$A:$A,0)),INDEX(Vöruskrá!$J:$J,MATCH($F87,Vöruskrá!$B:$B,0)))*($H87+IF($I87="",$H87*(1+#REF!),$I87))/2/100,""))</f>
        <v/>
      </c>
      <c r="O87" s="22" t="str">
        <f>IF($F87="","",IFERROR(IFERROR(INDEX(Réttabanki!$H:$H,MATCH($F87,Réttabanki!$A:$A,0)),INDEX(Vöruskrá!$K:$K,MATCH($F87,Vöruskrá!$B:$B,0)))*($H87+IF($I87="",$H87*(1+#REF!),$I87))/2/100,""))</f>
        <v/>
      </c>
      <c r="P87" s="22" t="str">
        <f>IF($F87="","",IFERROR(IFERROR(INDEX(Réttabanki!$I:$I,MATCH($F87,Réttabanki!$A:$A,0)),INDEX(Vöruskrá!$L:$L,MATCH($F87,Vöruskrá!$B:$B,0)))*($H87+IF($I87="",$H87*(1+#REF!),$I87))/2/100,""))</f>
        <v/>
      </c>
      <c r="Q87" s="22" t="str">
        <f>IF($F87="","",IFERROR(IFERROR(INDEX(Réttabanki!$J:$J,MATCH($F87,Réttabanki!$A:$A,0)),INDEX(Vöruskrá!$M:$M,MATCH($F87,Vöruskrá!$B:$B,0)))*($H87+IF($I87="",$H87*(1+#REF!),$I87))/2/100,""))</f>
        <v/>
      </c>
      <c r="R87" s="22" t="str">
        <f>IF($F87="","",IFERROR(IFERROR(INDEX(Réttabanki!$L:$L,MATCH($F87,Réttabanki!$A:$A,0)),INDEX(Vöruskrá!$O:$O,MATCH($F87,Vöruskrá!$B:$B,0)))*($H87+IF($I87="",$H87*(1+#REF!),$I87))/2/100,""))</f>
        <v/>
      </c>
      <c r="S87" s="22" t="str">
        <f>IF($F87="","",IFERROR(IFERROR(INDEX(Réttabanki!$M:$M,MATCH($F87,Réttabanki!$A:$A,0)),INDEX(Vöruskrá!$P:$P,MATCH($F87,Vöruskrá!$B:$B,0)))*($H87+IF($I87="",$H87*(1+#REF!),$I87))/2/100,""))</f>
        <v/>
      </c>
      <c r="T87" s="66"/>
      <c r="U87" s="286"/>
      <c r="V87" s="286"/>
      <c r="W87" s="286"/>
      <c r="X87" s="286"/>
      <c r="Y87" s="286"/>
      <c r="Z87" s="286"/>
      <c r="AA87" s="286"/>
    </row>
    <row r="88" spans="1:27" ht="36">
      <c r="A88" s="31"/>
      <c r="B88" s="32" t="s">
        <v>1899</v>
      </c>
      <c r="C88" s="32">
        <v>32</v>
      </c>
      <c r="D88" s="33" t="s">
        <v>1850</v>
      </c>
      <c r="E88" s="33" t="s">
        <v>946</v>
      </c>
      <c r="F88" s="33" t="s">
        <v>1255</v>
      </c>
      <c r="G88" s="33" t="s">
        <v>1863</v>
      </c>
      <c r="H88" s="34">
        <v>200</v>
      </c>
      <c r="I88" s="34"/>
      <c r="J88" s="149" t="str">
        <f>IF($F88="","",IFERROR(IFERROR(INDEX(Réttabanki!$U:$U,MATCH($F88,Réttabanki!$A:$A,0)),INDEX(Vöruskrá!$R:$R,MATCH($F88,Vöruskrá!$B:$B,0)))*($H88+IF($I88="",$H88*(1+#REF!),$I88))/2/1000,""))</f>
        <v/>
      </c>
      <c r="K88" s="21" t="s">
        <v>1257</v>
      </c>
      <c r="L88" s="21" t="s">
        <v>115</v>
      </c>
      <c r="M88" s="21"/>
      <c r="N88" s="22">
        <v>89</v>
      </c>
      <c r="O88" s="22">
        <v>2.1</v>
      </c>
      <c r="P88" s="22">
        <v>0.2</v>
      </c>
      <c r="Q88" s="22">
        <v>16</v>
      </c>
      <c r="R88" s="22"/>
      <c r="S88" s="22"/>
      <c r="T88" s="66"/>
      <c r="U88" s="284" t="s">
        <v>1858</v>
      </c>
      <c r="V88" s="284" t="s">
        <v>1859</v>
      </c>
      <c r="W88" s="284"/>
      <c r="X88" s="284"/>
      <c r="Y88" s="284"/>
      <c r="Z88" s="284"/>
      <c r="AA88" s="284"/>
    </row>
    <row r="89" spans="1:27" ht="24">
      <c r="A89" s="31"/>
      <c r="B89" s="32" t="s">
        <v>1899</v>
      </c>
      <c r="C89" s="32">
        <v>32</v>
      </c>
      <c r="D89" s="33" t="s">
        <v>1850</v>
      </c>
      <c r="E89" s="33" t="s">
        <v>946</v>
      </c>
      <c r="F89" s="33" t="s">
        <v>1396</v>
      </c>
      <c r="G89" s="33" t="s">
        <v>1865</v>
      </c>
      <c r="H89" s="34">
        <v>200</v>
      </c>
      <c r="I89" s="34"/>
      <c r="J89" s="149" t="str">
        <f>IF($F89="","",IFERROR(IFERROR(INDEX(Réttabanki!$U:$U,MATCH($F89,Réttabanki!$A:$A,0)),INDEX(Vöruskrá!$R:$R,MATCH($F89,Vöruskrá!$B:$B,0)))*($H89+IF($I89="",$H89*(1+#REF!),$I89))/2/1000,""))</f>
        <v/>
      </c>
      <c r="K89" s="21" t="s">
        <v>1397</v>
      </c>
      <c r="L89" s="21"/>
      <c r="M89" s="21"/>
      <c r="N89" s="22">
        <v>165</v>
      </c>
      <c r="O89" s="22">
        <v>14</v>
      </c>
      <c r="P89" s="22">
        <v>12</v>
      </c>
      <c r="Q89" s="22">
        <v>24</v>
      </c>
      <c r="R89" s="22">
        <v>1</v>
      </c>
      <c r="S89" s="22">
        <v>0</v>
      </c>
      <c r="T89" s="66"/>
      <c r="U89" s="286" t="s">
        <v>1858</v>
      </c>
      <c r="V89" s="286" t="s">
        <v>1859</v>
      </c>
      <c r="W89" s="286"/>
      <c r="X89" s="286"/>
      <c r="Y89" s="286"/>
      <c r="Z89" s="286"/>
      <c r="AA89" s="286"/>
    </row>
    <row r="90" spans="1:27" ht="24">
      <c r="A90" s="31"/>
      <c r="B90" s="32" t="s">
        <v>1899</v>
      </c>
      <c r="C90" s="32">
        <v>32</v>
      </c>
      <c r="D90" s="33" t="s">
        <v>1850</v>
      </c>
      <c r="E90" s="33" t="s">
        <v>1877</v>
      </c>
      <c r="F90" s="33"/>
      <c r="G90" s="33" t="s">
        <v>1878</v>
      </c>
      <c r="H90" s="34"/>
      <c r="I90" s="34"/>
      <c r="J90" s="149" t="str">
        <f>IF($F90="","",IFERROR(IFERROR(INDEX(Réttabanki!$U:$U,MATCH($F90,Réttabanki!$A:$A,0)),INDEX(Vöruskrá!$R:$R,MATCH($F90,Vöruskrá!$B:$B,0)))*($H90+IF($I90="",$H90*(1+#REF!),$I90))/2/1000,""))</f>
        <v/>
      </c>
      <c r="K90" s="21" t="s">
        <v>1879</v>
      </c>
      <c r="L90" s="21" t="s">
        <v>1880</v>
      </c>
      <c r="M90" s="21" t="str">
        <f>IF($F90="","",IFERROR(IFERROR(INDEX(Réttabanki!$F:$F,MATCH($F90,Réttabanki!$A:$A,0)),INDEX(Vöruskrá!$H:$H,MATCH($F90,Vöruskrá!$B:$B,0))),""))</f>
        <v/>
      </c>
      <c r="N90" s="22" t="str">
        <f>IF($F90="","",IFERROR(IFERROR(INDEX(Réttabanki!$G:$G,MATCH($F90,Réttabanki!$A:$A,0)),INDEX(Vöruskrá!$J:$J,MATCH($F90,Vöruskrá!$B:$B,0)))*($H90+IF($I90="",$H90*(1+#REF!),$I90))/2/100,""))</f>
        <v/>
      </c>
      <c r="O90" s="22" t="str">
        <f>IF($F90="","",IFERROR(IFERROR(INDEX(Réttabanki!$H:$H,MATCH($F90,Réttabanki!$A:$A,0)),INDEX(Vöruskrá!$K:$K,MATCH($F90,Vöruskrá!$B:$B,0)))*($H90+IF($I90="",$H90*(1+#REF!),$I90))/2/100,""))</f>
        <v/>
      </c>
      <c r="P90" s="22" t="str">
        <f>IF($F90="","",IFERROR(IFERROR(INDEX(Réttabanki!$I:$I,MATCH($F90,Réttabanki!$A:$A,0)),INDEX(Vöruskrá!$L:$L,MATCH($F90,Vöruskrá!$B:$B,0)))*($H90+IF($I90="",$H90*(1+#REF!),$I90))/2/100,""))</f>
        <v/>
      </c>
      <c r="Q90" s="22" t="str">
        <f>IF($F90="","",IFERROR(IFERROR(INDEX(Réttabanki!$J:$J,MATCH($F90,Réttabanki!$A:$A,0)),INDEX(Vöruskrá!$M:$M,MATCH($F90,Vöruskrá!$B:$B,0)))*($H90+IF($I90="",$H90*(1+#REF!),$I90))/2/100,""))</f>
        <v/>
      </c>
      <c r="R90" s="22" t="str">
        <f>IF($F90="","",IFERROR(IFERROR(INDEX(Réttabanki!$L:$L,MATCH($F90,Réttabanki!$A:$A,0)),INDEX(Vöruskrá!$O:$O,MATCH($F90,Vöruskrá!$B:$B,0)))*($H90+IF($I90="",$H90*(1+#REF!),$I90))/2/100,""))</f>
        <v/>
      </c>
      <c r="S90" s="22" t="str">
        <f>IF($F90="","",IFERROR(IFERROR(INDEX(Réttabanki!$M:$M,MATCH($F90,Réttabanki!$A:$A,0)),INDEX(Vöruskrá!$P:$P,MATCH($F90,Vöruskrá!$B:$B,0)))*($H90+IF($I90="",$H90*(1+#REF!),$I90))/2/100,""))</f>
        <v/>
      </c>
      <c r="T90" s="65" t="str">
        <f>IF(F90="","",IFERROR(INDEX(Réttabanki!Q:Q,MATCH(F90,Réttabanki!A:A,0)),IFERROR(INDEX(Réttabanki!Q:Q,MATCH(F90,Réttabanki!B:B,0)),"")))</f>
        <v/>
      </c>
      <c r="U90" s="284"/>
      <c r="V90" s="284"/>
      <c r="W90" s="284"/>
      <c r="X90" s="284"/>
      <c r="Y90" s="284"/>
      <c r="Z90" s="284"/>
      <c r="AA90" s="284"/>
    </row>
    <row r="91" spans="1:27" ht="24">
      <c r="A91" s="31"/>
      <c r="B91" s="32" t="s">
        <v>1899</v>
      </c>
      <c r="C91" s="32">
        <v>32</v>
      </c>
      <c r="D91" s="33" t="s">
        <v>1850</v>
      </c>
      <c r="E91" s="33" t="s">
        <v>1877</v>
      </c>
      <c r="F91" s="33" t="s">
        <v>52</v>
      </c>
      <c r="G91" s="33" t="s">
        <v>1436</v>
      </c>
      <c r="H91" s="34">
        <v>40</v>
      </c>
      <c r="I91" s="34"/>
      <c r="J91" s="149" t="str">
        <f>IF($F91="","",IFERROR(IFERROR(INDEX(Réttabanki!$U:$U,MATCH($F91,Réttabanki!$A:$A,0)),INDEX(Vöruskrá!$R:$R,MATCH($F91,Vöruskrá!$B:$B,0)))*($H91+IF($I91="",$H91*(1+#REF!),$I91))/2/1000,""))</f>
        <v/>
      </c>
      <c r="K91" s="21" t="s">
        <v>53</v>
      </c>
      <c r="L91" s="21" t="s">
        <v>30</v>
      </c>
      <c r="M91" s="21" t="s">
        <v>54</v>
      </c>
      <c r="N91" s="22">
        <v>250</v>
      </c>
      <c r="O91" s="22">
        <v>2.7</v>
      </c>
      <c r="P91" s="22">
        <v>0.4</v>
      </c>
      <c r="Q91" s="22">
        <v>45</v>
      </c>
      <c r="R91" s="22">
        <v>9</v>
      </c>
      <c r="S91" s="22">
        <v>1.4</v>
      </c>
      <c r="T91" s="66" t="str">
        <f>IF(F91="","",IFERROR(INDEX(Réttabanki!Q:Q,MATCH(F91,Réttabanki!A:A,0)),IFERROR(INDEX(Réttabanki!Q:Q,MATCH(F91,Réttabanki!B:B,0)),"")))</f>
        <v/>
      </c>
      <c r="U91" s="286"/>
      <c r="V91" s="286"/>
      <c r="W91" s="286"/>
      <c r="X91" s="286"/>
      <c r="Y91" s="286"/>
      <c r="Z91" s="286"/>
      <c r="AA91" s="286"/>
    </row>
    <row r="92" spans="1:27">
      <c r="A92" s="31"/>
      <c r="B92" s="32" t="s">
        <v>1899</v>
      </c>
      <c r="C92" s="32">
        <v>32</v>
      </c>
      <c r="D92" s="33" t="s">
        <v>1850</v>
      </c>
      <c r="E92" s="33" t="s">
        <v>1877</v>
      </c>
      <c r="F92" s="33" t="s">
        <v>557</v>
      </c>
      <c r="G92" s="33" t="s">
        <v>1883</v>
      </c>
      <c r="H92" s="34">
        <v>20</v>
      </c>
      <c r="I92" s="34"/>
      <c r="J92" s="149" t="str">
        <f>IF($F92="","",IFERROR(IFERROR(INDEX(Réttabanki!$U:$U,MATCH($F92,Réttabanki!$A:$A,0)),INDEX(Vöruskrá!$R:$R,MATCH($F92,Vöruskrá!$B:$B,0)))*($H92+IF($I92="",$H92*(1+#REF!),$I92))/2/1000,""))</f>
        <v/>
      </c>
      <c r="K92" s="21" t="s">
        <v>559</v>
      </c>
      <c r="L92" s="21" t="s">
        <v>108</v>
      </c>
      <c r="M92" s="21"/>
      <c r="N92" s="22">
        <v>330</v>
      </c>
      <c r="O92" s="22">
        <v>26</v>
      </c>
      <c r="P92" s="22">
        <v>14</v>
      </c>
      <c r="Q92" s="22">
        <v>0</v>
      </c>
      <c r="R92" s="22">
        <v>25</v>
      </c>
      <c r="S92" s="22">
        <v>1.5</v>
      </c>
      <c r="T92" s="65" t="str">
        <f>IF(F92="","",IFERROR(INDEX(Réttabanki!Q:Q,MATCH(F92,Réttabanki!A:A,0)),IFERROR(INDEX(Réttabanki!Q:Q,MATCH(F92,Réttabanki!B:B,0)),"")))</f>
        <v/>
      </c>
      <c r="U92" s="284"/>
      <c r="V92" s="284"/>
      <c r="W92" s="284"/>
      <c r="X92" s="284"/>
      <c r="Y92" s="284"/>
      <c r="Z92" s="284"/>
      <c r="AA92" s="284"/>
    </row>
    <row r="93" spans="1:27" ht="36">
      <c r="A93" s="31"/>
      <c r="B93" s="32" t="s">
        <v>1899</v>
      </c>
      <c r="C93" s="32">
        <v>32</v>
      </c>
      <c r="D93" s="33" t="s">
        <v>1850</v>
      </c>
      <c r="E93" s="33" t="s">
        <v>1885</v>
      </c>
      <c r="F93" s="33"/>
      <c r="G93" s="33" t="s">
        <v>1886</v>
      </c>
      <c r="H93" s="34"/>
      <c r="I93" s="34"/>
      <c r="J93" s="149" t="str">
        <f>IF($F93="","",IFERROR(IFERROR(INDEX(Réttabanki!$U:$U,MATCH($F93,Réttabanki!$A:$A,0)),INDEX(Vöruskrá!$R:$R,MATCH($F93,Vöruskrá!$B:$B,0)))*($H93+IF($I93="",$H93*(1+#REF!),$I93))/2/1000,""))</f>
        <v/>
      </c>
      <c r="K93" s="21" t="s">
        <v>1887</v>
      </c>
      <c r="L93" s="21" t="s">
        <v>1888</v>
      </c>
      <c r="M93" s="21" t="str">
        <f>IF($F93="","",IFERROR(IFERROR(INDEX(Réttabanki!$F:$F,MATCH($F93,Réttabanki!$A:$A,0)),INDEX(Vöruskrá!$H:$H,MATCH($F93,Vöruskrá!$B:$B,0))),""))</f>
        <v/>
      </c>
      <c r="N93" s="22" t="str">
        <f>IF($F93="","",IFERROR(IFERROR(INDEX(Réttabanki!$G:$G,MATCH($F93,Réttabanki!$A:$A,0)),INDEX(Vöruskrá!$J:$J,MATCH($F93,Vöruskrá!$B:$B,0)))*($H93+IF($I93="",$H93*(1+#REF!),$I93))/2/100,""))</f>
        <v/>
      </c>
      <c r="O93" s="22" t="str">
        <f>IF($F93="","",IFERROR(IFERROR(INDEX(Réttabanki!$H:$H,MATCH($F93,Réttabanki!$A:$A,0)),INDEX(Vöruskrá!$K:$K,MATCH($F93,Vöruskrá!$B:$B,0)))*($H93+IF($I93="",$H93*(1+#REF!),$I93))/2/100,""))</f>
        <v/>
      </c>
      <c r="P93" s="22" t="str">
        <f>IF($F93="","",IFERROR(IFERROR(INDEX(Réttabanki!$I:$I,MATCH($F93,Réttabanki!$A:$A,0)),INDEX(Vöruskrá!$L:$L,MATCH($F93,Vöruskrá!$B:$B,0)))*($H93+IF($I93="",$H93*(1+#REF!),$I93))/2/100,""))</f>
        <v/>
      </c>
      <c r="Q93" s="22" t="str">
        <f>IF($F93="","",IFERROR(IFERROR(INDEX(Réttabanki!$J:$J,MATCH($F93,Réttabanki!$A:$A,0)),INDEX(Vöruskrá!$M:$M,MATCH($F93,Vöruskrá!$B:$B,0)))*($H93+IF($I93="",$H93*(1+#REF!),$I93))/2/100,""))</f>
        <v/>
      </c>
      <c r="R93" s="22" t="str">
        <f>IF($F93="","",IFERROR(IFERROR(INDEX(Réttabanki!$L:$L,MATCH($F93,Réttabanki!$A:$A,0)),INDEX(Vöruskrá!$O:$O,MATCH($F93,Vöruskrá!$B:$B,0)))*($H93+IF($I93="",$H93*(1+#REF!),$I93))/2/100,""))</f>
        <v/>
      </c>
      <c r="S93" s="22" t="str">
        <f>IF($F93="","",IFERROR(IFERROR(INDEX(Réttabanki!$M:$M,MATCH($F93,Réttabanki!$A:$A,0)),INDEX(Vöruskrá!$P:$P,MATCH($F93,Vöruskrá!$B:$B,0)))*($H93+IF($I93="",$H93*(1+#REF!),$I93))/2/100,""))</f>
        <v/>
      </c>
      <c r="T93" s="65"/>
      <c r="U93" s="286"/>
      <c r="V93" s="286"/>
      <c r="W93" s="286"/>
      <c r="X93" s="286"/>
      <c r="Y93" s="286"/>
      <c r="Z93" s="286"/>
      <c r="AA93" s="286"/>
    </row>
    <row r="94" spans="1:27">
      <c r="A94" s="31"/>
      <c r="B94" s="32" t="s">
        <v>1899</v>
      </c>
      <c r="C94" s="32">
        <v>32</v>
      </c>
      <c r="D94" s="33" t="s">
        <v>1850</v>
      </c>
      <c r="E94" s="33" t="s">
        <v>1885</v>
      </c>
      <c r="F94" s="33" t="s">
        <v>1093</v>
      </c>
      <c r="G94" s="33" t="s">
        <v>1093</v>
      </c>
      <c r="H94" s="34">
        <v>40</v>
      </c>
      <c r="I94" s="34"/>
      <c r="J94" s="149" t="str">
        <f>IF($F94="","",IFERROR(IFERROR(INDEX(Réttabanki!$U:$U,MATCH($F94,Réttabanki!$A:$A,0)),INDEX(Vöruskrá!$R:$R,MATCH($F94,Vöruskrá!$B:$B,0)))*($H94+IF($I94="",$H94*(1+#REF!),$I94))/2/1000,""))</f>
        <v/>
      </c>
      <c r="K94" s="21" t="s">
        <v>1095</v>
      </c>
      <c r="L94" s="21" t="s">
        <v>30</v>
      </c>
      <c r="M94" s="21"/>
      <c r="N94" s="22">
        <v>439</v>
      </c>
      <c r="O94" s="22">
        <v>13.6</v>
      </c>
      <c r="P94" s="22">
        <v>6.3</v>
      </c>
      <c r="Q94" s="22">
        <v>67.7</v>
      </c>
      <c r="R94" s="22">
        <v>10</v>
      </c>
      <c r="S94" s="22">
        <v>1.3</v>
      </c>
      <c r="T94" s="65"/>
      <c r="U94" s="284" t="s">
        <v>1890</v>
      </c>
      <c r="V94" s="284" t="s">
        <v>1859</v>
      </c>
      <c r="W94" s="284"/>
      <c r="X94" s="284"/>
      <c r="Y94" s="284"/>
      <c r="Z94" s="284"/>
      <c r="AA94" s="284"/>
    </row>
    <row r="95" spans="1:27" ht="24">
      <c r="A95" s="31"/>
      <c r="B95" s="32" t="s">
        <v>1899</v>
      </c>
      <c r="C95" s="32">
        <v>32</v>
      </c>
      <c r="D95" s="33" t="s">
        <v>1850</v>
      </c>
      <c r="E95" s="33" t="s">
        <v>1885</v>
      </c>
      <c r="F95" s="33" t="s">
        <v>124</v>
      </c>
      <c r="G95" s="33" t="s">
        <v>1892</v>
      </c>
      <c r="H95" s="34">
        <v>20</v>
      </c>
      <c r="I95" s="34"/>
      <c r="J95" s="149" t="str">
        <f>IF($F95="","",IFERROR(IFERROR(INDEX(Réttabanki!$U:$U,MATCH($F95,Réttabanki!$A:$A,0)),INDEX(Vöruskrá!$R:$R,MATCH($F95,Vöruskrá!$B:$B,0)))*($H95+IF($I95="",$H95*(1+#REF!),$I95))/2/1000,""))</f>
        <v/>
      </c>
      <c r="K95" s="21" t="s">
        <v>127</v>
      </c>
      <c r="L95" s="21" t="s">
        <v>128</v>
      </c>
      <c r="M95" s="21"/>
      <c r="N95" s="22">
        <v>122</v>
      </c>
      <c r="O95" s="22">
        <v>5.9</v>
      </c>
      <c r="P95" s="22">
        <v>2.4</v>
      </c>
      <c r="Q95" s="22">
        <v>3.6</v>
      </c>
      <c r="R95" s="22">
        <v>13.4</v>
      </c>
      <c r="S95" s="22">
        <v>2.7</v>
      </c>
      <c r="T95" s="65"/>
      <c r="U95" s="286" t="s">
        <v>1858</v>
      </c>
      <c r="V95" s="286" t="s">
        <v>1859</v>
      </c>
      <c r="W95" s="286"/>
      <c r="X95" s="286"/>
      <c r="Y95" s="286"/>
      <c r="Z95" s="286"/>
      <c r="AA95" s="286"/>
    </row>
    <row r="96" spans="1:27">
      <c r="A96" s="155"/>
      <c r="B96" s="156" t="s">
        <v>1899</v>
      </c>
      <c r="C96" s="156">
        <v>32</v>
      </c>
      <c r="D96" s="157"/>
      <c r="E96" s="157"/>
      <c r="F96" s="157" t="s">
        <v>1894</v>
      </c>
      <c r="G96" s="157"/>
      <c r="H96" s="158"/>
      <c r="I96" s="158"/>
      <c r="J96" s="159">
        <f>SUMIFS(J79:J95,E79:E95,"&lt;&gt;Hliðarréttur",E79:E95,"&lt;&gt;Sérfæði")</f>
        <v>0</v>
      </c>
      <c r="K96" s="21" t="s">
        <v>1895</v>
      </c>
      <c r="L96" s="21"/>
      <c r="M96" s="21"/>
      <c r="N96" s="22"/>
      <c r="O96" s="22"/>
      <c r="P96" s="22"/>
      <c r="Q96" s="22"/>
      <c r="R96" s="22"/>
      <c r="S96" s="22"/>
      <c r="T96" s="65"/>
      <c r="U96" s="284"/>
      <c r="V96" s="284"/>
      <c r="W96" s="284"/>
      <c r="X96" s="284"/>
      <c r="Y96" s="284"/>
      <c r="Z96" s="284"/>
      <c r="AA96" s="284"/>
    </row>
    <row r="97" spans="1:27">
      <c r="A97" s="155"/>
      <c r="B97" s="156" t="s">
        <v>1899</v>
      </c>
      <c r="C97" s="156">
        <v>32</v>
      </c>
      <c r="D97" s="157"/>
      <c r="E97" s="157"/>
      <c r="F97" s="157" t="s">
        <v>1897</v>
      </c>
      <c r="G97" s="157"/>
      <c r="H97" s="158"/>
      <c r="I97" s="158"/>
      <c r="J97" s="159">
        <f>SUMIFS(J79:J95,E79:E95,"&lt;&gt;Hliðarréttur",E79:E95,"&lt;&gt;Sérfæði")</f>
        <v>0</v>
      </c>
      <c r="K97" s="21" t="s">
        <v>1895</v>
      </c>
      <c r="L97" s="21"/>
      <c r="M97" s="21"/>
      <c r="N97" s="22"/>
      <c r="O97" s="22"/>
      <c r="P97" s="22"/>
      <c r="Q97" s="22"/>
      <c r="R97" s="22"/>
      <c r="S97" s="22"/>
      <c r="T97" s="65"/>
      <c r="U97" s="286"/>
      <c r="V97" s="286"/>
      <c r="W97" s="286"/>
      <c r="X97" s="286"/>
      <c r="Y97" s="286"/>
      <c r="Z97" s="286"/>
      <c r="AA97" s="286"/>
    </row>
    <row r="98" spans="1:27" ht="48">
      <c r="A98" s="31">
        <v>46239</v>
      </c>
      <c r="B98" s="32" t="s">
        <v>1922</v>
      </c>
      <c r="C98" s="32">
        <v>32</v>
      </c>
      <c r="D98" s="33" t="s">
        <v>1850</v>
      </c>
      <c r="E98" s="33" t="s">
        <v>1852</v>
      </c>
      <c r="F98" s="33"/>
      <c r="G98" s="33" t="s">
        <v>1900</v>
      </c>
      <c r="H98" s="34"/>
      <c r="I98" s="34"/>
      <c r="J98" s="149" t="str">
        <f>IF($F98="","",IFERROR(IFERROR(INDEX(Réttabanki!$U:$U,MATCH($F98,Réttabanki!$A:$A,0)),INDEX(Vöruskrá!$R:$R,MATCH($F98,Vöruskrá!$B:$B,0)))*($H98+IF($I98="",$H98*(1+#REF!),$I98))/2/1000,""))</f>
        <v/>
      </c>
      <c r="K98" s="21" t="s">
        <v>1979</v>
      </c>
      <c r="L98" s="21" t="s">
        <v>108</v>
      </c>
      <c r="M98" s="21" t="str">
        <f>IF($F98="","",IFERROR(IFERROR(INDEX(Réttabanki!$F:$F,MATCH($F98,Réttabanki!$A:$A,0)),INDEX(Vöruskrá!$H:$H,MATCH($F98,Vöruskrá!$B:$B,0))),""))</f>
        <v/>
      </c>
      <c r="N98" s="22" t="str">
        <f>IF($F98="","",IFERROR(IFERROR(INDEX(Réttabanki!$G:$G,MATCH($F98,Réttabanki!$A:$A,0)),INDEX(Vöruskrá!$J:$J,MATCH($F98,Vöruskrá!$B:$B,0)))*($H98+IF($I98="",$H98*(1+#REF!),$I98))/2/100,""))</f>
        <v/>
      </c>
      <c r="O98" s="22" t="str">
        <f>IF($F98="","",IFERROR(IFERROR(INDEX(Réttabanki!$H:$H,MATCH($F98,Réttabanki!$A:$A,0)),INDEX(Vöruskrá!$K:$K,MATCH($F98,Vöruskrá!$B:$B,0)))*($H98+IF($I98="",$H98*(1+#REF!),$I98))/2/100,""))</f>
        <v/>
      </c>
      <c r="P98" s="22" t="str">
        <f>IF($F98="","",IFERROR(IFERROR(INDEX(Réttabanki!$I:$I,MATCH($F98,Réttabanki!$A:$A,0)),INDEX(Vöruskrá!$L:$L,MATCH($F98,Vöruskrá!$B:$B,0)))*($H98+IF($I98="",$H98*(1+#REF!),$I98))/2/100,""))</f>
        <v/>
      </c>
      <c r="Q98" s="22" t="str">
        <f>IF($F98="","",IFERROR(IFERROR(INDEX(Réttabanki!$J:$J,MATCH($F98,Réttabanki!$A:$A,0)),INDEX(Vöruskrá!$M:$M,MATCH($F98,Vöruskrá!$B:$B,0)))*($H98+IF($I98="",$H98*(1+#REF!),$I98))/2/100,""))</f>
        <v/>
      </c>
      <c r="R98" s="22" t="str">
        <f>IF($F98="","",IFERROR(IFERROR(INDEX(Réttabanki!$L:$L,MATCH($F98,Réttabanki!$A:$A,0)),INDEX(Vöruskrá!$O:$O,MATCH($F98,Vöruskrá!$B:$B,0)))*($H98+IF($I98="",$H98*(1+#REF!),$I98))/2/100,""))</f>
        <v/>
      </c>
      <c r="S98" s="22" t="str">
        <f>IF($F98="","",IFERROR(IFERROR(INDEX(Réttabanki!$M:$M,MATCH($F98,Réttabanki!$A:$A,0)),INDEX(Vöruskrá!$P:$P,MATCH($F98,Vöruskrá!$B:$B,0)))*($H98+IF($I98="",$H98*(1+#REF!),$I98))/2/100,""))</f>
        <v/>
      </c>
      <c r="T98" s="66" t="str">
        <f>IF(F98="","",IFERROR(INDEX(Réttabanki!Q:Q,MATCH(F98,Réttabanki!A:A,0)),IFERROR(INDEX(Réttabanki!Q:Q,MATCH(F98,Réttabanki!B:B,0)),"")))</f>
        <v/>
      </c>
      <c r="U98" s="284"/>
      <c r="V98" s="284"/>
      <c r="W98" s="284"/>
      <c r="X98" s="284"/>
      <c r="Y98" s="284"/>
      <c r="Z98" s="284"/>
      <c r="AA98" s="284"/>
    </row>
    <row r="99" spans="1:27" ht="24">
      <c r="A99" s="31"/>
      <c r="B99" s="32" t="s">
        <v>1922</v>
      </c>
      <c r="C99" s="32">
        <v>32</v>
      </c>
      <c r="D99" s="33" t="s">
        <v>1850</v>
      </c>
      <c r="E99" s="33" t="s">
        <v>1852</v>
      </c>
      <c r="F99" s="33" t="s">
        <v>592</v>
      </c>
      <c r="G99" s="33" t="s">
        <v>1903</v>
      </c>
      <c r="H99" s="34">
        <v>160</v>
      </c>
      <c r="I99" s="34"/>
      <c r="J99" s="149" t="str">
        <f>IF($F99="","",IFERROR(IFERROR(INDEX(Réttabanki!$U:$U,MATCH($F99,Réttabanki!$A:$A,0)),INDEX(Vöruskrá!$R:$R,MATCH($F99,Vöruskrá!$B:$B,0)))*($H99+IF($I99="",$H99*(1+#REF!),$I99))/2/1000,""))</f>
        <v/>
      </c>
      <c r="K99" s="21" t="s">
        <v>593</v>
      </c>
      <c r="L99" s="21"/>
      <c r="M99" s="21"/>
      <c r="N99" s="22">
        <v>110</v>
      </c>
      <c r="O99" s="22">
        <v>12</v>
      </c>
      <c r="P99" s="22">
        <v>6</v>
      </c>
      <c r="Q99" s="22">
        <v>12</v>
      </c>
      <c r="R99" s="22">
        <v>12</v>
      </c>
      <c r="S99" s="22">
        <v>1.6</v>
      </c>
      <c r="T99" s="65">
        <v>1</v>
      </c>
      <c r="U99" s="286" t="s">
        <v>1858</v>
      </c>
      <c r="V99" s="286" t="s">
        <v>1904</v>
      </c>
      <c r="W99" s="286" t="s">
        <v>1905</v>
      </c>
      <c r="X99" s="286" t="s">
        <v>1906</v>
      </c>
      <c r="Y99" s="286" t="s">
        <v>1907</v>
      </c>
      <c r="Z99" s="286"/>
      <c r="AA99" s="286"/>
    </row>
    <row r="100" spans="1:27">
      <c r="A100" s="31"/>
      <c r="B100" s="32" t="s">
        <v>1922</v>
      </c>
      <c r="C100" s="32">
        <v>32</v>
      </c>
      <c r="D100" s="33" t="s">
        <v>1850</v>
      </c>
      <c r="E100" s="33" t="s">
        <v>1852</v>
      </c>
      <c r="F100" s="33" t="s">
        <v>1097</v>
      </c>
      <c r="G100" s="33" t="s">
        <v>1912</v>
      </c>
      <c r="H100" s="34">
        <v>80</v>
      </c>
      <c r="I100" s="34"/>
      <c r="J100" s="149" t="str">
        <f>IF($F100="","",IFERROR(IFERROR(INDEX(Réttabanki!$U:$U,MATCH($F100,Réttabanki!$A:$A,0)),INDEX(Vöruskrá!$R:$R,MATCH($F100,Vöruskrá!$B:$B,0)))*($H100+IF($I100="",$H100*(1+#REF!),$I100))/2/1000,""))</f>
        <v/>
      </c>
      <c r="K100" s="21" t="s">
        <v>1099</v>
      </c>
      <c r="L100" s="21" t="s">
        <v>108</v>
      </c>
      <c r="M100" s="21" t="s">
        <v>1100</v>
      </c>
      <c r="N100" s="22">
        <v>103</v>
      </c>
      <c r="O100" s="22">
        <v>3</v>
      </c>
      <c r="P100" s="22">
        <v>2.1</v>
      </c>
      <c r="Q100" s="22">
        <v>16</v>
      </c>
      <c r="R100" s="22">
        <v>2.2000000000000002</v>
      </c>
      <c r="S100" s="22">
        <v>0.7</v>
      </c>
      <c r="T100" s="66">
        <v>2</v>
      </c>
      <c r="U100" s="284" t="s">
        <v>1858</v>
      </c>
      <c r="V100" s="284" t="s">
        <v>1904</v>
      </c>
      <c r="W100" s="284" t="s">
        <v>1913</v>
      </c>
      <c r="X100" s="284" t="s">
        <v>1914</v>
      </c>
      <c r="Y100" s="284">
        <v>75</v>
      </c>
      <c r="Z100" s="284"/>
      <c r="AA100" s="284"/>
    </row>
    <row r="101" spans="1:27" ht="30.75">
      <c r="A101" s="31"/>
      <c r="B101" s="32" t="s">
        <v>1922</v>
      </c>
      <c r="C101" s="32">
        <v>32</v>
      </c>
      <c r="D101" s="33" t="s">
        <v>1850</v>
      </c>
      <c r="E101" s="33" t="s">
        <v>1852</v>
      </c>
      <c r="F101" s="33" t="s">
        <v>261</v>
      </c>
      <c r="G101" s="33" t="s">
        <v>1916</v>
      </c>
      <c r="H101" s="34">
        <v>40</v>
      </c>
      <c r="I101" s="34"/>
      <c r="J101" s="149" t="str">
        <f>IF($F101="","",IFERROR(IFERROR(INDEX(Réttabanki!$U:$U,MATCH($F101,Réttabanki!$A:$A,0)),INDEX(Vöruskrá!$R:$R,MATCH($F101,Vöruskrá!$B:$B,0)))*($H101+IF($I101="",$H101*(1+#REF!),$I101))/2/1000,""))</f>
        <v/>
      </c>
      <c r="K101" s="21" t="s">
        <v>263</v>
      </c>
      <c r="L101" s="21" t="s">
        <v>121</v>
      </c>
      <c r="M101" s="21"/>
      <c r="N101" s="22">
        <v>25</v>
      </c>
      <c r="O101" s="22">
        <v>0.3</v>
      </c>
      <c r="P101" s="22">
        <v>0</v>
      </c>
      <c r="Q101" s="22">
        <v>5</v>
      </c>
      <c r="R101" s="22">
        <v>0.5</v>
      </c>
      <c r="S101" s="22">
        <v>0.5</v>
      </c>
      <c r="T101" s="65">
        <v>3</v>
      </c>
      <c r="U101" s="286"/>
      <c r="V101" s="286" t="s">
        <v>1904</v>
      </c>
      <c r="W101" s="286" t="s">
        <v>1913</v>
      </c>
      <c r="X101" s="286">
        <v>15</v>
      </c>
      <c r="Y101" s="286">
        <v>75</v>
      </c>
      <c r="Z101" s="286"/>
      <c r="AA101" s="286"/>
    </row>
    <row r="102" spans="1:27" ht="60">
      <c r="A102" s="31"/>
      <c r="B102" s="32" t="s">
        <v>1922</v>
      </c>
      <c r="C102" s="32">
        <v>32</v>
      </c>
      <c r="D102" s="33" t="s">
        <v>1850</v>
      </c>
      <c r="E102" s="33" t="s">
        <v>1867</v>
      </c>
      <c r="F102" s="33"/>
      <c r="G102" s="33" t="s">
        <v>1908</v>
      </c>
      <c r="H102" s="34"/>
      <c r="I102" s="34"/>
      <c r="J102" s="149" t="str">
        <f>IF($F102="","",IFERROR(IFERROR(INDEX(Réttabanki!$U:$U,MATCH($F102,Réttabanki!$A:$A,0)),INDEX(Vöruskrá!$R:$R,MATCH($F102,Vöruskrá!$B:$B,0)))*($H102+IF($I102="",$H102*(1+#REF!),$I102))/2/1000,""))</f>
        <v/>
      </c>
      <c r="K102" s="21" t="s">
        <v>1909</v>
      </c>
      <c r="L102" s="21" t="s">
        <v>469</v>
      </c>
      <c r="M102" s="21" t="str">
        <f>IF($F102="","",IFERROR(IFERROR(INDEX(Réttabanki!$F:$F,MATCH($F102,Réttabanki!$A:$A,0)),INDEX(Vöruskrá!$H:$H,MATCH($F102,Vöruskrá!$B:$B,0))),""))</f>
        <v/>
      </c>
      <c r="N102" s="22" t="str">
        <f>IF($F102="","",IFERROR(IFERROR(INDEX(Réttabanki!$G:$G,MATCH($F102,Réttabanki!$A:$A,0)),INDEX(Vöruskrá!$J:$J,MATCH($F102,Vöruskrá!$B:$B,0)))*($H102+IF($I102="",$H102*(1+#REF!),$I102))/2/100,""))</f>
        <v/>
      </c>
      <c r="O102" s="22" t="str">
        <f>IF($F102="","",IFERROR(IFERROR(INDEX(Réttabanki!$H:$H,MATCH($F102,Réttabanki!$A:$A,0)),INDEX(Vöruskrá!$K:$K,MATCH($F102,Vöruskrá!$B:$B,0)))*($H102+IF($I102="",$H102*(1+#REF!),$I102))/2/100,""))</f>
        <v/>
      </c>
      <c r="P102" s="22" t="str">
        <f>IF($F102="","",IFERROR(IFERROR(INDEX(Réttabanki!$I:$I,MATCH($F102,Réttabanki!$A:$A,0)),INDEX(Vöruskrá!$L:$L,MATCH($F102,Vöruskrá!$B:$B,0)))*($H102+IF($I102="",$H102*(1+#REF!),$I102))/2/100,""))</f>
        <v/>
      </c>
      <c r="Q102" s="22" t="str">
        <f>IF($F102="","",IFERROR(IFERROR(INDEX(Réttabanki!$J:$J,MATCH($F102,Réttabanki!$A:$A,0)),INDEX(Vöruskrá!$M:$M,MATCH($F102,Vöruskrá!$B:$B,0)))*($H102+IF($I102="",$H102*(1+#REF!),$I102))/2/100,""))</f>
        <v/>
      </c>
      <c r="R102" s="22" t="str">
        <f>IF($F102="","",IFERROR(IFERROR(INDEX(Réttabanki!$L:$L,MATCH($F102,Réttabanki!$A:$A,0)),INDEX(Vöruskrá!$O:$O,MATCH($F102,Vöruskrá!$B:$B,0)))*($H102+IF($I102="",$H102*(1+#REF!),$I102))/2/100,""))</f>
        <v/>
      </c>
      <c r="S102" s="22" t="str">
        <f>IF($F102="","",IFERROR(IFERROR(INDEX(Réttabanki!$M:$M,MATCH($F102,Réttabanki!$A:$A,0)),INDEX(Vöruskrá!$P:$P,MATCH($F102,Vöruskrá!$B:$B,0)))*($H102+IF($I102="",$H102*(1+#REF!),$I102))/2/100,""))</f>
        <v/>
      </c>
      <c r="T102" s="66" t="str">
        <f>IF(F102="","",IFERROR(INDEX(Réttabanki!Q:Q,MATCH(F102,Réttabanki!A:A,0)),IFERROR(INDEX(Réttabanki!Q:Q,MATCH(F102,Réttabanki!B:B,0)),"")))</f>
        <v/>
      </c>
      <c r="U102" s="284"/>
      <c r="V102" s="284"/>
      <c r="W102" s="284"/>
      <c r="X102" s="284"/>
      <c r="Y102" s="284"/>
      <c r="Z102" s="284"/>
      <c r="AA102" s="284"/>
    </row>
    <row r="103" spans="1:27" ht="36">
      <c r="A103" s="31"/>
      <c r="B103" s="32" t="s">
        <v>1922</v>
      </c>
      <c r="C103" s="32">
        <v>32</v>
      </c>
      <c r="D103" s="33" t="s">
        <v>1850</v>
      </c>
      <c r="E103" s="33" t="s">
        <v>1867</v>
      </c>
      <c r="F103" s="33" t="s">
        <v>819</v>
      </c>
      <c r="G103" s="33" t="s">
        <v>497</v>
      </c>
      <c r="H103" s="34">
        <v>160</v>
      </c>
      <c r="I103" s="34"/>
      <c r="J103" s="149" t="str">
        <f>IF($F103="","",IFERROR(IFERROR(INDEX(Réttabanki!$U:$U,MATCH($F103,Réttabanki!$A:$A,0)),INDEX(Vöruskrá!$R:$R,MATCH($F103,Vöruskrá!$B:$B,0)))*($H103+IF($I103="",$H103*(1+#REF!),$I103))/2/1000,""))</f>
        <v/>
      </c>
      <c r="K103" s="21" t="s">
        <v>820</v>
      </c>
      <c r="L103" s="21" t="s">
        <v>469</v>
      </c>
      <c r="M103" s="21" t="s">
        <v>499</v>
      </c>
      <c r="N103" s="22">
        <v>215</v>
      </c>
      <c r="O103" s="22">
        <v>2</v>
      </c>
      <c r="P103" s="22">
        <v>0.3</v>
      </c>
      <c r="Q103" s="22">
        <v>36.9</v>
      </c>
      <c r="R103" s="22">
        <v>8.4</v>
      </c>
      <c r="S103" s="22">
        <v>0.9</v>
      </c>
      <c r="T103" s="65">
        <v>1</v>
      </c>
      <c r="U103" s="286" t="s">
        <v>1858</v>
      </c>
      <c r="V103" s="286" t="s">
        <v>1904</v>
      </c>
      <c r="W103" s="286" t="s">
        <v>1905</v>
      </c>
      <c r="X103" s="287" t="s">
        <v>1910</v>
      </c>
      <c r="Y103" s="286">
        <v>75</v>
      </c>
      <c r="Z103" s="286"/>
      <c r="AA103" s="286"/>
    </row>
    <row r="104" spans="1:27">
      <c r="A104" s="31"/>
      <c r="B104" s="32" t="s">
        <v>1922</v>
      </c>
      <c r="C104" s="32">
        <v>32</v>
      </c>
      <c r="D104" s="33" t="s">
        <v>1850</v>
      </c>
      <c r="E104" s="33" t="s">
        <v>1867</v>
      </c>
      <c r="F104" s="33" t="s">
        <v>552</v>
      </c>
      <c r="G104" s="33" t="s">
        <v>1912</v>
      </c>
      <c r="H104" s="34">
        <v>80</v>
      </c>
      <c r="I104" s="34"/>
      <c r="J104" s="149" t="str">
        <f>IF($F104="","",IFERROR(IFERROR(INDEX(Réttabanki!$U:$U,MATCH($F104,Réttabanki!$A:$A,0)),INDEX(Vöruskrá!$R:$R,MATCH($F104,Vöruskrá!$B:$B,0)))*($H104+IF($I104="",$H104*(1+#REF!),$I104))/2/1000,""))</f>
        <v/>
      </c>
      <c r="K104" s="21" t="s">
        <v>554</v>
      </c>
      <c r="L104" s="21" t="s">
        <v>121</v>
      </c>
      <c r="M104" s="21"/>
      <c r="N104" s="22">
        <v>77</v>
      </c>
      <c r="O104" s="22">
        <v>0.1</v>
      </c>
      <c r="P104" s="22">
        <v>0</v>
      </c>
      <c r="Q104" s="22">
        <v>20</v>
      </c>
      <c r="R104" s="22">
        <v>1.7</v>
      </c>
      <c r="S104" s="22">
        <v>0</v>
      </c>
      <c r="T104" s="66">
        <v>2</v>
      </c>
      <c r="U104" s="284" t="s">
        <v>1858</v>
      </c>
      <c r="V104" s="284" t="s">
        <v>1904</v>
      </c>
      <c r="W104" s="284" t="s">
        <v>1913</v>
      </c>
      <c r="X104" s="284" t="s">
        <v>1980</v>
      </c>
      <c r="Y104" s="284">
        <v>75</v>
      </c>
      <c r="Z104" s="284"/>
      <c r="AA104" s="284"/>
    </row>
    <row r="105" spans="1:27" ht="30.75">
      <c r="A105" s="31"/>
      <c r="B105" s="32" t="s">
        <v>1922</v>
      </c>
      <c r="C105" s="32">
        <v>32</v>
      </c>
      <c r="D105" s="33" t="s">
        <v>1850</v>
      </c>
      <c r="E105" s="33" t="s">
        <v>1867</v>
      </c>
      <c r="F105" s="33" t="s">
        <v>261</v>
      </c>
      <c r="G105" s="33" t="s">
        <v>1916</v>
      </c>
      <c r="H105" s="34">
        <v>40</v>
      </c>
      <c r="I105" s="34"/>
      <c r="J105" s="149" t="str">
        <f>IF($F105="","",IFERROR(IFERROR(INDEX(Réttabanki!$U:$U,MATCH($F105,Réttabanki!$A:$A,0)),INDEX(Vöruskrá!$R:$R,MATCH($F105,Vöruskrá!$B:$B,0)))*($H105+IF($I105="",$H105*(1+#REF!),$I105))/2/1000,""))</f>
        <v/>
      </c>
      <c r="K105" s="21" t="s">
        <v>263</v>
      </c>
      <c r="L105" s="21" t="s">
        <v>121</v>
      </c>
      <c r="M105" s="21"/>
      <c r="N105" s="22">
        <v>25</v>
      </c>
      <c r="O105" s="22">
        <v>0.3</v>
      </c>
      <c r="P105" s="22">
        <v>0</v>
      </c>
      <c r="Q105" s="22">
        <v>5</v>
      </c>
      <c r="R105" s="22">
        <v>0.5</v>
      </c>
      <c r="S105" s="22">
        <v>0.5</v>
      </c>
      <c r="T105" s="65" t="str">
        <f>IF(F105="","",IFERROR(INDEX(Réttabanki!Q:Q,MATCH(F105,Réttabanki!A:A,0)),IFERROR(INDEX(Réttabanki!Q:Q,MATCH(F105,Réttabanki!B:B,0)),"")))</f>
        <v/>
      </c>
      <c r="U105" s="286"/>
      <c r="V105" s="286"/>
      <c r="W105" s="286"/>
      <c r="X105" s="286"/>
      <c r="Y105" s="286"/>
      <c r="Z105" s="286"/>
      <c r="AA105" s="286"/>
    </row>
    <row r="106" spans="1:27">
      <c r="A106" s="31"/>
      <c r="B106" s="32" t="s">
        <v>1922</v>
      </c>
      <c r="C106" s="32">
        <v>32</v>
      </c>
      <c r="D106" s="33" t="s">
        <v>1850</v>
      </c>
      <c r="E106" s="33" t="s">
        <v>946</v>
      </c>
      <c r="F106" s="33" t="s">
        <v>552</v>
      </c>
      <c r="G106" s="33" t="s">
        <v>1915</v>
      </c>
      <c r="H106" s="34">
        <v>80</v>
      </c>
      <c r="I106" s="34"/>
      <c r="J106" s="149" t="str">
        <f>IF($F106="","",IFERROR(IFERROR(INDEX(Réttabanki!$U:$U,MATCH($F106,Réttabanki!$A:$A,0)),INDEX(Vöruskrá!$R:$R,MATCH($F106,Vöruskrá!$B:$B,0)))*($H106+IF($I106="",$H106*(1+#REF!),$I106))/2/1000,""))</f>
        <v/>
      </c>
      <c r="K106" s="21" t="s">
        <v>554</v>
      </c>
      <c r="L106" s="21" t="s">
        <v>121</v>
      </c>
      <c r="M106" s="21"/>
      <c r="N106" s="22">
        <v>77</v>
      </c>
      <c r="O106" s="22">
        <v>0.1</v>
      </c>
      <c r="P106" s="22">
        <v>0</v>
      </c>
      <c r="Q106" s="22">
        <v>20</v>
      </c>
      <c r="R106" s="22">
        <v>1.7</v>
      </c>
      <c r="S106" s="22">
        <v>0</v>
      </c>
      <c r="T106" s="65"/>
      <c r="U106" s="284"/>
      <c r="V106" s="284"/>
      <c r="W106" s="284"/>
      <c r="X106" s="284"/>
      <c r="Y106" s="284"/>
      <c r="Z106" s="284"/>
      <c r="AA106" s="284"/>
    </row>
    <row r="107" spans="1:27">
      <c r="A107" s="31"/>
      <c r="B107" s="32" t="s">
        <v>1922</v>
      </c>
      <c r="C107" s="32">
        <v>32</v>
      </c>
      <c r="D107" s="33" t="s">
        <v>1850</v>
      </c>
      <c r="E107" s="33" t="s">
        <v>1877</v>
      </c>
      <c r="F107" s="33"/>
      <c r="G107" s="33" t="s">
        <v>1917</v>
      </c>
      <c r="H107" s="34"/>
      <c r="I107" s="34"/>
      <c r="J107" s="149" t="str">
        <f>IF($F107="","",IFERROR(IFERROR(INDEX(Réttabanki!$U:$U,MATCH($F107,Réttabanki!$A:$A,0)),INDEX(Vöruskrá!$R:$R,MATCH($F107,Vöruskrá!$B:$B,0)))*($H107+IF($I107="",$H107*(1+#REF!),$I107))/2/1000,""))</f>
        <v/>
      </c>
      <c r="K107" s="21" t="s">
        <v>827</v>
      </c>
      <c r="L107" s="21" t="s">
        <v>469</v>
      </c>
      <c r="M107" s="21" t="str">
        <f>IF($F107="","",IFERROR(IFERROR(INDEX(Réttabanki!$F:$F,MATCH($F107,Réttabanki!$A:$A,0)),INDEX(Vöruskrá!$H:$H,MATCH($F107,Vöruskrá!$B:$B,0))),""))</f>
        <v/>
      </c>
      <c r="N107" s="22" t="str">
        <f>IF($F107="","",IFERROR(IFERROR(INDEX(Réttabanki!$G:$G,MATCH($F107,Réttabanki!$A:$A,0)),INDEX(Vöruskrá!$J:$J,MATCH($F107,Vöruskrá!$B:$B,0)))*($H107+IF($I107="",$H107*(1+#REF!),$I107))/2/100,""))</f>
        <v/>
      </c>
      <c r="O107" s="22" t="str">
        <f>IF($F107="","",IFERROR(IFERROR(INDEX(Réttabanki!$H:$H,MATCH($F107,Réttabanki!$A:$A,0)),INDEX(Vöruskrá!$K:$K,MATCH($F107,Vöruskrá!$B:$B,0)))*($H107+IF($I107="",$H107*(1+#REF!),$I107))/2/100,""))</f>
        <v/>
      </c>
      <c r="P107" s="22" t="str">
        <f>IF($F107="","",IFERROR(IFERROR(INDEX(Réttabanki!$I:$I,MATCH($F107,Réttabanki!$A:$A,0)),INDEX(Vöruskrá!$L:$L,MATCH($F107,Vöruskrá!$B:$B,0)))*($H107+IF($I107="",$H107*(1+#REF!),$I107))/2/100,""))</f>
        <v/>
      </c>
      <c r="Q107" s="22" t="str">
        <f>IF($F107="","",IFERROR(IFERROR(INDEX(Réttabanki!$J:$J,MATCH($F107,Réttabanki!$A:$A,0)),INDEX(Vöruskrá!$M:$M,MATCH($F107,Vöruskrá!$B:$B,0)))*($H107+IF($I107="",$H107*(1+#REF!),$I107))/2/100,""))</f>
        <v/>
      </c>
      <c r="R107" s="22" t="str">
        <f>IF($F107="","",IFERROR(IFERROR(INDEX(Réttabanki!$L:$L,MATCH($F107,Réttabanki!$A:$A,0)),INDEX(Vöruskrá!$O:$O,MATCH($F107,Vöruskrá!$B:$B,0)))*($H107+IF($I107="",$H107*(1+#REF!),$I107))/2/100,""))</f>
        <v/>
      </c>
      <c r="S107" s="22" t="str">
        <f>IF($F107="","",IFERROR(IFERROR(INDEX(Réttabanki!$M:$M,MATCH($F107,Réttabanki!$A:$A,0)),INDEX(Vöruskrá!$P:$P,MATCH($F107,Vöruskrá!$B:$B,0)))*($H107+IF($I107="",$H107*(1+#REF!),$I107))/2/100,""))</f>
        <v/>
      </c>
      <c r="T107" s="66" t="str">
        <f>IF(F107="","",IFERROR(INDEX(Réttabanki!Q:Q,MATCH(F107,Réttabanki!A:A,0)),IFERROR(INDEX(Réttabanki!Q:Q,MATCH(F107,Réttabanki!B:B,0)),"")))</f>
        <v/>
      </c>
      <c r="U107" s="286"/>
      <c r="V107" s="286"/>
      <c r="W107" s="286"/>
      <c r="X107" s="286"/>
      <c r="Y107" s="286"/>
      <c r="Z107" s="286"/>
      <c r="AA107" s="286"/>
    </row>
    <row r="108" spans="1:27">
      <c r="A108" s="31"/>
      <c r="B108" s="32" t="s">
        <v>1922</v>
      </c>
      <c r="C108" s="32">
        <v>32</v>
      </c>
      <c r="D108" s="33" t="s">
        <v>1850</v>
      </c>
      <c r="E108" s="33" t="s">
        <v>1877</v>
      </c>
      <c r="F108" s="33" t="s">
        <v>826</v>
      </c>
      <c r="G108" s="33" t="s">
        <v>826</v>
      </c>
      <c r="H108" s="34">
        <v>40</v>
      </c>
      <c r="I108" s="34"/>
      <c r="J108" s="149"/>
      <c r="K108" s="21" t="s">
        <v>827</v>
      </c>
      <c r="L108" s="21" t="s">
        <v>469</v>
      </c>
      <c r="M108" s="21"/>
      <c r="N108" s="22">
        <v>121</v>
      </c>
      <c r="O108" s="22">
        <v>0.5</v>
      </c>
      <c r="P108" s="22">
        <v>0.1</v>
      </c>
      <c r="Q108" s="22">
        <v>27.9</v>
      </c>
      <c r="R108" s="22">
        <v>2.5</v>
      </c>
      <c r="S108" s="22">
        <v>0</v>
      </c>
      <c r="T108" s="66"/>
      <c r="U108" s="284"/>
      <c r="V108" s="284"/>
      <c r="W108" s="284"/>
      <c r="X108" s="284"/>
      <c r="Y108" s="284"/>
      <c r="Z108" s="284"/>
      <c r="AA108" s="284"/>
    </row>
    <row r="109" spans="1:27" ht="36">
      <c r="A109" s="31"/>
      <c r="B109" s="32" t="s">
        <v>1922</v>
      </c>
      <c r="C109" s="32">
        <v>32</v>
      </c>
      <c r="D109" s="33" t="s">
        <v>1850</v>
      </c>
      <c r="E109" s="33" t="s">
        <v>1885</v>
      </c>
      <c r="F109" s="33"/>
      <c r="G109" s="33" t="s">
        <v>1918</v>
      </c>
      <c r="H109" s="34"/>
      <c r="I109" s="34"/>
      <c r="J109" s="149" t="str">
        <f>IF($F109="","",IFERROR(IFERROR(INDEX(Réttabanki!$U:$U,MATCH($F109,Réttabanki!$A:$A,0)),INDEX(Vöruskrá!$R:$R,MATCH($F109,Vöruskrá!$B:$B,0)))*($H109+IF($I109="",$H109*(1+#REF!),$I109))/2/1000,""))</f>
        <v/>
      </c>
      <c r="K109" s="21" t="s">
        <v>1919</v>
      </c>
      <c r="L109" s="21" t="s">
        <v>1920</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5" t="str">
        <f>IF(F109="","",IFERROR(INDEX(Réttabanki!Q:Q,MATCH(F109,Réttabanki!A:A,0)),IFERROR(INDEX(Réttabanki!Q:Q,MATCH(F109,Réttabanki!B:B,0)),"")))</f>
        <v/>
      </c>
      <c r="U109" s="286"/>
      <c r="V109" s="286"/>
      <c r="W109" s="286"/>
      <c r="X109" s="286"/>
      <c r="Y109" s="286"/>
      <c r="Z109" s="286"/>
      <c r="AA109" s="286"/>
    </row>
    <row r="110" spans="1:27" ht="36">
      <c r="A110" s="31"/>
      <c r="B110" s="32" t="s">
        <v>1922</v>
      </c>
      <c r="C110" s="32">
        <v>32</v>
      </c>
      <c r="D110" s="33" t="s">
        <v>1850</v>
      </c>
      <c r="E110" s="33" t="s">
        <v>1885</v>
      </c>
      <c r="F110" s="33" t="s">
        <v>340</v>
      </c>
      <c r="G110" s="33" t="s">
        <v>1921</v>
      </c>
      <c r="H110" s="34">
        <v>40</v>
      </c>
      <c r="I110" s="34"/>
      <c r="J110" s="149" t="str">
        <f>IF($F110="","",IFERROR(IFERROR(INDEX(Réttabanki!$U:$U,MATCH($F110,Réttabanki!$A:$A,0)),INDEX(Vöruskrá!$R:$R,MATCH($F110,Vöruskrá!$B:$B,0)))*($H110+IF($I110="",$H110*(1+#REF!),$I110))/2/1000,""))</f>
        <v/>
      </c>
      <c r="K110" s="21" t="s">
        <v>342</v>
      </c>
      <c r="L110" s="21" t="s">
        <v>343</v>
      </c>
      <c r="M110" s="21"/>
      <c r="N110" s="22">
        <v>296</v>
      </c>
      <c r="O110" s="22">
        <v>4.5</v>
      </c>
      <c r="P110" s="22">
        <v>0.5</v>
      </c>
      <c r="Q110" s="22">
        <v>52</v>
      </c>
      <c r="R110" s="22">
        <v>9.1</v>
      </c>
      <c r="S110" s="22">
        <v>0.8</v>
      </c>
      <c r="T110" s="66" t="str">
        <f>IF(F110="","",IFERROR(INDEX(Réttabanki!Q:Q,MATCH(F110,Réttabanki!A:A,0)),IFERROR(INDEX(Réttabanki!Q:Q,MATCH(F110,Réttabanki!B:B,0)),"")))</f>
        <v/>
      </c>
      <c r="U110" s="284" t="s">
        <v>1858</v>
      </c>
      <c r="V110" s="284" t="s">
        <v>1859</v>
      </c>
      <c r="W110" s="284"/>
      <c r="X110" s="284"/>
      <c r="Y110" s="284"/>
      <c r="Z110" s="284"/>
      <c r="AA110" s="284"/>
    </row>
    <row r="111" spans="1:27">
      <c r="A111" s="31"/>
      <c r="B111" s="32" t="s">
        <v>1922</v>
      </c>
      <c r="C111" s="32">
        <v>32</v>
      </c>
      <c r="D111" s="33" t="s">
        <v>1850</v>
      </c>
      <c r="E111" s="33" t="s">
        <v>1885</v>
      </c>
      <c r="F111" s="33" t="s">
        <v>395</v>
      </c>
      <c r="G111" s="33" t="s">
        <v>1409</v>
      </c>
      <c r="H111" s="34">
        <v>20</v>
      </c>
      <c r="I111" s="34"/>
      <c r="J111" s="149" t="str">
        <f>IF($F111="","",IFERROR(IFERROR(INDEX(Réttabanki!$U:$U,MATCH($F111,Réttabanki!$A:$A,0)),INDEX(Vöruskrá!$R:$R,MATCH($F111,Vöruskrá!$B:$B,0)))*($H111+IF($I111="",$H111*(1+#REF!),$I111))/2/1000,""))</f>
        <v/>
      </c>
      <c r="K111" s="21" t="s">
        <v>396</v>
      </c>
      <c r="L111" s="21" t="s">
        <v>108</v>
      </c>
      <c r="M111" s="21"/>
      <c r="N111" s="22">
        <v>702</v>
      </c>
      <c r="O111" s="22">
        <v>78</v>
      </c>
      <c r="P111" s="22">
        <v>37</v>
      </c>
      <c r="Q111" s="22">
        <v>0.4</v>
      </c>
      <c r="R111" s="22">
        <v>0.6</v>
      </c>
      <c r="S111" s="22">
        <v>1.2</v>
      </c>
      <c r="T111" s="65" t="str">
        <f>IF(F111="","",IFERROR(INDEX(Réttabanki!Q:Q,MATCH(F111,Réttabanki!A:A,0)),IFERROR(INDEX(Réttabanki!Q:Q,MATCH(F111,Réttabanki!B:B,0)),"")))</f>
        <v/>
      </c>
      <c r="U111" s="286" t="s">
        <v>1858</v>
      </c>
      <c r="V111" s="286" t="s">
        <v>1859</v>
      </c>
      <c r="W111" s="286"/>
      <c r="X111" s="286"/>
      <c r="Y111" s="286"/>
      <c r="Z111" s="286"/>
      <c r="AA111" s="286"/>
    </row>
    <row r="112" spans="1:27">
      <c r="A112" s="155"/>
      <c r="B112" s="156" t="s">
        <v>1922</v>
      </c>
      <c r="C112" s="156">
        <v>32</v>
      </c>
      <c r="D112" s="157"/>
      <c r="E112" s="157"/>
      <c r="F112" s="157" t="s">
        <v>1894</v>
      </c>
      <c r="G112" s="157"/>
      <c r="H112" s="158"/>
      <c r="I112" s="158"/>
      <c r="J112" s="159">
        <f>SUMIFS(J98:J111,E98:E111,"&lt;&gt;Hliðarréttur",E98:E111,"&lt;&gt;Sérfæði")</f>
        <v>0</v>
      </c>
      <c r="K112" s="21" t="s">
        <v>1895</v>
      </c>
      <c r="L112" s="21"/>
      <c r="M112" s="21"/>
      <c r="N112" s="22"/>
      <c r="O112" s="22"/>
      <c r="P112" s="22"/>
      <c r="Q112" s="22"/>
      <c r="R112" s="22"/>
      <c r="S112" s="22"/>
      <c r="T112" s="65"/>
      <c r="U112" s="284"/>
      <c r="V112" s="284"/>
      <c r="W112" s="284"/>
      <c r="X112" s="284"/>
      <c r="Y112" s="284"/>
      <c r="Z112" s="284"/>
      <c r="AA112" s="284"/>
    </row>
    <row r="113" spans="1:27">
      <c r="A113" s="155"/>
      <c r="B113" s="156" t="s">
        <v>1922</v>
      </c>
      <c r="C113" s="156">
        <v>32</v>
      </c>
      <c r="D113" s="157"/>
      <c r="E113" s="157"/>
      <c r="F113" s="157" t="s">
        <v>1897</v>
      </c>
      <c r="G113" s="157"/>
      <c r="H113" s="158"/>
      <c r="I113" s="158"/>
      <c r="J113" s="159">
        <f>SUMIFS(J98:J111,E98:E111,"&lt;&gt;Hliðarréttur",E98:E111,"&lt;&gt;Sérfæði")</f>
        <v>0</v>
      </c>
      <c r="K113" s="21" t="s">
        <v>1895</v>
      </c>
      <c r="L113" s="21"/>
      <c r="M113" s="21"/>
      <c r="N113" s="22"/>
      <c r="O113" s="22"/>
      <c r="P113" s="22"/>
      <c r="Q113" s="22"/>
      <c r="R113" s="22"/>
      <c r="S113" s="22"/>
      <c r="T113" s="65"/>
      <c r="U113" s="286"/>
      <c r="V113" s="286"/>
      <c r="W113" s="286"/>
      <c r="X113" s="286"/>
      <c r="Y113" s="286"/>
      <c r="Z113" s="286"/>
      <c r="AA113" s="286"/>
    </row>
    <row r="114" spans="1:27" ht="36">
      <c r="A114" s="31">
        <v>46240</v>
      </c>
      <c r="B114" s="32" t="s">
        <v>1946</v>
      </c>
      <c r="C114" s="32">
        <v>32</v>
      </c>
      <c r="D114" s="33" t="s">
        <v>1850</v>
      </c>
      <c r="E114" s="33" t="s">
        <v>1852</v>
      </c>
      <c r="F114" s="33"/>
      <c r="G114" s="33" t="s">
        <v>1923</v>
      </c>
      <c r="H114" s="34"/>
      <c r="I114" s="34"/>
      <c r="J114" s="149" t="str">
        <f>IF($F114="","",IFERROR(IFERROR(INDEX(Réttabanki!$U:$U,MATCH($F114,Réttabanki!$A:$A,0)),INDEX(Vöruskrá!$R:$R,MATCH($F114,Vöruskrá!$B:$B,0)))*($H114+IF($I114="",$H114*(1+#REF!),$I114))/2/1000,""))</f>
        <v/>
      </c>
      <c r="K114" s="21" t="s">
        <v>1924</v>
      </c>
      <c r="L114" s="21" t="s">
        <v>1925</v>
      </c>
      <c r="M114" s="21" t="str">
        <f>IF($F114="","",IFERROR(IFERROR(INDEX(Réttabanki!$F:$F,MATCH($F114,Réttabanki!$A:$A,0)),INDEX(Vöruskrá!$H:$H,MATCH($F114,Vöruskrá!$B:$B,0))),""))</f>
        <v/>
      </c>
      <c r="N114" s="22" t="str">
        <f>IF($F114="","",IFERROR(IFERROR(INDEX(Réttabanki!$G:$G,MATCH($F114,Réttabanki!$A:$A,0)),INDEX(Vöruskrá!$J:$J,MATCH($F114,Vöruskrá!$B:$B,0)))*($H114+IF($I114="",$H114*(1+#REF!),$I114))/2/100,""))</f>
        <v/>
      </c>
      <c r="O114" s="22" t="str">
        <f>IF($F114="","",IFERROR(IFERROR(INDEX(Réttabanki!$H:$H,MATCH($F114,Réttabanki!$A:$A,0)),INDEX(Vöruskrá!$K:$K,MATCH($F114,Vöruskrá!$B:$B,0)))*($H114+IF($I114="",$H114*(1+#REF!),$I114))/2/100,""))</f>
        <v/>
      </c>
      <c r="P114" s="22" t="str">
        <f>IF($F114="","",IFERROR(IFERROR(INDEX(Réttabanki!$I:$I,MATCH($F114,Réttabanki!$A:$A,0)),INDEX(Vöruskrá!$L:$L,MATCH($F114,Vöruskrá!$B:$B,0)))*($H114+IF($I114="",$H114*(1+#REF!),$I114))/2/100,""))</f>
        <v/>
      </c>
      <c r="Q114" s="22" t="str">
        <f>IF($F114="","",IFERROR(IFERROR(INDEX(Réttabanki!$J:$J,MATCH($F114,Réttabanki!$A:$A,0)),INDEX(Vöruskrá!$M:$M,MATCH($F114,Vöruskrá!$B:$B,0)))*($H114+IF($I114="",$H114*(1+#REF!),$I114))/2/100,""))</f>
        <v/>
      </c>
      <c r="R114" s="22" t="str">
        <f>IF($F114="","",IFERROR(IFERROR(INDEX(Réttabanki!$L:$L,MATCH($F114,Réttabanki!$A:$A,0)),INDEX(Vöruskrá!$O:$O,MATCH($F114,Vöruskrá!$B:$B,0)))*($H114+IF($I114="",$H114*(1+#REF!),$I114))/2/100,""))</f>
        <v/>
      </c>
      <c r="S114" s="22" t="str">
        <f>IF($F114="","",IFERROR(IFERROR(INDEX(Réttabanki!$M:$M,MATCH($F114,Réttabanki!$A:$A,0)),INDEX(Vöruskrá!$P:$P,MATCH($F114,Vöruskrá!$B:$B,0)))*($H114+IF($I114="",$H114*(1+#REF!),$I114))/2/100,""))</f>
        <v/>
      </c>
      <c r="T114" s="66" t="str">
        <f>IF(F114="","",IFERROR(INDEX(Réttabanki!Q:Q,MATCH(F114,Réttabanki!A:A,0)),IFERROR(INDEX(Réttabanki!Q:Q,MATCH(F114,Réttabanki!B:B,0)),"")))</f>
        <v/>
      </c>
      <c r="U114" s="284"/>
      <c r="V114" s="284"/>
      <c r="W114" s="284"/>
      <c r="X114" s="284"/>
      <c r="Y114" s="284"/>
      <c r="Z114" s="284"/>
      <c r="AA114" s="284"/>
    </row>
    <row r="115" spans="1:27">
      <c r="A115" s="31"/>
      <c r="B115" s="32" t="s">
        <v>1946</v>
      </c>
      <c r="C115" s="32">
        <v>32</v>
      </c>
      <c r="D115" s="33" t="s">
        <v>1850</v>
      </c>
      <c r="E115" s="33" t="s">
        <v>1852</v>
      </c>
      <c r="F115" s="33" t="s">
        <v>792</v>
      </c>
      <c r="G115" s="33" t="s">
        <v>792</v>
      </c>
      <c r="H115" s="34">
        <v>160</v>
      </c>
      <c r="I115" s="34"/>
      <c r="J115" s="149" t="str">
        <f>IF($F115="","",IFERROR(IFERROR(INDEX(Réttabanki!$U:$U,MATCH($F115,Réttabanki!$A:$A,0)),INDEX(Vöruskrá!$R:$R,MATCH($F115,Vöruskrá!$B:$B,0)))*($H115+IF($I115="",$H115*(1+#REF!),$I115))/2/1000,""))</f>
        <v/>
      </c>
      <c r="K115" s="21" t="s">
        <v>792</v>
      </c>
      <c r="L115" s="21" t="s">
        <v>543</v>
      </c>
      <c r="M115" s="21"/>
      <c r="N115" s="22">
        <v>100</v>
      </c>
      <c r="O115" s="22">
        <v>0.7</v>
      </c>
      <c r="P115" s="22">
        <v>0.1</v>
      </c>
      <c r="Q115" s="22">
        <v>0</v>
      </c>
      <c r="R115" s="22">
        <v>23</v>
      </c>
      <c r="S115" s="22">
        <v>0.3</v>
      </c>
      <c r="T115" s="65">
        <v>4</v>
      </c>
      <c r="U115" s="286" t="s">
        <v>1858</v>
      </c>
      <c r="V115" s="286" t="s">
        <v>1904</v>
      </c>
      <c r="W115" s="286" t="s">
        <v>1913</v>
      </c>
      <c r="X115" s="287" t="s">
        <v>1926</v>
      </c>
      <c r="Y115" s="286">
        <v>70</v>
      </c>
      <c r="Z115" s="286"/>
      <c r="AA115" s="286"/>
    </row>
    <row r="116" spans="1:27">
      <c r="A116" s="31"/>
      <c r="B116" s="32" t="s">
        <v>1946</v>
      </c>
      <c r="C116" s="32">
        <v>32</v>
      </c>
      <c r="D116" s="33" t="s">
        <v>1850</v>
      </c>
      <c r="E116" s="33" t="s">
        <v>1852</v>
      </c>
      <c r="F116" s="33" t="s">
        <v>867</v>
      </c>
      <c r="G116" s="33" t="s">
        <v>554</v>
      </c>
      <c r="H116" s="34">
        <v>80</v>
      </c>
      <c r="I116" s="34"/>
      <c r="J116" s="149" t="str">
        <f>IF($F116="","",IFERROR(IFERROR(INDEX(Réttabanki!$U:$U,MATCH($F116,Réttabanki!$A:$A,0)),INDEX(Vöruskrá!$R:$R,MATCH($F116,Vöruskrá!$B:$B,0)))*($H116+IF($I116="",$H116*(1+#REF!),$I116))/2/1000,""))</f>
        <v/>
      </c>
      <c r="K116" s="21" t="s">
        <v>554</v>
      </c>
      <c r="L116" s="21" t="s">
        <v>121</v>
      </c>
      <c r="M116" s="21"/>
      <c r="N116" s="22">
        <v>77</v>
      </c>
      <c r="O116" s="22">
        <v>0.1</v>
      </c>
      <c r="P116" s="22">
        <v>0</v>
      </c>
      <c r="Q116" s="22">
        <v>17</v>
      </c>
      <c r="R116" s="22">
        <v>2</v>
      </c>
      <c r="S116" s="22">
        <v>0</v>
      </c>
      <c r="T116" s="66">
        <v>1</v>
      </c>
      <c r="U116" s="284" t="s">
        <v>1858</v>
      </c>
      <c r="V116" s="284" t="s">
        <v>1904</v>
      </c>
      <c r="W116" s="284" t="s">
        <v>1913</v>
      </c>
      <c r="X116" s="284">
        <v>25</v>
      </c>
      <c r="Y116" s="284">
        <v>75</v>
      </c>
      <c r="Z116" s="284"/>
      <c r="AA116" s="284"/>
    </row>
    <row r="117" spans="1:27">
      <c r="A117" s="31"/>
      <c r="B117" s="32" t="s">
        <v>1946</v>
      </c>
      <c r="C117" s="32">
        <v>32</v>
      </c>
      <c r="D117" s="33" t="s">
        <v>1850</v>
      </c>
      <c r="E117" s="33" t="s">
        <v>1852</v>
      </c>
      <c r="F117" s="33" t="s">
        <v>390</v>
      </c>
      <c r="G117" s="33" t="s">
        <v>1927</v>
      </c>
      <c r="H117" s="34">
        <v>25</v>
      </c>
      <c r="I117" s="34"/>
      <c r="J117" s="149" t="str">
        <f>IF($F117="","",IFERROR(IFERROR(INDEX(Réttabanki!$U:$U,MATCH($F117,Réttabanki!$A:$A,0)),INDEX(Vöruskrá!$R:$R,MATCH($F117,Vöruskrá!$B:$B,0)))*($H117+IF($I117="",$H117*(1+#REF!),$I117))/2/1000,""))</f>
        <v/>
      </c>
      <c r="K117" s="21" t="s">
        <v>392</v>
      </c>
      <c r="L117" s="21" t="s">
        <v>108</v>
      </c>
      <c r="M117" s="21"/>
      <c r="N117" s="22">
        <v>738</v>
      </c>
      <c r="O117" s="22">
        <v>82</v>
      </c>
      <c r="P117" s="22">
        <v>49</v>
      </c>
      <c r="Q117" s="22">
        <v>0.4</v>
      </c>
      <c r="R117" s="22">
        <v>0.6</v>
      </c>
      <c r="S117" s="22">
        <v>1.2</v>
      </c>
      <c r="T117" s="65">
        <v>3</v>
      </c>
      <c r="U117" s="286" t="s">
        <v>1858</v>
      </c>
      <c r="V117" s="286" t="s">
        <v>1904</v>
      </c>
      <c r="W117" s="286" t="s">
        <v>1928</v>
      </c>
      <c r="X117" s="286" t="s">
        <v>1929</v>
      </c>
      <c r="Y117" s="286">
        <v>75</v>
      </c>
      <c r="Z117" s="286" t="s">
        <v>1930</v>
      </c>
      <c r="AA117" s="286"/>
    </row>
    <row r="118" spans="1:27" ht="36">
      <c r="A118" s="31"/>
      <c r="B118" s="32" t="s">
        <v>1946</v>
      </c>
      <c r="C118" s="32">
        <v>32</v>
      </c>
      <c r="D118" s="33" t="s">
        <v>1850</v>
      </c>
      <c r="E118" s="33" t="s">
        <v>1852</v>
      </c>
      <c r="F118" s="33" t="s">
        <v>324</v>
      </c>
      <c r="G118" s="33" t="s">
        <v>1931</v>
      </c>
      <c r="H118" s="34">
        <v>25</v>
      </c>
      <c r="I118" s="34"/>
      <c r="J118" s="149" t="str">
        <f>IF($F118="","",IFERROR(IFERROR(INDEX(Réttabanki!$U:$U,MATCH($F118,Réttabanki!$A:$A,0)),INDEX(Vöruskrá!$R:$R,MATCH($F118,Vöruskrá!$B:$B,0)))*($H118+IF($I118="",$H118*(1+#REF!),$I118))/2/1000,""))</f>
        <v/>
      </c>
      <c r="K118" s="21" t="s">
        <v>325</v>
      </c>
      <c r="L118" s="21" t="s">
        <v>326</v>
      </c>
      <c r="M118" s="21" t="s">
        <v>327</v>
      </c>
      <c r="N118" s="22">
        <v>252</v>
      </c>
      <c r="O118" s="22">
        <v>1.1000000000000001</v>
      </c>
      <c r="P118" s="22">
        <v>0.2</v>
      </c>
      <c r="Q118" s="22">
        <v>50</v>
      </c>
      <c r="R118" s="22">
        <v>4.8</v>
      </c>
      <c r="S118" s="22">
        <v>0.6</v>
      </c>
      <c r="T118" s="66" t="str">
        <f>IF(F118="","",IFERROR(INDEX(Réttabanki!Q:Q,MATCH(F118,Réttabanki!A:A,0)),IFERROR(INDEX(Réttabanki!Q:Q,MATCH(F118,Réttabanki!B:B,0)),"")))</f>
        <v/>
      </c>
      <c r="U118" s="284" t="s">
        <v>1932</v>
      </c>
      <c r="V118" s="284" t="s">
        <v>1859</v>
      </c>
      <c r="W118" s="284"/>
      <c r="X118" s="284"/>
      <c r="Y118" s="284"/>
      <c r="Z118" s="284"/>
      <c r="AA118" s="284"/>
    </row>
    <row r="119" spans="1:27" ht="54" customHeight="1">
      <c r="A119" s="31"/>
      <c r="B119" s="32" t="s">
        <v>1946</v>
      </c>
      <c r="C119" s="32">
        <v>32</v>
      </c>
      <c r="D119" s="33" t="s">
        <v>1850</v>
      </c>
      <c r="E119" s="33" t="s">
        <v>1867</v>
      </c>
      <c r="F119" s="33"/>
      <c r="G119" s="33" t="s">
        <v>1933</v>
      </c>
      <c r="H119" s="34"/>
      <c r="I119" s="34"/>
      <c r="J119" s="149" t="str">
        <f>IF($F119="","",IFERROR(IFERROR(INDEX(Réttabanki!$U:$U,MATCH($F119,Réttabanki!$A:$A,0)),INDEX(Vöruskrá!$R:$R,MATCH($F119,Vöruskrá!$B:$B,0)))*($H119+IF($I119="",$H119*(1+#REF!),$I119))/2/1000,""))</f>
        <v/>
      </c>
      <c r="K119" s="21" t="s">
        <v>1934</v>
      </c>
      <c r="L119" s="21" t="s">
        <v>1935</v>
      </c>
      <c r="M119" s="21" t="str">
        <f>IF($F119="","",IFERROR(IFERROR(INDEX(Réttabanki!$F:$F,MATCH($F119,Réttabanki!$A:$A,0)),INDEX(Vöruskrá!$H:$H,MATCH($F119,Vöruskrá!$B:$B,0))),""))</f>
        <v/>
      </c>
      <c r="N119" s="22" t="str">
        <f>IF($F119="","",IFERROR(IFERROR(INDEX(Réttabanki!$G:$G,MATCH($F119,Réttabanki!$A:$A,0)),INDEX(Vöruskrá!$J:$J,MATCH($F119,Vöruskrá!$B:$B,0)))*($H119+IF($I119="",$H119*(1+#REF!),$I119))/2/100,""))</f>
        <v/>
      </c>
      <c r="O119" s="22" t="str">
        <f>IF($F119="","",IFERROR(IFERROR(INDEX(Réttabanki!$H:$H,MATCH($F119,Réttabanki!$A:$A,0)),INDEX(Vöruskrá!$K:$K,MATCH($F119,Vöruskrá!$B:$B,0)))*($H119+IF($I119="",$H119*(1+#REF!),$I119))/2/100,""))</f>
        <v/>
      </c>
      <c r="P119" s="22" t="str">
        <f>IF($F119="","",IFERROR(IFERROR(INDEX(Réttabanki!$I:$I,MATCH($F119,Réttabanki!$A:$A,0)),INDEX(Vöruskrá!$L:$L,MATCH($F119,Vöruskrá!$B:$B,0)))*($H119+IF($I119="",$H119*(1+#REF!),$I119))/2/100,""))</f>
        <v/>
      </c>
      <c r="Q119" s="22" t="str">
        <f>IF($F119="","",IFERROR(IFERROR(INDEX(Réttabanki!$J:$J,MATCH($F119,Réttabanki!$A:$A,0)),INDEX(Vöruskrá!$M:$M,MATCH($F119,Vöruskrá!$B:$B,0)))*($H119+IF($I119="",$H119*(1+#REF!),$I119))/2/100,""))</f>
        <v/>
      </c>
      <c r="R119" s="22" t="str">
        <f>IF($F119="","",IFERROR(IFERROR(INDEX(Réttabanki!$L:$L,MATCH($F119,Réttabanki!$A:$A,0)),INDEX(Vöruskrá!$O:$O,MATCH($F119,Vöruskrá!$B:$B,0)))*($H119+IF($I119="",$H119*(1+#REF!),$I119))/2/100,""))</f>
        <v/>
      </c>
      <c r="S119" s="22" t="str">
        <f>IF($F119="","",IFERROR(IFERROR(INDEX(Réttabanki!$M:$M,MATCH($F119,Réttabanki!$A:$A,0)),INDEX(Vöruskrá!$P:$P,MATCH($F119,Vöruskrá!$B:$B,0)))*($H119+IF($I119="",$H119*(1+#REF!),$I119))/2/100,""))</f>
        <v/>
      </c>
      <c r="T119" s="65" t="str">
        <f>IF(F119="","",IFERROR(INDEX(Réttabanki!Q:Q,MATCH(F119,Réttabanki!A:A,0)),IFERROR(INDEX(Réttabanki!Q:Q,MATCH(F119,Réttabanki!B:B,0)),"")))</f>
        <v/>
      </c>
      <c r="U119" s="286"/>
      <c r="V119" s="286"/>
      <c r="W119" s="286"/>
      <c r="X119" s="286"/>
      <c r="Y119" s="286"/>
      <c r="Z119" s="286"/>
      <c r="AA119" s="286"/>
    </row>
    <row r="120" spans="1:27" ht="48">
      <c r="A120" s="31"/>
      <c r="B120" s="32" t="s">
        <v>1946</v>
      </c>
      <c r="C120" s="32">
        <v>32</v>
      </c>
      <c r="D120" s="33" t="s">
        <v>1850</v>
      </c>
      <c r="E120" s="33" t="s">
        <v>1867</v>
      </c>
      <c r="F120" s="33" t="s">
        <v>1117</v>
      </c>
      <c r="G120" s="33" t="s">
        <v>1936</v>
      </c>
      <c r="H120" s="34">
        <v>160</v>
      </c>
      <c r="I120" s="34"/>
      <c r="J120" s="149" t="str">
        <f>IF($F120="","",IFERROR(IFERROR(INDEX(Réttabanki!$U:$U,MATCH($F120,Réttabanki!$A:$A,0)),INDEX(Vöruskrá!$R:$R,MATCH($F120,Vöruskrá!$B:$B,0)))*($H120+IF($I120="",$H120*(1+#REF!),$I120))/2/1000,""))</f>
        <v/>
      </c>
      <c r="K120" s="21" t="s">
        <v>1119</v>
      </c>
      <c r="L120" s="21" t="s">
        <v>469</v>
      </c>
      <c r="M120" s="21" t="s">
        <v>499</v>
      </c>
      <c r="N120" s="22">
        <v>255</v>
      </c>
      <c r="O120" s="22">
        <v>1.9</v>
      </c>
      <c r="P120" s="22">
        <v>0.3</v>
      </c>
      <c r="Q120" s="22">
        <v>43.8</v>
      </c>
      <c r="R120" s="22">
        <v>10.4</v>
      </c>
      <c r="S120" s="22">
        <v>1.1000000000000001</v>
      </c>
      <c r="T120" s="66">
        <v>2</v>
      </c>
      <c r="U120" s="284" t="s">
        <v>1858</v>
      </c>
      <c r="V120" s="284" t="s">
        <v>1904</v>
      </c>
      <c r="W120" s="284" t="s">
        <v>1937</v>
      </c>
      <c r="X120" s="284" t="s">
        <v>1910</v>
      </c>
      <c r="Y120" s="284">
        <v>75</v>
      </c>
      <c r="Z120" s="284"/>
      <c r="AA120" s="284"/>
    </row>
    <row r="121" spans="1:27">
      <c r="A121" s="31"/>
      <c r="B121" s="32" t="s">
        <v>1946</v>
      </c>
      <c r="C121" s="32">
        <v>32</v>
      </c>
      <c r="D121" s="33" t="s">
        <v>1850</v>
      </c>
      <c r="E121" s="33" t="s">
        <v>1867</v>
      </c>
      <c r="F121" s="33" t="s">
        <v>867</v>
      </c>
      <c r="G121" s="33" t="s">
        <v>554</v>
      </c>
      <c r="H121" s="34">
        <v>80</v>
      </c>
      <c r="I121" s="34"/>
      <c r="J121" s="149" t="str">
        <f>IF($F121="","",IFERROR(IFERROR(INDEX(Réttabanki!$U:$U,MATCH($F121,Réttabanki!$A:$A,0)),INDEX(Vöruskrá!$R:$R,MATCH($F121,Vöruskrá!$B:$B,0)))*($H121+IF($I121="",$H121*(1+#REF!),$I121))/2/1000,""))</f>
        <v/>
      </c>
      <c r="K121" s="21" t="s">
        <v>554</v>
      </c>
      <c r="L121" s="21" t="s">
        <v>121</v>
      </c>
      <c r="M121" s="21"/>
      <c r="N121" s="22">
        <v>77</v>
      </c>
      <c r="O121" s="22">
        <v>0.1</v>
      </c>
      <c r="P121" s="22">
        <v>0</v>
      </c>
      <c r="Q121" s="22">
        <v>17</v>
      </c>
      <c r="R121" s="22">
        <v>2</v>
      </c>
      <c r="S121" s="22">
        <v>0</v>
      </c>
      <c r="T121" s="65">
        <f>IF(F121="","",IFERROR(INDEX(Réttabanki!Q:Q,MATCH(F121,Réttabanki!A:A,0)),IFERROR(INDEX(Réttabanki!Q:Q,MATCH(F121,Réttabanki!B:B,0)),"")))</f>
        <v>0</v>
      </c>
      <c r="U121" s="286"/>
      <c r="V121" s="286"/>
      <c r="W121" s="286"/>
      <c r="X121" s="286"/>
      <c r="Y121" s="286"/>
      <c r="Z121" s="286"/>
      <c r="AA121" s="286"/>
    </row>
    <row r="122" spans="1:27" ht="60">
      <c r="A122" s="31"/>
      <c r="B122" s="32" t="s">
        <v>1946</v>
      </c>
      <c r="C122" s="32">
        <v>32</v>
      </c>
      <c r="D122" s="33" t="s">
        <v>1850</v>
      </c>
      <c r="E122" s="33" t="s">
        <v>1867</v>
      </c>
      <c r="F122" s="33" t="s">
        <v>257</v>
      </c>
      <c r="G122" s="33" t="s">
        <v>1938</v>
      </c>
      <c r="H122" s="34">
        <v>25</v>
      </c>
      <c r="I122" s="34"/>
      <c r="J122" s="149" t="str">
        <f>IF($F122="","",IFERROR(IFERROR(INDEX(Réttabanki!$U:$U,MATCH($F122,Réttabanki!$A:$A,0)),INDEX(Vöruskrá!$R:$R,MATCH($F122,Vöruskrá!$B:$B,0)))*($H122+IF($I122="",$H122*(1+#REF!),$I122))/2/1000,""))</f>
        <v/>
      </c>
      <c r="K122" s="21" t="s">
        <v>258</v>
      </c>
      <c r="L122" s="21" t="s">
        <v>133</v>
      </c>
      <c r="M122" s="21"/>
      <c r="N122" s="22">
        <v>448</v>
      </c>
      <c r="O122" s="22">
        <v>45</v>
      </c>
      <c r="P122" s="22">
        <v>2.9</v>
      </c>
      <c r="Q122" s="22">
        <v>12</v>
      </c>
      <c r="R122" s="22"/>
      <c r="S122" s="22">
        <v>1.4</v>
      </c>
      <c r="T122" s="66" t="str">
        <f>IF(F122="","",IFERROR(INDEX(Réttabanki!Q:Q,MATCH(F122,Réttabanki!A:A,0)),IFERROR(INDEX(Réttabanki!Q:Q,MATCH(F122,Réttabanki!B:B,0)),"")))</f>
        <v/>
      </c>
      <c r="U122" s="284" t="s">
        <v>1858</v>
      </c>
      <c r="V122" s="284" t="s">
        <v>1859</v>
      </c>
      <c r="W122" s="284"/>
      <c r="X122" s="284"/>
      <c r="Y122" s="284"/>
      <c r="Z122" s="284"/>
      <c r="AA122" s="284"/>
    </row>
    <row r="123" spans="1:27" ht="24">
      <c r="A123" s="31"/>
      <c r="B123" s="32" t="s">
        <v>1946</v>
      </c>
      <c r="C123" s="32">
        <v>32</v>
      </c>
      <c r="D123" s="33" t="s">
        <v>1850</v>
      </c>
      <c r="E123" s="33" t="s">
        <v>946</v>
      </c>
      <c r="F123" s="33" t="s">
        <v>142</v>
      </c>
      <c r="G123" s="33" t="s">
        <v>1939</v>
      </c>
      <c r="H123" s="34">
        <v>160</v>
      </c>
      <c r="I123" s="34"/>
      <c r="J123" s="149" t="str">
        <f>IF($F123="","",IFERROR(IFERROR(INDEX(Réttabanki!$U:$U,MATCH($F123,Réttabanki!$A:$A,0)),INDEX(Vöruskrá!$R:$R,MATCH($F123,Vöruskrá!$B:$B,0)))*($H123+IF($I123="",$H123*(1+#REF!),$I123))/2/1000,""))</f>
        <v/>
      </c>
      <c r="K123" s="21" t="s">
        <v>144</v>
      </c>
      <c r="L123" s="21" t="s">
        <v>145</v>
      </c>
      <c r="M123" s="21"/>
      <c r="N123" s="22">
        <v>237</v>
      </c>
      <c r="O123" s="22">
        <v>13</v>
      </c>
      <c r="P123" s="22">
        <v>4.7</v>
      </c>
      <c r="Q123" s="22">
        <v>14</v>
      </c>
      <c r="R123" s="22">
        <v>16</v>
      </c>
      <c r="S123" s="22">
        <v>1.5</v>
      </c>
      <c r="T123" s="66">
        <v>2</v>
      </c>
      <c r="U123" s="286" t="s">
        <v>1858</v>
      </c>
      <c r="V123" s="286" t="s">
        <v>1904</v>
      </c>
      <c r="W123" s="286">
        <v>180</v>
      </c>
      <c r="X123" s="287" t="s">
        <v>1910</v>
      </c>
      <c r="Y123" s="286">
        <v>75</v>
      </c>
      <c r="Z123" s="286"/>
      <c r="AA123" s="286"/>
    </row>
    <row r="124" spans="1:27" ht="60">
      <c r="A124" s="31"/>
      <c r="B124" s="32" t="s">
        <v>1946</v>
      </c>
      <c r="C124" s="32">
        <v>32</v>
      </c>
      <c r="D124" s="33" t="s">
        <v>1850</v>
      </c>
      <c r="E124" s="33" t="s">
        <v>946</v>
      </c>
      <c r="F124" s="33" t="s">
        <v>257</v>
      </c>
      <c r="G124" s="33" t="s">
        <v>1940</v>
      </c>
      <c r="H124" s="34">
        <v>25</v>
      </c>
      <c r="I124" s="34"/>
      <c r="J124" s="149" t="str">
        <f>IF($F124="","",IFERROR(IFERROR(INDEX(Réttabanki!$U:$U,MATCH($F124,Réttabanki!$A:$A,0)),INDEX(Vöruskrá!$R:$R,MATCH($F124,Vöruskrá!$B:$B,0)))*($H124+IF($I124="",$H124*(1+#REF!),$I124))/2/1000,""))</f>
        <v/>
      </c>
      <c r="K124" s="21" t="s">
        <v>258</v>
      </c>
      <c r="L124" s="21" t="s">
        <v>133</v>
      </c>
      <c r="M124" s="21"/>
      <c r="N124" s="22">
        <v>448</v>
      </c>
      <c r="O124" s="22">
        <v>45</v>
      </c>
      <c r="P124" s="22">
        <v>2.9</v>
      </c>
      <c r="Q124" s="22">
        <v>12</v>
      </c>
      <c r="R124" s="22"/>
      <c r="S124" s="22">
        <v>1.4</v>
      </c>
      <c r="T124" s="66"/>
      <c r="U124" s="284"/>
      <c r="V124" s="284"/>
      <c r="W124" s="284"/>
      <c r="X124" s="284"/>
      <c r="Y124" s="284"/>
      <c r="Z124" s="284"/>
      <c r="AA124" s="284"/>
    </row>
    <row r="125" spans="1:27">
      <c r="A125" s="31"/>
      <c r="B125" s="32" t="s">
        <v>1946</v>
      </c>
      <c r="C125" s="32">
        <v>32</v>
      </c>
      <c r="D125" s="33" t="s">
        <v>1850</v>
      </c>
      <c r="E125" s="33" t="s">
        <v>1877</v>
      </c>
      <c r="F125" s="33"/>
      <c r="G125" s="33" t="s">
        <v>1941</v>
      </c>
      <c r="H125" s="34"/>
      <c r="I125" s="34"/>
      <c r="J125" s="149" t="str">
        <f>IF($F125="","",IFERROR(IFERROR(INDEX(Réttabanki!$U:$U,MATCH($F125,Réttabanki!$A:$A,0)),INDEX(Vöruskrá!$R:$R,MATCH($F125,Vöruskrá!$B:$B,0)))*($H125+IF($I125="",$H125*(1+#REF!),$I125))/2/1000,""))</f>
        <v/>
      </c>
      <c r="K125" s="21"/>
      <c r="L125" s="21" t="s">
        <v>121</v>
      </c>
      <c r="M125" s="21" t="str">
        <f>IF($F125="","",IFERROR(IFERROR(INDEX(Réttabanki!$F:$F,MATCH($F125,Réttabanki!$A:$A,0)),INDEX(Vöruskrá!$H:$H,MATCH($F125,Vöruskrá!$B:$B,0))),""))</f>
        <v/>
      </c>
      <c r="N125" s="22" t="str">
        <f>IF($F125="","",IFERROR(IFERROR(INDEX(Réttabanki!$G:$G,MATCH($F125,Réttabanki!$A:$A,0)),INDEX(Vöruskrá!$J:$J,MATCH($F125,Vöruskrá!$B:$B,0)))*($H125+IF($I125="",$H125*(1+#REF!),$I125))/2/100,""))</f>
        <v/>
      </c>
      <c r="O125" s="22" t="str">
        <f>IF($F125="","",IFERROR(IFERROR(INDEX(Réttabanki!$H:$H,MATCH($F125,Réttabanki!$A:$A,0)),INDEX(Vöruskrá!$K:$K,MATCH($F125,Vöruskrá!$B:$B,0)))*($H125+IF($I125="",$H125*(1+#REF!),$I125))/2/100,""))</f>
        <v/>
      </c>
      <c r="P125" s="22" t="str">
        <f>IF($F125="","",IFERROR(IFERROR(INDEX(Réttabanki!$I:$I,MATCH($F125,Réttabanki!$A:$A,0)),INDEX(Vöruskrá!$L:$L,MATCH($F125,Vöruskrá!$B:$B,0)))*($H125+IF($I125="",$H125*(1+#REF!),$I125))/2/100,""))</f>
        <v/>
      </c>
      <c r="Q125" s="22" t="str">
        <f>IF($F125="","",IFERROR(IFERROR(INDEX(Réttabanki!$J:$J,MATCH($F125,Réttabanki!$A:$A,0)),INDEX(Vöruskrá!$M:$M,MATCH($F125,Vöruskrá!$B:$B,0)))*($H125+IF($I125="",$H125*(1+#REF!),$I125))/2/100,""))</f>
        <v/>
      </c>
      <c r="R125" s="22" t="str">
        <f>IF($F125="","",IFERROR(IFERROR(INDEX(Réttabanki!$L:$L,MATCH($F125,Réttabanki!$A:$A,0)),INDEX(Vöruskrá!$O:$O,MATCH($F125,Vöruskrá!$B:$B,0)))*($H125+IF($I125="",$H125*(1+#REF!),$I125))/2/100,""))</f>
        <v/>
      </c>
      <c r="S125" s="22" t="str">
        <f>IF($F125="","",IFERROR(IFERROR(INDEX(Réttabanki!$M:$M,MATCH($F125,Réttabanki!$A:$A,0)),INDEX(Vöruskrá!$P:$P,MATCH($F125,Vöruskrá!$B:$B,0)))*($H125+IF($I125="",$H125*(1+#REF!),$I125))/2/100,""))</f>
        <v/>
      </c>
      <c r="T125" s="65" t="str">
        <f>IF(F125="","",IFERROR(INDEX(Réttabanki!Q:Q,MATCH(F125,Réttabanki!A:A,0)),IFERROR(INDEX(Réttabanki!Q:Q,MATCH(F125,Réttabanki!B:B,0)),"")))</f>
        <v/>
      </c>
      <c r="U125" s="286"/>
      <c r="V125" s="286"/>
      <c r="W125" s="286"/>
      <c r="X125" s="286"/>
      <c r="Y125" s="286"/>
      <c r="Z125" s="286"/>
      <c r="AA125" s="286"/>
    </row>
    <row r="126" spans="1:27" ht="36">
      <c r="A126" s="31"/>
      <c r="B126" s="32" t="s">
        <v>1946</v>
      </c>
      <c r="C126" s="32">
        <v>32</v>
      </c>
      <c r="D126" s="33" t="s">
        <v>1850</v>
      </c>
      <c r="E126" s="33" t="s">
        <v>1885</v>
      </c>
      <c r="F126" s="33"/>
      <c r="G126" s="33" t="s">
        <v>1942</v>
      </c>
      <c r="H126" s="34"/>
      <c r="I126" s="34"/>
      <c r="J126" s="149" t="str">
        <f>IF($F126="","",IFERROR(IFERROR(INDEX(Réttabanki!$U:$U,MATCH($F126,Réttabanki!$A:$A,0)),INDEX(Vöruskrá!$R:$R,MATCH($F126,Vöruskrá!$B:$B,0)))*($H126+IF($I126="",$H126*(1+#REF!),$I126))/2/1000,""))</f>
        <v/>
      </c>
      <c r="K126" s="21" t="s">
        <v>1943</v>
      </c>
      <c r="L126" s="21" t="s">
        <v>1944</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6" t="str">
        <f>IF(F126="","",IFERROR(INDEX(Réttabanki!Q:Q,MATCH(F126,Réttabanki!A:A,0)),IFERROR(INDEX(Réttabanki!Q:Q,MATCH(F126,Réttabanki!B:B,0)),"")))</f>
        <v/>
      </c>
      <c r="U126" s="284"/>
      <c r="V126" s="284"/>
      <c r="W126" s="284"/>
      <c r="X126" s="284"/>
      <c r="Y126" s="284"/>
      <c r="Z126" s="284"/>
      <c r="AA126" s="284"/>
    </row>
    <row r="127" spans="1:27" ht="24">
      <c r="A127" s="31"/>
      <c r="B127" s="32" t="s">
        <v>1946</v>
      </c>
      <c r="C127" s="32">
        <v>32</v>
      </c>
      <c r="D127" s="33" t="s">
        <v>1850</v>
      </c>
      <c r="E127" s="33" t="s">
        <v>1885</v>
      </c>
      <c r="F127" s="33" t="s">
        <v>40</v>
      </c>
      <c r="G127" s="33" t="s">
        <v>1426</v>
      </c>
      <c r="H127" s="34">
        <v>45</v>
      </c>
      <c r="I127" s="34"/>
      <c r="J127" s="149" t="str">
        <f>IF($F127="","",IFERROR(IFERROR(INDEX(Réttabanki!$U:$U,MATCH($F127,Réttabanki!$A:$A,0)),INDEX(Vöruskrá!$R:$R,MATCH($F127,Vöruskrá!$B:$B,0)))*($H127+IF($I127="",$H127*(1+#REF!),$I127))/2/1000,""))</f>
        <v/>
      </c>
      <c r="K127" s="21" t="s">
        <v>42</v>
      </c>
      <c r="L127" s="21" t="s">
        <v>43</v>
      </c>
      <c r="M127" s="21" t="s">
        <v>44</v>
      </c>
      <c r="N127" s="22">
        <v>257</v>
      </c>
      <c r="O127" s="22">
        <v>0.9</v>
      </c>
      <c r="P127" s="22">
        <v>0.2</v>
      </c>
      <c r="Q127" s="22">
        <v>51</v>
      </c>
      <c r="R127" s="22">
        <v>9.4</v>
      </c>
      <c r="S127" s="22">
        <v>1.5</v>
      </c>
      <c r="T127" s="65" t="str">
        <f>IF(F127="","",IFERROR(INDEX(Réttabanki!Q:Q,MATCH(F127,Réttabanki!A:A,0)),IFERROR(INDEX(Réttabanki!Q:Q,MATCH(F127,Réttabanki!B:B,0)),"")))</f>
        <v/>
      </c>
      <c r="U127" s="286" t="s">
        <v>1932</v>
      </c>
      <c r="V127" s="286" t="s">
        <v>1859</v>
      </c>
      <c r="W127" s="286"/>
      <c r="X127" s="286"/>
      <c r="Y127" s="286"/>
      <c r="Z127" s="286"/>
      <c r="AA127" s="286"/>
    </row>
    <row r="128" spans="1:27">
      <c r="A128" s="31"/>
      <c r="B128" s="32" t="s">
        <v>1946</v>
      </c>
      <c r="C128" s="32">
        <v>32</v>
      </c>
      <c r="D128" s="33" t="s">
        <v>1850</v>
      </c>
      <c r="E128" s="33" t="s">
        <v>1885</v>
      </c>
      <c r="F128" s="33" t="s">
        <v>829</v>
      </c>
      <c r="G128" s="33" t="s">
        <v>1945</v>
      </c>
      <c r="H128" s="34">
        <v>20</v>
      </c>
      <c r="I128" s="34"/>
      <c r="J128" s="149" t="str">
        <f>IF($F128="","",IFERROR(IFERROR(INDEX(Réttabanki!$U:$U,MATCH($F128,Réttabanki!$A:$A,0)),INDEX(Vöruskrá!$R:$R,MATCH($F128,Vöruskrá!$B:$B,0)))*($H128+IF($I128="",$H128*(1+#REF!),$I128))/2/1000,""))</f>
        <v/>
      </c>
      <c r="K128" s="21" t="s">
        <v>830</v>
      </c>
      <c r="L128" s="21" t="s">
        <v>831</v>
      </c>
      <c r="M128" s="21"/>
      <c r="N128" s="22">
        <v>235</v>
      </c>
      <c r="O128" s="22">
        <v>18</v>
      </c>
      <c r="P128" s="22">
        <v>10</v>
      </c>
      <c r="Q128" s="22">
        <v>0.3</v>
      </c>
      <c r="R128" s="22">
        <v>19</v>
      </c>
      <c r="S128" s="22">
        <v>2.8</v>
      </c>
      <c r="T128" s="66" t="str">
        <f>IF(F128="","",IFERROR(INDEX(Réttabanki!Q:Q,MATCH(F128,Réttabanki!A:A,0)),IFERROR(INDEX(Réttabanki!Q:Q,MATCH(F128,Réttabanki!B:B,0)),"")))</f>
        <v/>
      </c>
      <c r="U128" s="284" t="s">
        <v>1858</v>
      </c>
      <c r="V128" s="284" t="s">
        <v>1859</v>
      </c>
      <c r="W128" s="284"/>
      <c r="X128" s="284"/>
      <c r="Y128" s="284"/>
      <c r="Z128" s="284"/>
      <c r="AA128" s="284"/>
    </row>
    <row r="129" spans="1:27">
      <c r="A129" s="155"/>
      <c r="B129" s="156" t="s">
        <v>1946</v>
      </c>
      <c r="C129" s="156">
        <v>32</v>
      </c>
      <c r="D129" s="157"/>
      <c r="E129" s="157"/>
      <c r="F129" s="157" t="s">
        <v>1894</v>
      </c>
      <c r="G129" s="157"/>
      <c r="H129" s="158"/>
      <c r="I129" s="158"/>
      <c r="J129" s="159">
        <f>SUMIFS(J114:J128,E114:E128,"&lt;&gt;Hliðarréttur",E114:E128,"&lt;&gt;Sérfæði")</f>
        <v>0</v>
      </c>
      <c r="K129" s="21" t="s">
        <v>1895</v>
      </c>
      <c r="L129" s="21"/>
      <c r="M129" s="21"/>
      <c r="N129" s="22"/>
      <c r="O129" s="22"/>
      <c r="P129" s="22"/>
      <c r="Q129" s="22"/>
      <c r="R129" s="22"/>
      <c r="S129" s="22"/>
      <c r="T129" s="66"/>
      <c r="U129" s="286"/>
      <c r="V129" s="286"/>
      <c r="W129" s="286"/>
      <c r="X129" s="286"/>
      <c r="Y129" s="286"/>
      <c r="Z129" s="286"/>
      <c r="AA129" s="286"/>
    </row>
    <row r="130" spans="1:27">
      <c r="A130" s="155"/>
      <c r="B130" s="156" t="s">
        <v>1946</v>
      </c>
      <c r="C130" s="156">
        <v>32</v>
      </c>
      <c r="D130" s="157"/>
      <c r="E130" s="157"/>
      <c r="F130" s="157" t="s">
        <v>1897</v>
      </c>
      <c r="G130" s="157"/>
      <c r="H130" s="158"/>
      <c r="I130" s="158"/>
      <c r="J130" s="159">
        <f>SUMIFS(J114:J128,E114:E128,"&lt;&gt;Hliðarréttur",E114:E128,"&lt;&gt;Sérfæði")</f>
        <v>0</v>
      </c>
      <c r="K130" s="21" t="s">
        <v>1895</v>
      </c>
      <c r="L130" s="21"/>
      <c r="M130" s="21"/>
      <c r="N130" s="22"/>
      <c r="O130" s="22"/>
      <c r="P130" s="22"/>
      <c r="Q130" s="22"/>
      <c r="R130" s="22"/>
      <c r="S130" s="22"/>
      <c r="T130" s="66"/>
      <c r="U130" s="284"/>
      <c r="V130" s="284"/>
      <c r="W130" s="284"/>
      <c r="X130" s="284"/>
      <c r="Y130" s="284"/>
      <c r="Z130" s="284"/>
      <c r="AA130" s="284"/>
    </row>
    <row r="131" spans="1:27" ht="72">
      <c r="A131" s="31">
        <v>46241</v>
      </c>
      <c r="B131" s="32" t="s">
        <v>1963</v>
      </c>
      <c r="C131" s="32">
        <v>32</v>
      </c>
      <c r="D131" s="33" t="s">
        <v>1850</v>
      </c>
      <c r="E131" s="33" t="s">
        <v>1852</v>
      </c>
      <c r="F131" s="33"/>
      <c r="G131" s="33" t="s">
        <v>1947</v>
      </c>
      <c r="H131" s="34"/>
      <c r="I131" s="34"/>
      <c r="J131" s="149" t="str">
        <f>IF($F131="","",IFERROR(IFERROR(INDEX(Réttabanki!$U:$U,MATCH($F131,Réttabanki!$A:$A,0)),INDEX(Vöruskrá!$R:$R,MATCH($F131,Vöruskrá!$B:$B,0)))*($H131+IF($I131="",$H131*(1+#REF!),$I131))/2/1000,""))</f>
        <v/>
      </c>
      <c r="K131" s="21" t="s">
        <v>1948</v>
      </c>
      <c r="L131" s="21" t="s">
        <v>1949</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5" t="str">
        <f>IF(F131="","",IFERROR(INDEX(Réttabanki!Q:Q,MATCH(F131,Réttabanki!A:A,0)),IFERROR(INDEX(Réttabanki!Q:Q,MATCH(F131,Réttabanki!B:B,0)),"")))</f>
        <v/>
      </c>
      <c r="U131" s="286"/>
      <c r="V131" s="286"/>
      <c r="W131" s="286"/>
      <c r="X131" s="286"/>
      <c r="Y131" s="286"/>
      <c r="Z131" s="286"/>
      <c r="AA131" s="286"/>
    </row>
    <row r="132" spans="1:27" ht="60">
      <c r="A132" s="31"/>
      <c r="B132" s="32" t="s">
        <v>1963</v>
      </c>
      <c r="C132" s="32">
        <v>32</v>
      </c>
      <c r="D132" s="33" t="s">
        <v>1850</v>
      </c>
      <c r="E132" s="33" t="s">
        <v>1852</v>
      </c>
      <c r="F132" s="33" t="s">
        <v>785</v>
      </c>
      <c r="G132" s="33" t="s">
        <v>1950</v>
      </c>
      <c r="H132" s="34">
        <v>120</v>
      </c>
      <c r="I132" s="34"/>
      <c r="J132" s="149" t="str">
        <f>IF($F132="","",IFERROR(IFERROR(INDEX(Réttabanki!$U:$U,MATCH($F132,Réttabanki!$A:$A,0)),INDEX(Vöruskrá!$R:$R,MATCH($F132,Vöruskrá!$B:$B,0)))*($H132+IF($I132="",$H132*(1+#REF!),$I132))/2/1000,""))</f>
        <v/>
      </c>
      <c r="K132" s="21" t="s">
        <v>786</v>
      </c>
      <c r="L132" s="21" t="s">
        <v>227</v>
      </c>
      <c r="M132" s="21"/>
      <c r="N132" s="22">
        <v>96</v>
      </c>
      <c r="O132" s="22">
        <v>5.2</v>
      </c>
      <c r="P132" s="22">
        <v>1.9</v>
      </c>
      <c r="Q132" s="22">
        <v>5.5</v>
      </c>
      <c r="R132" s="22">
        <v>8.6</v>
      </c>
      <c r="S132" s="22">
        <v>0.9</v>
      </c>
      <c r="T132" s="66">
        <v>1</v>
      </c>
      <c r="U132" s="284" t="s">
        <v>1858</v>
      </c>
      <c r="V132" s="284" t="s">
        <v>1904</v>
      </c>
      <c r="W132" s="284">
        <v>160</v>
      </c>
      <c r="X132" s="284" t="s">
        <v>1951</v>
      </c>
      <c r="Y132" s="284">
        <v>85</v>
      </c>
      <c r="Z132" s="284" t="s">
        <v>1952</v>
      </c>
      <c r="AA132" s="284"/>
    </row>
    <row r="133" spans="1:27">
      <c r="A133" s="31"/>
      <c r="B133" s="32" t="s">
        <v>1963</v>
      </c>
      <c r="C133" s="32">
        <v>32</v>
      </c>
      <c r="D133" s="33" t="s">
        <v>1850</v>
      </c>
      <c r="E133" s="33" t="s">
        <v>1852</v>
      </c>
      <c r="F133" s="33" t="s">
        <v>1079</v>
      </c>
      <c r="G133" s="33" t="s">
        <v>779</v>
      </c>
      <c r="H133" s="34">
        <v>150</v>
      </c>
      <c r="I133" s="34"/>
      <c r="J133" s="149" t="str">
        <f>IF($F133="","",IFERROR(IFERROR(INDEX(Réttabanki!$U:$U,MATCH($F133,Réttabanki!$A:$A,0)),INDEX(Vöruskrá!$R:$R,MATCH($F133,Vöruskrá!$B:$B,0)))*($H133+IF($I133="",$H133*(1+#REF!),$I133))/2/1000,""))</f>
        <v/>
      </c>
      <c r="K133" s="21" t="s">
        <v>781</v>
      </c>
      <c r="L133" s="21" t="s">
        <v>30</v>
      </c>
      <c r="M133" s="21" t="s">
        <v>782</v>
      </c>
      <c r="N133" s="22">
        <v>146</v>
      </c>
      <c r="O133" s="22">
        <v>0.6</v>
      </c>
      <c r="P133" s="22">
        <v>0.1</v>
      </c>
      <c r="Q133" s="22">
        <v>30.4</v>
      </c>
      <c r="R133" s="22">
        <v>5</v>
      </c>
      <c r="S133" s="22">
        <v>0</v>
      </c>
      <c r="T133" s="65">
        <v>2</v>
      </c>
      <c r="U133" s="286" t="s">
        <v>1858</v>
      </c>
      <c r="V133" s="286" t="s">
        <v>1904</v>
      </c>
      <c r="W133" s="286" t="s">
        <v>1913</v>
      </c>
      <c r="X133" s="286">
        <v>6</v>
      </c>
      <c r="Y133" s="286"/>
      <c r="Z133" s="286"/>
      <c r="AA133" s="286"/>
    </row>
    <row r="134" spans="1:27" ht="96">
      <c r="A134" s="31"/>
      <c r="B134" s="32" t="s">
        <v>1963</v>
      </c>
      <c r="C134" s="32">
        <v>32</v>
      </c>
      <c r="D134" s="33" t="s">
        <v>1850</v>
      </c>
      <c r="E134" s="33" t="s">
        <v>1867</v>
      </c>
      <c r="F134" s="33"/>
      <c r="G134" s="33" t="s">
        <v>1953</v>
      </c>
      <c r="H134" s="34"/>
      <c r="I134" s="34"/>
      <c r="J134" s="149" t="str">
        <f>IF($F134="","",IFERROR(IFERROR(INDEX(Réttabanki!$U:$U,MATCH($F134,Réttabanki!$A:$A,0)),INDEX(Vöruskrá!$R:$R,MATCH($F134,Vöruskrá!$B:$B,0)))*($H134+IF($I134="",$H134*(1+#REF!),$I134))/2/1000,""))</f>
        <v/>
      </c>
      <c r="K134" s="21" t="s">
        <v>1954</v>
      </c>
      <c r="L134" s="21" t="s">
        <v>1955</v>
      </c>
      <c r="M134" s="21" t="str">
        <f>IF($F134="","",IFERROR(IFERROR(INDEX(Réttabanki!$F:$F,MATCH($F134,Réttabanki!$A:$A,0)),INDEX(Vöruskrá!$H:$H,MATCH($F134,Vöruskrá!$B:$B,0))),""))</f>
        <v/>
      </c>
      <c r="N134" s="22" t="str">
        <f>IF($F134="","",IFERROR(IFERROR(INDEX(Réttabanki!$G:$G,MATCH($F134,Réttabanki!$A:$A,0)),INDEX(Vöruskrá!$J:$J,MATCH($F134,Vöruskrá!$B:$B,0)))*($H134+IF($I134="",$H134*(1+#REF!),$I134))/2/100,""))</f>
        <v/>
      </c>
      <c r="O134" s="22" t="str">
        <f>IF($F134="","",IFERROR(IFERROR(INDEX(Réttabanki!$H:$H,MATCH($F134,Réttabanki!$A:$A,0)),INDEX(Vöruskrá!$K:$K,MATCH($F134,Vöruskrá!$B:$B,0)))*($H134+IF($I134="",$H134*(1+#REF!),$I134))/2/100,""))</f>
        <v/>
      </c>
      <c r="P134" s="22" t="str">
        <f>IF($F134="","",IFERROR(IFERROR(INDEX(Réttabanki!$I:$I,MATCH($F134,Réttabanki!$A:$A,0)),INDEX(Vöruskrá!$L:$L,MATCH($F134,Vöruskrá!$B:$B,0)))*($H134+IF($I134="",$H134*(1+#REF!),$I134))/2/100,""))</f>
        <v/>
      </c>
      <c r="Q134" s="22" t="str">
        <f>IF($F134="","",IFERROR(IFERROR(INDEX(Réttabanki!$J:$J,MATCH($F134,Réttabanki!$A:$A,0)),INDEX(Vöruskrá!$M:$M,MATCH($F134,Vöruskrá!$B:$B,0)))*($H134+IF($I134="",$H134*(1+#REF!),$I134))/2/100,""))</f>
        <v/>
      </c>
      <c r="R134" s="22" t="str">
        <f>IF($F134="","",IFERROR(IFERROR(INDEX(Réttabanki!$L:$L,MATCH($F134,Réttabanki!$A:$A,0)),INDEX(Vöruskrá!$O:$O,MATCH($F134,Vöruskrá!$B:$B,0)))*($H134+IF($I134="",$H134*(1+#REF!),$I134))/2/100,""))</f>
        <v/>
      </c>
      <c r="S134" s="22" t="str">
        <f>IF($F134="","",IFERROR(IFERROR(INDEX(Réttabanki!$M:$M,MATCH($F134,Réttabanki!$A:$A,0)),INDEX(Vöruskrá!$P:$P,MATCH($F134,Vöruskrá!$B:$B,0)))*($H134+IF($I134="",$H134*(1+#REF!),$I134))/2/100,""))</f>
        <v/>
      </c>
      <c r="T134" s="66"/>
      <c r="U134" s="284"/>
      <c r="V134" s="284"/>
      <c r="W134" s="284"/>
      <c r="X134" s="284"/>
      <c r="Y134" s="284"/>
      <c r="Z134" s="284"/>
      <c r="AA134" s="284"/>
    </row>
    <row r="135" spans="1:27" ht="84">
      <c r="A135" s="31"/>
      <c r="B135" s="32" t="s">
        <v>1963</v>
      </c>
      <c r="C135" s="32">
        <v>32</v>
      </c>
      <c r="D135" s="33" t="s">
        <v>1850</v>
      </c>
      <c r="E135" s="33" t="s">
        <v>1867</v>
      </c>
      <c r="F135" s="33" t="s">
        <v>1700</v>
      </c>
      <c r="G135" s="33" t="s">
        <v>1700</v>
      </c>
      <c r="H135" s="34">
        <v>120</v>
      </c>
      <c r="I135" s="34"/>
      <c r="J135" s="149" t="str">
        <f>IF($F135="","",IFERROR(IFERROR(INDEX(Réttabanki!$U:$U,MATCH($F135,Réttabanki!$A:$A,0)),INDEX(Vöruskrá!$R:$R,MATCH($F135,Vöruskrá!$B:$B,0)))*($H135+IF($I135="",$H135*(1+#REF!),$I135))/2/1000,""))</f>
        <v/>
      </c>
      <c r="K135" s="21" t="s">
        <v>1701</v>
      </c>
      <c r="L135" s="21" t="s">
        <v>1702</v>
      </c>
      <c r="M135" s="21"/>
      <c r="N135" s="22">
        <v>86.46</v>
      </c>
      <c r="O135" s="22">
        <v>2.4500000000000002</v>
      </c>
      <c r="P135" s="22">
        <v>0.27</v>
      </c>
      <c r="Q135" s="22">
        <v>4.71</v>
      </c>
      <c r="R135" s="22">
        <v>9.7200000000000006</v>
      </c>
      <c r="S135" s="22">
        <v>1.5</v>
      </c>
      <c r="T135" s="65">
        <v>1</v>
      </c>
      <c r="U135" s="286" t="s">
        <v>1858</v>
      </c>
      <c r="V135" s="286" t="s">
        <v>1904</v>
      </c>
      <c r="W135" s="286">
        <v>160</v>
      </c>
      <c r="X135" s="286" t="s">
        <v>1956</v>
      </c>
      <c r="Y135" s="286">
        <v>75</v>
      </c>
      <c r="Z135" s="286" t="s">
        <v>1957</v>
      </c>
      <c r="AA135" s="286"/>
    </row>
    <row r="136" spans="1:27">
      <c r="A136" s="31"/>
      <c r="B136" s="32" t="s">
        <v>1963</v>
      </c>
      <c r="C136" s="32">
        <v>32</v>
      </c>
      <c r="D136" s="33" t="s">
        <v>1850</v>
      </c>
      <c r="E136" s="33" t="s">
        <v>1867</v>
      </c>
      <c r="F136" s="33" t="s">
        <v>1079</v>
      </c>
      <c r="G136" s="33" t="s">
        <v>779</v>
      </c>
      <c r="H136" s="34">
        <v>150</v>
      </c>
      <c r="I136" s="34"/>
      <c r="J136" s="149" t="str">
        <f>IF($F136="","",IFERROR(IFERROR(INDEX(Réttabanki!$U:$U,MATCH($F136,Réttabanki!$A:$A,0)),INDEX(Vöruskrá!$R:$R,MATCH($F136,Vöruskrá!$B:$B,0)))*($H136+IF($I136="",$H136*(1+#REF!),$I136))/2/1000,""))</f>
        <v/>
      </c>
      <c r="K136" s="21" t="s">
        <v>781</v>
      </c>
      <c r="L136" s="21" t="s">
        <v>30</v>
      </c>
      <c r="M136" s="21" t="s">
        <v>782</v>
      </c>
      <c r="N136" s="22">
        <v>146</v>
      </c>
      <c r="O136" s="22">
        <v>0.6</v>
      </c>
      <c r="P136" s="22">
        <v>0.1</v>
      </c>
      <c r="Q136" s="22">
        <v>30.4</v>
      </c>
      <c r="R136" s="22">
        <v>5</v>
      </c>
      <c r="S136" s="22">
        <v>0</v>
      </c>
      <c r="T136" s="66"/>
      <c r="U136" s="284"/>
      <c r="V136" s="284"/>
      <c r="W136" s="284"/>
      <c r="X136" s="284"/>
      <c r="Y136" s="284"/>
      <c r="Z136" s="284"/>
      <c r="AA136" s="284"/>
    </row>
    <row r="137" spans="1:27">
      <c r="A137" s="31"/>
      <c r="B137" s="32" t="s">
        <v>1963</v>
      </c>
      <c r="C137" s="32">
        <v>32</v>
      </c>
      <c r="D137" s="33" t="s">
        <v>1850</v>
      </c>
      <c r="E137" s="33" t="s">
        <v>946</v>
      </c>
      <c r="F137" s="33" t="s">
        <v>1383</v>
      </c>
      <c r="G137" s="33" t="s">
        <v>1958</v>
      </c>
      <c r="H137" s="34">
        <v>150</v>
      </c>
      <c r="I137" s="34"/>
      <c r="J137" s="149" t="str">
        <f>IF($F137="","",IFERROR(IFERROR(INDEX(Réttabanki!$U:$U,MATCH($F137,Réttabanki!$A:$A,0)),INDEX(Vöruskrá!$R:$R,MATCH($F137,Vöruskrá!$B:$B,0)))*($H137+IF($I137="",$H137*(1+#REF!),$I137))/2/1000,""))</f>
        <v/>
      </c>
      <c r="K137" s="21" t="s">
        <v>1384</v>
      </c>
      <c r="L137" s="21"/>
      <c r="M137" s="21"/>
      <c r="N137" s="22">
        <v>144</v>
      </c>
      <c r="O137" s="22"/>
      <c r="P137" s="22"/>
      <c r="Q137" s="22">
        <v>33</v>
      </c>
      <c r="R137" s="22"/>
      <c r="S137" s="22">
        <v>0</v>
      </c>
      <c r="T137" s="66"/>
      <c r="U137" s="286"/>
      <c r="V137" s="286"/>
      <c r="W137" s="286"/>
      <c r="X137" s="286"/>
      <c r="Y137" s="286"/>
      <c r="Z137" s="286"/>
      <c r="AA137" s="286"/>
    </row>
    <row r="138" spans="1:27">
      <c r="A138" s="31"/>
      <c r="B138" s="32" t="s">
        <v>1963</v>
      </c>
      <c r="C138" s="32">
        <v>32</v>
      </c>
      <c r="D138" s="33" t="s">
        <v>1850</v>
      </c>
      <c r="E138" s="33" t="s">
        <v>1877</v>
      </c>
      <c r="F138" s="33"/>
      <c r="G138" s="33" t="s">
        <v>1959</v>
      </c>
      <c r="H138" s="34"/>
      <c r="I138" s="34"/>
      <c r="J138" s="149" t="str">
        <f>IF($F138="","",IFERROR(IFERROR(INDEX(Réttabanki!$U:$U,MATCH($F138,Réttabanki!$A:$A,0)),INDEX(Vöruskrá!$R:$R,MATCH($F138,Vöruskrá!$B:$B,0)))*($H138+IF($I138="",$H138*(1+#REF!),$I138))/2/1000,""))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IF($F138="","",IFERROR(IFERROR(INDEX(Réttabanki!$G:$G,MATCH($F138,Réttabanki!$A:$A,0)),INDEX(Vöruskrá!$J:$J,MATCH($F138,Vöruskrá!$B:$B,0)))*($H138+IF($I138="",$H138*(1+#REF!),$I138))/2/100,""))</f>
        <v/>
      </c>
      <c r="O138" s="22" t="str">
        <f>IF($F138="","",IFERROR(IFERROR(INDEX(Réttabanki!$H:$H,MATCH($F138,Réttabanki!$A:$A,0)),INDEX(Vöruskrá!$K:$K,MATCH($F138,Vöruskrá!$B:$B,0)))*($H138+IF($I138="",$H138*(1+#REF!),$I138))/2/100,""))</f>
        <v/>
      </c>
      <c r="P138" s="22" t="str">
        <f>IF($F138="","",IFERROR(IFERROR(INDEX(Réttabanki!$I:$I,MATCH($F138,Réttabanki!$A:$A,0)),INDEX(Vöruskrá!$L:$L,MATCH($F138,Vöruskrá!$B:$B,0)))*($H138+IF($I138="",$H138*(1+#REF!),$I138))/2/100,""))</f>
        <v/>
      </c>
      <c r="Q138" s="22" t="str">
        <f>IF($F138="","",IFERROR(IFERROR(INDEX(Réttabanki!$J:$J,MATCH($F138,Réttabanki!$A:$A,0)),INDEX(Vöruskrá!$M:$M,MATCH($F138,Vöruskrá!$B:$B,0)))*($H138+IF($I138="",$H138*(1+#REF!),$I138))/2/100,""))</f>
        <v/>
      </c>
      <c r="R138" s="22" t="str">
        <f>IF($F138="","",IFERROR(IFERROR(INDEX(Réttabanki!$L:$L,MATCH($F138,Réttabanki!$A:$A,0)),INDEX(Vöruskrá!$O:$O,MATCH($F138,Vöruskrá!$B:$B,0)))*($H138+IF($I138="",$H138*(1+#REF!),$I138))/2/100,""))</f>
        <v/>
      </c>
      <c r="S138" s="22" t="str">
        <f>IF($F138="","",IFERROR(IFERROR(INDEX(Réttabanki!$M:$M,MATCH($F138,Réttabanki!$A:$A,0)),INDEX(Vöruskrá!$P:$P,MATCH($F138,Vöruskrá!$B:$B,0)))*($H138+IF($I138="",$H138*(1+#REF!),$I138))/2/100,""))</f>
        <v/>
      </c>
      <c r="T138" s="65"/>
      <c r="U138" s="284"/>
      <c r="V138" s="284"/>
      <c r="W138" s="284"/>
      <c r="X138" s="284"/>
      <c r="Y138" s="284"/>
      <c r="Z138" s="284"/>
      <c r="AA138" s="284"/>
    </row>
    <row r="139" spans="1:27" ht="36">
      <c r="A139" s="31"/>
      <c r="B139" s="32" t="s">
        <v>1963</v>
      </c>
      <c r="C139" s="32">
        <v>32</v>
      </c>
      <c r="D139" s="33" t="s">
        <v>1850</v>
      </c>
      <c r="E139" s="33" t="s">
        <v>1885</v>
      </c>
      <c r="F139" s="33"/>
      <c r="G139" s="33" t="s">
        <v>1960</v>
      </c>
      <c r="H139" s="34"/>
      <c r="I139" s="34"/>
      <c r="J139" s="149" t="str">
        <f>IF($F139="","",IFERROR(IFERROR(INDEX(Réttabanki!$U:$U,MATCH($F139,Réttabanki!$A:$A,0)),INDEX(Vöruskrá!$R:$R,MATCH($F139,Vöruskrá!$B:$B,0)))*($H139+IF($I139="",$H139*(1+#REF!),$I139))/2/1000,""))</f>
        <v/>
      </c>
      <c r="K139" s="21" t="s">
        <v>1961</v>
      </c>
      <c r="L139" s="21" t="s">
        <v>30</v>
      </c>
      <c r="M139" s="21" t="str">
        <f>IF($F139="","",IFERROR(IFERROR(INDEX(Réttabanki!$F:$F,MATCH($F139,Réttabanki!$A:$A,0)),INDEX(Vöruskrá!$H:$H,MATCH($F139,Vöruskrá!$B:$B,0))),""))</f>
        <v/>
      </c>
      <c r="N139" s="22" t="str">
        <f>IF($F139="","",IFERROR(IFERROR(INDEX(Réttabanki!$G:$G,MATCH($F139,Réttabanki!$A:$A,0)),INDEX(Vöruskrá!$J:$J,MATCH($F139,Vöruskrá!$B:$B,0)))*($H139+IF($I139="",$H139*(1+#REF!),$I139))/2/100,""))</f>
        <v/>
      </c>
      <c r="O139" s="22" t="str">
        <f>IF($F139="","",IFERROR(IFERROR(INDEX(Réttabanki!$H:$H,MATCH($F139,Réttabanki!$A:$A,0)),INDEX(Vöruskrá!$K:$K,MATCH($F139,Vöruskrá!$B:$B,0)))*($H139+IF($I139="",$H139*(1+#REF!),$I139))/2/100,""))</f>
        <v/>
      </c>
      <c r="P139" s="22" t="str">
        <f>IF($F139="","",IFERROR(IFERROR(INDEX(Réttabanki!$I:$I,MATCH($F139,Réttabanki!$A:$A,0)),INDEX(Vöruskrá!$L:$L,MATCH($F139,Vöruskrá!$B:$B,0)))*($H139+IF($I139="",$H139*(1+#REF!),$I139))/2/100,""))</f>
        <v/>
      </c>
      <c r="Q139" s="22" t="str">
        <f>IF($F139="","",IFERROR(IFERROR(INDEX(Réttabanki!$J:$J,MATCH($F139,Réttabanki!$A:$A,0)),INDEX(Vöruskrá!$M:$M,MATCH($F139,Vöruskrá!$B:$B,0)))*($H139+IF($I139="",$H139*(1+#REF!),$I139))/2/100,""))</f>
        <v/>
      </c>
      <c r="R139" s="22" t="str">
        <f>IF($F139="","",IFERROR(IFERROR(INDEX(Réttabanki!$L:$L,MATCH($F139,Réttabanki!$A:$A,0)),INDEX(Vöruskrá!$O:$O,MATCH($F139,Vöruskrá!$B:$B,0)))*($H139+IF($I139="",$H139*(1+#REF!),$I139))/2/100,""))</f>
        <v/>
      </c>
      <c r="S139" s="22" t="str">
        <f>IF($F139="","",IFERROR(IFERROR(INDEX(Réttabanki!$M:$M,MATCH($F139,Réttabanki!$A:$A,0)),INDEX(Vöruskrá!$P:$P,MATCH($F139,Vöruskrá!$B:$B,0)))*($H139+IF($I139="",$H139*(1+#REF!),$I139))/2/100,""))</f>
        <v/>
      </c>
      <c r="T139" s="66" t="str">
        <f>IF(F139="","",IFERROR(INDEX(Réttabanki!Q:Q,MATCH(F139,Réttabanki!A:A,0)),IFERROR(INDEX(Réttabanki!Q:Q,MATCH(F139,Réttabanki!B:B,0)),"")))</f>
        <v/>
      </c>
      <c r="U139" s="286"/>
      <c r="V139" s="286"/>
      <c r="W139" s="286"/>
      <c r="X139" s="286"/>
      <c r="Y139" s="286"/>
      <c r="Z139" s="286"/>
      <c r="AA139" s="286"/>
    </row>
    <row r="140" spans="1:27" ht="24">
      <c r="A140" s="31"/>
      <c r="B140" s="32" t="s">
        <v>1963</v>
      </c>
      <c r="C140" s="32">
        <v>32</v>
      </c>
      <c r="D140" s="33" t="s">
        <v>1850</v>
      </c>
      <c r="E140" s="33" t="s">
        <v>1885</v>
      </c>
      <c r="F140" s="33" t="s">
        <v>52</v>
      </c>
      <c r="G140" s="33" t="s">
        <v>1436</v>
      </c>
      <c r="H140" s="34">
        <v>40</v>
      </c>
      <c r="I140" s="34"/>
      <c r="J140" s="149" t="str">
        <f>IF($F140="","",IFERROR(IFERROR(INDEX(Réttabanki!$U:$U,MATCH($F140,Réttabanki!$A:$A,0)),INDEX(Vöruskrá!$R:$R,MATCH($F140,Vöruskrá!$B:$B,0)))*($H140+IF($I140="",$H140*(1+#REF!),$I140))/2/1000,""))</f>
        <v/>
      </c>
      <c r="K140" s="21" t="s">
        <v>53</v>
      </c>
      <c r="L140" s="21" t="s">
        <v>30</v>
      </c>
      <c r="M140" s="21" t="s">
        <v>54</v>
      </c>
      <c r="N140" s="22">
        <v>250</v>
      </c>
      <c r="O140" s="22">
        <v>2.7</v>
      </c>
      <c r="P140" s="22">
        <v>0.4</v>
      </c>
      <c r="Q140" s="22">
        <v>45</v>
      </c>
      <c r="R140" s="22">
        <v>9</v>
      </c>
      <c r="S140" s="22">
        <v>1.4</v>
      </c>
      <c r="T140" s="65" t="str">
        <f>IF(F140="","",IFERROR(INDEX(Réttabanki!Q:Q,MATCH(F140,Réttabanki!A:A,0)),IFERROR(INDEX(Réttabanki!Q:Q,MATCH(F140,Réttabanki!B:B,0)),"")))</f>
        <v/>
      </c>
      <c r="U140" s="284" t="s">
        <v>1932</v>
      </c>
      <c r="V140" s="284" t="s">
        <v>1859</v>
      </c>
      <c r="W140" s="284"/>
      <c r="X140" s="284"/>
      <c r="Y140" s="284"/>
      <c r="Z140" s="284"/>
      <c r="AA140" s="284"/>
    </row>
    <row r="141" spans="1:27" ht="24">
      <c r="A141" s="31"/>
      <c r="B141" s="32" t="s">
        <v>1963</v>
      </c>
      <c r="C141" s="32">
        <v>32</v>
      </c>
      <c r="D141" s="33" t="s">
        <v>1850</v>
      </c>
      <c r="E141" s="33" t="s">
        <v>1885</v>
      </c>
      <c r="F141" s="33" t="s">
        <v>376</v>
      </c>
      <c r="G141" s="33" t="s">
        <v>1962</v>
      </c>
      <c r="H141" s="34">
        <v>20</v>
      </c>
      <c r="I141" s="34"/>
      <c r="J141" s="149" t="str">
        <f>IF($F141="","",IFERROR(IFERROR(INDEX(Réttabanki!$U:$U,MATCH($F141,Réttabanki!$A:$A,0)),INDEX(Vöruskrá!$R:$R,MATCH($F141,Vöruskrá!$B:$B,0)))*($H141+IF($I141="",$H141*(1+#REF!),$I141))/2/1000,""))</f>
        <v/>
      </c>
      <c r="K141" s="21" t="s">
        <v>378</v>
      </c>
      <c r="L141" s="21" t="s">
        <v>121</v>
      </c>
      <c r="M141" s="21"/>
      <c r="N141" s="22">
        <v>85</v>
      </c>
      <c r="O141" s="22">
        <v>0.8</v>
      </c>
      <c r="P141" s="22">
        <v>0.3</v>
      </c>
      <c r="Q141" s="22">
        <v>1.8</v>
      </c>
      <c r="R141" s="22">
        <v>16</v>
      </c>
      <c r="S141" s="22">
        <v>2.6</v>
      </c>
      <c r="T141" s="66" t="str">
        <f>IF(F141="","",IFERROR(INDEX(Réttabanki!Q:Q,MATCH(F141,Réttabanki!A:A,0)),IFERROR(INDEX(Réttabanki!Q:Q,MATCH(F141,Réttabanki!B:B,0)),"")))</f>
        <v/>
      </c>
      <c r="U141" s="286" t="s">
        <v>1858</v>
      </c>
      <c r="V141" s="286" t="s">
        <v>1859</v>
      </c>
      <c r="W141" s="286"/>
      <c r="X141" s="286"/>
      <c r="Y141" s="286"/>
      <c r="Z141" s="286"/>
      <c r="AA141" s="286"/>
    </row>
    <row r="142" spans="1:27">
      <c r="A142" s="155"/>
      <c r="B142" s="156" t="s">
        <v>1963</v>
      </c>
      <c r="C142" s="156">
        <v>32</v>
      </c>
      <c r="D142" s="157"/>
      <c r="E142" s="157"/>
      <c r="F142" s="157" t="s">
        <v>1894</v>
      </c>
      <c r="G142" s="157"/>
      <c r="H142" s="158"/>
      <c r="I142" s="158"/>
      <c r="J142" s="159">
        <f>SUMIFS(J131:J141,E131:E141,"&lt;&gt;Hliðarréttur",E131:E141,"&lt;&gt;Sérfæði")</f>
        <v>0</v>
      </c>
      <c r="K142" s="21" t="s">
        <v>1895</v>
      </c>
      <c r="L142" s="21"/>
      <c r="M142" s="21"/>
      <c r="N142" s="22"/>
      <c r="O142" s="22"/>
      <c r="P142" s="22"/>
      <c r="Q142" s="22"/>
      <c r="R142" s="22"/>
      <c r="S142" s="22"/>
      <c r="T142" s="66"/>
      <c r="U142" s="284"/>
      <c r="V142" s="284"/>
      <c r="W142" s="284"/>
      <c r="X142" s="284"/>
      <c r="Y142" s="284"/>
      <c r="Z142" s="284"/>
      <c r="AA142" s="284"/>
    </row>
    <row r="143" spans="1:27">
      <c r="A143" s="155"/>
      <c r="B143" s="156" t="s">
        <v>1963</v>
      </c>
      <c r="C143" s="156">
        <v>32</v>
      </c>
      <c r="D143" s="157"/>
      <c r="E143" s="157"/>
      <c r="F143" s="157" t="s">
        <v>1897</v>
      </c>
      <c r="G143" s="157"/>
      <c r="H143" s="158"/>
      <c r="I143" s="158"/>
      <c r="J143" s="159">
        <f>SUMIFS(J131:J141,E131:E141,"&lt;&gt;Hliðarréttur",E131:E141,"&lt;&gt;Sérfæði")</f>
        <v>0</v>
      </c>
      <c r="K143" s="21" t="s">
        <v>1895</v>
      </c>
      <c r="L143" s="21"/>
      <c r="M143" s="21"/>
      <c r="N143" s="22"/>
      <c r="O143" s="22"/>
      <c r="P143" s="22"/>
      <c r="Q143" s="22"/>
      <c r="R143" s="22"/>
      <c r="S143" s="22"/>
      <c r="T143" s="66"/>
      <c r="U143" s="286"/>
      <c r="V143" s="286"/>
      <c r="W143" s="286"/>
      <c r="X143" s="286"/>
      <c r="Y143" s="286"/>
      <c r="Z143" s="286"/>
      <c r="AA143" s="286"/>
    </row>
    <row r="144" spans="1:27" ht="72">
      <c r="A144" s="31">
        <v>46244</v>
      </c>
      <c r="B144" s="32" t="s">
        <v>1851</v>
      </c>
      <c r="C144" s="32">
        <v>33</v>
      </c>
      <c r="D144" s="33" t="s">
        <v>1850</v>
      </c>
      <c r="E144" s="33" t="s">
        <v>1852</v>
      </c>
      <c r="F144" s="33"/>
      <c r="G144" s="33" t="s">
        <v>1964</v>
      </c>
      <c r="H144" s="34"/>
      <c r="I144" s="34"/>
      <c r="J144" s="149" t="str">
        <f>IF($F144="","",IFERROR(IFERROR(INDEX(Réttabanki!$U:$U,MATCH($F144,Réttabanki!$A:$A,0)),INDEX(Vöruskrá!$R:$R,MATCH($F144,Vöruskrá!$B:$B,0)))*($H144+IF($I144="",$H144*(1+#REF!),$I144))/2/1000,""))</f>
        <v/>
      </c>
      <c r="K144" s="21" t="s">
        <v>1965</v>
      </c>
      <c r="L144" s="21" t="s">
        <v>943</v>
      </c>
      <c r="M144" s="21" t="str">
        <f>IF($F144="","",IFERROR(IFERROR(INDEX(Réttabanki!$F:$F,MATCH($F144,Réttabanki!$A:$A,0)),INDEX(Vöruskrá!$H:$H,MATCH($F144,Vöruskrá!$B:$B,0))),""))</f>
        <v/>
      </c>
      <c r="N144" s="22" t="str">
        <f>IF($F144="","",IFERROR(IFERROR(INDEX(Réttabanki!$G:$G,MATCH($F144,Réttabanki!$A:$A,0)),INDEX(Vöruskrá!$J:$J,MATCH($F144,Vöruskrá!$B:$B,0)))*($H144+IF($I144="",$H144*(1+#REF!),$I144))/2/100,""))</f>
        <v/>
      </c>
      <c r="O144" s="22" t="str">
        <f>IF($F144="","",IFERROR(IFERROR(INDEX(Réttabanki!$H:$H,MATCH($F144,Réttabanki!$A:$A,0)),INDEX(Vöruskrá!$K:$K,MATCH($F144,Vöruskrá!$B:$B,0)))*($H144+IF($I144="",$H144*(1+#REF!),$I144))/2/100,""))</f>
        <v/>
      </c>
      <c r="P144" s="22" t="str">
        <f>IF($F144="","",IFERROR(IFERROR(INDEX(Réttabanki!$I:$I,MATCH($F144,Réttabanki!$A:$A,0)),INDEX(Vöruskrá!$L:$L,MATCH($F144,Vöruskrá!$B:$B,0)))*($H144+IF($I144="",$H144*(1+#REF!),$I144))/2/100,""))</f>
        <v/>
      </c>
      <c r="Q144" s="22" t="str">
        <f>IF($F144="","",IFERROR(IFERROR(INDEX(Réttabanki!$J:$J,MATCH($F144,Réttabanki!$A:$A,0)),INDEX(Vöruskrá!$M:$M,MATCH($F144,Vöruskrá!$B:$B,0)))*($H144+IF($I144="",$H144*(1+#REF!),$I144))/2/100,""))</f>
        <v/>
      </c>
      <c r="R144" s="22" t="str">
        <f>IF($F144="","",IFERROR(IFERROR(INDEX(Réttabanki!$L:$L,MATCH($F144,Réttabanki!$A:$A,0)),INDEX(Vöruskrá!$O:$O,MATCH($F144,Vöruskrá!$B:$B,0)))*($H144+IF($I144="",$H144*(1+#REF!),$I144))/2/100,""))</f>
        <v/>
      </c>
      <c r="S144" s="22" t="str">
        <f>IF($F144="","",IFERROR(IFERROR(INDEX(Réttabanki!$M:$M,MATCH($F144,Réttabanki!$A:$A,0)),INDEX(Vöruskrá!$P:$P,MATCH($F144,Vöruskrá!$B:$B,0)))*($H144+IF($I144="",$H144*(1+#REF!),$I144))/2/100,""))</f>
        <v/>
      </c>
      <c r="T144" s="65" t="str">
        <f>IF(F144="","",IFERROR(INDEX(Réttabanki!Q:Q,MATCH(F144,Réttabanki!A:A,0)),IFERROR(INDEX(Réttabanki!Q:Q,MATCH(F144,Réttabanki!B:B,0)),"")))</f>
        <v/>
      </c>
      <c r="U144" s="284"/>
      <c r="V144" s="284"/>
      <c r="W144" s="284"/>
      <c r="X144" s="284"/>
      <c r="Y144" s="284"/>
      <c r="Z144" s="284"/>
      <c r="AA144" s="284"/>
    </row>
    <row r="145" spans="1:27" ht="72">
      <c r="A145" s="31"/>
      <c r="B145" s="32" t="s">
        <v>1851</v>
      </c>
      <c r="C145" s="32">
        <v>33</v>
      </c>
      <c r="D145" s="33" t="s">
        <v>1850</v>
      </c>
      <c r="E145" s="33" t="s">
        <v>1852</v>
      </c>
      <c r="F145" s="33" t="s">
        <v>852</v>
      </c>
      <c r="G145" s="33" t="s">
        <v>1966</v>
      </c>
      <c r="H145" s="34">
        <v>200</v>
      </c>
      <c r="I145" s="34"/>
      <c r="J145" s="149" t="str">
        <f>IF($F145="","",IFERROR(IFERROR(INDEX(Réttabanki!$U:$U,MATCH($F145,Réttabanki!$A:$A,0)),INDEX(Vöruskrá!$R:$R,MATCH($F145,Vöruskrá!$B:$B,0)))*($H145+IF($I145="",$H145*(1+#REF!),$I145))/2/1000,""))</f>
        <v/>
      </c>
      <c r="K145" s="21" t="s">
        <v>1471</v>
      </c>
      <c r="L145" s="21" t="s">
        <v>943</v>
      </c>
      <c r="M145" s="21"/>
      <c r="N145" s="22">
        <v>132.01</v>
      </c>
      <c r="O145" s="22">
        <v>9.3000000000000007</v>
      </c>
      <c r="P145" s="22">
        <v>3.47</v>
      </c>
      <c r="Q145" s="22">
        <v>6.33</v>
      </c>
      <c r="R145" s="22">
        <v>6.96</v>
      </c>
      <c r="S145" s="22">
        <v>1.48</v>
      </c>
      <c r="T145" s="66"/>
      <c r="U145" s="286"/>
      <c r="V145" s="286"/>
      <c r="W145" s="286"/>
      <c r="X145" s="286"/>
      <c r="Y145" s="286"/>
      <c r="Z145" s="286"/>
      <c r="AA145" s="286"/>
    </row>
    <row r="146" spans="1:27">
      <c r="A146" s="31"/>
      <c r="B146" s="32" t="s">
        <v>1851</v>
      </c>
      <c r="C146" s="32">
        <v>33</v>
      </c>
      <c r="D146" s="33" t="s">
        <v>1850</v>
      </c>
      <c r="E146" s="33" t="s">
        <v>1852</v>
      </c>
      <c r="F146" s="33" t="s">
        <v>306</v>
      </c>
      <c r="G146" s="33" t="s">
        <v>1967</v>
      </c>
      <c r="H146" s="34">
        <v>80</v>
      </c>
      <c r="I146" s="34"/>
      <c r="J146" s="149" t="str">
        <f>IF($F146="","",IFERROR(IFERROR(INDEX(Réttabanki!$U:$U,MATCH($F146,Réttabanki!$A:$A,0)),INDEX(Vöruskrá!$R:$R,MATCH($F146,Vöruskrá!$B:$B,0)))*($H146+IF($I146="",$H146*(1+#REF!),$I146))/2/1000,""))</f>
        <v/>
      </c>
      <c r="K146" s="21" t="s">
        <v>304</v>
      </c>
      <c r="L146" s="21" t="s">
        <v>121</v>
      </c>
      <c r="M146" s="21"/>
      <c r="N146" s="22">
        <v>130</v>
      </c>
      <c r="O146" s="22">
        <v>0.3</v>
      </c>
      <c r="P146" s="22">
        <v>0.1</v>
      </c>
      <c r="Q146" s="22">
        <v>28.6</v>
      </c>
      <c r="R146" s="22">
        <v>2.7</v>
      </c>
      <c r="S146" s="22">
        <v>0</v>
      </c>
      <c r="T146" s="65" t="str">
        <f>IF(F146="","",IFERROR(INDEX(Réttabanki!Q:Q,MATCH(F146,Réttabanki!A:A,0)),IFERROR(INDEX(Réttabanki!Q:Q,MATCH(F146,Réttabanki!B:B,0)),"")))</f>
        <v/>
      </c>
      <c r="U146" s="284"/>
      <c r="V146" s="284"/>
      <c r="W146" s="284"/>
      <c r="X146" s="284"/>
      <c r="Y146" s="284"/>
      <c r="Z146" s="284"/>
      <c r="AA146" s="284"/>
    </row>
    <row r="147" spans="1:27" ht="60">
      <c r="A147" s="31"/>
      <c r="B147" s="32" t="s">
        <v>1851</v>
      </c>
      <c r="C147" s="32">
        <v>33</v>
      </c>
      <c r="D147" s="33" t="s">
        <v>1850</v>
      </c>
      <c r="E147" s="33" t="s">
        <v>1867</v>
      </c>
      <c r="F147" s="33"/>
      <c r="G147" s="33" t="s">
        <v>1968</v>
      </c>
      <c r="H147" s="34"/>
      <c r="I147" s="34"/>
      <c r="J147" s="149" t="str">
        <f>IF($F147="","",IFERROR(IFERROR(INDEX(Réttabanki!$U:$U,MATCH($F147,Réttabanki!$A:$A,0)),INDEX(Vöruskrá!$R:$R,MATCH($F147,Vöruskrá!$B:$B,0)))*($H147+IF($I147="",$H147*(1+#REF!),$I147))/2/1000,""))</f>
        <v/>
      </c>
      <c r="K147" s="21" t="s">
        <v>1969</v>
      </c>
      <c r="L147" s="21" t="s">
        <v>777</v>
      </c>
      <c r="M147" s="21" t="str">
        <f>IF($F147="","",IFERROR(IFERROR(INDEX(Réttabanki!$F:$F,MATCH($F147,Réttabanki!$A:$A,0)),INDEX(Vöruskrá!$H:$H,MATCH($F147,Vöruskrá!$B:$B,0))),""))</f>
        <v/>
      </c>
      <c r="N147" s="22" t="str">
        <f>IF($F147="","",IFERROR(IFERROR(INDEX(Réttabanki!$G:$G,MATCH($F147,Réttabanki!$A:$A,0)),INDEX(Vöruskrá!$J:$J,MATCH($F147,Vöruskrá!$B:$B,0)))*($H147+IF($I147="",$H147*(1+#REF!),$I147))/2/100,""))</f>
        <v/>
      </c>
      <c r="O147" s="22" t="str">
        <f>IF($F147="","",IFERROR(IFERROR(INDEX(Réttabanki!$H:$H,MATCH($F147,Réttabanki!$A:$A,0)),INDEX(Vöruskrá!$K:$K,MATCH($F147,Vöruskrá!$B:$B,0)))*($H147+IF($I147="",$H147*(1+#REF!),$I147))/2/100,""))</f>
        <v/>
      </c>
      <c r="P147" s="22" t="str">
        <f>IF($F147="","",IFERROR(IFERROR(INDEX(Réttabanki!$I:$I,MATCH($F147,Réttabanki!$A:$A,0)),INDEX(Vöruskrá!$L:$L,MATCH($F147,Vöruskrá!$B:$B,0)))*($H147+IF($I147="",$H147*(1+#REF!),$I147))/2/100,""))</f>
        <v/>
      </c>
      <c r="Q147" s="22" t="str">
        <f>IF($F147="","",IFERROR(IFERROR(INDEX(Réttabanki!$J:$J,MATCH($F147,Réttabanki!$A:$A,0)),INDEX(Vöruskrá!$M:$M,MATCH($F147,Vöruskrá!$B:$B,0)))*($H147+IF($I147="",$H147*(1+#REF!),$I147))/2/100,""))</f>
        <v/>
      </c>
      <c r="R147" s="22" t="str">
        <f>IF($F147="","",IFERROR(IFERROR(INDEX(Réttabanki!$L:$L,MATCH($F147,Réttabanki!$A:$A,0)),INDEX(Vöruskrá!$O:$O,MATCH($F147,Vöruskrá!$B:$B,0)))*($H147+IF($I147="",$H147*(1+#REF!),$I147))/2/100,""))</f>
        <v/>
      </c>
      <c r="S147" s="22" t="str">
        <f>IF($F147="","",IFERROR(IFERROR(INDEX(Réttabanki!$M:$M,MATCH($F147,Réttabanki!$A:$A,0)),INDEX(Vöruskrá!$P:$P,MATCH($F147,Vöruskrá!$B:$B,0)))*($H147+IF($I147="",$H147*(1+#REF!),$I147))/2/100,""))</f>
        <v/>
      </c>
      <c r="T147" s="66" t="str">
        <f>IF(F147="","",IFERROR(INDEX(Réttabanki!Q:Q,MATCH(F147,Réttabanki!A:A,0)),IFERROR(INDEX(Réttabanki!Q:Q,MATCH(F147,Réttabanki!B:B,0)),"")))</f>
        <v/>
      </c>
      <c r="U147" s="286"/>
      <c r="V147" s="286"/>
      <c r="W147" s="286"/>
      <c r="X147" s="286"/>
      <c r="Y147" s="286"/>
      <c r="Z147" s="286"/>
      <c r="AA147" s="286"/>
    </row>
    <row r="148" spans="1:27" ht="60">
      <c r="A148" s="31"/>
      <c r="B148" s="32" t="s">
        <v>1851</v>
      </c>
      <c r="C148" s="32">
        <v>33</v>
      </c>
      <c r="D148" s="33" t="s">
        <v>1850</v>
      </c>
      <c r="E148" s="33" t="s">
        <v>1867</v>
      </c>
      <c r="F148" s="33" t="s">
        <v>1074</v>
      </c>
      <c r="G148" s="33" t="s">
        <v>1970</v>
      </c>
      <c r="H148" s="34">
        <v>200</v>
      </c>
      <c r="I148" s="34"/>
      <c r="J148" s="149" t="str">
        <f>IF($F148="","",IFERROR(IFERROR(INDEX(Réttabanki!$U:$U,MATCH($F148,Réttabanki!$A:$A,0)),INDEX(Vöruskrá!$R:$R,MATCH($F148,Vöruskrá!$B:$B,0)))*($H148+IF($I148="",$H148*(1+#REF!),$I148))/2/1000,""))</f>
        <v/>
      </c>
      <c r="K148" s="21" t="s">
        <v>1075</v>
      </c>
      <c r="L148" s="21" t="s">
        <v>777</v>
      </c>
      <c r="M148" s="21" t="s">
        <v>1076</v>
      </c>
      <c r="N148" s="22">
        <v>140</v>
      </c>
      <c r="O148" s="22">
        <v>7.6</v>
      </c>
      <c r="P148" s="22">
        <v>3.1</v>
      </c>
      <c r="Q148" s="22">
        <v>6.1</v>
      </c>
      <c r="R148" s="22">
        <v>10.6</v>
      </c>
      <c r="S148" s="22">
        <v>1.1000000000000001</v>
      </c>
      <c r="T148" s="65" t="str">
        <f>IF(F148="","",IFERROR(INDEX(Réttabanki!Q:Q,MATCH(F148,Réttabanki!A:A,0)),IFERROR(INDEX(Réttabanki!Q:Q,MATCH(F148,Réttabanki!B:B,0)),"")))</f>
        <v/>
      </c>
      <c r="U148" s="284"/>
      <c r="V148" s="284"/>
      <c r="W148" s="284"/>
      <c r="X148" s="284"/>
      <c r="Y148" s="284"/>
      <c r="Z148" s="284"/>
      <c r="AA148" s="284"/>
    </row>
    <row r="149" spans="1:27">
      <c r="A149" s="31"/>
      <c r="B149" s="32" t="s">
        <v>1851</v>
      </c>
      <c r="C149" s="32">
        <v>33</v>
      </c>
      <c r="D149" s="33" t="s">
        <v>1850</v>
      </c>
      <c r="E149" s="33" t="s">
        <v>1867</v>
      </c>
      <c r="F149" s="33" t="s">
        <v>306</v>
      </c>
      <c r="G149" s="33" t="s">
        <v>1967</v>
      </c>
      <c r="H149" s="34">
        <v>80</v>
      </c>
      <c r="I149" s="34"/>
      <c r="J149" s="149" t="str">
        <f>IF($F149="","",IFERROR(IFERROR(INDEX(Réttabanki!$U:$U,MATCH($F149,Réttabanki!$A:$A,0)),INDEX(Vöruskrá!$R:$R,MATCH($F149,Vöruskrá!$B:$B,0)))*($H149+IF($I149="",$H149*(1+#REF!),$I149))/2/1000,""))</f>
        <v/>
      </c>
      <c r="K149" s="21" t="s">
        <v>304</v>
      </c>
      <c r="L149" s="21" t="s">
        <v>121</v>
      </c>
      <c r="M149" s="21"/>
      <c r="N149" s="22">
        <v>130</v>
      </c>
      <c r="O149" s="22">
        <v>0.3</v>
      </c>
      <c r="P149" s="22">
        <v>0.1</v>
      </c>
      <c r="Q149" s="22">
        <v>28.6</v>
      </c>
      <c r="R149" s="22">
        <v>2.7</v>
      </c>
      <c r="S149" s="22">
        <v>0</v>
      </c>
      <c r="T149" s="66" t="str">
        <f>IF(F149="","",IFERROR(INDEX(Réttabanki!Q:Q,MATCH(F149,Réttabanki!A:A,0)),IFERROR(INDEX(Réttabanki!Q:Q,MATCH(F149,Réttabanki!B:B,0)),"")))</f>
        <v/>
      </c>
      <c r="U149" s="286"/>
      <c r="V149" s="286"/>
      <c r="W149" s="286"/>
      <c r="X149" s="286"/>
      <c r="Y149" s="286"/>
      <c r="Z149" s="286"/>
      <c r="AA149" s="286"/>
    </row>
    <row r="150" spans="1:27">
      <c r="A150" s="31"/>
      <c r="B150" s="32" t="s">
        <v>1851</v>
      </c>
      <c r="C150" s="32">
        <v>33</v>
      </c>
      <c r="D150" s="33" t="s">
        <v>1850</v>
      </c>
      <c r="E150" s="33" t="s">
        <v>1877</v>
      </c>
      <c r="F150" s="33"/>
      <c r="G150" s="33" t="s">
        <v>1971</v>
      </c>
      <c r="H150" s="34"/>
      <c r="I150" s="34"/>
      <c r="J150" s="149" t="str">
        <f>IF($F150="","",IFERROR(IFERROR(INDEX(Réttabanki!$U:$U,MATCH($F150,Réttabanki!$A:$A,0)),INDEX(Vöruskrá!$R:$R,MATCH($F150,Vöruskrá!$B:$B,0)))*($H150+IF($I150="",$H150*(1+#REF!),$I150))/2/1000,""))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IF($F150="","",IFERROR(IFERROR(INDEX(Réttabanki!$G:$G,MATCH($F150,Réttabanki!$A:$A,0)),INDEX(Vöruskrá!$J:$J,MATCH($F150,Vöruskrá!$B:$B,0)))*($H150+IF($I150="",$H150*(1+#REF!),$I150))/2/100,""))</f>
        <v/>
      </c>
      <c r="O150" s="22" t="str">
        <f>IF($F150="","",IFERROR(IFERROR(INDEX(Réttabanki!$H:$H,MATCH($F150,Réttabanki!$A:$A,0)),INDEX(Vöruskrá!$K:$K,MATCH($F150,Vöruskrá!$B:$B,0)))*($H150+IF($I150="",$H150*(1+#REF!),$I150))/2/100,""))</f>
        <v/>
      </c>
      <c r="P150" s="22" t="str">
        <f>IF($F150="","",IFERROR(IFERROR(INDEX(Réttabanki!$I:$I,MATCH($F150,Réttabanki!$A:$A,0)),INDEX(Vöruskrá!$L:$L,MATCH($F150,Vöruskrá!$B:$B,0)))*($H150+IF($I150="",$H150*(1+#REF!),$I150))/2/100,""))</f>
        <v/>
      </c>
      <c r="Q150" s="22" t="str">
        <f>IF($F150="","",IFERROR(IFERROR(INDEX(Réttabanki!$J:$J,MATCH($F150,Réttabanki!$A:$A,0)),INDEX(Vöruskrá!$M:$M,MATCH($F150,Vöruskrá!$B:$B,0)))*($H150+IF($I150="",$H150*(1+#REF!),$I150))/2/100,""))</f>
        <v/>
      </c>
      <c r="R150" s="22" t="str">
        <f>IF($F150="","",IFERROR(IFERROR(INDEX(Réttabanki!$L:$L,MATCH($F150,Réttabanki!$A:$A,0)),INDEX(Vöruskrá!$O:$O,MATCH($F150,Vöruskrá!$B:$B,0)))*($H150+IF($I150="",$H150*(1+#REF!),$I150))/2/100,""))</f>
        <v/>
      </c>
      <c r="S150" s="22" t="str">
        <f>IF($F150="","",IFERROR(IFERROR(INDEX(Réttabanki!$M:$M,MATCH($F150,Réttabanki!$A:$A,0)),INDEX(Vöruskrá!$P:$P,MATCH($F150,Vöruskrá!$B:$B,0)))*($H150+IF($I150="",$H150*(1+#REF!),$I150))/2/100,""))</f>
        <v/>
      </c>
      <c r="T150" s="65" t="str">
        <f>IF(F150="","",IFERROR(INDEX(Réttabanki!Q:Q,MATCH(F150,Réttabanki!A:A,0)),IFERROR(INDEX(Réttabanki!Q:Q,MATCH(F150,Réttabanki!B:B,0)),"")))</f>
        <v/>
      </c>
      <c r="U150" s="284"/>
      <c r="V150" s="284"/>
      <c r="W150" s="284"/>
      <c r="X150" s="284"/>
      <c r="Y150" s="284"/>
      <c r="Z150" s="284"/>
      <c r="AA150" s="284"/>
    </row>
    <row r="151" spans="1:27" ht="48">
      <c r="A151" s="31"/>
      <c r="B151" s="32" t="s">
        <v>1851</v>
      </c>
      <c r="C151" s="32">
        <v>33</v>
      </c>
      <c r="D151" s="33" t="s">
        <v>1850</v>
      </c>
      <c r="E151" s="33" t="s">
        <v>1885</v>
      </c>
      <c r="F151" s="33"/>
      <c r="G151" s="33" t="s">
        <v>1972</v>
      </c>
      <c r="H151" s="34"/>
      <c r="I151" s="34"/>
      <c r="J151" s="149" t="str">
        <f>IF($F151="","",IFERROR(IFERROR(INDEX(Réttabanki!$U:$U,MATCH($F151,Réttabanki!$A:$A,0)),INDEX(Vöruskrá!$R:$R,MATCH($F151,Vöruskrá!$B:$B,0)))*($H151+IF($I151="",$H151*(1+#REF!),$I151))/2/1000,""))</f>
        <v/>
      </c>
      <c r="K151" s="21" t="s">
        <v>1973</v>
      </c>
      <c r="L151" s="21" t="s">
        <v>1974</v>
      </c>
      <c r="M151" s="21" t="str">
        <f>IF($F151="","",IFERROR(IFERROR(INDEX(Réttabanki!$F:$F,MATCH($F151,Réttabanki!$A:$A,0)),INDEX(Vöruskrá!$H:$H,MATCH($F151,Vöruskrá!$B:$B,0))),""))</f>
        <v/>
      </c>
      <c r="N151" s="22" t="str">
        <f>IF($F151="","",IFERROR(IFERROR(INDEX(Réttabanki!$G:$G,MATCH($F151,Réttabanki!$A:$A,0)),INDEX(Vöruskrá!$J:$J,MATCH($F151,Vöruskrá!$B:$B,0)))*($H151+IF($I151="",$H151*(1+#REF!),$I151))/2/100,""))</f>
        <v/>
      </c>
      <c r="O151" s="22" t="str">
        <f>IF($F151="","",IFERROR(IFERROR(INDEX(Réttabanki!$H:$H,MATCH($F151,Réttabanki!$A:$A,0)),INDEX(Vöruskrá!$K:$K,MATCH($F151,Vöruskrá!$B:$B,0)))*($H151+IF($I151="",$H151*(1+#REF!),$I151))/2/100,""))</f>
        <v/>
      </c>
      <c r="P151" s="22" t="str">
        <f>IF($F151="","",IFERROR(IFERROR(INDEX(Réttabanki!$I:$I,MATCH($F151,Réttabanki!$A:$A,0)),INDEX(Vöruskrá!$L:$L,MATCH($F151,Vöruskrá!$B:$B,0)))*($H151+IF($I151="",$H151*(1+#REF!),$I151))/2/100,""))</f>
        <v/>
      </c>
      <c r="Q151" s="22" t="str">
        <f>IF($F151="","",IFERROR(IFERROR(INDEX(Réttabanki!$J:$J,MATCH($F151,Réttabanki!$A:$A,0)),INDEX(Vöruskrá!$M:$M,MATCH($F151,Vöruskrá!$B:$B,0)))*($H151+IF($I151="",$H151*(1+#REF!),$I151))/2/100,""))</f>
        <v/>
      </c>
      <c r="R151" s="22" t="str">
        <f>IF($F151="","",IFERROR(IFERROR(INDEX(Réttabanki!$L:$L,MATCH($F151,Réttabanki!$A:$A,0)),INDEX(Vöruskrá!$O:$O,MATCH($F151,Vöruskrá!$B:$B,0)))*($H151+IF($I151="",$H151*(1+#REF!),$I151))/2/100,""))</f>
        <v/>
      </c>
      <c r="S151" s="22" t="str">
        <f>IF($F151="","",IFERROR(IFERROR(INDEX(Réttabanki!$M:$M,MATCH($F151,Réttabanki!$A:$A,0)),INDEX(Vöruskrá!$P:$P,MATCH($F151,Vöruskrá!$B:$B,0)))*($H151+IF($I151="",$H151*(1+#REF!),$I151))/2/100,""))</f>
        <v/>
      </c>
      <c r="T151" s="66" t="str">
        <f>IF(F151="","",IFERROR(INDEX(Réttabanki!Q:Q,MATCH(F151,Réttabanki!A:A,0)),IFERROR(INDEX(Réttabanki!Q:Q,MATCH(F151,Réttabanki!B:B,0)),"")))</f>
        <v/>
      </c>
      <c r="U151" s="286"/>
      <c r="V151" s="286"/>
      <c r="W151" s="286"/>
      <c r="X151" s="286"/>
      <c r="Y151" s="286"/>
      <c r="Z151" s="286"/>
      <c r="AA151" s="286"/>
    </row>
    <row r="152" spans="1:27" ht="36">
      <c r="A152" s="31"/>
      <c r="B152" s="32" t="s">
        <v>1851</v>
      </c>
      <c r="C152" s="32">
        <v>33</v>
      </c>
      <c r="D152" s="33" t="s">
        <v>1850</v>
      </c>
      <c r="E152" s="33" t="s">
        <v>1885</v>
      </c>
      <c r="F152" s="33" t="s">
        <v>57</v>
      </c>
      <c r="G152" s="33" t="s">
        <v>1975</v>
      </c>
      <c r="H152" s="34">
        <v>40</v>
      </c>
      <c r="I152" s="34"/>
      <c r="J152" s="149" t="str">
        <f>IF($F152="","",IFERROR(IFERROR(INDEX(Réttabanki!$U:$U,MATCH($F152,Réttabanki!$A:$A,0)),INDEX(Vöruskrá!$R:$R,MATCH($F152,Vöruskrá!$B:$B,0)))*($H152+IF($I152="",$H152*(1+#REF!),$I152))/2/1000,""))</f>
        <v/>
      </c>
      <c r="K152" s="21" t="s">
        <v>58</v>
      </c>
      <c r="L152" s="21" t="s">
        <v>59</v>
      </c>
      <c r="M152" s="21" t="s">
        <v>49</v>
      </c>
      <c r="N152" s="22">
        <v>241</v>
      </c>
      <c r="O152" s="22">
        <v>4.3</v>
      </c>
      <c r="P152" s="22">
        <v>0.8</v>
      </c>
      <c r="Q152" s="22">
        <v>33</v>
      </c>
      <c r="R152" s="22">
        <v>14</v>
      </c>
      <c r="S152" s="22">
        <v>0.9</v>
      </c>
      <c r="T152" s="65" t="str">
        <f>IF(F152="","",IFERROR(INDEX(Réttabanki!Q:Q,MATCH(F152,Réttabanki!A:A,0)),IFERROR(INDEX(Réttabanki!Q:Q,MATCH(F152,Réttabanki!B:B,0)),"")))</f>
        <v/>
      </c>
      <c r="U152" s="284"/>
      <c r="V152" s="284"/>
      <c r="W152" s="284"/>
      <c r="X152" s="284"/>
      <c r="Y152" s="284"/>
      <c r="Z152" s="284"/>
      <c r="AA152" s="284"/>
    </row>
    <row r="153" spans="1:27">
      <c r="A153" s="31"/>
      <c r="B153" s="32" t="s">
        <v>1851</v>
      </c>
      <c r="C153" s="32">
        <v>33</v>
      </c>
      <c r="D153" s="33" t="s">
        <v>1850</v>
      </c>
      <c r="E153" s="33" t="s">
        <v>1885</v>
      </c>
      <c r="F153" s="33" t="s">
        <v>557</v>
      </c>
      <c r="G153" s="33" t="s">
        <v>1883</v>
      </c>
      <c r="H153" s="34">
        <v>20</v>
      </c>
      <c r="I153" s="34"/>
      <c r="J153" s="149" t="str">
        <f>IF($F153="","",IFERROR(IFERROR(INDEX(Réttabanki!$U:$U,MATCH($F153,Réttabanki!$A:$A,0)),INDEX(Vöruskrá!$R:$R,MATCH($F153,Vöruskrá!$B:$B,0)))*($H153+IF($I153="",$H153*(1+#REF!),$I153))/2/1000,""))</f>
        <v/>
      </c>
      <c r="K153" s="21" t="s">
        <v>559</v>
      </c>
      <c r="L153" s="21" t="s">
        <v>108</v>
      </c>
      <c r="M153" s="21"/>
      <c r="N153" s="22">
        <v>330</v>
      </c>
      <c r="O153" s="22">
        <v>26</v>
      </c>
      <c r="P153" s="22">
        <v>14</v>
      </c>
      <c r="Q153" s="22">
        <v>0</v>
      </c>
      <c r="R153" s="22">
        <v>25</v>
      </c>
      <c r="S153" s="22">
        <v>1.5</v>
      </c>
      <c r="T153" s="66" t="str">
        <f>IF(F153="","",IFERROR(INDEX(Réttabanki!Q:Q,MATCH(F153,Réttabanki!A:A,0)),IFERROR(INDEX(Réttabanki!Q:Q,MATCH(F153,Réttabanki!B:B,0)),"")))</f>
        <v/>
      </c>
      <c r="U153" s="286"/>
      <c r="V153" s="286"/>
      <c r="W153" s="286"/>
      <c r="X153" s="286"/>
      <c r="Y153" s="286"/>
      <c r="Z153" s="286"/>
      <c r="AA153" s="286"/>
    </row>
    <row r="154" spans="1:27">
      <c r="A154" s="155"/>
      <c r="B154" s="156" t="s">
        <v>1851</v>
      </c>
      <c r="C154" s="156">
        <v>33</v>
      </c>
      <c r="D154" s="157"/>
      <c r="E154" s="157"/>
      <c r="F154" s="157" t="s">
        <v>1894</v>
      </c>
      <c r="G154" s="157"/>
      <c r="H154" s="158"/>
      <c r="I154" s="158"/>
      <c r="J154" s="159">
        <f>SUMIFS(J144:J153,E144:E153,"&lt;&gt;Hliðarréttur",E144:E153,"&lt;&gt;Sérfæði")</f>
        <v>0</v>
      </c>
      <c r="K154" s="21" t="s">
        <v>1895</v>
      </c>
      <c r="L154" s="21"/>
      <c r="M154" s="21"/>
      <c r="N154" s="22"/>
      <c r="O154" s="22"/>
      <c r="P154" s="22"/>
      <c r="Q154" s="22"/>
      <c r="R154" s="22"/>
      <c r="S154" s="22"/>
      <c r="T154" s="66"/>
      <c r="U154" s="284"/>
      <c r="V154" s="284"/>
      <c r="W154" s="284"/>
      <c r="X154" s="284"/>
      <c r="Y154" s="284"/>
      <c r="Z154" s="284"/>
      <c r="AA154" s="284"/>
    </row>
    <row r="155" spans="1:27">
      <c r="A155" s="155"/>
      <c r="B155" s="156" t="s">
        <v>1851</v>
      </c>
      <c r="C155" s="156">
        <v>33</v>
      </c>
      <c r="D155" s="157"/>
      <c r="E155" s="157"/>
      <c r="F155" s="157" t="s">
        <v>1897</v>
      </c>
      <c r="G155" s="157"/>
      <c r="H155" s="158"/>
      <c r="I155" s="158"/>
      <c r="J155" s="159">
        <f>SUMIFS(J144:J153,E144:E153,"&lt;&gt;Hliðarréttur",E144:E153,"&lt;&gt;Sérfæði")</f>
        <v>0</v>
      </c>
      <c r="K155" s="21" t="s">
        <v>1895</v>
      </c>
      <c r="L155" s="21"/>
      <c r="M155" s="21"/>
      <c r="N155" s="22"/>
      <c r="O155" s="22"/>
      <c r="P155" s="22"/>
      <c r="Q155" s="22"/>
      <c r="R155" s="22"/>
      <c r="S155" s="22"/>
      <c r="T155" s="66"/>
      <c r="U155" s="286"/>
      <c r="V155" s="286"/>
      <c r="W155" s="286"/>
      <c r="X155" s="286"/>
      <c r="Y155" s="286"/>
      <c r="Z155" s="286"/>
      <c r="AA155" s="286"/>
    </row>
    <row r="156" spans="1:27" ht="84">
      <c r="A156" s="31">
        <v>46245</v>
      </c>
      <c r="B156" s="32" t="s">
        <v>1899</v>
      </c>
      <c r="C156" s="32">
        <v>33</v>
      </c>
      <c r="D156" s="33" t="s">
        <v>1850</v>
      </c>
      <c r="E156" s="33" t="s">
        <v>1852</v>
      </c>
      <c r="F156" s="33"/>
      <c r="G156" s="33" t="s">
        <v>1981</v>
      </c>
      <c r="H156" s="34"/>
      <c r="I156" s="34"/>
      <c r="J156" s="149" t="str">
        <f>IF($F156="","",IFERROR(IFERROR(INDEX(Réttabanki!$U:$U,MATCH($F156,Réttabanki!$A:$A,0)),INDEX(Vöruskrá!$R:$R,MATCH($F156,Vöruskrá!$B:$B,0)))*($H156+IF($I156="",$H156*(1+#REF!),$I156))/2/1000,""))</f>
        <v/>
      </c>
      <c r="K156" s="21" t="s">
        <v>1982</v>
      </c>
      <c r="L156" s="21" t="s">
        <v>1983</v>
      </c>
      <c r="M156" s="21" t="str">
        <f>IF($F156="","",IFERROR(IFERROR(INDEX(Réttabanki!$F:$F,MATCH($F156,Réttabanki!$A:$A,0)),INDEX(Vöruskrá!$H:$H,MATCH($F156,Vöruskrá!$B:$B,0))),""))</f>
        <v/>
      </c>
      <c r="N156" s="22" t="str">
        <f>IF($F156="","",IFERROR(IFERROR(INDEX(Réttabanki!$G:$G,MATCH($F156,Réttabanki!$A:$A,0)),INDEX(Vöruskrá!$J:$J,MATCH($F156,Vöruskrá!$B:$B,0)))*($H156+IF($I156="",$H156*(1+#REF!),$I156))/2/100,""))</f>
        <v/>
      </c>
      <c r="O156" s="22" t="str">
        <f>IF($F156="","",IFERROR(IFERROR(INDEX(Réttabanki!$H:$H,MATCH($F156,Réttabanki!$A:$A,0)),INDEX(Vöruskrá!$K:$K,MATCH($F156,Vöruskrá!$B:$B,0)))*($H156+IF($I156="",$H156*(1+#REF!),$I156))/2/100,""))</f>
        <v/>
      </c>
      <c r="P156" s="22" t="str">
        <f>IF($F156="","",IFERROR(IFERROR(INDEX(Réttabanki!$I:$I,MATCH($F156,Réttabanki!$A:$A,0)),INDEX(Vöruskrá!$L:$L,MATCH($F156,Vöruskrá!$B:$B,0)))*($H156+IF($I156="",$H156*(1+#REF!),$I156))/2/100,""))</f>
        <v/>
      </c>
      <c r="Q156" s="22" t="str">
        <f>IF($F156="","",IFERROR(IFERROR(INDEX(Réttabanki!$J:$J,MATCH($F156,Réttabanki!$A:$A,0)),INDEX(Vöruskrá!$M:$M,MATCH($F156,Vöruskrá!$B:$B,0)))*($H156+IF($I156="",$H156*(1+#REF!),$I156))/2/100,""))</f>
        <v/>
      </c>
      <c r="R156" s="22" t="str">
        <f>IF($F156="","",IFERROR(IFERROR(INDEX(Réttabanki!$L:$L,MATCH($F156,Réttabanki!$A:$A,0)),INDEX(Vöruskrá!$O:$O,MATCH($F156,Vöruskrá!$B:$B,0)))*($H156+IF($I156="",$H156*(1+#REF!),$I156))/2/100,""))</f>
        <v/>
      </c>
      <c r="S156" s="22" t="str">
        <f>IF($F156="","",IFERROR(IFERROR(INDEX(Réttabanki!$M:$M,MATCH($F156,Réttabanki!$A:$A,0)),INDEX(Vöruskrá!$P:$P,MATCH($F156,Vöruskrá!$B:$B,0)))*($H156+IF($I156="",$H156*(1+#REF!),$I156))/2/100,""))</f>
        <v/>
      </c>
      <c r="T156" s="65" t="str">
        <f>IF(F156="","",IFERROR(INDEX(Réttabanki!Q:Q,MATCH(F156,Réttabanki!A:A,0)),IFERROR(INDEX(Réttabanki!Q:Q,MATCH(F156,Réttabanki!B:B,0)),"")))</f>
        <v/>
      </c>
      <c r="U156" s="284"/>
      <c r="V156" s="284"/>
      <c r="W156" s="284"/>
      <c r="X156" s="284"/>
      <c r="Y156" s="284"/>
      <c r="Z156" s="284"/>
      <c r="AA156" s="284"/>
    </row>
    <row r="157" spans="1:27" ht="24">
      <c r="A157" s="31"/>
      <c r="B157" s="32" t="s">
        <v>1899</v>
      </c>
      <c r="C157" s="32">
        <v>33</v>
      </c>
      <c r="D157" s="33" t="s">
        <v>1850</v>
      </c>
      <c r="E157" s="33" t="s">
        <v>1852</v>
      </c>
      <c r="F157" s="33" t="s">
        <v>174</v>
      </c>
      <c r="G157" s="33" t="s">
        <v>1984</v>
      </c>
      <c r="H157" s="34">
        <v>160</v>
      </c>
      <c r="I157" s="34"/>
      <c r="J157" s="149" t="str">
        <f>IF($F157="","",IFERROR(IFERROR(INDEX(Réttabanki!$U:$U,MATCH($F157,Réttabanki!$A:$A,0)),INDEX(Vöruskrá!$R:$R,MATCH($F157,Vöruskrá!$B:$B,0)))*($H157+IF($I157="",$H157*(1+#REF!),$I157))/2/1000,""))</f>
        <v/>
      </c>
      <c r="K157" s="21" t="s">
        <v>176</v>
      </c>
      <c r="L157" s="21" t="s">
        <v>177</v>
      </c>
      <c r="M157" s="21"/>
      <c r="N157" s="22">
        <v>125</v>
      </c>
      <c r="O157" s="22">
        <v>1.3</v>
      </c>
      <c r="P157" s="22">
        <v>0.1</v>
      </c>
      <c r="Q157" s="22">
        <v>14.2</v>
      </c>
      <c r="R157" s="22">
        <v>14.1</v>
      </c>
      <c r="S157" s="22">
        <v>1.4</v>
      </c>
      <c r="T157" s="66" t="str">
        <f>IF(F157="","",IFERROR(INDEX(Réttabanki!Q:Q,MATCH(F157,Réttabanki!A:A,0)),IFERROR(INDEX(Réttabanki!Q:Q,MATCH(F157,Réttabanki!B:B,0)),"")))</f>
        <v/>
      </c>
      <c r="U157" s="286"/>
      <c r="V157" s="286"/>
      <c r="W157" s="286"/>
      <c r="X157" s="286"/>
      <c r="Y157" s="286"/>
      <c r="Z157" s="286"/>
      <c r="AA157" s="286"/>
    </row>
    <row r="158" spans="1:27">
      <c r="A158" s="31"/>
      <c r="B158" s="32" t="s">
        <v>1899</v>
      </c>
      <c r="C158" s="32">
        <v>33</v>
      </c>
      <c r="D158" s="33" t="s">
        <v>1850</v>
      </c>
      <c r="E158" s="33" t="s">
        <v>1852</v>
      </c>
      <c r="F158" s="33" t="s">
        <v>867</v>
      </c>
      <c r="G158" s="33" t="s">
        <v>554</v>
      </c>
      <c r="H158" s="34">
        <v>80</v>
      </c>
      <c r="I158" s="34"/>
      <c r="J158" s="149" t="str">
        <f>IF($F158="","",IFERROR(IFERROR(INDEX(Réttabanki!$U:$U,MATCH($F158,Réttabanki!$A:$A,0)),INDEX(Vöruskrá!$R:$R,MATCH($F158,Vöruskrá!$B:$B,0)))*($H158+IF($I158="",$H158*(1+#REF!),$I158))/2/1000,""))</f>
        <v/>
      </c>
      <c r="K158" s="21" t="s">
        <v>554</v>
      </c>
      <c r="L158" s="21" t="s">
        <v>121</v>
      </c>
      <c r="M158" s="21"/>
      <c r="N158" s="22">
        <v>77</v>
      </c>
      <c r="O158" s="22">
        <v>0.1</v>
      </c>
      <c r="P158" s="22">
        <v>0</v>
      </c>
      <c r="Q158" s="22">
        <v>17</v>
      </c>
      <c r="R158" s="22">
        <v>2</v>
      </c>
      <c r="S158" s="22">
        <v>0</v>
      </c>
      <c r="T158" s="65">
        <f>IF(F158="","",IFERROR(INDEX(Réttabanki!Q:Q,MATCH(F158,Réttabanki!A:A,0)),IFERROR(INDEX(Réttabanki!Q:Q,MATCH(F158,Réttabanki!B:B,0)),"")))</f>
        <v>0</v>
      </c>
      <c r="U158" s="284"/>
      <c r="V158" s="284"/>
      <c r="W158" s="284"/>
      <c r="X158" s="284"/>
      <c r="Y158" s="284"/>
      <c r="Z158" s="284"/>
      <c r="AA158" s="284"/>
    </row>
    <row r="159" spans="1:27" ht="60">
      <c r="A159" s="31"/>
      <c r="B159" s="32" t="s">
        <v>1899</v>
      </c>
      <c r="C159" s="32">
        <v>33</v>
      </c>
      <c r="D159" s="33" t="s">
        <v>1850</v>
      </c>
      <c r="E159" s="33" t="s">
        <v>1852</v>
      </c>
      <c r="F159" s="33" t="s">
        <v>253</v>
      </c>
      <c r="G159" s="33" t="s">
        <v>1432</v>
      </c>
      <c r="H159" s="34">
        <v>25</v>
      </c>
      <c r="I159" s="34"/>
      <c r="J159" s="149" t="str">
        <f>IF($F159="","",IFERROR(IFERROR(INDEX(Réttabanki!$U:$U,MATCH($F159,Réttabanki!$A:$A,0)),INDEX(Vöruskrá!$R:$R,MATCH($F159,Vöruskrá!$B:$B,0)))*($H159+IF($I159="",$H159*(1+#REF!),$I159))/2/1000,""))</f>
        <v/>
      </c>
      <c r="K159" s="21" t="s">
        <v>254</v>
      </c>
      <c r="L159" s="21" t="s">
        <v>133</v>
      </c>
      <c r="M159" s="21"/>
      <c r="N159" s="22">
        <v>532</v>
      </c>
      <c r="O159" s="22">
        <v>57</v>
      </c>
      <c r="P159" s="22">
        <v>3.7</v>
      </c>
      <c r="Q159" s="22">
        <v>5.9</v>
      </c>
      <c r="R159" s="22"/>
      <c r="S159" s="22">
        <v>1.2</v>
      </c>
      <c r="T159" s="66" t="str">
        <f>IF(F159="","",IFERROR(INDEX(Réttabanki!Q:Q,MATCH(F159,Réttabanki!A:A,0)),IFERROR(INDEX(Réttabanki!Q:Q,MATCH(F159,Réttabanki!B:B,0)),"")))</f>
        <v/>
      </c>
      <c r="U159" s="286"/>
      <c r="V159" s="286"/>
      <c r="W159" s="286"/>
      <c r="X159" s="286"/>
      <c r="Y159" s="286"/>
      <c r="Z159" s="286"/>
      <c r="AA159" s="286"/>
    </row>
    <row r="160" spans="1:27" ht="118.5">
      <c r="A160" s="31"/>
      <c r="B160" s="32" t="s">
        <v>1899</v>
      </c>
      <c r="C160" s="32">
        <v>33</v>
      </c>
      <c r="D160" s="33" t="s">
        <v>1850</v>
      </c>
      <c r="E160" s="33" t="s">
        <v>1867</v>
      </c>
      <c r="F160" s="33"/>
      <c r="G160" s="33" t="s">
        <v>1985</v>
      </c>
      <c r="H160" s="34"/>
      <c r="I160" s="34"/>
      <c r="J160" s="149" t="str">
        <f>IF($F160="","",IFERROR(IFERROR(INDEX(Réttabanki!$U:$U,MATCH($F160,Réttabanki!$A:$A,0)),INDEX(Vöruskrá!$R:$R,MATCH($F160,Vöruskrá!$B:$B,0)))*($H160+IF($I160="",$H160*(1+#REF!),$I160))/2/1000,""))</f>
        <v/>
      </c>
      <c r="K160" s="21" t="s">
        <v>1986</v>
      </c>
      <c r="L160" s="21" t="s">
        <v>1987</v>
      </c>
      <c r="M160" s="21" t="str">
        <f>IF($F160="","",IFERROR(IFERROR(INDEX(Réttabanki!$F:$F,MATCH($F160,Réttabanki!$A:$A,0)),INDEX(Vöruskrá!$H:$H,MATCH($F160,Vöruskrá!$B:$B,0))),""))</f>
        <v/>
      </c>
      <c r="N160" s="22" t="str">
        <f>IF($F160="","",IFERROR(IFERROR(INDEX(Réttabanki!$G:$G,MATCH($F160,Réttabanki!$A:$A,0)),INDEX(Vöruskrá!$J:$J,MATCH($F160,Vöruskrá!$B:$B,0)))*($H160+IF($I160="",$H160*(1+#REF!),$I160))/2/100,""))</f>
        <v/>
      </c>
      <c r="O160" s="22" t="str">
        <f>IF($F160="","",IFERROR(IFERROR(INDEX(Réttabanki!$H:$H,MATCH($F160,Réttabanki!$A:$A,0)),INDEX(Vöruskrá!$K:$K,MATCH($F160,Vöruskrá!$B:$B,0)))*($H160+IF($I160="",$H160*(1+#REF!),$I160))/2/100,""))</f>
        <v/>
      </c>
      <c r="P160" s="22" t="str">
        <f>IF($F160="","",IFERROR(IFERROR(INDEX(Réttabanki!$I:$I,MATCH($F160,Réttabanki!$A:$A,0)),INDEX(Vöruskrá!$L:$L,MATCH($F160,Vöruskrá!$B:$B,0)))*($H160+IF($I160="",$H160*(1+#REF!),$I160))/2/100,""))</f>
        <v/>
      </c>
      <c r="Q160" s="22" t="str">
        <f>IF($F160="","",IFERROR(IFERROR(INDEX(Réttabanki!$J:$J,MATCH($F160,Réttabanki!$A:$A,0)),INDEX(Vöruskrá!$M:$M,MATCH($F160,Vöruskrá!$B:$B,0)))*($H160+IF($I160="",$H160*(1+#REF!),$I160))/2/100,""))</f>
        <v/>
      </c>
      <c r="R160" s="22" t="str">
        <f>IF($F160="","",IFERROR(IFERROR(INDEX(Réttabanki!$L:$L,MATCH($F160,Réttabanki!$A:$A,0)),INDEX(Vöruskrá!$O:$O,MATCH($F160,Vöruskrá!$B:$B,0)))*($H160+IF($I160="",$H160*(1+#REF!),$I160))/2/100,""))</f>
        <v/>
      </c>
      <c r="S160" s="22" t="str">
        <f>IF($F160="","",IFERROR(IFERROR(INDEX(Réttabanki!$M:$M,MATCH($F160,Réttabanki!$A:$A,0)),INDEX(Vöruskrá!$P:$P,MATCH($F160,Vöruskrá!$B:$B,0)))*($H160+IF($I160="",$H160*(1+#REF!),$I160))/2/100,""))</f>
        <v/>
      </c>
      <c r="T160" s="65" t="str">
        <f>IF(F160="","",IFERROR(INDEX(Réttabanki!Q:Q,MATCH(F160,Réttabanki!A:A,0)),IFERROR(INDEX(Réttabanki!Q:Q,MATCH(F160,Réttabanki!B:B,0)),"")))</f>
        <v/>
      </c>
      <c r="U160" s="284"/>
      <c r="V160" s="284"/>
      <c r="W160" s="284"/>
      <c r="X160" s="284"/>
      <c r="Y160" s="284"/>
      <c r="Z160" s="284"/>
      <c r="AA160" s="284"/>
    </row>
    <row r="161" spans="1:27" ht="36">
      <c r="A161" s="31"/>
      <c r="B161" s="32" t="s">
        <v>1899</v>
      </c>
      <c r="C161" s="32">
        <v>33</v>
      </c>
      <c r="D161" s="33" t="s">
        <v>1850</v>
      </c>
      <c r="E161" s="33" t="s">
        <v>1867</v>
      </c>
      <c r="F161" s="33" t="s">
        <v>192</v>
      </c>
      <c r="G161" s="33" t="s">
        <v>497</v>
      </c>
      <c r="H161" s="34">
        <v>160</v>
      </c>
      <c r="I161" s="34"/>
      <c r="J161" s="149" t="str">
        <f>IF($F161="","",IFERROR(IFERROR(INDEX(Réttabanki!$U:$U,MATCH($F161,Réttabanki!$A:$A,0)),INDEX(Vöruskrá!$R:$R,MATCH($F161,Vöruskrá!$B:$B,0)))*($H161+IF($I161="",$H161*(1+#REF!),$I161))/2/1000,""))</f>
        <v/>
      </c>
      <c r="K161" s="21" t="s">
        <v>194</v>
      </c>
      <c r="L161" s="21" t="s">
        <v>121</v>
      </c>
      <c r="M161" s="21"/>
      <c r="N161" s="22">
        <v>182</v>
      </c>
      <c r="O161" s="22">
        <v>7.5</v>
      </c>
      <c r="P161" s="22">
        <v>0.8</v>
      </c>
      <c r="Q161" s="22">
        <v>24.7</v>
      </c>
      <c r="R161" s="22">
        <v>1.9</v>
      </c>
      <c r="S161" s="22">
        <v>1.4</v>
      </c>
      <c r="T161" s="66" t="str">
        <f>IF(F161="","",IFERROR(INDEX(Réttabanki!Q:Q,MATCH(F161,Réttabanki!A:A,0)),IFERROR(INDEX(Réttabanki!Q:Q,MATCH(F161,Réttabanki!B:B,0)),"")))</f>
        <v/>
      </c>
      <c r="U161" s="286"/>
      <c r="V161" s="286"/>
      <c r="W161" s="286"/>
      <c r="X161" s="286"/>
      <c r="Y161" s="286"/>
      <c r="Z161" s="286"/>
      <c r="AA161" s="286"/>
    </row>
    <row r="162" spans="1:27">
      <c r="A162" s="31"/>
      <c r="B162" s="32" t="s">
        <v>1899</v>
      </c>
      <c r="C162" s="32">
        <v>33</v>
      </c>
      <c r="D162" s="33" t="s">
        <v>1850</v>
      </c>
      <c r="E162" s="33" t="s">
        <v>1867</v>
      </c>
      <c r="F162" s="33" t="s">
        <v>867</v>
      </c>
      <c r="G162" s="33" t="s">
        <v>554</v>
      </c>
      <c r="H162" s="34">
        <v>80</v>
      </c>
      <c r="I162" s="34"/>
      <c r="J162" s="149" t="str">
        <f>IF($F162="","",IFERROR(IFERROR(INDEX(Réttabanki!$U:$U,MATCH($F162,Réttabanki!$A:$A,0)),INDEX(Vöruskrá!$R:$R,MATCH($F162,Vöruskrá!$B:$B,0)))*($H162+IF($I162="",$H162*(1+#REF!),$I162))/2/1000,""))</f>
        <v/>
      </c>
      <c r="K162" s="21" t="s">
        <v>554</v>
      </c>
      <c r="L162" s="21" t="s">
        <v>121</v>
      </c>
      <c r="M162" s="21"/>
      <c r="N162" s="22">
        <v>77</v>
      </c>
      <c r="O162" s="22">
        <v>0.1</v>
      </c>
      <c r="P162" s="22">
        <v>0</v>
      </c>
      <c r="Q162" s="22">
        <v>17</v>
      </c>
      <c r="R162" s="22">
        <v>2</v>
      </c>
      <c r="S162" s="22">
        <v>0</v>
      </c>
      <c r="T162" s="65">
        <f>IF(F162="","",IFERROR(INDEX(Réttabanki!Q:Q,MATCH(F162,Réttabanki!A:A,0)),IFERROR(INDEX(Réttabanki!Q:Q,MATCH(F162,Réttabanki!B:B,0)),"")))</f>
        <v>0</v>
      </c>
      <c r="U162" s="284"/>
      <c r="V162" s="284"/>
      <c r="W162" s="284"/>
      <c r="X162" s="284"/>
      <c r="Y162" s="284"/>
      <c r="Z162" s="284"/>
      <c r="AA162" s="284"/>
    </row>
    <row r="163" spans="1:27" ht="60">
      <c r="A163" s="31"/>
      <c r="B163" s="32" t="s">
        <v>1899</v>
      </c>
      <c r="C163" s="32">
        <v>33</v>
      </c>
      <c r="D163" s="33" t="s">
        <v>1850</v>
      </c>
      <c r="E163" s="33" t="s">
        <v>1867</v>
      </c>
      <c r="F163" s="33" t="s">
        <v>253</v>
      </c>
      <c r="G163" s="33" t="s">
        <v>1432</v>
      </c>
      <c r="H163" s="34">
        <v>25</v>
      </c>
      <c r="I163" s="34"/>
      <c r="J163" s="149" t="str">
        <f>IF($F163="","",IFERROR(IFERROR(INDEX(Réttabanki!$U:$U,MATCH($F163,Réttabanki!$A:$A,0)),INDEX(Vöruskrá!$R:$R,MATCH($F163,Vöruskrá!$B:$B,0)))*($H163+IF($I163="",$H163*(1+#REF!),$I163))/2/1000,""))</f>
        <v/>
      </c>
      <c r="K163" s="21" t="s">
        <v>254</v>
      </c>
      <c r="L163" s="21" t="s">
        <v>133</v>
      </c>
      <c r="M163" s="21"/>
      <c r="N163" s="22">
        <v>532</v>
      </c>
      <c r="O163" s="22">
        <v>57</v>
      </c>
      <c r="P163" s="22">
        <v>3.7</v>
      </c>
      <c r="Q163" s="22">
        <v>5.9</v>
      </c>
      <c r="R163" s="22"/>
      <c r="S163" s="22">
        <v>1.2</v>
      </c>
      <c r="T163" s="66" t="str">
        <f>IF(F163="","",IFERROR(INDEX(Réttabanki!Q:Q,MATCH(F163,Réttabanki!A:A,0)),IFERROR(INDEX(Réttabanki!Q:Q,MATCH(F163,Réttabanki!B:B,0)),"")))</f>
        <v/>
      </c>
      <c r="U163" s="286"/>
      <c r="V163" s="286"/>
      <c r="W163" s="286"/>
      <c r="X163" s="286"/>
      <c r="Y163" s="286"/>
      <c r="Z163" s="286"/>
      <c r="AA163" s="286"/>
    </row>
    <row r="164" spans="1:27" ht="36">
      <c r="A164" s="31"/>
      <c r="B164" s="32" t="s">
        <v>1899</v>
      </c>
      <c r="C164" s="32">
        <v>33</v>
      </c>
      <c r="D164" s="33" t="s">
        <v>1850</v>
      </c>
      <c r="E164" s="33" t="s">
        <v>946</v>
      </c>
      <c r="F164" s="33" t="s">
        <v>136</v>
      </c>
      <c r="G164" s="33" t="s">
        <v>1988</v>
      </c>
      <c r="H164" s="34">
        <v>160</v>
      </c>
      <c r="I164" s="34"/>
      <c r="J164" s="149" t="str">
        <f>IF($F164="","",IFERROR(IFERROR(INDEX(Réttabanki!$U:$U,MATCH($F164,Réttabanki!$A:$A,0)),INDEX(Vöruskrá!$R:$R,MATCH($F164,Vöruskrá!$B:$B,0)))*($H164+IF($I164="",$H164*(1+#REF!),$I164))/2/1000,""))</f>
        <v/>
      </c>
      <c r="K164" s="21" t="s">
        <v>138</v>
      </c>
      <c r="L164" s="21" t="s">
        <v>139</v>
      </c>
      <c r="M164" s="21"/>
      <c r="N164" s="22">
        <v>177</v>
      </c>
      <c r="O164" s="22">
        <v>9</v>
      </c>
      <c r="P164" s="22">
        <v>1.8</v>
      </c>
      <c r="Q164" s="22">
        <v>7</v>
      </c>
      <c r="R164" s="22">
        <v>17</v>
      </c>
      <c r="S164" s="22">
        <v>1.8</v>
      </c>
      <c r="T164" s="66"/>
      <c r="U164" s="284"/>
      <c r="V164" s="284"/>
      <c r="W164" s="284"/>
      <c r="X164" s="284"/>
      <c r="Y164" s="284"/>
      <c r="Z164" s="284"/>
      <c r="AA164" s="284"/>
    </row>
    <row r="165" spans="1:27">
      <c r="A165" s="31"/>
      <c r="B165" s="32" t="s">
        <v>1899</v>
      </c>
      <c r="C165" s="32">
        <v>33</v>
      </c>
      <c r="D165" s="33" t="s">
        <v>1850</v>
      </c>
      <c r="E165" s="33" t="s">
        <v>1877</v>
      </c>
      <c r="F165" s="33"/>
      <c r="G165" s="33" t="s">
        <v>1989</v>
      </c>
      <c r="H165" s="34"/>
      <c r="I165" s="34"/>
      <c r="J165" s="149" t="str">
        <f>IF($F165="","",IFERROR(IFERROR(INDEX(Réttabanki!$U:$U,MATCH($F165,Réttabanki!$A:$A,0)),INDEX(Vöruskrá!$R:$R,MATCH($F165,Vöruskrá!$B:$B,0)))*($H165+IF($I165="",$H165*(1+#REF!),$I165))/2/1000,""))</f>
        <v/>
      </c>
      <c r="K165" s="21"/>
      <c r="L165" s="21" t="s">
        <v>121</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t="str">
        <f>IF(F165="","",IFERROR(INDEX(Réttabanki!Q:Q,MATCH(F165,Réttabanki!A:A,0)),IFERROR(INDEX(Réttabanki!Q:Q,MATCH(F165,Réttabanki!B:B,0)),"")))</f>
        <v/>
      </c>
      <c r="U165" s="286"/>
      <c r="V165" s="286"/>
      <c r="W165" s="286"/>
      <c r="X165" s="286"/>
      <c r="Y165" s="286"/>
      <c r="Z165" s="286"/>
      <c r="AA165" s="286"/>
    </row>
    <row r="166" spans="1:27" ht="84">
      <c r="A166" s="31"/>
      <c r="B166" s="32" t="s">
        <v>1899</v>
      </c>
      <c r="C166" s="32">
        <v>33</v>
      </c>
      <c r="D166" s="33" t="s">
        <v>1850</v>
      </c>
      <c r="E166" s="33" t="s">
        <v>1885</v>
      </c>
      <c r="F166" s="33"/>
      <c r="G166" s="33" t="s">
        <v>1990</v>
      </c>
      <c r="H166" s="34"/>
      <c r="I166" s="34"/>
      <c r="J166" s="149" t="str">
        <f>IF($F166="","",IFERROR(IFERROR(INDEX(Réttabanki!$U:$U,MATCH($F166,Réttabanki!$A:$A,0)),INDEX(Vöruskrá!$R:$R,MATCH($F166,Vöruskrá!$B:$B,0)))*($H166+IF($I166="",$H166*(1+#REF!),$I166))/2/1000,""))</f>
        <v/>
      </c>
      <c r="K166" s="21" t="s">
        <v>1991</v>
      </c>
      <c r="L166" s="21" t="s">
        <v>1992</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66" t="str">
        <f>IF(F166="","",IFERROR(INDEX(Réttabanki!Q:Q,MATCH(F166,Réttabanki!A:A,0)),IFERROR(INDEX(Réttabanki!Q:Q,MATCH(F166,Réttabanki!B:B,0)),"")))</f>
        <v/>
      </c>
      <c r="U166" s="284"/>
      <c r="V166" s="284"/>
      <c r="W166" s="284"/>
      <c r="X166" s="284"/>
      <c r="Y166" s="284"/>
      <c r="Z166" s="284"/>
      <c r="AA166" s="284"/>
    </row>
    <row r="167" spans="1:27" ht="48">
      <c r="A167" s="31"/>
      <c r="B167" s="32" t="s">
        <v>1899</v>
      </c>
      <c r="C167" s="32">
        <v>33</v>
      </c>
      <c r="D167" s="33" t="s">
        <v>1850</v>
      </c>
      <c r="E167" s="33" t="s">
        <v>1885</v>
      </c>
      <c r="F167" s="33" t="s">
        <v>68</v>
      </c>
      <c r="G167" s="33" t="s">
        <v>1993</v>
      </c>
      <c r="H167" s="34">
        <v>40</v>
      </c>
      <c r="I167" s="34"/>
      <c r="J167" s="149" t="str">
        <f>IF($F167="","",IFERROR(IFERROR(INDEX(Réttabanki!$U:$U,MATCH($F167,Réttabanki!$A:$A,0)),INDEX(Vöruskrá!$R:$R,MATCH($F167,Vöruskrá!$B:$B,0)))*($H167+IF($I167="",$H167*(1+#REF!),$I167))/2/1000,""))</f>
        <v/>
      </c>
      <c r="K167" s="21" t="s">
        <v>70</v>
      </c>
      <c r="L167" s="21" t="s">
        <v>71</v>
      </c>
      <c r="M167" s="21"/>
      <c r="N167" s="22">
        <v>308</v>
      </c>
      <c r="O167" s="22">
        <v>7.8</v>
      </c>
      <c r="P167" s="22">
        <v>0.8</v>
      </c>
      <c r="Q167" s="22">
        <v>48</v>
      </c>
      <c r="R167" s="22">
        <v>10</v>
      </c>
      <c r="S167" s="22">
        <v>1.4</v>
      </c>
      <c r="T167" s="65" t="str">
        <f>IF(F167="","",IFERROR(INDEX(Réttabanki!Q:Q,MATCH(F167,Réttabanki!A:A,0)),IFERROR(INDEX(Réttabanki!Q:Q,MATCH(F167,Réttabanki!B:B,0)),"")))</f>
        <v/>
      </c>
      <c r="U167" s="286"/>
      <c r="V167" s="286"/>
      <c r="W167" s="286"/>
      <c r="X167" s="286"/>
      <c r="Y167" s="286"/>
      <c r="Z167" s="286"/>
      <c r="AA167" s="286"/>
    </row>
    <row r="168" spans="1:27" ht="36">
      <c r="A168" s="31"/>
      <c r="B168" s="32" t="s">
        <v>1899</v>
      </c>
      <c r="C168" s="32">
        <v>33</v>
      </c>
      <c r="D168" s="33" t="s">
        <v>1850</v>
      </c>
      <c r="E168" s="33" t="s">
        <v>1885</v>
      </c>
      <c r="F168" s="33" t="s">
        <v>562</v>
      </c>
      <c r="G168" s="33" t="s">
        <v>1994</v>
      </c>
      <c r="H168" s="34">
        <v>20</v>
      </c>
      <c r="I168" s="34"/>
      <c r="J168" s="149" t="str">
        <f>IF($F168="","",IFERROR(IFERROR(INDEX(Réttabanki!$U:$U,MATCH($F168,Réttabanki!$A:$A,0)),INDEX(Vöruskrá!$R:$R,MATCH($F168,Vöruskrá!$B:$B,0)))*($H168+IF($I168="",$H168*(1+#REF!),$I168))/2/1000,""))</f>
        <v/>
      </c>
      <c r="K168" s="21" t="s">
        <v>563</v>
      </c>
      <c r="L168" s="21" t="s">
        <v>128</v>
      </c>
      <c r="M168" s="21"/>
      <c r="N168" s="22">
        <v>384</v>
      </c>
      <c r="O168" s="22">
        <v>29.3</v>
      </c>
      <c r="P168" s="22">
        <v>14.7</v>
      </c>
      <c r="Q168" s="22">
        <v>2.4</v>
      </c>
      <c r="R168" s="22">
        <v>12.8</v>
      </c>
      <c r="S168" s="22">
        <v>1.7</v>
      </c>
      <c r="T168" s="66" t="str">
        <f>IF(F168="","",IFERROR(INDEX(Réttabanki!Q:Q,MATCH(F168,Réttabanki!A:A,0)),IFERROR(INDEX(Réttabanki!Q:Q,MATCH(F168,Réttabanki!B:B,0)),"")))</f>
        <v/>
      </c>
      <c r="U168" s="284"/>
      <c r="V168" s="284"/>
      <c r="W168" s="284"/>
      <c r="X168" s="284"/>
      <c r="Y168" s="284"/>
      <c r="Z168" s="284"/>
      <c r="AA168" s="284"/>
    </row>
    <row r="169" spans="1:27">
      <c r="A169" s="155"/>
      <c r="B169" s="156" t="s">
        <v>1899</v>
      </c>
      <c r="C169" s="156">
        <v>33</v>
      </c>
      <c r="D169" s="157"/>
      <c r="E169" s="157"/>
      <c r="F169" s="157" t="s">
        <v>1894</v>
      </c>
      <c r="G169" s="157"/>
      <c r="H169" s="158"/>
      <c r="I169" s="158"/>
      <c r="J169" s="159">
        <f>SUMIFS(J156:J168,E156:E168,"&lt;&gt;Hliðarréttur",E156:E168,"&lt;&gt;Sérfæði")</f>
        <v>0</v>
      </c>
      <c r="K169" s="21" t="s">
        <v>1895</v>
      </c>
      <c r="L169" s="21"/>
      <c r="M169" s="21"/>
      <c r="N169" s="22"/>
      <c r="O169" s="22"/>
      <c r="P169" s="22"/>
      <c r="Q169" s="22"/>
      <c r="R169" s="22"/>
      <c r="S169" s="22"/>
      <c r="T169" s="66"/>
      <c r="U169" s="286"/>
      <c r="V169" s="286"/>
      <c r="W169" s="286"/>
      <c r="X169" s="286"/>
      <c r="Y169" s="286"/>
      <c r="Z169" s="286"/>
      <c r="AA169" s="286"/>
    </row>
    <row r="170" spans="1:27">
      <c r="A170" s="155"/>
      <c r="B170" s="156" t="s">
        <v>1899</v>
      </c>
      <c r="C170" s="156">
        <v>33</v>
      </c>
      <c r="D170" s="157"/>
      <c r="E170" s="157"/>
      <c r="F170" s="157" t="s">
        <v>1897</v>
      </c>
      <c r="G170" s="157"/>
      <c r="H170" s="158"/>
      <c r="I170" s="158"/>
      <c r="J170" s="159">
        <f>SUMIFS(J156:J168,E156:E168,"&lt;&gt;Hliðarréttur",E156:E168,"&lt;&gt;Sérfæði")</f>
        <v>0</v>
      </c>
      <c r="K170" s="21" t="s">
        <v>1895</v>
      </c>
      <c r="L170" s="21"/>
      <c r="M170" s="21"/>
      <c r="N170" s="22"/>
      <c r="O170" s="22"/>
      <c r="P170" s="22"/>
      <c r="Q170" s="22"/>
      <c r="R170" s="22"/>
      <c r="S170" s="22"/>
      <c r="T170" s="66"/>
      <c r="U170" s="284"/>
      <c r="V170" s="284"/>
      <c r="W170" s="284"/>
      <c r="X170" s="284"/>
      <c r="Y170" s="284"/>
      <c r="Z170" s="284"/>
      <c r="AA170" s="284"/>
    </row>
    <row r="171" spans="1:27">
      <c r="A171" s="31">
        <v>46246</v>
      </c>
      <c r="B171" s="32" t="s">
        <v>1922</v>
      </c>
      <c r="C171" s="32">
        <v>33</v>
      </c>
      <c r="D171" s="33" t="s">
        <v>1850</v>
      </c>
      <c r="E171" s="33"/>
      <c r="F171" s="33"/>
      <c r="G171" s="33" t="s">
        <v>1995</v>
      </c>
      <c r="H171" s="34"/>
      <c r="I171" s="34"/>
      <c r="J171" s="149" t="str">
        <f>IF($F171="","",IFERROR(IFERROR(INDEX(Réttabanki!$U:$U,MATCH($F171,Réttabanki!$A:$A,0)),INDEX(Vöruskrá!$R:$R,MATCH($F171,Vöruskrá!$B:$B,0)))*($H171+IF($I171="",$H171*(1+#REF!),$I171))/2/1000,""))</f>
        <v/>
      </c>
      <c r="K171" s="21" t="str">
        <f>IF($F171="","",IFERROR(IFERROR(INDEX(Réttabanki!$D:$D,MATCH($F171,Réttabanki!$A:$A,0)),INDEX(Vöruskrá!$F:$F,MATCH($F171,Vöruskrá!$B:$B,0))),""))</f>
        <v/>
      </c>
      <c r="L171" s="21" t="str">
        <f>IF($F171="","",IFERROR(IFERROR(INDEX(Réttabanki!$E:$E,MATCH($F171,Réttabanki!$A:$A,0)),INDEX(Vöruskrá!$G:$G,MATCH($F171,Vöruskrá!$B:$B,0))),""))</f>
        <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6"/>
      <c r="V171" s="286"/>
      <c r="W171" s="286"/>
      <c r="X171" s="286"/>
      <c r="Y171" s="286"/>
      <c r="Z171" s="286"/>
      <c r="AA171" s="286"/>
    </row>
    <row r="172" spans="1:27">
      <c r="A172" s="31"/>
      <c r="B172" s="32" t="s">
        <v>1922</v>
      </c>
      <c r="C172" s="32">
        <v>33</v>
      </c>
      <c r="D172" s="33" t="s">
        <v>1850</v>
      </c>
      <c r="E172" s="33" t="s">
        <v>1852</v>
      </c>
      <c r="F172" s="33" t="s">
        <v>104</v>
      </c>
      <c r="G172" s="33" t="s">
        <v>1996</v>
      </c>
      <c r="H172" s="34">
        <v>250</v>
      </c>
      <c r="I172" s="34"/>
      <c r="J172" s="149" t="str">
        <f>IF($F172="","",IFERROR(IFERROR(INDEX(Réttabanki!$U:$U,MATCH($F172,Réttabanki!$A:$A,0)),INDEX(Vöruskrá!$R:$R,MATCH($F172,Vöruskrá!$B:$B,0)))*($H172+IF($I172="",$H172*(1+#REF!),$I172))/2/1000,""))</f>
        <v/>
      </c>
      <c r="K172" s="21" t="s">
        <v>107</v>
      </c>
      <c r="L172" s="21" t="s">
        <v>108</v>
      </c>
      <c r="M172" s="21"/>
      <c r="N172" s="22">
        <v>91</v>
      </c>
      <c r="O172" s="22">
        <v>3</v>
      </c>
      <c r="P172" s="22">
        <v>1.6</v>
      </c>
      <c r="Q172" s="22">
        <v>14</v>
      </c>
      <c r="R172" s="22">
        <v>3</v>
      </c>
      <c r="S172" s="22">
        <v>0.5</v>
      </c>
      <c r="T172" s="66" t="str">
        <f>IF(F172="","",IFERROR(INDEX(Réttabanki!Q:Q,MATCH(F172,Réttabanki!A:A,0)),IFERROR(INDEX(Réttabanki!Q:Q,MATCH(F172,Réttabanki!B:B,0)),"")))</f>
        <v/>
      </c>
      <c r="U172" s="284"/>
      <c r="V172" s="284"/>
      <c r="W172" s="284"/>
      <c r="X172" s="284"/>
      <c r="Y172" s="284"/>
      <c r="Z172" s="284"/>
      <c r="AA172" s="284"/>
    </row>
    <row r="173" spans="1:27">
      <c r="A173" s="31"/>
      <c r="B173" s="32" t="s">
        <v>1922</v>
      </c>
      <c r="C173" s="32">
        <v>33</v>
      </c>
      <c r="D173" s="33" t="s">
        <v>1850</v>
      </c>
      <c r="E173" s="33" t="s">
        <v>1852</v>
      </c>
      <c r="F173" s="33" t="s">
        <v>162</v>
      </c>
      <c r="G173" s="33" t="s">
        <v>1419</v>
      </c>
      <c r="H173" s="34">
        <v>25</v>
      </c>
      <c r="I173" s="34"/>
      <c r="J173" s="149" t="str">
        <f>IF($F173="","",IFERROR(IFERROR(INDEX(Réttabanki!$U:$U,MATCH($F173,Réttabanki!$A:$A,0)),INDEX(Vöruskrá!$R:$R,MATCH($F173,Vöruskrá!$B:$B,0)))*($H173+IF($I173="",$H173*(1+#REF!),$I173))/2/1000,""))</f>
        <v/>
      </c>
      <c r="K173" s="21" t="s">
        <v>163</v>
      </c>
      <c r="L173" s="21" t="s">
        <v>164</v>
      </c>
      <c r="M173" s="21"/>
      <c r="N173" s="22">
        <v>401</v>
      </c>
      <c r="O173" s="22">
        <v>32.700000000000003</v>
      </c>
      <c r="P173" s="22">
        <v>16.600000000000001</v>
      </c>
      <c r="Q173" s="22">
        <v>15.7</v>
      </c>
      <c r="R173" s="22">
        <v>10.3</v>
      </c>
      <c r="S173" s="22">
        <v>1</v>
      </c>
      <c r="T173" s="65" t="str">
        <f>IF(F173="","",IFERROR(INDEX(Réttabanki!Q:Q,MATCH(F173,Réttabanki!A:A,0)),IFERROR(INDEX(Réttabanki!Q:Q,MATCH(F173,Réttabanki!B:B,0)),"")))</f>
        <v/>
      </c>
      <c r="U173" s="286"/>
      <c r="V173" s="286"/>
      <c r="W173" s="286"/>
      <c r="X173" s="286"/>
      <c r="Y173" s="286"/>
      <c r="Z173" s="286"/>
      <c r="AA173" s="286"/>
    </row>
    <row r="174" spans="1:27" ht="24">
      <c r="A174" s="31"/>
      <c r="B174" s="32" t="s">
        <v>1922</v>
      </c>
      <c r="C174" s="32">
        <v>33</v>
      </c>
      <c r="D174" s="33" t="s">
        <v>1850</v>
      </c>
      <c r="E174" s="33" t="s">
        <v>1852</v>
      </c>
      <c r="F174" s="33" t="s">
        <v>692</v>
      </c>
      <c r="G174" s="33" t="s">
        <v>1997</v>
      </c>
      <c r="H174" s="34">
        <v>5</v>
      </c>
      <c r="I174" s="34"/>
      <c r="J174" s="149" t="str">
        <f>IF($F174="","",IFERROR(IFERROR(INDEX(Réttabanki!$U:$U,MATCH($F174,Réttabanki!$A:$A,0)),INDEX(Vöruskrá!$R:$R,MATCH($F174,Vöruskrá!$B:$B,0)))*($H174+IF($I174="",$H174*(1+#REF!),$I174))/2/1000,""))</f>
        <v/>
      </c>
      <c r="K174" s="21" t="s">
        <v>693</v>
      </c>
      <c r="L174" s="21"/>
      <c r="M174" s="21" t="s">
        <v>277</v>
      </c>
      <c r="N174" s="22">
        <v>243</v>
      </c>
      <c r="O174" s="22">
        <v>1.2</v>
      </c>
      <c r="P174" s="22">
        <v>0.4</v>
      </c>
      <c r="Q174" s="22">
        <v>81</v>
      </c>
      <c r="R174" s="22">
        <v>4</v>
      </c>
      <c r="S174" s="22">
        <v>0</v>
      </c>
      <c r="T174" s="66" t="str">
        <f>IF(F174="","",IFERROR(INDEX(Réttabanki!Q:Q,MATCH(F174,Réttabanki!A:A,0)),IFERROR(INDEX(Réttabanki!Q:Q,MATCH(F174,Réttabanki!B:B,0)),"")))</f>
        <v/>
      </c>
      <c r="U174" s="284"/>
      <c r="V174" s="284"/>
      <c r="W174" s="284"/>
      <c r="X174" s="284"/>
      <c r="Y174" s="284"/>
      <c r="Z174" s="284"/>
      <c r="AA174" s="284"/>
    </row>
    <row r="175" spans="1:27" ht="60">
      <c r="A175" s="31"/>
      <c r="B175" s="32" t="s">
        <v>1922</v>
      </c>
      <c r="C175" s="32">
        <v>33</v>
      </c>
      <c r="D175" s="33" t="s">
        <v>1850</v>
      </c>
      <c r="E175" s="33" t="s">
        <v>1867</v>
      </c>
      <c r="F175" s="33"/>
      <c r="G175" s="33" t="s">
        <v>1998</v>
      </c>
      <c r="H175" s="34"/>
      <c r="I175" s="34"/>
      <c r="J175" s="149" t="str">
        <f>IF($F175="","",IFERROR(IFERROR(INDEX(Réttabanki!$U:$U,MATCH($F175,Réttabanki!$A:$A,0)),INDEX(Vöruskrá!$R:$R,MATCH($F175,Vöruskrá!$B:$B,0)))*($H175+IF($I175="",$H175*(1+#REF!),$I175))/2/1000,""))</f>
        <v/>
      </c>
      <c r="K175" s="21" t="s">
        <v>1999</v>
      </c>
      <c r="L175" s="21" t="s">
        <v>121</v>
      </c>
      <c r="M175" s="21" t="str">
        <f>IF($F175="","",IFERROR(IFERROR(INDEX(Réttabanki!$F:$F,MATCH($F175,Réttabanki!$A:$A,0)),INDEX(Vöruskrá!$H:$H,MATCH($F175,Vöruskrá!$B:$B,0))),""))</f>
        <v/>
      </c>
      <c r="N175" s="22" t="str">
        <f>IF($F175="","",IFERROR(IFERROR(INDEX(Réttabanki!$G:$G,MATCH($F175,Réttabanki!$A:$A,0)),INDEX(Vöruskrá!$J:$J,MATCH($F175,Vöruskrá!$B:$B,0)))*($H175+IF($I175="",$H175*(1+#REF!),$I175))/2/100,""))</f>
        <v/>
      </c>
      <c r="O175" s="22" t="str">
        <f>IF($F175="","",IFERROR(IFERROR(INDEX(Réttabanki!$H:$H,MATCH($F175,Réttabanki!$A:$A,0)),INDEX(Vöruskrá!$K:$K,MATCH($F175,Vöruskrá!$B:$B,0)))*($H175+IF($I175="",$H175*(1+#REF!),$I175))/2/100,""))</f>
        <v/>
      </c>
      <c r="P175" s="22" t="str">
        <f>IF($F175="","",IFERROR(IFERROR(INDEX(Réttabanki!$I:$I,MATCH($F175,Réttabanki!$A:$A,0)),INDEX(Vöruskrá!$L:$L,MATCH($F175,Vöruskrá!$B:$B,0)))*($H175+IF($I175="",$H175*(1+#REF!),$I175))/2/100,""))</f>
        <v/>
      </c>
      <c r="Q175" s="22" t="str">
        <f>IF($F175="","",IFERROR(IFERROR(INDEX(Réttabanki!$J:$J,MATCH($F175,Réttabanki!$A:$A,0)),INDEX(Vöruskrá!$M:$M,MATCH($F175,Vöruskrá!$B:$B,0)))*($H175+IF($I175="",$H175*(1+#REF!),$I175))/2/100,""))</f>
        <v/>
      </c>
      <c r="R175" s="22" t="str">
        <f>IF($F175="","",IFERROR(IFERROR(INDEX(Réttabanki!$L:$L,MATCH($F175,Réttabanki!$A:$A,0)),INDEX(Vöruskrá!$O:$O,MATCH($F175,Vöruskrá!$B:$B,0)))*($H175+IF($I175="",$H175*(1+#REF!),$I175))/2/100,""))</f>
        <v/>
      </c>
      <c r="S175" s="22" t="str">
        <f>IF($F175="","",IFERROR(IFERROR(INDEX(Réttabanki!$M:$M,MATCH($F175,Réttabanki!$A:$A,0)),INDEX(Vöruskrá!$P:$P,MATCH($F175,Vöruskrá!$B:$B,0)))*($H175+IF($I175="",$H175*(1+#REF!),$I175))/2/100,""))</f>
        <v/>
      </c>
      <c r="T175" s="65" t="str">
        <f>IF(F175="","",IFERROR(INDEX(Réttabanki!Q:Q,MATCH(F175,Réttabanki!A:A,0)),IFERROR(INDEX(Réttabanki!Q:Q,MATCH(F175,Réttabanki!B:B,0)),"")))</f>
        <v/>
      </c>
      <c r="U175" s="286"/>
      <c r="V175" s="286"/>
      <c r="W175" s="286"/>
      <c r="X175" s="286"/>
      <c r="Y175" s="286"/>
      <c r="Z175" s="286"/>
      <c r="AA175" s="286"/>
    </row>
    <row r="176" spans="1:27" ht="36">
      <c r="A176" s="31"/>
      <c r="B176" s="32" t="s">
        <v>1922</v>
      </c>
      <c r="C176" s="32">
        <v>33</v>
      </c>
      <c r="D176" s="33" t="s">
        <v>1850</v>
      </c>
      <c r="E176" s="33" t="s">
        <v>1867</v>
      </c>
      <c r="F176" s="33" t="s">
        <v>216</v>
      </c>
      <c r="G176" s="33" t="s">
        <v>216</v>
      </c>
      <c r="H176" s="34">
        <v>250</v>
      </c>
      <c r="I176" s="34"/>
      <c r="J176" s="149" t="str">
        <f>IF($F176="","",IFERROR(IFERROR(INDEX(Réttabanki!$U:$U,MATCH($F176,Réttabanki!$A:$A,0)),INDEX(Vöruskrá!$R:$R,MATCH($F176,Vöruskrá!$B:$B,0)))*($H176+IF($I176="",$H176*(1+#REF!),$I176))/2/1000,""))</f>
        <v/>
      </c>
      <c r="K176" s="21" t="s">
        <v>219</v>
      </c>
      <c r="L176" s="21" t="s">
        <v>121</v>
      </c>
      <c r="M176" s="21"/>
      <c r="N176" s="22">
        <v>74</v>
      </c>
      <c r="O176" s="22">
        <v>1.6</v>
      </c>
      <c r="P176" s="22">
        <v>0.3</v>
      </c>
      <c r="Q176" s="22">
        <v>13</v>
      </c>
      <c r="R176" s="22">
        <v>1.8</v>
      </c>
      <c r="S176" s="22">
        <v>0.4</v>
      </c>
      <c r="T176" s="66"/>
      <c r="U176" s="284"/>
      <c r="V176" s="284"/>
      <c r="W176" s="284"/>
      <c r="X176" s="284"/>
      <c r="Y176" s="284"/>
      <c r="Z176" s="284"/>
      <c r="AA176" s="284"/>
    </row>
    <row r="177" spans="1:27" ht="24">
      <c r="A177" s="31"/>
      <c r="B177" s="32" t="s">
        <v>1922</v>
      </c>
      <c r="C177" s="32">
        <v>33</v>
      </c>
      <c r="D177" s="33" t="s">
        <v>1850</v>
      </c>
      <c r="E177" s="33" t="s">
        <v>1867</v>
      </c>
      <c r="F177" s="33" t="s">
        <v>692</v>
      </c>
      <c r="G177" s="33" t="s">
        <v>1997</v>
      </c>
      <c r="H177" s="34">
        <v>5</v>
      </c>
      <c r="I177" s="34"/>
      <c r="J177" s="149" t="str">
        <f>IF($F177="","",IFERROR(IFERROR(INDEX(Réttabanki!$U:$U,MATCH($F177,Réttabanki!$A:$A,0)),INDEX(Vöruskrá!$R:$R,MATCH($F177,Vöruskrá!$B:$B,0)))*($H177+IF($I177="",$H177*(1+#REF!),$I177))/2/1000,""))</f>
        <v/>
      </c>
      <c r="K177" s="21" t="s">
        <v>693</v>
      </c>
      <c r="L177" s="21"/>
      <c r="M177" s="21" t="s">
        <v>277</v>
      </c>
      <c r="N177" s="22">
        <v>243</v>
      </c>
      <c r="O177" s="22">
        <v>1.2</v>
      </c>
      <c r="P177" s="22">
        <v>0.4</v>
      </c>
      <c r="Q177" s="22">
        <v>81</v>
      </c>
      <c r="R177" s="22">
        <v>4</v>
      </c>
      <c r="S177" s="22">
        <v>0</v>
      </c>
      <c r="T177" s="65" t="str">
        <f>IF(F177="","",IFERROR(INDEX(Réttabanki!Q:Q,MATCH(F177,Réttabanki!A:A,0)),IFERROR(INDEX(Réttabanki!Q:Q,MATCH(F177,Réttabanki!B:B,0)),"")))</f>
        <v/>
      </c>
      <c r="U177" s="286"/>
      <c r="V177" s="286"/>
      <c r="W177" s="286"/>
      <c r="X177" s="286"/>
      <c r="Y177" s="286"/>
      <c r="Z177" s="286"/>
      <c r="AA177" s="286"/>
    </row>
    <row r="178" spans="1:27" ht="36">
      <c r="A178" s="31"/>
      <c r="B178" s="32" t="s">
        <v>1922</v>
      </c>
      <c r="C178" s="32">
        <v>33</v>
      </c>
      <c r="D178" s="33" t="s">
        <v>1850</v>
      </c>
      <c r="E178" s="33" t="s">
        <v>946</v>
      </c>
      <c r="F178" s="33" t="s">
        <v>216</v>
      </c>
      <c r="G178" s="33" t="s">
        <v>2000</v>
      </c>
      <c r="H178" s="34">
        <v>250</v>
      </c>
      <c r="I178" s="34"/>
      <c r="J178" s="149" t="str">
        <f>IF($F178="","",IFERROR(IFERROR(INDEX(Réttabanki!$U:$U,MATCH($F178,Réttabanki!$A:$A,0)),INDEX(Vöruskrá!$R:$R,MATCH($F178,Vöruskrá!$B:$B,0)))*($H178+IF($I178="",$H178*(1+#REF!),$I178))/2/1000,""))</f>
        <v/>
      </c>
      <c r="K178" s="21" t="s">
        <v>219</v>
      </c>
      <c r="L178" s="21" t="s">
        <v>121</v>
      </c>
      <c r="M178" s="21"/>
      <c r="N178" s="22">
        <v>74</v>
      </c>
      <c r="O178" s="22">
        <v>1.6</v>
      </c>
      <c r="P178" s="22">
        <v>0.3</v>
      </c>
      <c r="Q178" s="22">
        <v>13</v>
      </c>
      <c r="R178" s="22">
        <v>1.8</v>
      </c>
      <c r="S178" s="22">
        <v>0.4</v>
      </c>
      <c r="T178" s="65"/>
      <c r="U178" s="284"/>
      <c r="V178" s="284"/>
      <c r="W178" s="284"/>
      <c r="X178" s="284"/>
      <c r="Y178" s="284"/>
      <c r="Z178" s="284"/>
      <c r="AA178" s="284"/>
    </row>
    <row r="179" spans="1:27" ht="48">
      <c r="A179" s="31"/>
      <c r="B179" s="32" t="s">
        <v>1922</v>
      </c>
      <c r="C179" s="32">
        <v>33</v>
      </c>
      <c r="D179" s="33" t="s">
        <v>1850</v>
      </c>
      <c r="E179" s="33" t="s">
        <v>1877</v>
      </c>
      <c r="F179" s="33"/>
      <c r="G179" s="33" t="s">
        <v>2001</v>
      </c>
      <c r="H179" s="34"/>
      <c r="I179" s="34"/>
      <c r="J179" s="149" t="str">
        <f>IF($F179="","",IFERROR(IFERROR(INDEX(Réttabanki!$U:$U,MATCH($F179,Réttabanki!$A:$A,0)),INDEX(Vöruskrá!$R:$R,MATCH($F179,Vöruskrá!$B:$B,0)))*($H179+IF($I179="",$H179*(1+#REF!),$I179))/2/1000,""))</f>
        <v/>
      </c>
      <c r="K179" s="21" t="s">
        <v>2002</v>
      </c>
      <c r="L179" s="21" t="s">
        <v>2003</v>
      </c>
      <c r="M179" s="21" t="str">
        <f>IF($F179="","",IFERROR(IFERROR(INDEX(Réttabanki!$F:$F,MATCH($F179,Réttabanki!$A:$A,0)),INDEX(Vöruskrá!$H:$H,MATCH($F179,Vöruskrá!$B:$B,0))),""))</f>
        <v/>
      </c>
      <c r="N179" s="22" t="str">
        <f>IF($F179="","",IFERROR(IFERROR(INDEX(Réttabanki!$G:$G,MATCH($F179,Réttabanki!$A:$A,0)),INDEX(Vöruskrá!$J:$J,MATCH($F179,Vöruskrá!$B:$B,0)))*($H179+IF($I179="",$H179*(1+#REF!),$I179))/2/100,""))</f>
        <v/>
      </c>
      <c r="O179" s="22" t="str">
        <f>IF($F179="","",IFERROR(IFERROR(INDEX(Réttabanki!$H:$H,MATCH($F179,Réttabanki!$A:$A,0)),INDEX(Vöruskrá!$K:$K,MATCH($F179,Vöruskrá!$B:$B,0)))*($H179+IF($I179="",$H179*(1+#REF!),$I179))/2/100,""))</f>
        <v/>
      </c>
      <c r="P179" s="22" t="str">
        <f>IF($F179="","",IFERROR(IFERROR(INDEX(Réttabanki!$I:$I,MATCH($F179,Réttabanki!$A:$A,0)),INDEX(Vöruskrá!$L:$L,MATCH($F179,Vöruskrá!$B:$B,0)))*($H179+IF($I179="",$H179*(1+#REF!),$I179))/2/100,""))</f>
        <v/>
      </c>
      <c r="Q179" s="22" t="str">
        <f>IF($F179="","",IFERROR(IFERROR(INDEX(Réttabanki!$J:$J,MATCH($F179,Réttabanki!$A:$A,0)),INDEX(Vöruskrá!$M:$M,MATCH($F179,Vöruskrá!$B:$B,0)))*($H179+IF($I179="",$H179*(1+#REF!),$I179))/2/100,""))</f>
        <v/>
      </c>
      <c r="R179" s="22" t="str">
        <f>IF($F179="","",IFERROR(IFERROR(INDEX(Réttabanki!$L:$L,MATCH($F179,Réttabanki!$A:$A,0)),INDEX(Vöruskrá!$O:$O,MATCH($F179,Vöruskrá!$B:$B,0)))*($H179+IF($I179="",$H179*(1+#REF!),$I179))/2/100,""))</f>
        <v/>
      </c>
      <c r="S179" s="22" t="str">
        <f>IF($F179="","",IFERROR(IFERROR(INDEX(Réttabanki!$M:$M,MATCH($F179,Réttabanki!$A:$A,0)),INDEX(Vöruskrá!$P:$P,MATCH($F179,Vöruskrá!$B:$B,0)))*($H179+IF($I179="",$H179*(1+#REF!),$I179))/2/100,""))</f>
        <v/>
      </c>
      <c r="T179" s="66" t="str">
        <f>IF(F179="","",IFERROR(INDEX(Réttabanki!Q:Q,MATCH(F179,Réttabanki!A:A,0)),IFERROR(INDEX(Réttabanki!Q:Q,MATCH(F179,Réttabanki!B:B,0)),"")))</f>
        <v/>
      </c>
      <c r="U179" s="286"/>
      <c r="V179" s="286"/>
      <c r="W179" s="286"/>
      <c r="X179" s="286"/>
      <c r="Y179" s="286"/>
      <c r="Z179" s="286"/>
      <c r="AA179" s="286"/>
    </row>
    <row r="180" spans="1:27" ht="36">
      <c r="A180" s="31"/>
      <c r="B180" s="32" t="s">
        <v>1922</v>
      </c>
      <c r="C180" s="32">
        <v>33</v>
      </c>
      <c r="D180" s="33" t="s">
        <v>1850</v>
      </c>
      <c r="E180" s="33" t="s">
        <v>1877</v>
      </c>
      <c r="F180" s="33" t="s">
        <v>34</v>
      </c>
      <c r="G180" s="33" t="s">
        <v>1421</v>
      </c>
      <c r="H180" s="34">
        <v>40</v>
      </c>
      <c r="I180" s="34"/>
      <c r="J180" s="149" t="str">
        <f>IF($F180="","",IFERROR(IFERROR(INDEX(Réttabanki!$U:$U,MATCH($F180,Réttabanki!$A:$A,0)),INDEX(Vöruskrá!$R:$R,MATCH($F180,Vöruskrá!$B:$B,0)))*($H180+IF($I180="",$H180*(1+#REF!),$I180))/2/1000,""))</f>
        <v/>
      </c>
      <c r="K180" s="21" t="s">
        <v>35</v>
      </c>
      <c r="L180" s="21" t="s">
        <v>36</v>
      </c>
      <c r="M180" s="21" t="s">
        <v>37</v>
      </c>
      <c r="N180" s="22">
        <v>311</v>
      </c>
      <c r="O180" s="22">
        <v>10.8</v>
      </c>
      <c r="P180" s="22">
        <v>1.3</v>
      </c>
      <c r="Q180" s="22">
        <v>40.299999999999997</v>
      </c>
      <c r="R180" s="22">
        <v>10.5</v>
      </c>
      <c r="S180" s="22">
        <v>1.1000000000000001</v>
      </c>
      <c r="T180" s="65" t="str">
        <f>IF(F180="","",IFERROR(INDEX(Réttabanki!Q:Q,MATCH(F180,Réttabanki!A:A,0)),IFERROR(INDEX(Réttabanki!Q:Q,MATCH(F180,Réttabanki!B:B,0)),"")))</f>
        <v/>
      </c>
      <c r="U180" s="284"/>
      <c r="V180" s="284"/>
      <c r="W180" s="284"/>
      <c r="X180" s="284"/>
      <c r="Y180" s="284"/>
      <c r="Z180" s="284"/>
      <c r="AA180" s="284"/>
    </row>
    <row r="181" spans="1:27">
      <c r="A181" s="31"/>
      <c r="B181" s="32" t="s">
        <v>1922</v>
      </c>
      <c r="C181" s="32">
        <v>33</v>
      </c>
      <c r="D181" s="33" t="s">
        <v>1850</v>
      </c>
      <c r="E181" s="33" t="s">
        <v>1877</v>
      </c>
      <c r="F181" s="33" t="s">
        <v>557</v>
      </c>
      <c r="G181" s="33" t="s">
        <v>1883</v>
      </c>
      <c r="H181" s="34">
        <v>20</v>
      </c>
      <c r="I181" s="34"/>
      <c r="J181" s="149" t="str">
        <f>IF($F181="","",IFERROR(IFERROR(INDEX(Réttabanki!$U:$U,MATCH($F181,Réttabanki!$A:$A,0)),INDEX(Vöruskrá!$R:$R,MATCH($F181,Vöruskrá!$B:$B,0)))*($H181+IF($I181="",$H181*(1+#REF!),$I181))/2/1000,""))</f>
        <v/>
      </c>
      <c r="K181" s="21" t="s">
        <v>559</v>
      </c>
      <c r="L181" s="21" t="s">
        <v>108</v>
      </c>
      <c r="M181" s="21"/>
      <c r="N181" s="22">
        <v>330</v>
      </c>
      <c r="O181" s="22">
        <v>26</v>
      </c>
      <c r="P181" s="22">
        <v>14</v>
      </c>
      <c r="Q181" s="22">
        <v>0</v>
      </c>
      <c r="R181" s="22">
        <v>25</v>
      </c>
      <c r="S181" s="22">
        <v>1.5</v>
      </c>
      <c r="T181" s="66" t="str">
        <f>IF(F181="","",IFERROR(INDEX(Réttabanki!Q:Q,MATCH(F181,Réttabanki!A:A,0)),IFERROR(INDEX(Réttabanki!Q:Q,MATCH(F181,Réttabanki!B:B,0)),"")))</f>
        <v/>
      </c>
      <c r="U181" s="286"/>
      <c r="V181" s="286"/>
      <c r="W181" s="286"/>
      <c r="X181" s="286"/>
      <c r="Y181" s="286"/>
      <c r="Z181" s="286"/>
      <c r="AA181" s="286"/>
    </row>
    <row r="182" spans="1:27" ht="36">
      <c r="A182" s="31"/>
      <c r="B182" s="32" t="s">
        <v>1922</v>
      </c>
      <c r="C182" s="32">
        <v>33</v>
      </c>
      <c r="D182" s="33" t="s">
        <v>1850</v>
      </c>
      <c r="E182" s="33" t="s">
        <v>1885</v>
      </c>
      <c r="F182" s="33"/>
      <c r="G182" s="33" t="s">
        <v>2004</v>
      </c>
      <c r="H182" s="34"/>
      <c r="I182" s="34"/>
      <c r="J182" s="149" t="str">
        <f>IF($F182="","",IFERROR(IFERROR(INDEX(Réttabanki!$U:$U,MATCH($F182,Réttabanki!$A:$A,0)),INDEX(Vöruskrá!$R:$R,MATCH($F182,Vöruskrá!$B:$B,0)))*($H182+IF($I182="",$H182*(1+#REF!),$I182))/2/1000,""))</f>
        <v/>
      </c>
      <c r="K182" s="21" t="s">
        <v>2005</v>
      </c>
      <c r="L182" s="21" t="s">
        <v>81</v>
      </c>
      <c r="M182" s="21" t="str">
        <f>IF($F182="","",IFERROR(IFERROR(INDEX(Réttabanki!$F:$F,MATCH($F182,Réttabanki!$A:$A,0)),INDEX(Vöruskrá!$H:$H,MATCH($F182,Vöruskrá!$B:$B,0))),""))</f>
        <v/>
      </c>
      <c r="N182" s="22" t="str">
        <f>IF($F182="","",IFERROR(IFERROR(INDEX(Réttabanki!$G:$G,MATCH($F182,Réttabanki!$A:$A,0)),INDEX(Vöruskrá!$J:$J,MATCH($F182,Vöruskrá!$B:$B,0)))*($H182+IF($I182="",$H182*(1+#REF!),$I182))/2/100,""))</f>
        <v/>
      </c>
      <c r="O182" s="22" t="str">
        <f>IF($F182="","",IFERROR(IFERROR(INDEX(Réttabanki!$H:$H,MATCH($F182,Réttabanki!$A:$A,0)),INDEX(Vöruskrá!$K:$K,MATCH($F182,Vöruskrá!$B:$B,0)))*($H182+IF($I182="",$H182*(1+#REF!),$I182))/2/100,""))</f>
        <v/>
      </c>
      <c r="P182" s="22" t="str">
        <f>IF($F182="","",IFERROR(IFERROR(INDEX(Réttabanki!$I:$I,MATCH($F182,Réttabanki!$A:$A,0)),INDEX(Vöruskrá!$L:$L,MATCH($F182,Vöruskrá!$B:$B,0)))*($H182+IF($I182="",$H182*(1+#REF!),$I182))/2/100,""))</f>
        <v/>
      </c>
      <c r="Q182" s="22" t="str">
        <f>IF($F182="","",IFERROR(IFERROR(INDEX(Réttabanki!$J:$J,MATCH($F182,Réttabanki!$A:$A,0)),INDEX(Vöruskrá!$M:$M,MATCH($F182,Vöruskrá!$B:$B,0)))*($H182+IF($I182="",$H182*(1+#REF!),$I182))/2/100,""))</f>
        <v/>
      </c>
      <c r="R182" s="22" t="str">
        <f>IF($F182="","",IFERROR(IFERROR(INDEX(Réttabanki!$L:$L,MATCH($F182,Réttabanki!$A:$A,0)),INDEX(Vöruskrá!$O:$O,MATCH($F182,Vöruskrá!$B:$B,0)))*($H182+IF($I182="",$H182*(1+#REF!),$I182))/2/100,""))</f>
        <v/>
      </c>
      <c r="S182" s="22" t="str">
        <f>IF($F182="","",IFERROR(IFERROR(INDEX(Réttabanki!$M:$M,MATCH($F182,Réttabanki!$A:$A,0)),INDEX(Vöruskrá!$P:$P,MATCH($F182,Vöruskrá!$B:$B,0)))*($H182+IF($I182="",$H182*(1+#REF!),$I182))/2/100,""))</f>
        <v/>
      </c>
      <c r="T182" s="65" t="str">
        <f>IF(F182="","",IFERROR(INDEX(Réttabanki!Q:Q,MATCH(F182,Réttabanki!A:A,0)),IFERROR(INDEX(Réttabanki!Q:Q,MATCH(F182,Réttabanki!B:B,0)),"")))</f>
        <v/>
      </c>
      <c r="U182" s="284"/>
      <c r="V182" s="284"/>
      <c r="W182" s="284"/>
      <c r="X182" s="284"/>
      <c r="Y182" s="284"/>
      <c r="Z182" s="284"/>
      <c r="AA182" s="284"/>
    </row>
    <row r="183" spans="1:27">
      <c r="A183" s="31"/>
      <c r="B183" s="32" t="s">
        <v>1922</v>
      </c>
      <c r="C183" s="32">
        <v>33</v>
      </c>
      <c r="D183" s="33" t="s">
        <v>1850</v>
      </c>
      <c r="E183" s="33" t="s">
        <v>1885</v>
      </c>
      <c r="F183" s="33" t="s">
        <v>78</v>
      </c>
      <c r="G183" s="33" t="s">
        <v>2006</v>
      </c>
      <c r="H183" s="34">
        <v>40</v>
      </c>
      <c r="I183" s="34"/>
      <c r="J183" s="149" t="str">
        <f>IF($F183="","",IFERROR(IFERROR(INDEX(Réttabanki!$U:$U,MATCH($F183,Réttabanki!$A:$A,0)),INDEX(Vöruskrá!$R:$R,MATCH($F183,Vöruskrá!$B:$B,0)))*($H183+IF($I183="",$H183*(1+#REF!),$I183))/2/1000,""))</f>
        <v/>
      </c>
      <c r="K183" s="21" t="s">
        <v>80</v>
      </c>
      <c r="L183" s="21" t="s">
        <v>81</v>
      </c>
      <c r="M183" s="21" t="s">
        <v>82</v>
      </c>
      <c r="N183" s="22">
        <v>324</v>
      </c>
      <c r="O183" s="22">
        <v>1.6</v>
      </c>
      <c r="P183" s="22">
        <v>0.3</v>
      </c>
      <c r="Q183" s="22">
        <v>59</v>
      </c>
      <c r="R183" s="22">
        <v>8.6</v>
      </c>
      <c r="S183" s="22">
        <v>1.3</v>
      </c>
      <c r="T183" s="66" t="str">
        <f>IF(F183="","",IFERROR(INDEX(Réttabanki!Q:Q,MATCH(F183,Réttabanki!A:A,0)),IFERROR(INDEX(Réttabanki!Q:Q,MATCH(F183,Réttabanki!B:B,0)),"")))</f>
        <v/>
      </c>
      <c r="U183" s="286"/>
      <c r="V183" s="286"/>
      <c r="W183" s="286"/>
      <c r="X183" s="286"/>
      <c r="Y183" s="286"/>
      <c r="Z183" s="286"/>
      <c r="AA183" s="286"/>
    </row>
    <row r="184" spans="1:27" ht="24">
      <c r="A184" s="31"/>
      <c r="B184" s="32" t="s">
        <v>1922</v>
      </c>
      <c r="C184" s="32">
        <v>33</v>
      </c>
      <c r="D184" s="33" t="s">
        <v>1850</v>
      </c>
      <c r="E184" s="33" t="s">
        <v>1885</v>
      </c>
      <c r="F184" s="33" t="s">
        <v>376</v>
      </c>
      <c r="G184" s="33" t="s">
        <v>1962</v>
      </c>
      <c r="H184" s="34">
        <v>20</v>
      </c>
      <c r="I184" s="34"/>
      <c r="J184" s="149" t="str">
        <f>IF($F184="","",IFERROR(IFERROR(INDEX(Réttabanki!$U:$U,MATCH($F184,Réttabanki!$A:$A,0)),INDEX(Vöruskrá!$R:$R,MATCH($F184,Vöruskrá!$B:$B,0)))*($H184+IF($I184="",$H184*(1+#REF!),$I184))/2/1000,""))</f>
        <v/>
      </c>
      <c r="K184" s="21" t="s">
        <v>378</v>
      </c>
      <c r="L184" s="21" t="s">
        <v>121</v>
      </c>
      <c r="M184" s="21"/>
      <c r="N184" s="22">
        <v>85</v>
      </c>
      <c r="O184" s="22">
        <v>0.8</v>
      </c>
      <c r="P184" s="22">
        <v>0.3</v>
      </c>
      <c r="Q184" s="22">
        <v>1.8</v>
      </c>
      <c r="R184" s="22">
        <v>16</v>
      </c>
      <c r="S184" s="22">
        <v>2.6</v>
      </c>
      <c r="T184" s="65" t="str">
        <f>IF(F184="","",IFERROR(INDEX(Réttabanki!Q:Q,MATCH(F184,Réttabanki!A:A,0)),IFERROR(INDEX(Réttabanki!Q:Q,MATCH(F184,Réttabanki!B:B,0)),"")))</f>
        <v/>
      </c>
      <c r="U184" s="284"/>
      <c r="V184" s="284"/>
      <c r="W184" s="284"/>
      <c r="X184" s="284"/>
      <c r="Y184" s="284"/>
      <c r="Z184" s="284"/>
      <c r="AA184" s="284"/>
    </row>
    <row r="185" spans="1:27">
      <c r="A185" s="155"/>
      <c r="B185" s="156" t="s">
        <v>1922</v>
      </c>
      <c r="C185" s="156">
        <v>33</v>
      </c>
      <c r="D185" s="157"/>
      <c r="E185" s="157"/>
      <c r="F185" s="157" t="s">
        <v>1894</v>
      </c>
      <c r="G185" s="157"/>
      <c r="H185" s="158"/>
      <c r="I185" s="158"/>
      <c r="J185" s="159">
        <f>SUMIFS(J171:J184,E171:E184,"&lt;&gt;Hliðarréttur",E171:E184,"&lt;&gt;Sérfæði")</f>
        <v>0</v>
      </c>
      <c r="K185" s="21" t="s">
        <v>1895</v>
      </c>
      <c r="L185" s="21"/>
      <c r="M185" s="21"/>
      <c r="N185" s="22"/>
      <c r="O185" s="22"/>
      <c r="P185" s="22"/>
      <c r="Q185" s="22"/>
      <c r="R185" s="22"/>
      <c r="S185" s="22"/>
      <c r="T185" s="65"/>
      <c r="U185" s="286"/>
      <c r="V185" s="286"/>
      <c r="W185" s="286"/>
      <c r="X185" s="286"/>
      <c r="Y185" s="286"/>
      <c r="Z185" s="286"/>
      <c r="AA185" s="286"/>
    </row>
    <row r="186" spans="1:27">
      <c r="A186" s="155"/>
      <c r="B186" s="156" t="s">
        <v>1922</v>
      </c>
      <c r="C186" s="156">
        <v>33</v>
      </c>
      <c r="D186" s="157"/>
      <c r="E186" s="157"/>
      <c r="F186" s="157" t="s">
        <v>1897</v>
      </c>
      <c r="G186" s="157"/>
      <c r="H186" s="158"/>
      <c r="I186" s="158"/>
      <c r="J186" s="159">
        <f>SUMIFS(J171:J184,E171:E184,"&lt;&gt;Hliðarréttur",E171:E184,"&lt;&gt;Sérfæði")</f>
        <v>0</v>
      </c>
      <c r="K186" s="21" t="s">
        <v>1895</v>
      </c>
      <c r="L186" s="21"/>
      <c r="M186" s="21"/>
      <c r="N186" s="22"/>
      <c r="O186" s="22"/>
      <c r="P186" s="22"/>
      <c r="Q186" s="22"/>
      <c r="R186" s="22"/>
      <c r="S186" s="22"/>
      <c r="T186" s="65"/>
      <c r="U186" s="284"/>
      <c r="V186" s="284"/>
      <c r="W186" s="284"/>
      <c r="X186" s="284"/>
      <c r="Y186" s="284"/>
      <c r="Z186" s="284"/>
      <c r="AA186" s="284"/>
    </row>
    <row r="187" spans="1:27" ht="60">
      <c r="A187" s="31">
        <v>46247</v>
      </c>
      <c r="B187" s="32" t="s">
        <v>1946</v>
      </c>
      <c r="C187" s="32">
        <v>33</v>
      </c>
      <c r="D187" s="33" t="s">
        <v>1850</v>
      </c>
      <c r="E187" s="33" t="s">
        <v>1852</v>
      </c>
      <c r="F187" s="33"/>
      <c r="G187" s="33" t="s">
        <v>2007</v>
      </c>
      <c r="H187" s="34"/>
      <c r="I187" s="34"/>
      <c r="J187" s="149" t="str">
        <f>IF($F187="","",IFERROR(IFERROR(INDEX(Réttabanki!$U:$U,MATCH($F187,Réttabanki!$A:$A,0)),INDEX(Vöruskrá!$R:$R,MATCH($F187,Vöruskrá!$B:$B,0)))*($H187+IF($I187="",$H187*(1+#REF!),$I187))/2/1000,""))</f>
        <v/>
      </c>
      <c r="K187" s="21" t="s">
        <v>2008</v>
      </c>
      <c r="L187" s="21" t="s">
        <v>1925</v>
      </c>
      <c r="M187" s="21" t="str">
        <f>IF($F187="","",IFERROR(IFERROR(INDEX(Réttabanki!$F:$F,MATCH($F187,Réttabanki!$A:$A,0)),INDEX(Vöruskrá!$H:$H,MATCH($F187,Vöruskrá!$B:$B,0))),""))</f>
        <v/>
      </c>
      <c r="N187" s="22" t="str">
        <f>IF($F187="","",IFERROR(IFERROR(INDEX(Réttabanki!$G:$G,MATCH($F187,Réttabanki!$A:$A,0)),INDEX(Vöruskrá!$J:$J,MATCH($F187,Vöruskrá!$B:$B,0)))*($H187+IF($I187="",$H187*(1+#REF!),$I187))/2/100,""))</f>
        <v/>
      </c>
      <c r="O187" s="22" t="str">
        <f>IF($F187="","",IFERROR(IFERROR(INDEX(Réttabanki!$H:$H,MATCH($F187,Réttabanki!$A:$A,0)),INDEX(Vöruskrá!$K:$K,MATCH($F187,Vöruskrá!$B:$B,0)))*($H187+IF($I187="",$H187*(1+#REF!),$I187))/2/100,""))</f>
        <v/>
      </c>
      <c r="P187" s="22" t="str">
        <f>IF($F187="","",IFERROR(IFERROR(INDEX(Réttabanki!$I:$I,MATCH($F187,Réttabanki!$A:$A,0)),INDEX(Vöruskrá!$L:$L,MATCH($F187,Vöruskrá!$B:$B,0)))*($H187+IF($I187="",$H187*(1+#REF!),$I187))/2/100,""))</f>
        <v/>
      </c>
      <c r="Q187" s="22" t="str">
        <f>IF($F187="","",IFERROR(IFERROR(INDEX(Réttabanki!$J:$J,MATCH($F187,Réttabanki!$A:$A,0)),INDEX(Vöruskrá!$M:$M,MATCH($F187,Vöruskrá!$B:$B,0)))*($H187+IF($I187="",$H187*(1+#REF!),$I187))/2/100,""))</f>
        <v/>
      </c>
      <c r="R187" s="22" t="str">
        <f>IF($F187="","",IFERROR(IFERROR(INDEX(Réttabanki!$L:$L,MATCH($F187,Réttabanki!$A:$A,0)),INDEX(Vöruskrá!$O:$O,MATCH($F187,Vöruskrá!$B:$B,0)))*($H187+IF($I187="",$H187*(1+#REF!),$I187))/2/100,""))</f>
        <v/>
      </c>
      <c r="S187" s="22" t="str">
        <f>IF($F187="","",IFERROR(IFERROR(INDEX(Réttabanki!$M:$M,MATCH($F187,Réttabanki!$A:$A,0)),INDEX(Vöruskrá!$P:$P,MATCH($F187,Vöruskrá!$B:$B,0)))*($H187+IF($I187="",$H187*(1+#REF!),$I187))/2/100,""))</f>
        <v/>
      </c>
      <c r="T187" s="66" t="str">
        <f>IF(F187="","",IFERROR(INDEX(Réttabanki!Q:Q,MATCH(F187,Réttabanki!A:A,0)),IFERROR(INDEX(Réttabanki!Q:Q,MATCH(F187,Réttabanki!B:B,0)),"")))</f>
        <v/>
      </c>
      <c r="U187" s="286"/>
      <c r="V187" s="286"/>
      <c r="W187" s="286"/>
      <c r="X187" s="286"/>
      <c r="Y187" s="286"/>
      <c r="Z187" s="286"/>
      <c r="AA187" s="286"/>
    </row>
    <row r="188" spans="1:27" ht="24">
      <c r="A188" s="31"/>
      <c r="B188" s="32" t="s">
        <v>1946</v>
      </c>
      <c r="C188" s="32">
        <v>33</v>
      </c>
      <c r="D188" s="33" t="s">
        <v>1850</v>
      </c>
      <c r="E188" s="33" t="s">
        <v>1852</v>
      </c>
      <c r="F188" s="33" t="s">
        <v>1125</v>
      </c>
      <c r="G188" s="33" t="s">
        <v>1125</v>
      </c>
      <c r="H188" s="34">
        <v>200</v>
      </c>
      <c r="I188" s="34"/>
      <c r="J188" s="149" t="str">
        <f>IF($F188="","",IFERROR(IFERROR(INDEX(Réttabanki!$U:$U,MATCH($F188,Réttabanki!$A:$A,0)),INDEX(Vöruskrá!$R:$R,MATCH($F188,Vöruskrá!$B:$B,0)))*($H188+IF($I188="",$H188*(1+#REF!),$I188))/2/1000,""))</f>
        <v/>
      </c>
      <c r="K188" s="21" t="s">
        <v>1589</v>
      </c>
      <c r="L188" s="21" t="s">
        <v>1559</v>
      </c>
      <c r="M188" s="21"/>
      <c r="N188" s="22">
        <v>104.95</v>
      </c>
      <c r="O188" s="22">
        <v>3.94</v>
      </c>
      <c r="P188" s="22">
        <v>2.25</v>
      </c>
      <c r="Q188" s="22">
        <v>8.52</v>
      </c>
      <c r="R188" s="22">
        <v>8.7200000000000006</v>
      </c>
      <c r="S188" s="22">
        <v>0.66</v>
      </c>
      <c r="T188" s="65" t="str">
        <f>IF(F188="","",IFERROR(INDEX(Réttabanki!Q:Q,MATCH(F188,Réttabanki!A:A,0)),IFERROR(INDEX(Réttabanki!Q:Q,MATCH(F188,Réttabanki!B:B,0)),"")))</f>
        <v/>
      </c>
      <c r="U188" s="284"/>
      <c r="V188" s="284"/>
      <c r="W188" s="284"/>
      <c r="X188" s="284"/>
      <c r="Y188" s="284"/>
      <c r="Z188" s="284"/>
      <c r="AA188" s="284"/>
    </row>
    <row r="189" spans="1:27" ht="36">
      <c r="A189" s="31"/>
      <c r="B189" s="32" t="s">
        <v>1946</v>
      </c>
      <c r="C189" s="32">
        <v>33</v>
      </c>
      <c r="D189" s="33" t="s">
        <v>1850</v>
      </c>
      <c r="E189" s="33" t="s">
        <v>1852</v>
      </c>
      <c r="F189" s="33" t="s">
        <v>324</v>
      </c>
      <c r="G189" s="33" t="s">
        <v>1931</v>
      </c>
      <c r="H189" s="34">
        <v>25</v>
      </c>
      <c r="I189" s="34"/>
      <c r="J189" s="149" t="str">
        <f>IF($F189="","",IFERROR(IFERROR(INDEX(Réttabanki!$U:$U,MATCH($F189,Réttabanki!$A:$A,0)),INDEX(Vöruskrá!$R:$R,MATCH($F189,Vöruskrá!$B:$B,0)))*($H189+IF($I189="",$H189*(1+#REF!),$I189))/2/1000,""))</f>
        <v/>
      </c>
      <c r="K189" s="21" t="s">
        <v>325</v>
      </c>
      <c r="L189" s="21" t="s">
        <v>326</v>
      </c>
      <c r="M189" s="21" t="s">
        <v>327</v>
      </c>
      <c r="N189" s="22">
        <v>252</v>
      </c>
      <c r="O189" s="22">
        <v>1.1000000000000001</v>
      </c>
      <c r="P189" s="22">
        <v>0.2</v>
      </c>
      <c r="Q189" s="22">
        <v>50</v>
      </c>
      <c r="R189" s="22">
        <v>4.8</v>
      </c>
      <c r="S189" s="22">
        <v>0.6</v>
      </c>
      <c r="T189" s="66" t="str">
        <f>IF(F189="","",IFERROR(INDEX(Réttabanki!Q:Q,MATCH(F189,Réttabanki!A:A,0)),IFERROR(INDEX(Réttabanki!Q:Q,MATCH(F189,Réttabanki!B:B,0)),"")))</f>
        <v/>
      </c>
      <c r="U189" s="286"/>
      <c r="V189" s="286"/>
      <c r="W189" s="286"/>
      <c r="X189" s="286"/>
      <c r="Y189" s="286"/>
      <c r="Z189" s="286"/>
      <c r="AA189" s="286"/>
    </row>
    <row r="190" spans="1:27">
      <c r="A190" s="31"/>
      <c r="B190" s="32" t="s">
        <v>1946</v>
      </c>
      <c r="C190" s="32">
        <v>33</v>
      </c>
      <c r="D190" s="33" t="s">
        <v>1850</v>
      </c>
      <c r="E190" s="33" t="s">
        <v>1852</v>
      </c>
      <c r="F190" s="33" t="s">
        <v>395</v>
      </c>
      <c r="G190" s="33" t="s">
        <v>1409</v>
      </c>
      <c r="H190" s="34">
        <v>10</v>
      </c>
      <c r="I190" s="34"/>
      <c r="J190" s="149" t="str">
        <f>IF($F190="","",IFERROR(IFERROR(INDEX(Réttabanki!$U:$U,MATCH($F190,Réttabanki!$A:$A,0)),INDEX(Vöruskrá!$R:$R,MATCH($F190,Vöruskrá!$B:$B,0)))*($H190+IF($I190="",$H190*(1+#REF!),$I190))/2/1000,""))</f>
        <v/>
      </c>
      <c r="K190" s="21" t="s">
        <v>396</v>
      </c>
      <c r="L190" s="21" t="s">
        <v>108</v>
      </c>
      <c r="M190" s="21"/>
      <c r="N190" s="22">
        <v>702</v>
      </c>
      <c r="O190" s="22">
        <v>78</v>
      </c>
      <c r="P190" s="22">
        <v>37</v>
      </c>
      <c r="Q190" s="22">
        <v>0.4</v>
      </c>
      <c r="R190" s="22">
        <v>0.6</v>
      </c>
      <c r="S190" s="22">
        <v>1.2</v>
      </c>
      <c r="T190" s="65" t="str">
        <f>IF(F190="","",IFERROR(INDEX(Réttabanki!Q:Q,MATCH(F190,Réttabanki!A:A,0)),IFERROR(INDEX(Réttabanki!Q:Q,MATCH(F190,Réttabanki!B:B,0)),"")))</f>
        <v/>
      </c>
      <c r="U190" s="284"/>
      <c r="V190" s="284"/>
      <c r="W190" s="284"/>
      <c r="X190" s="284"/>
      <c r="Y190" s="284"/>
      <c r="Z190" s="284"/>
      <c r="AA190" s="284"/>
    </row>
    <row r="191" spans="1:27" ht="178.5">
      <c r="A191" s="31"/>
      <c r="B191" s="32" t="s">
        <v>1946</v>
      </c>
      <c r="C191" s="32">
        <v>33</v>
      </c>
      <c r="D191" s="33" t="s">
        <v>1850</v>
      </c>
      <c r="E191" s="33" t="s">
        <v>1867</v>
      </c>
      <c r="F191" s="33"/>
      <c r="G191" s="33" t="s">
        <v>2009</v>
      </c>
      <c r="H191" s="34"/>
      <c r="I191" s="34"/>
      <c r="J191" s="149" t="str">
        <f>IF($F191="","",IFERROR(IFERROR(INDEX(Réttabanki!$U:$U,MATCH($F191,Réttabanki!$A:$A,0)),INDEX(Vöruskrá!$R:$R,MATCH($F191,Vöruskrá!$B:$B,0)))*($H191+IF($I191="",$H191*(1+#REF!),$I191))/2/1000,""))</f>
        <v/>
      </c>
      <c r="K191" s="21" t="s">
        <v>2010</v>
      </c>
      <c r="L191" s="21" t="s">
        <v>1499</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6" t="str">
        <f>IF(F191="","",IFERROR(INDEX(Réttabanki!Q:Q,MATCH(F191,Réttabanki!A:A,0)),IFERROR(INDEX(Réttabanki!Q:Q,MATCH(F191,Réttabanki!B:B,0)),"")))</f>
        <v/>
      </c>
      <c r="U191" s="286"/>
      <c r="V191" s="286"/>
      <c r="W191" s="286"/>
      <c r="X191" s="286"/>
      <c r="Y191" s="286"/>
      <c r="Z191" s="286"/>
      <c r="AA191" s="286"/>
    </row>
    <row r="192" spans="1:27" ht="72">
      <c r="A192" s="31"/>
      <c r="B192" s="32" t="s">
        <v>1946</v>
      </c>
      <c r="C192" s="32">
        <v>33</v>
      </c>
      <c r="D192" s="33" t="s">
        <v>1850</v>
      </c>
      <c r="E192" s="33" t="s">
        <v>1867</v>
      </c>
      <c r="F192" s="33" t="s">
        <v>1239</v>
      </c>
      <c r="G192" s="33" t="s">
        <v>2011</v>
      </c>
      <c r="H192" s="34">
        <v>200</v>
      </c>
      <c r="I192" s="34"/>
      <c r="J192" s="149" t="str">
        <f>IF($F192="","",IFERROR(IFERROR(INDEX(Réttabanki!$U:$U,MATCH($F192,Réttabanki!$A:$A,0)),INDEX(Vöruskrá!$R:$R,MATCH($F192,Vöruskrá!$B:$B,0)))*($H192+IF($I192="",$H192*(1+#REF!),$I192))/2/1000,""))</f>
        <v/>
      </c>
      <c r="K192" s="21" t="s">
        <v>1241</v>
      </c>
      <c r="L192" s="21"/>
      <c r="M192" s="21" t="s">
        <v>499</v>
      </c>
      <c r="N192" s="22">
        <v>139</v>
      </c>
      <c r="O192" s="22">
        <v>4.9000000000000004</v>
      </c>
      <c r="P192" s="22">
        <v>1.7</v>
      </c>
      <c r="Q192" s="22">
        <v>13.7</v>
      </c>
      <c r="R192" s="22">
        <v>8.3000000000000007</v>
      </c>
      <c r="S192" s="22">
        <v>0.7</v>
      </c>
      <c r="T192" s="65" t="str">
        <f>IF(F192="","",IFERROR(INDEX(Réttabanki!Q:Q,MATCH(F192,Réttabanki!A:A,0)),IFERROR(INDEX(Réttabanki!Q:Q,MATCH(F192,Réttabanki!B:B,0)),"")))</f>
        <v/>
      </c>
      <c r="U192" s="284"/>
      <c r="V192" s="284"/>
      <c r="W192" s="284"/>
      <c r="X192" s="284"/>
      <c r="Y192" s="284"/>
      <c r="Z192" s="284"/>
      <c r="AA192" s="284"/>
    </row>
    <row r="193" spans="1:27">
      <c r="A193" s="31"/>
      <c r="B193" s="32" t="s">
        <v>1946</v>
      </c>
      <c r="C193" s="32">
        <v>33</v>
      </c>
      <c r="D193" s="33" t="s">
        <v>1850</v>
      </c>
      <c r="E193" s="33" t="s">
        <v>1867</v>
      </c>
      <c r="F193" s="33" t="s">
        <v>1191</v>
      </c>
      <c r="G193" s="33" t="s">
        <v>2012</v>
      </c>
      <c r="H193" s="34">
        <v>25</v>
      </c>
      <c r="I193" s="34"/>
      <c r="J193" s="149" t="str">
        <f>IF($F193="","",IFERROR(IFERROR(INDEX(Réttabanki!$U:$U,MATCH($F193,Réttabanki!$A:$A,0)),INDEX(Vöruskrá!$R:$R,MATCH($F193,Vöruskrá!$B:$B,0)))*($H193+IF($I193="",$H193*(1+#REF!),$I193))/2/1000,""))</f>
        <v/>
      </c>
      <c r="K193" s="21" t="s">
        <v>1193</v>
      </c>
      <c r="L193" s="21"/>
      <c r="M193" s="21"/>
      <c r="N193" s="22">
        <v>218</v>
      </c>
      <c r="O193" s="22">
        <v>1.2</v>
      </c>
      <c r="P193" s="22">
        <v>0.2</v>
      </c>
      <c r="Q193" s="22">
        <v>45.9</v>
      </c>
      <c r="R193" s="22">
        <v>5.6</v>
      </c>
      <c r="S193" s="22">
        <v>1</v>
      </c>
      <c r="T193" s="66" t="str">
        <f>IF(F193="","",IFERROR(INDEX(Réttabanki!Q:Q,MATCH(F193,Réttabanki!A:A,0)),IFERROR(INDEX(Réttabanki!Q:Q,MATCH(F193,Réttabanki!B:B,0)),"")))</f>
        <v/>
      </c>
      <c r="U193" s="286"/>
      <c r="V193" s="286"/>
      <c r="W193" s="286"/>
      <c r="X193" s="286"/>
      <c r="Y193" s="286"/>
      <c r="Z193" s="286"/>
      <c r="AA193" s="286"/>
    </row>
    <row r="194" spans="1:27" ht="72">
      <c r="A194" s="31"/>
      <c r="B194" s="32" t="s">
        <v>1946</v>
      </c>
      <c r="C194" s="32">
        <v>33</v>
      </c>
      <c r="D194" s="33" t="s">
        <v>1850</v>
      </c>
      <c r="E194" s="33" t="s">
        <v>946</v>
      </c>
      <c r="F194" s="33" t="s">
        <v>1497</v>
      </c>
      <c r="G194" s="33" t="s">
        <v>2013</v>
      </c>
      <c r="H194" s="34">
        <v>200</v>
      </c>
      <c r="I194" s="34"/>
      <c r="J194" s="149" t="str">
        <f>IF($F194="","",IFERROR(IFERROR(INDEX(Réttabanki!$U:$U,MATCH($F194,Réttabanki!$A:$A,0)),INDEX(Vöruskrá!$R:$R,MATCH($F194,Vöruskrá!$B:$B,0)))*($H194+IF($I194="",$H194*(1+#REF!),$I194))/2/1000,""))</f>
        <v/>
      </c>
      <c r="K194" s="21" t="s">
        <v>1498</v>
      </c>
      <c r="L194" s="21" t="s">
        <v>1499</v>
      </c>
      <c r="M194" s="21"/>
      <c r="N194" s="22">
        <v>115.06</v>
      </c>
      <c r="O194" s="22">
        <v>4.18</v>
      </c>
      <c r="P194" s="22">
        <v>2.62</v>
      </c>
      <c r="Q194" s="22">
        <v>9.64</v>
      </c>
      <c r="R194" s="22">
        <v>10.050000000000001</v>
      </c>
      <c r="S194" s="22">
        <v>0.68</v>
      </c>
      <c r="T194" s="66"/>
      <c r="U194" s="284"/>
      <c r="V194" s="284"/>
      <c r="W194" s="284"/>
      <c r="X194" s="284"/>
      <c r="Y194" s="284"/>
      <c r="Z194" s="284"/>
      <c r="AA194" s="284"/>
    </row>
    <row r="195" spans="1:27" ht="48">
      <c r="A195" s="31"/>
      <c r="B195" s="32" t="s">
        <v>1946</v>
      </c>
      <c r="C195" s="32">
        <v>33</v>
      </c>
      <c r="D195" s="33" t="s">
        <v>1850</v>
      </c>
      <c r="E195" s="33" t="s">
        <v>946</v>
      </c>
      <c r="F195" s="33" t="s">
        <v>1221</v>
      </c>
      <c r="G195" s="33" t="s">
        <v>2014</v>
      </c>
      <c r="H195" s="34">
        <v>200</v>
      </c>
      <c r="I195" s="34"/>
      <c r="J195" s="149" t="str">
        <f>IF($F195="","",IFERROR(IFERROR(INDEX(Réttabanki!$U:$U,MATCH($F195,Réttabanki!$A:$A,0)),INDEX(Vöruskrá!$R:$R,MATCH($F195,Vöruskrá!$B:$B,0)))*($H195+IF($I195="",$H195*(1+#REF!),$I195))/2/1000,""))</f>
        <v/>
      </c>
      <c r="K195" s="21" t="s">
        <v>1222</v>
      </c>
      <c r="L195" s="21"/>
      <c r="M195" s="21"/>
      <c r="N195" s="22">
        <v>105</v>
      </c>
      <c r="O195" s="22">
        <v>5.0999999999999996</v>
      </c>
      <c r="P195" s="22">
        <v>3.3</v>
      </c>
      <c r="Q195" s="22">
        <v>7.8</v>
      </c>
      <c r="R195" s="22">
        <v>6.9</v>
      </c>
      <c r="S195" s="22">
        <v>0.6</v>
      </c>
      <c r="T195" s="66"/>
      <c r="U195" s="286"/>
      <c r="V195" s="286"/>
      <c r="W195" s="286"/>
      <c r="X195" s="286"/>
      <c r="Y195" s="286"/>
      <c r="Z195" s="286"/>
      <c r="AA195" s="286"/>
    </row>
    <row r="196" spans="1:27">
      <c r="A196" s="31"/>
      <c r="B196" s="32" t="s">
        <v>1946</v>
      </c>
      <c r="C196" s="32">
        <v>33</v>
      </c>
      <c r="D196" s="33" t="s">
        <v>1850</v>
      </c>
      <c r="E196" s="33" t="s">
        <v>1877</v>
      </c>
      <c r="F196" s="33"/>
      <c r="G196" s="33" t="s">
        <v>2015</v>
      </c>
      <c r="H196" s="34"/>
      <c r="I196" s="34"/>
      <c r="J196" s="149" t="str">
        <f>IF($F196="","",IFERROR(IFERROR(INDEX(Réttabanki!$U:$U,MATCH($F196,Réttabanki!$A:$A,0)),INDEX(Vöruskrá!$R:$R,MATCH($F196,Vöruskrá!$B:$B,0)))*($H196+IF($I196="",$H196*(1+#REF!),$I196))/2/1000,""))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5" t="str">
        <f>IF(F196="","",IFERROR(INDEX(Réttabanki!Q:Q,MATCH(F196,Réttabanki!A:A,0)),IFERROR(INDEX(Réttabanki!Q:Q,MATCH(F196,Réttabanki!B:B,0)),"")))</f>
        <v/>
      </c>
      <c r="U196" s="284"/>
      <c r="V196" s="284"/>
      <c r="W196" s="284"/>
      <c r="X196" s="284"/>
      <c r="Y196" s="284"/>
      <c r="Z196" s="284"/>
      <c r="AA196" s="284"/>
    </row>
    <row r="197" spans="1:27" ht="72">
      <c r="A197" s="31"/>
      <c r="B197" s="32" t="s">
        <v>1946</v>
      </c>
      <c r="C197" s="32">
        <v>33</v>
      </c>
      <c r="D197" s="33" t="s">
        <v>1850</v>
      </c>
      <c r="E197" s="33" t="s">
        <v>1885</v>
      </c>
      <c r="F197" s="33"/>
      <c r="G197" s="33" t="s">
        <v>2016</v>
      </c>
      <c r="H197" s="34"/>
      <c r="I197" s="34"/>
      <c r="J197" s="149" t="str">
        <f>IF($F197="","",IFERROR(IFERROR(INDEX(Réttabanki!$U:$U,MATCH($F197,Réttabanki!$A:$A,0)),INDEX(Vöruskrá!$R:$R,MATCH($F197,Vöruskrá!$B:$B,0)))*($H197+IF($I197="",$H197*(1+#REF!),$I197))/2/1000,""))</f>
        <v/>
      </c>
      <c r="K197" s="21" t="s">
        <v>2017</v>
      </c>
      <c r="L197" s="21" t="s">
        <v>2018</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66" t="str">
        <f>IF(F197="","",IFERROR(INDEX(Réttabanki!Q:Q,MATCH(F197,Réttabanki!A:A,0)),IFERROR(INDEX(Réttabanki!Q:Q,MATCH(F197,Réttabanki!B:B,0)),"")))</f>
        <v/>
      </c>
      <c r="U197" s="286"/>
      <c r="V197" s="286"/>
      <c r="W197" s="286"/>
      <c r="X197" s="286"/>
      <c r="Y197" s="286"/>
      <c r="Z197" s="286"/>
      <c r="AA197" s="286"/>
    </row>
    <row r="198" spans="1:27" ht="48">
      <c r="A198" s="31"/>
      <c r="B198" s="32" t="s">
        <v>1946</v>
      </c>
      <c r="C198" s="32">
        <v>33</v>
      </c>
      <c r="D198" s="33" t="s">
        <v>1850</v>
      </c>
      <c r="E198" s="33" t="s">
        <v>1885</v>
      </c>
      <c r="F198" s="33" t="s">
        <v>73</v>
      </c>
      <c r="G198" s="33" t="s">
        <v>2019</v>
      </c>
      <c r="H198" s="34">
        <v>40</v>
      </c>
      <c r="I198" s="34"/>
      <c r="J198" s="149" t="str">
        <f>IF($F198="","",IFERROR(IFERROR(INDEX(Réttabanki!$U:$U,MATCH($F198,Réttabanki!$A:$A,0)),INDEX(Vöruskrá!$R:$R,MATCH($F198,Vöruskrá!$B:$B,0)))*($H198+IF($I198="",$H198*(1+#REF!),$I198))/2/1000,""))</f>
        <v/>
      </c>
      <c r="K198" s="21" t="s">
        <v>74</v>
      </c>
      <c r="L198" s="21" t="s">
        <v>75</v>
      </c>
      <c r="M198" s="21"/>
      <c r="N198" s="22">
        <v>262</v>
      </c>
      <c r="O198" s="22">
        <v>3</v>
      </c>
      <c r="P198" s="22">
        <v>0.4</v>
      </c>
      <c r="Q198" s="22">
        <v>45</v>
      </c>
      <c r="R198" s="22">
        <v>11</v>
      </c>
      <c r="S198" s="22">
        <v>0.9</v>
      </c>
      <c r="T198" s="65" t="str">
        <f>IF(F198="","",IFERROR(INDEX(Réttabanki!Q:Q,MATCH(F198,Réttabanki!A:A,0)),IFERROR(INDEX(Réttabanki!Q:Q,MATCH(F198,Réttabanki!B:B,0)),"")))</f>
        <v/>
      </c>
      <c r="U198" s="284"/>
      <c r="V198" s="284"/>
      <c r="W198" s="284"/>
      <c r="X198" s="284"/>
      <c r="Y198" s="284"/>
      <c r="Z198" s="284"/>
      <c r="AA198" s="284"/>
    </row>
    <row r="199" spans="1:27" ht="24">
      <c r="A199" s="31"/>
      <c r="B199" s="32" t="s">
        <v>1946</v>
      </c>
      <c r="C199" s="32">
        <v>33</v>
      </c>
      <c r="D199" s="33" t="s">
        <v>1850</v>
      </c>
      <c r="E199" s="33" t="s">
        <v>1885</v>
      </c>
      <c r="F199" s="33" t="s">
        <v>124</v>
      </c>
      <c r="G199" s="33" t="s">
        <v>1892</v>
      </c>
      <c r="H199" s="34">
        <v>20</v>
      </c>
      <c r="I199" s="34"/>
      <c r="J199" s="149" t="str">
        <f>IF($F199="","",IFERROR(IFERROR(INDEX(Réttabanki!$U:$U,MATCH($F199,Réttabanki!$A:$A,0)),INDEX(Vöruskrá!$R:$R,MATCH($F199,Vöruskrá!$B:$B,0)))*($H199+IF($I199="",$H199*(1+#REF!),$I199))/2/1000,""))</f>
        <v/>
      </c>
      <c r="K199" s="21" t="s">
        <v>127</v>
      </c>
      <c r="L199" s="21" t="s">
        <v>128</v>
      </c>
      <c r="M199" s="21"/>
      <c r="N199" s="22">
        <v>122</v>
      </c>
      <c r="O199" s="22">
        <v>5.9</v>
      </c>
      <c r="P199" s="22">
        <v>2.4</v>
      </c>
      <c r="Q199" s="22">
        <v>3.6</v>
      </c>
      <c r="R199" s="22">
        <v>13.4</v>
      </c>
      <c r="S199" s="22">
        <v>2.7</v>
      </c>
      <c r="T199" s="66" t="str">
        <f>IF(F199="","",IFERROR(INDEX(Réttabanki!Q:Q,MATCH(F199,Réttabanki!A:A,0)),IFERROR(INDEX(Réttabanki!Q:Q,MATCH(F199,Réttabanki!B:B,0)),"")))</f>
        <v/>
      </c>
      <c r="U199" s="286"/>
      <c r="V199" s="286"/>
      <c r="W199" s="286"/>
      <c r="X199" s="286"/>
      <c r="Y199" s="286"/>
      <c r="Z199" s="286"/>
      <c r="AA199" s="286"/>
    </row>
    <row r="200" spans="1:27">
      <c r="A200" s="155"/>
      <c r="B200" s="156" t="s">
        <v>1946</v>
      </c>
      <c r="C200" s="156">
        <v>33</v>
      </c>
      <c r="D200" s="157"/>
      <c r="E200" s="157"/>
      <c r="F200" s="157" t="s">
        <v>1894</v>
      </c>
      <c r="G200" s="157"/>
      <c r="H200" s="158"/>
      <c r="I200" s="158"/>
      <c r="J200" s="159">
        <f>SUMIFS(J187:J199,E187:E199,"&lt;&gt;Hliðarréttur",E187:E199,"&lt;&gt;Sérfæði")</f>
        <v>0</v>
      </c>
      <c r="K200" s="21" t="s">
        <v>1895</v>
      </c>
      <c r="L200" s="21"/>
      <c r="M200" s="21"/>
      <c r="N200" s="22"/>
      <c r="O200" s="22"/>
      <c r="P200" s="22"/>
      <c r="Q200" s="22"/>
      <c r="R200" s="22"/>
      <c r="S200" s="22"/>
      <c r="T200" s="66"/>
      <c r="U200" s="284"/>
      <c r="V200" s="284"/>
      <c r="W200" s="284"/>
      <c r="X200" s="284"/>
      <c r="Y200" s="284"/>
      <c r="Z200" s="284"/>
      <c r="AA200" s="284"/>
    </row>
    <row r="201" spans="1:27">
      <c r="A201" s="155"/>
      <c r="B201" s="156" t="s">
        <v>1946</v>
      </c>
      <c r="C201" s="156">
        <v>33</v>
      </c>
      <c r="D201" s="157"/>
      <c r="E201" s="157"/>
      <c r="F201" s="157" t="s">
        <v>1897</v>
      </c>
      <c r="G201" s="157"/>
      <c r="H201" s="158"/>
      <c r="I201" s="158"/>
      <c r="J201" s="159">
        <f>SUMIFS(J187:J199,E187:E199,"&lt;&gt;Hliðarréttur",E187:E199,"&lt;&gt;Sérfæði")</f>
        <v>0</v>
      </c>
      <c r="K201" s="21" t="s">
        <v>1895</v>
      </c>
      <c r="L201" s="21"/>
      <c r="M201" s="21"/>
      <c r="N201" s="22"/>
      <c r="O201" s="22"/>
      <c r="P201" s="22"/>
      <c r="Q201" s="22"/>
      <c r="R201" s="22"/>
      <c r="S201" s="22"/>
      <c r="T201" s="66"/>
      <c r="U201" s="286"/>
      <c r="V201" s="286"/>
      <c r="W201" s="286"/>
      <c r="X201" s="286"/>
      <c r="Y201" s="286"/>
      <c r="Z201" s="286"/>
      <c r="AA201" s="286"/>
    </row>
    <row r="202" spans="1:27" ht="60">
      <c r="A202" s="31">
        <v>46248</v>
      </c>
      <c r="B202" s="32" t="s">
        <v>1963</v>
      </c>
      <c r="C202" s="32">
        <v>33</v>
      </c>
      <c r="D202" s="33" t="s">
        <v>1850</v>
      </c>
      <c r="E202" s="33" t="s">
        <v>1852</v>
      </c>
      <c r="F202" s="33"/>
      <c r="G202" s="33" t="s">
        <v>2020</v>
      </c>
      <c r="H202" s="34"/>
      <c r="I202" s="34"/>
      <c r="J202" s="149" t="str">
        <f>IF($F202="","",IFERROR(IFERROR(INDEX(Réttabanki!$U:$U,MATCH($F202,Réttabanki!$A:$A,0)),INDEX(Vöruskrá!$R:$R,MATCH($F202,Vöruskrá!$B:$B,0)))*($H202+IF($I202="",$H202*(1+#REF!),$I202))/2/1000,""))</f>
        <v/>
      </c>
      <c r="K202" s="21" t="s">
        <v>2021</v>
      </c>
      <c r="L202" s="21" t="s">
        <v>2022</v>
      </c>
      <c r="M202" s="21" t="str">
        <f>IF($F202="","",IFERROR(IFERROR(INDEX(Réttabanki!$F:$F,MATCH($F202,Réttabanki!$A:$A,0)),INDEX(Vöruskrá!$H:$H,MATCH($F202,Vöruskrá!$B:$B,0))),""))</f>
        <v/>
      </c>
      <c r="N202" s="22" t="str">
        <f>IF($F202="","",IFERROR(IFERROR(INDEX(Réttabanki!$G:$G,MATCH($F202,Réttabanki!$A:$A,0)),INDEX(Vöruskrá!$J:$J,MATCH($F202,Vöruskrá!$B:$B,0)))*($H202+IF($I202="",$H202*(1+#REF!),$I202))/2/100,""))</f>
        <v/>
      </c>
      <c r="O202" s="22" t="str">
        <f>IF($F202="","",IFERROR(IFERROR(INDEX(Réttabanki!$H:$H,MATCH($F202,Réttabanki!$A:$A,0)),INDEX(Vöruskrá!$K:$K,MATCH($F202,Vöruskrá!$B:$B,0)))*($H202+IF($I202="",$H202*(1+#REF!),$I202))/2/100,""))</f>
        <v/>
      </c>
      <c r="P202" s="22" t="str">
        <f>IF($F202="","",IFERROR(IFERROR(INDEX(Réttabanki!$I:$I,MATCH($F202,Réttabanki!$A:$A,0)),INDEX(Vöruskrá!$L:$L,MATCH($F202,Vöruskrá!$B:$B,0)))*($H202+IF($I202="",$H202*(1+#REF!),$I202))/2/100,""))</f>
        <v/>
      </c>
      <c r="Q202" s="22" t="str">
        <f>IF($F202="","",IFERROR(IFERROR(INDEX(Réttabanki!$J:$J,MATCH($F202,Réttabanki!$A:$A,0)),INDEX(Vöruskrá!$M:$M,MATCH($F202,Vöruskrá!$B:$B,0)))*($H202+IF($I202="",$H202*(1+#REF!),$I202))/2/100,""))</f>
        <v/>
      </c>
      <c r="R202" s="22" t="str">
        <f>IF($F202="","",IFERROR(IFERROR(INDEX(Réttabanki!$L:$L,MATCH($F202,Réttabanki!$A:$A,0)),INDEX(Vöruskrá!$O:$O,MATCH($F202,Vöruskrá!$B:$B,0)))*($H202+IF($I202="",$H202*(1+#REF!),$I202))/2/100,""))</f>
        <v/>
      </c>
      <c r="S202" s="22" t="str">
        <f>IF($F202="","",IFERROR(IFERROR(INDEX(Réttabanki!$M:$M,MATCH($F202,Réttabanki!$A:$A,0)),INDEX(Vöruskrá!$P:$P,MATCH($F202,Vöruskrá!$B:$B,0)))*($H202+IF($I202="",$H202*(1+#REF!),$I202))/2/100,""))</f>
        <v/>
      </c>
      <c r="T202" s="65" t="str">
        <f>IF(F202="","",IFERROR(INDEX(Réttabanki!Q:Q,MATCH(F202,Réttabanki!A:A,0)),IFERROR(INDEX(Réttabanki!Q:Q,MATCH(F202,Réttabanki!B:B,0)),"")))</f>
        <v/>
      </c>
      <c r="U202" s="284"/>
      <c r="V202" s="284"/>
      <c r="W202" s="284"/>
      <c r="X202" s="284"/>
      <c r="Y202" s="284"/>
      <c r="Z202" s="284"/>
      <c r="AA202" s="284"/>
    </row>
    <row r="203" spans="1:27" ht="60">
      <c r="A203" s="31"/>
      <c r="B203" s="32" t="s">
        <v>1963</v>
      </c>
      <c r="C203" s="32">
        <v>33</v>
      </c>
      <c r="D203" s="33" t="s">
        <v>1850</v>
      </c>
      <c r="E203" s="33" t="s">
        <v>1852</v>
      </c>
      <c r="F203" s="33" t="s">
        <v>1077</v>
      </c>
      <c r="G203" s="33" t="s">
        <v>2023</v>
      </c>
      <c r="H203" s="34">
        <v>120</v>
      </c>
      <c r="I203" s="34"/>
      <c r="J203" s="149" t="str">
        <f>IF($F203="","",IFERROR(IFERROR(INDEX(Réttabanki!$U:$U,MATCH($F203,Réttabanki!$A:$A,0)),INDEX(Vöruskrá!$R:$R,MATCH($F203,Vöruskrá!$B:$B,0)))*($H203+IF($I203="",$H203*(1+#REF!),$I203))/2/1000,""))</f>
        <v/>
      </c>
      <c r="K203" s="21" t="s">
        <v>1078</v>
      </c>
      <c r="L203" s="21" t="s">
        <v>859</v>
      </c>
      <c r="M203" s="21"/>
      <c r="N203" s="22">
        <v>120</v>
      </c>
      <c r="O203" s="22">
        <v>6.5</v>
      </c>
      <c r="P203" s="22">
        <v>3.1</v>
      </c>
      <c r="Q203" s="22">
        <v>5.6</v>
      </c>
      <c r="R203" s="22">
        <v>9.3000000000000007</v>
      </c>
      <c r="S203" s="22">
        <v>0.2</v>
      </c>
      <c r="T203" s="66" t="str">
        <f>IF(F203="","",IFERROR(INDEX(Réttabanki!Q:Q,MATCH(F203,Réttabanki!A:A,0)),IFERROR(INDEX(Réttabanki!Q:Q,MATCH(F203,Réttabanki!B:B,0)),"")))</f>
        <v/>
      </c>
      <c r="U203" s="286"/>
      <c r="V203" s="286"/>
      <c r="W203" s="286"/>
      <c r="X203" s="286"/>
      <c r="Y203" s="286"/>
      <c r="Z203" s="286"/>
      <c r="AA203" s="286"/>
    </row>
    <row r="204" spans="1:27">
      <c r="A204" s="31"/>
      <c r="B204" s="32" t="s">
        <v>1963</v>
      </c>
      <c r="C204" s="32">
        <v>33</v>
      </c>
      <c r="D204" s="33" t="s">
        <v>1850</v>
      </c>
      <c r="E204" s="33" t="s">
        <v>1852</v>
      </c>
      <c r="F204" s="33" t="s">
        <v>1079</v>
      </c>
      <c r="G204" s="33" t="s">
        <v>779</v>
      </c>
      <c r="H204" s="34">
        <v>150</v>
      </c>
      <c r="I204" s="34"/>
      <c r="J204" s="149" t="str">
        <f>IF($F204="","",IFERROR(IFERROR(INDEX(Réttabanki!$U:$U,MATCH($F204,Réttabanki!$A:$A,0)),INDEX(Vöruskrá!$R:$R,MATCH($F204,Vöruskrá!$B:$B,0)))*($H204+IF($I204="",$H204*(1+#REF!),$I204))/2/1000,""))</f>
        <v/>
      </c>
      <c r="K204" s="21" t="s">
        <v>781</v>
      </c>
      <c r="L204" s="21" t="s">
        <v>30</v>
      </c>
      <c r="M204" s="21" t="s">
        <v>782</v>
      </c>
      <c r="N204" s="22">
        <v>146</v>
      </c>
      <c r="O204" s="22">
        <v>0.6</v>
      </c>
      <c r="P204" s="22">
        <v>0.1</v>
      </c>
      <c r="Q204" s="22">
        <v>30.4</v>
      </c>
      <c r="R204" s="22">
        <v>5</v>
      </c>
      <c r="S204" s="22">
        <v>0</v>
      </c>
      <c r="T204" s="65" t="str">
        <f>IF(F204="","",IFERROR(INDEX(Réttabanki!Q:Q,MATCH(F204,Réttabanki!A:A,0)),IFERROR(INDEX(Réttabanki!Q:Q,MATCH(F204,Réttabanki!B:B,0)),"")))</f>
        <v/>
      </c>
      <c r="U204" s="284"/>
      <c r="V204" s="284"/>
      <c r="W204" s="284"/>
      <c r="X204" s="284"/>
      <c r="Y204" s="284"/>
      <c r="Z204" s="284"/>
      <c r="AA204" s="284"/>
    </row>
    <row r="205" spans="1:27" ht="166.5">
      <c r="A205" s="31"/>
      <c r="B205" s="32" t="s">
        <v>1963</v>
      </c>
      <c r="C205" s="32">
        <v>33</v>
      </c>
      <c r="D205" s="33" t="s">
        <v>1850</v>
      </c>
      <c r="E205" s="33" t="s">
        <v>1867</v>
      </c>
      <c r="F205" s="33"/>
      <c r="G205" s="33" t="s">
        <v>2024</v>
      </c>
      <c r="H205" s="34"/>
      <c r="I205" s="34"/>
      <c r="J205" s="149" t="str">
        <f>IF($F205="","",IFERROR(IFERROR(INDEX(Réttabanki!$U:$U,MATCH($F205,Réttabanki!$A:$A,0)),INDEX(Vöruskrá!$R:$R,MATCH($F205,Vöruskrá!$B:$B,0)))*($H205+IF($I205="",$H205*(1+#REF!),$I205))/2/1000,""))</f>
        <v/>
      </c>
      <c r="K205" s="21" t="s">
        <v>2025</v>
      </c>
      <c r="L205" s="21" t="s">
        <v>2026</v>
      </c>
      <c r="M205" s="21" t="str">
        <f>IF($F205="","",IFERROR(IFERROR(INDEX(Réttabanki!$F:$F,MATCH($F205,Réttabanki!$A:$A,0)),INDEX(Vöruskrá!$H:$H,MATCH($F205,Vöruskrá!$B:$B,0))),""))</f>
        <v/>
      </c>
      <c r="N205" s="22" t="str">
        <f>IF($F205="","",IFERROR(IFERROR(INDEX(Réttabanki!$G:$G,MATCH($F205,Réttabanki!$A:$A,0)),INDEX(Vöruskrá!$J:$J,MATCH($F205,Vöruskrá!$B:$B,0)))*($H205+IF($I205="",$H205*(1+#REF!),$I205))/2/100,""))</f>
        <v/>
      </c>
      <c r="O205" s="22" t="str">
        <f>IF($F205="","",IFERROR(IFERROR(INDEX(Réttabanki!$H:$H,MATCH($F205,Réttabanki!$A:$A,0)),INDEX(Vöruskrá!$K:$K,MATCH($F205,Vöruskrá!$B:$B,0)))*($H205+IF($I205="",$H205*(1+#REF!),$I205))/2/100,""))</f>
        <v/>
      </c>
      <c r="P205" s="22" t="str">
        <f>IF($F205="","",IFERROR(IFERROR(INDEX(Réttabanki!$I:$I,MATCH($F205,Réttabanki!$A:$A,0)),INDEX(Vöruskrá!$L:$L,MATCH($F205,Vöruskrá!$B:$B,0)))*($H205+IF($I205="",$H205*(1+#REF!),$I205))/2/100,""))</f>
        <v/>
      </c>
      <c r="Q205" s="22" t="str">
        <f>IF($F205="","",IFERROR(IFERROR(INDEX(Réttabanki!$J:$J,MATCH($F205,Réttabanki!$A:$A,0)),INDEX(Vöruskrá!$M:$M,MATCH($F205,Vöruskrá!$B:$B,0)))*($H205+IF($I205="",$H205*(1+#REF!),$I205))/2/100,""))</f>
        <v/>
      </c>
      <c r="R205" s="22" t="str">
        <f>IF($F205="","",IFERROR(IFERROR(INDEX(Réttabanki!$L:$L,MATCH($F205,Réttabanki!$A:$A,0)),INDEX(Vöruskrá!$O:$O,MATCH($F205,Vöruskrá!$B:$B,0)))*($H205+IF($I205="",$H205*(1+#REF!),$I205))/2/100,""))</f>
        <v/>
      </c>
      <c r="S205" s="22" t="str">
        <f>IF($F205="","",IFERROR(IFERROR(INDEX(Réttabanki!$M:$M,MATCH($F205,Réttabanki!$A:$A,0)),INDEX(Vöruskrá!$P:$P,MATCH($F205,Vöruskrá!$B:$B,0)))*($H205+IF($I205="",$H205*(1+#REF!),$I205))/2/100,""))</f>
        <v/>
      </c>
      <c r="T205" s="66" t="str">
        <f>IF(F205="","",IFERROR(INDEX(Réttabanki!Q:Q,MATCH(F205,Réttabanki!A:A,0)),IFERROR(INDEX(Réttabanki!Q:Q,MATCH(F205,Réttabanki!B:B,0)),"")))</f>
        <v/>
      </c>
      <c r="U205" s="286"/>
      <c r="V205" s="286"/>
      <c r="W205" s="286"/>
      <c r="X205" s="286"/>
      <c r="Y205" s="286"/>
      <c r="Z205" s="286"/>
      <c r="AA205" s="286"/>
    </row>
    <row r="206" spans="1:27" ht="84">
      <c r="A206" s="31"/>
      <c r="B206" s="32" t="s">
        <v>1963</v>
      </c>
      <c r="C206" s="32">
        <v>33</v>
      </c>
      <c r="D206" s="33" t="s">
        <v>1850</v>
      </c>
      <c r="E206" s="33" t="s">
        <v>1867</v>
      </c>
      <c r="F206" s="33" t="s">
        <v>1145</v>
      </c>
      <c r="G206" s="33" t="s">
        <v>2027</v>
      </c>
      <c r="H206" s="34">
        <v>120</v>
      </c>
      <c r="I206" s="34"/>
      <c r="J206" s="149" t="str">
        <f>IF($F206="","",IFERROR(IFERROR(INDEX(Réttabanki!$U:$U,MATCH($F206,Réttabanki!$A:$A,0)),INDEX(Vöruskrá!$R:$R,MATCH($F206,Vöruskrá!$B:$B,0)))*($H206+IF($I206="",$H206*(1+#REF!),$I206))/2/1000,""))</f>
        <v/>
      </c>
      <c r="K206" s="21" t="s">
        <v>1146</v>
      </c>
      <c r="L206" s="21" t="s">
        <v>139</v>
      </c>
      <c r="M206" s="21" t="s">
        <v>1147</v>
      </c>
      <c r="N206" s="22">
        <v>92</v>
      </c>
      <c r="O206" s="22">
        <v>8.4</v>
      </c>
      <c r="P206" s="22">
        <v>7.6</v>
      </c>
      <c r="Q206" s="22">
        <v>5.3</v>
      </c>
      <c r="R206" s="22">
        <v>8.6999999999999993</v>
      </c>
      <c r="S206" s="22">
        <v>0.6</v>
      </c>
      <c r="T206" s="65" t="str">
        <f>IF(F206="","",IFERROR(INDEX(Réttabanki!Q:Q,MATCH(F206,Réttabanki!A:A,0)),IFERROR(INDEX(Réttabanki!Q:Q,MATCH(F206,Réttabanki!B:B,0)),"")))</f>
        <v/>
      </c>
      <c r="U206" s="284"/>
      <c r="V206" s="284"/>
      <c r="W206" s="284"/>
      <c r="X206" s="284"/>
      <c r="Y206" s="284"/>
      <c r="Z206" s="284"/>
      <c r="AA206" s="284"/>
    </row>
    <row r="207" spans="1:27">
      <c r="A207" s="31"/>
      <c r="B207" s="32" t="s">
        <v>1963</v>
      </c>
      <c r="C207" s="32">
        <v>33</v>
      </c>
      <c r="D207" s="33" t="s">
        <v>1850</v>
      </c>
      <c r="E207" s="33" t="s">
        <v>1867</v>
      </c>
      <c r="F207" s="33" t="s">
        <v>1079</v>
      </c>
      <c r="G207" s="33" t="s">
        <v>779</v>
      </c>
      <c r="H207" s="34">
        <v>150</v>
      </c>
      <c r="I207" s="34"/>
      <c r="J207" s="149" t="str">
        <f>IF($F207="","",IFERROR(IFERROR(INDEX(Réttabanki!$U:$U,MATCH($F207,Réttabanki!$A:$A,0)),INDEX(Vöruskrá!$R:$R,MATCH($F207,Vöruskrá!$B:$B,0)))*($H207+IF($I207="",$H207*(1+#REF!),$I207))/2/1000,""))</f>
        <v/>
      </c>
      <c r="K207" s="21" t="s">
        <v>781</v>
      </c>
      <c r="L207" s="21" t="s">
        <v>30</v>
      </c>
      <c r="M207" s="21" t="s">
        <v>782</v>
      </c>
      <c r="N207" s="22">
        <v>146</v>
      </c>
      <c r="O207" s="22">
        <v>0.6</v>
      </c>
      <c r="P207" s="22">
        <v>0.1</v>
      </c>
      <c r="Q207" s="22">
        <v>30.4</v>
      </c>
      <c r="R207" s="22">
        <v>5</v>
      </c>
      <c r="S207" s="22">
        <v>0</v>
      </c>
      <c r="T207" s="66" t="str">
        <f>IF(F207="","",IFERROR(INDEX(Réttabanki!Q:Q,MATCH(F207,Réttabanki!A:A,0)),IFERROR(INDEX(Réttabanki!Q:Q,MATCH(F207,Réttabanki!B:B,0)),"")))</f>
        <v/>
      </c>
      <c r="U207" s="286"/>
      <c r="V207" s="286"/>
      <c r="W207" s="286"/>
      <c r="X207" s="286"/>
      <c r="Y207" s="286"/>
      <c r="Z207" s="286"/>
      <c r="AA207" s="286"/>
    </row>
    <row r="208" spans="1:27" ht="84">
      <c r="A208" s="31"/>
      <c r="B208" s="32" t="s">
        <v>1963</v>
      </c>
      <c r="C208" s="32">
        <v>33</v>
      </c>
      <c r="D208" s="33" t="s">
        <v>1850</v>
      </c>
      <c r="E208" s="33" t="s">
        <v>946</v>
      </c>
      <c r="F208" s="33" t="s">
        <v>1386</v>
      </c>
      <c r="G208" s="33" t="s">
        <v>1386</v>
      </c>
      <c r="H208" s="34">
        <v>120</v>
      </c>
      <c r="I208" s="34"/>
      <c r="J208" s="149" t="str">
        <f>IF($F208="","",IFERROR(IFERROR(INDEX(Réttabanki!$U:$U,MATCH($F208,Réttabanki!$A:$A,0)),INDEX(Vöruskrá!$R:$R,MATCH($F208,Vöruskrá!$B:$B,0)))*($H208+IF($I208="",$H208*(1+#REF!),$I208))/2/1000,""))</f>
        <v/>
      </c>
      <c r="K208" s="21" t="s">
        <v>2028</v>
      </c>
      <c r="L208" s="21" t="s">
        <v>133</v>
      </c>
      <c r="M208" s="21"/>
      <c r="N208" s="22">
        <v>168</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6"/>
      <c r="U208" s="284"/>
      <c r="V208" s="284"/>
      <c r="W208" s="284"/>
      <c r="X208" s="284"/>
      <c r="Y208" s="284"/>
      <c r="Z208" s="284"/>
      <c r="AA208" s="284"/>
    </row>
    <row r="209" spans="1:27">
      <c r="A209" s="31"/>
      <c r="B209" s="32" t="s">
        <v>1963</v>
      </c>
      <c r="C209" s="32">
        <v>33</v>
      </c>
      <c r="D209" s="33" t="s">
        <v>1850</v>
      </c>
      <c r="E209" s="33" t="s">
        <v>946</v>
      </c>
      <c r="F209" s="33"/>
      <c r="G209" s="33" t="s">
        <v>1958</v>
      </c>
      <c r="H209" s="34">
        <v>150</v>
      </c>
      <c r="I209" s="34"/>
      <c r="J209" s="149" t="str">
        <f>IF($F209="","",IFERROR(IFERROR(INDEX(Réttabanki!$U:$U,MATCH($F209,Réttabanki!$A:$A,0)),INDEX(Vöruskrá!$R:$R,MATCH($F209,Vöruskrá!$B:$B,0)))*($H209+IF($I209="",$H209*(1+#REF!),$I209))/2/1000,""))</f>
        <v/>
      </c>
      <c r="K209" s="21"/>
      <c r="L209" s="21" t="s">
        <v>121</v>
      </c>
      <c r="M209" s="21"/>
      <c r="N209" s="22"/>
      <c r="O209" s="22"/>
      <c r="P209" s="22"/>
      <c r="Q209" s="22"/>
      <c r="R209" s="22"/>
      <c r="S209" s="22"/>
      <c r="T209" s="66"/>
      <c r="U209" s="286"/>
      <c r="V209" s="286"/>
      <c r="W209" s="286"/>
      <c r="X209" s="286"/>
      <c r="Y209" s="286"/>
      <c r="Z209" s="286"/>
      <c r="AA209" s="286"/>
    </row>
    <row r="210" spans="1:27">
      <c r="A210" s="31"/>
      <c r="B210" s="32" t="s">
        <v>1963</v>
      </c>
      <c r="C210" s="32">
        <v>33</v>
      </c>
      <c r="D210" s="33" t="s">
        <v>1850</v>
      </c>
      <c r="E210" s="33" t="s">
        <v>1877</v>
      </c>
      <c r="F210" s="33"/>
      <c r="G210" s="33" t="s">
        <v>2029</v>
      </c>
      <c r="H210" s="34"/>
      <c r="I210" s="34"/>
      <c r="J210" s="149" t="str">
        <f>IF($F210="","",IFERROR(IFERROR(INDEX(Réttabanki!$U:$U,MATCH($F210,Réttabanki!$A:$A,0)),INDEX(Vöruskrá!$R:$R,MATCH($F210,Vöruskrá!$B:$B,0)))*($H210+IF($I210="",$H210*(1+#REF!),$I210))/2/1000,""))</f>
        <v/>
      </c>
      <c r="K210" s="21"/>
      <c r="L210" s="21" t="s">
        <v>121</v>
      </c>
      <c r="M210" s="21" t="str">
        <f>IF($F210="","",IFERROR(IFERROR(INDEX(Réttabanki!$F:$F,MATCH($F210,Réttabanki!$A:$A,0)),INDEX(Vöruskrá!$H:$H,MATCH($F210,Vöruskrá!$B:$B,0))),""))</f>
        <v/>
      </c>
      <c r="N210" s="22" t="str">
        <f>IF($F210="","",IFERROR(IFERROR(INDEX(Réttabanki!$G:$G,MATCH($F210,Réttabanki!$A:$A,0)),INDEX(Vöruskrá!$J:$J,MATCH($F210,Vöruskrá!$B:$B,0)))*($H210+IF($I210="",$H210*(1+#REF!),$I210))/2/100,""))</f>
        <v/>
      </c>
      <c r="O210" s="22" t="str">
        <f>IF($F210="","",IFERROR(IFERROR(INDEX(Réttabanki!$H:$H,MATCH($F210,Réttabanki!$A:$A,0)),INDEX(Vöruskrá!$K:$K,MATCH($F210,Vöruskrá!$B:$B,0)))*($H210+IF($I210="",$H210*(1+#REF!),$I210))/2/100,""))</f>
        <v/>
      </c>
      <c r="P210" s="22" t="str">
        <f>IF($F210="","",IFERROR(IFERROR(INDEX(Réttabanki!$I:$I,MATCH($F210,Réttabanki!$A:$A,0)),INDEX(Vöruskrá!$L:$L,MATCH($F210,Vöruskrá!$B:$B,0)))*($H210+IF($I210="",$H210*(1+#REF!),$I210))/2/100,""))</f>
        <v/>
      </c>
      <c r="Q210" s="22" t="str">
        <f>IF($F210="","",IFERROR(IFERROR(INDEX(Réttabanki!$J:$J,MATCH($F210,Réttabanki!$A:$A,0)),INDEX(Vöruskrá!$M:$M,MATCH($F210,Vöruskrá!$B:$B,0)))*($H210+IF($I210="",$H210*(1+#REF!),$I210))/2/100,""))</f>
        <v/>
      </c>
      <c r="R210" s="22" t="str">
        <f>IF($F210="","",IFERROR(IFERROR(INDEX(Réttabanki!$L:$L,MATCH($F210,Réttabanki!$A:$A,0)),INDEX(Vöruskrá!$O:$O,MATCH($F210,Vöruskrá!$B:$B,0)))*($H210+IF($I210="",$H210*(1+#REF!),$I210))/2/100,""))</f>
        <v/>
      </c>
      <c r="S210" s="22" t="str">
        <f>IF($F210="","",IFERROR(IFERROR(INDEX(Réttabanki!$M:$M,MATCH($F210,Réttabanki!$A:$A,0)),INDEX(Vöruskrá!$P:$P,MATCH($F210,Vöruskrá!$B:$B,0)))*($H210+IF($I210="",$H210*(1+#REF!),$I210))/2/100,""))</f>
        <v/>
      </c>
      <c r="T210" s="65" t="str">
        <f>IF(F210="","",IFERROR(INDEX(Réttabanki!Q:Q,MATCH(F210,Réttabanki!A:A,0)),IFERROR(INDEX(Réttabanki!Q:Q,MATCH(F210,Réttabanki!B:B,0)),"")))</f>
        <v/>
      </c>
      <c r="U210" s="284"/>
      <c r="V210" s="284"/>
      <c r="W210" s="284"/>
      <c r="X210" s="284"/>
      <c r="Y210" s="284"/>
      <c r="Z210" s="284"/>
      <c r="AA210" s="284"/>
    </row>
    <row r="211" spans="1:27" ht="48">
      <c r="A211" s="31"/>
      <c r="B211" s="32" t="s">
        <v>1963</v>
      </c>
      <c r="C211" s="32">
        <v>33</v>
      </c>
      <c r="D211" s="33" t="s">
        <v>1850</v>
      </c>
      <c r="E211" s="33" t="s">
        <v>1885</v>
      </c>
      <c r="F211" s="33"/>
      <c r="G211" s="33" t="s">
        <v>2030</v>
      </c>
      <c r="H211" s="34"/>
      <c r="I211" s="34"/>
      <c r="J211" s="149" t="str">
        <f>IF($F211="","",IFERROR(IFERROR(INDEX(Réttabanki!$U:$U,MATCH($F211,Réttabanki!$A:$A,0)),INDEX(Vöruskrá!$R:$R,MATCH($F211,Vöruskrá!$B:$B,0)))*($H211+IF($I211="",$H211*(1+#REF!),$I211))/2/1000,""))</f>
        <v/>
      </c>
      <c r="K211" s="21" t="s">
        <v>2031</v>
      </c>
      <c r="L211" s="21" t="s">
        <v>36</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6" t="str">
        <f>IF(F211="","",IFERROR(INDEX(Réttabanki!Q:Q,MATCH(F211,Réttabanki!A:A,0)),IFERROR(INDEX(Réttabanki!Q:Q,MATCH(F211,Réttabanki!B:B,0)),"")))</f>
        <v/>
      </c>
      <c r="U211" s="286"/>
      <c r="V211" s="286"/>
      <c r="W211" s="286"/>
      <c r="X211" s="286"/>
      <c r="Y211" s="286"/>
      <c r="Z211" s="286"/>
      <c r="AA211" s="286"/>
    </row>
    <row r="212" spans="1:27" ht="36">
      <c r="A212" s="31"/>
      <c r="B212" s="32" t="s">
        <v>1963</v>
      </c>
      <c r="C212" s="32">
        <v>33</v>
      </c>
      <c r="D212" s="33" t="s">
        <v>1850</v>
      </c>
      <c r="E212" s="33" t="s">
        <v>1885</v>
      </c>
      <c r="F212" s="33" t="s">
        <v>34</v>
      </c>
      <c r="G212" s="33" t="s">
        <v>1421</v>
      </c>
      <c r="H212" s="34">
        <v>40</v>
      </c>
      <c r="I212" s="34"/>
      <c r="J212" s="149" t="str">
        <f>IF($F212="","",IFERROR(IFERROR(INDEX(Réttabanki!$U:$U,MATCH($F212,Réttabanki!$A:$A,0)),INDEX(Vöruskrá!$R:$R,MATCH($F212,Vöruskrá!$B:$B,0)))*($H212+IF($I212="",$H212*(1+#REF!),$I212))/2/1000,""))</f>
        <v/>
      </c>
      <c r="K212" s="21" t="s">
        <v>35</v>
      </c>
      <c r="L212" s="21" t="s">
        <v>36</v>
      </c>
      <c r="M212" s="21" t="s">
        <v>37</v>
      </c>
      <c r="N212" s="22">
        <v>311</v>
      </c>
      <c r="O212" s="22">
        <v>10.8</v>
      </c>
      <c r="P212" s="22">
        <v>1.3</v>
      </c>
      <c r="Q212" s="22">
        <v>40.299999999999997</v>
      </c>
      <c r="R212" s="22">
        <v>10.5</v>
      </c>
      <c r="S212" s="22">
        <v>1.1000000000000001</v>
      </c>
      <c r="T212" s="65" t="str">
        <f>IF(F212="","",IFERROR(INDEX(Réttabanki!Q:Q,MATCH(F212,Réttabanki!A:A,0)),IFERROR(INDEX(Réttabanki!Q:Q,MATCH(F212,Réttabanki!B:B,0)),"")))</f>
        <v/>
      </c>
      <c r="U212" s="284"/>
      <c r="V212" s="284"/>
      <c r="W212" s="284"/>
      <c r="X212" s="284"/>
      <c r="Y212" s="284"/>
      <c r="Z212" s="284"/>
      <c r="AA212" s="284"/>
    </row>
    <row r="213" spans="1:27">
      <c r="A213" s="31"/>
      <c r="B213" s="32" t="s">
        <v>1963</v>
      </c>
      <c r="C213" s="32">
        <v>33</v>
      </c>
      <c r="D213" s="33" t="s">
        <v>1850</v>
      </c>
      <c r="E213" s="33" t="s">
        <v>1885</v>
      </c>
      <c r="F213" s="33" t="s">
        <v>157</v>
      </c>
      <c r="G213" s="33" t="s">
        <v>2032</v>
      </c>
      <c r="H213" s="34">
        <v>20</v>
      </c>
      <c r="I213" s="34"/>
      <c r="J213" s="149" t="str">
        <f>IF($F213="","",IFERROR(IFERROR(INDEX(Réttabanki!$U:$U,MATCH($F213,Réttabanki!$A:$A,0)),INDEX(Vöruskrá!$R:$R,MATCH($F213,Vöruskrá!$B:$B,0)))*($H213+IF($I213="",$H213*(1+#REF!),$I213))/2/1000,""))</f>
        <v/>
      </c>
      <c r="K213" s="21" t="s">
        <v>159</v>
      </c>
      <c r="L213" s="21"/>
      <c r="M213" s="21"/>
      <c r="N213" s="22">
        <v>264</v>
      </c>
      <c r="O213" s="22">
        <v>24</v>
      </c>
      <c r="P213" s="22">
        <v>12</v>
      </c>
      <c r="Q213" s="22">
        <v>1</v>
      </c>
      <c r="R213" s="22">
        <v>11</v>
      </c>
      <c r="S213" s="22">
        <v>2.1</v>
      </c>
      <c r="T213" s="66" t="str">
        <f>IF(F213="","",IFERROR(INDEX(Réttabanki!Q:Q,MATCH(F213,Réttabanki!A:A,0)),IFERROR(INDEX(Réttabanki!Q:Q,MATCH(F213,Réttabanki!B:B,0)),"")))</f>
        <v/>
      </c>
      <c r="U213" s="286"/>
      <c r="V213" s="286"/>
      <c r="W213" s="286"/>
      <c r="X213" s="286"/>
      <c r="Y213" s="286"/>
      <c r="Z213" s="286"/>
      <c r="AA213" s="286"/>
    </row>
    <row r="214" spans="1:27">
      <c r="A214" s="155"/>
      <c r="B214" s="156" t="s">
        <v>1963</v>
      </c>
      <c r="C214" s="156">
        <v>33</v>
      </c>
      <c r="D214" s="157"/>
      <c r="E214" s="157"/>
      <c r="F214" s="157" t="s">
        <v>1894</v>
      </c>
      <c r="G214" s="157"/>
      <c r="H214" s="158"/>
      <c r="I214" s="158"/>
      <c r="J214" s="159">
        <f>SUMIFS(J202:J213,E202:E213,"&lt;&gt;Hliðarréttur",E202:E213,"&lt;&gt;Sérfæði")</f>
        <v>0</v>
      </c>
      <c r="K214" s="21" t="s">
        <v>1895</v>
      </c>
      <c r="L214" s="21"/>
      <c r="M214" s="21"/>
      <c r="N214" s="22"/>
      <c r="O214" s="22"/>
      <c r="P214" s="22"/>
      <c r="Q214" s="22"/>
      <c r="R214" s="22"/>
      <c r="S214" s="22"/>
      <c r="T214" s="66"/>
      <c r="U214" s="284"/>
      <c r="V214" s="284"/>
      <c r="W214" s="284"/>
      <c r="X214" s="284"/>
      <c r="Y214" s="284"/>
      <c r="Z214" s="284"/>
      <c r="AA214" s="284"/>
    </row>
    <row r="215" spans="1:27">
      <c r="A215" s="155"/>
      <c r="B215" s="156" t="s">
        <v>1963</v>
      </c>
      <c r="C215" s="156">
        <v>33</v>
      </c>
      <c r="D215" s="157"/>
      <c r="E215" s="157"/>
      <c r="F215" s="157" t="s">
        <v>1897</v>
      </c>
      <c r="G215" s="157"/>
      <c r="H215" s="158"/>
      <c r="I215" s="158"/>
      <c r="J215" s="159">
        <f>SUMIFS(J202:J213,E202:E213,"&lt;&gt;Hliðarréttur",E202:E213,"&lt;&gt;Sérfæði")</f>
        <v>0</v>
      </c>
      <c r="K215" s="21" t="s">
        <v>1895</v>
      </c>
      <c r="L215" s="21"/>
      <c r="M215" s="21"/>
      <c r="N215" s="22"/>
      <c r="O215" s="22"/>
      <c r="P215" s="22"/>
      <c r="Q215" s="22"/>
      <c r="R215" s="22"/>
      <c r="S215" s="22"/>
      <c r="T215" s="66"/>
      <c r="U215" s="286"/>
      <c r="V215" s="286"/>
      <c r="W215" s="286"/>
      <c r="X215" s="286"/>
      <c r="Y215" s="286"/>
      <c r="Z215" s="286"/>
      <c r="AA215" s="286"/>
    </row>
    <row r="216" spans="1:27">
      <c r="A216" s="31">
        <v>46251</v>
      </c>
      <c r="B216" s="32" t="s">
        <v>1851</v>
      </c>
      <c r="C216" s="32">
        <v>34</v>
      </c>
      <c r="D216" s="33" t="s">
        <v>1856</v>
      </c>
      <c r="E216" s="33" t="s">
        <v>1852</v>
      </c>
      <c r="F216" s="33"/>
      <c r="G216" s="33" t="s">
        <v>2033</v>
      </c>
      <c r="H216" s="34"/>
      <c r="I216" s="34"/>
      <c r="J216" s="149" t="str">
        <f>IF($F216="","",IFERROR(IFERROR(INDEX(Réttabanki!$U:$U,MATCH($F216,Réttabanki!$A:$A,0)),INDEX(Vöruskrá!$R:$R,MATCH($F216,Vöruskrá!$B:$B,0)))*($H216+IF($I216="",$H216*(1+#REF!),$I216))/2/1000,""))</f>
        <v/>
      </c>
      <c r="K216" s="21"/>
      <c r="L216" s="21" t="s">
        <v>121</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5" t="str">
        <f>IF(F216="","",IFERROR(INDEX(Réttabanki!Q:Q,MATCH(F216,Réttabanki!A:A,0)),IFERROR(INDEX(Réttabanki!Q:Q,MATCH(F216,Réttabanki!B:B,0)),"")))</f>
        <v/>
      </c>
      <c r="U216" s="284"/>
      <c r="V216" s="284"/>
      <c r="W216" s="284"/>
      <c r="X216" s="284"/>
      <c r="Y216" s="284"/>
      <c r="Z216" s="284"/>
      <c r="AA216" s="284"/>
    </row>
    <row r="217" spans="1:27" ht="142.5">
      <c r="A217" s="31"/>
      <c r="B217" s="32" t="s">
        <v>1851</v>
      </c>
      <c r="C217" s="32">
        <v>34</v>
      </c>
      <c r="D217" s="33" t="s">
        <v>1825</v>
      </c>
      <c r="E217" s="33" t="s">
        <v>1852</v>
      </c>
      <c r="F217" s="33"/>
      <c r="G217" s="33" t="s">
        <v>2034</v>
      </c>
      <c r="H217" s="34"/>
      <c r="I217" s="34"/>
      <c r="J217" s="149"/>
      <c r="K217" s="21" t="s">
        <v>2035</v>
      </c>
      <c r="L217" s="21" t="s">
        <v>2036</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65"/>
      <c r="U217" s="286"/>
      <c r="V217" s="286"/>
      <c r="W217" s="286"/>
      <c r="X217" s="286"/>
      <c r="Y217" s="286"/>
      <c r="Z217" s="286"/>
      <c r="AA217" s="286"/>
    </row>
    <row r="218" spans="1:27" ht="60">
      <c r="A218" s="31"/>
      <c r="B218" s="32" t="s">
        <v>1851</v>
      </c>
      <c r="C218" s="32">
        <v>34</v>
      </c>
      <c r="D218" s="33" t="s">
        <v>1856</v>
      </c>
      <c r="E218" s="33" t="s">
        <v>1852</v>
      </c>
      <c r="F218" s="33" t="s">
        <v>1524</v>
      </c>
      <c r="G218" s="33" t="s">
        <v>2037</v>
      </c>
      <c r="H218" s="34"/>
      <c r="I218" s="34">
        <v>180</v>
      </c>
      <c r="J218" s="149">
        <f>IF($F218="","",IFERROR(IFERROR(INDEX(Réttabanki!$U:$U,MATCH($F218,Réttabanki!$A:$A,0)),INDEX(Vöruskrá!$R:$R,MATCH($F218,Vöruskrá!$B:$B,0)))*($H218+IF($I218="",$H218*(1+#REF!),$I218))/2/1000,""))</f>
        <v>136.62288000000001</v>
      </c>
      <c r="K218" s="21" t="s">
        <v>1525</v>
      </c>
      <c r="L218" s="21" t="s">
        <v>1526</v>
      </c>
      <c r="M218" s="21"/>
      <c r="N218" s="22">
        <v>125.59</v>
      </c>
      <c r="O218" s="22">
        <v>7.69</v>
      </c>
      <c r="P218" s="22">
        <v>2.72</v>
      </c>
      <c r="Q218" s="22">
        <v>5.54</v>
      </c>
      <c r="R218" s="22">
        <v>8.32</v>
      </c>
      <c r="S218" s="22">
        <v>1.72</v>
      </c>
      <c r="T218" s="66"/>
      <c r="U218" s="284"/>
      <c r="V218" s="284"/>
      <c r="W218" s="284"/>
      <c r="X218" s="284"/>
      <c r="Y218" s="284"/>
      <c r="Z218" s="284"/>
      <c r="AA218" s="284"/>
    </row>
    <row r="219" spans="1:27" ht="84">
      <c r="A219" s="31"/>
      <c r="B219" s="32" t="s">
        <v>1851</v>
      </c>
      <c r="C219" s="32">
        <v>34</v>
      </c>
      <c r="D219" s="33" t="s">
        <v>1850</v>
      </c>
      <c r="E219" s="33" t="s">
        <v>1852</v>
      </c>
      <c r="F219" s="33" t="s">
        <v>854</v>
      </c>
      <c r="G219" s="33" t="s">
        <v>2037</v>
      </c>
      <c r="H219" s="34">
        <v>160</v>
      </c>
      <c r="I219" s="34"/>
      <c r="J219" s="149" t="str">
        <f>IF($F219="","",IFERROR(IFERROR(INDEX(Réttabanki!$U:$U,MATCH($F219,Réttabanki!$A:$A,0)),INDEX(Vöruskrá!$R:$R,MATCH($F219,Vöruskrá!$B:$B,0)))*($H219+IF($I219="",$H219*(1+#REF!),$I219))/2/1000,""))</f>
        <v/>
      </c>
      <c r="K219" s="21" t="s">
        <v>1476</v>
      </c>
      <c r="L219" s="21" t="s">
        <v>1477</v>
      </c>
      <c r="M219" s="21"/>
      <c r="N219" s="22">
        <v>145.88999999999999</v>
      </c>
      <c r="O219" s="22">
        <v>9.41</v>
      </c>
      <c r="P219" s="22">
        <v>2.71</v>
      </c>
      <c r="Q219" s="22">
        <v>5.39</v>
      </c>
      <c r="R219" s="22">
        <v>10.34</v>
      </c>
      <c r="S219" s="22">
        <v>1.56</v>
      </c>
      <c r="T219" s="65"/>
      <c r="U219" s="286"/>
      <c r="V219" s="286"/>
      <c r="W219" s="286"/>
      <c r="X219" s="286"/>
      <c r="Y219" s="286"/>
      <c r="Z219" s="286"/>
      <c r="AA219" s="286"/>
    </row>
    <row r="220" spans="1:27">
      <c r="A220" s="31"/>
      <c r="B220" s="32" t="s">
        <v>1851</v>
      </c>
      <c r="C220" s="32">
        <v>34</v>
      </c>
      <c r="D220" s="33" t="s">
        <v>1825</v>
      </c>
      <c r="E220" s="33" t="s">
        <v>1852</v>
      </c>
      <c r="F220" s="33" t="s">
        <v>306</v>
      </c>
      <c r="G220" s="33" t="s">
        <v>1967</v>
      </c>
      <c r="H220" s="34">
        <v>80</v>
      </c>
      <c r="I220" s="34">
        <v>100</v>
      </c>
      <c r="J220" s="149">
        <f>IF($F220="","",IFERROR(IFERROR(INDEX(Réttabanki!$U:$U,MATCH($F220,Réttabanki!$A:$A,0)),INDEX(Vöruskrá!$R:$R,MATCH($F220,Vöruskrá!$B:$B,0)))*($H220+IF($I220="",$H220*(1+#REF!),$I220))/2/1000,""))</f>
        <v>31.5</v>
      </c>
      <c r="K220" s="21" t="s">
        <v>304</v>
      </c>
      <c r="L220" s="21" t="s">
        <v>121</v>
      </c>
      <c r="M220" s="21"/>
      <c r="N220" s="22">
        <v>130</v>
      </c>
      <c r="O220" s="22">
        <v>0.3</v>
      </c>
      <c r="P220" s="22">
        <v>0.1</v>
      </c>
      <c r="Q220" s="22">
        <v>28.6</v>
      </c>
      <c r="R220" s="22">
        <v>2.7</v>
      </c>
      <c r="S220" s="22">
        <v>0</v>
      </c>
      <c r="T220" s="66" t="str">
        <f>IF(F220="","",IFERROR(INDEX(Réttabanki!Q:Q,MATCH(F220,Réttabanki!A:A,0)),IFERROR(INDEX(Réttabanki!Q:Q,MATCH(F220,Réttabanki!B:B,0)),"")))</f>
        <v/>
      </c>
      <c r="U220" s="284"/>
      <c r="V220" s="284"/>
      <c r="W220" s="284"/>
      <c r="X220" s="284"/>
      <c r="Y220" s="284"/>
      <c r="Z220" s="284"/>
      <c r="AA220" s="284"/>
    </row>
    <row r="221" spans="1:27" ht="142.5">
      <c r="A221" s="31"/>
      <c r="B221" s="32" t="s">
        <v>1851</v>
      </c>
      <c r="C221" s="32">
        <v>34</v>
      </c>
      <c r="D221" s="33" t="s">
        <v>1825</v>
      </c>
      <c r="E221" s="33" t="s">
        <v>1867</v>
      </c>
      <c r="F221" s="33"/>
      <c r="G221" s="33" t="s">
        <v>2038</v>
      </c>
      <c r="H221" s="34"/>
      <c r="I221" s="34"/>
      <c r="J221" s="149"/>
      <c r="K221" s="21" t="s">
        <v>2039</v>
      </c>
      <c r="L221" s="21" t="s">
        <v>30</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6"/>
      <c r="U221" s="286"/>
      <c r="V221" s="286"/>
      <c r="W221" s="286"/>
      <c r="X221" s="286"/>
      <c r="Y221" s="286"/>
      <c r="Z221" s="286"/>
      <c r="AA221" s="286"/>
    </row>
    <row r="222" spans="1:27" ht="72">
      <c r="A222" s="31"/>
      <c r="B222" s="32" t="s">
        <v>1851</v>
      </c>
      <c r="C222" s="32">
        <v>34</v>
      </c>
      <c r="D222" s="33" t="s">
        <v>1825</v>
      </c>
      <c r="E222" s="33" t="s">
        <v>1867</v>
      </c>
      <c r="F222" s="33" t="s">
        <v>1239</v>
      </c>
      <c r="G222" s="33" t="s">
        <v>2040</v>
      </c>
      <c r="H222" s="34">
        <v>160</v>
      </c>
      <c r="I222" s="34">
        <v>180</v>
      </c>
      <c r="J222" s="149">
        <f>IF($F222="","",IFERROR(IFERROR(INDEX(Réttabanki!$U:$U,MATCH($F222,Réttabanki!$A:$A,0)),INDEX(Vöruskrá!$R:$R,MATCH($F222,Vöruskrá!$B:$B,0)))*($H222+IF($I222="",$H222*(1+#REF!),$I222))/2/1000,""))</f>
        <v>204</v>
      </c>
      <c r="K222" s="21" t="s">
        <v>1241</v>
      </c>
      <c r="L222" s="21"/>
      <c r="M222" s="21" t="s">
        <v>499</v>
      </c>
      <c r="N222" s="22">
        <v>139</v>
      </c>
      <c r="O222" s="22">
        <v>4.9000000000000004</v>
      </c>
      <c r="P222" s="22">
        <v>1.7</v>
      </c>
      <c r="Q222" s="22">
        <v>13.7</v>
      </c>
      <c r="R222" s="22">
        <v>8.3000000000000007</v>
      </c>
      <c r="S222" s="22">
        <v>0.7</v>
      </c>
      <c r="T222" s="65" t="str">
        <f>IF(F222="","",IFERROR(INDEX(Réttabanki!Q:Q,MATCH(F222,Réttabanki!A:A,0)),IFERROR(INDEX(Réttabanki!Q:Q,MATCH(F222,Réttabanki!B:B,0)),"")))</f>
        <v/>
      </c>
      <c r="U222" s="284"/>
      <c r="V222" s="284"/>
      <c r="W222" s="284"/>
      <c r="X222" s="284"/>
      <c r="Y222" s="284"/>
      <c r="Z222" s="284"/>
      <c r="AA222" s="284"/>
    </row>
    <row r="223" spans="1:27">
      <c r="A223" s="31"/>
      <c r="B223" s="32" t="s">
        <v>1851</v>
      </c>
      <c r="C223" s="32">
        <v>34</v>
      </c>
      <c r="D223" s="33" t="s">
        <v>1825</v>
      </c>
      <c r="E223" s="33" t="s">
        <v>1867</v>
      </c>
      <c r="F223" s="33" t="s">
        <v>306</v>
      </c>
      <c r="G223" s="33" t="s">
        <v>1967</v>
      </c>
      <c r="H223" s="34">
        <v>80</v>
      </c>
      <c r="I223" s="34">
        <v>100</v>
      </c>
      <c r="J223" s="149">
        <f>IF($F223="","",IFERROR(IFERROR(INDEX(Réttabanki!$U:$U,MATCH($F223,Réttabanki!$A:$A,0)),INDEX(Vöruskrá!$R:$R,MATCH($F223,Vöruskrá!$B:$B,0)))*($H223+IF($I223="",$H223*(1+#REF!),$I223))/2/1000,""))</f>
        <v>31.5</v>
      </c>
      <c r="K223" s="21" t="s">
        <v>304</v>
      </c>
      <c r="L223" s="21" t="s">
        <v>121</v>
      </c>
      <c r="M223" s="21"/>
      <c r="N223" s="22">
        <v>130</v>
      </c>
      <c r="O223" s="22">
        <v>0.3</v>
      </c>
      <c r="P223" s="22">
        <v>0.1</v>
      </c>
      <c r="Q223" s="22">
        <v>28.6</v>
      </c>
      <c r="R223" s="22">
        <v>2.7</v>
      </c>
      <c r="S223" s="22">
        <v>0</v>
      </c>
      <c r="T223" s="66" t="str">
        <f>IF(F223="","",IFERROR(INDEX(Réttabanki!Q:Q,MATCH(F223,Réttabanki!A:A,0)),IFERROR(INDEX(Réttabanki!Q:Q,MATCH(F223,Réttabanki!B:B,0)),"")))</f>
        <v/>
      </c>
      <c r="U223" s="286"/>
      <c r="V223" s="286"/>
      <c r="W223" s="286"/>
      <c r="X223" s="286"/>
      <c r="Y223" s="286"/>
      <c r="Z223" s="286"/>
      <c r="AA223" s="286"/>
    </row>
    <row r="224" spans="1:27" ht="36">
      <c r="A224" s="31"/>
      <c r="B224" s="32" t="s">
        <v>1851</v>
      </c>
      <c r="C224" s="32">
        <v>34</v>
      </c>
      <c r="D224" s="33" t="s">
        <v>1825</v>
      </c>
      <c r="E224" s="33" t="s">
        <v>1852</v>
      </c>
      <c r="F224" s="33" t="s">
        <v>1234</v>
      </c>
      <c r="G224" s="33" t="s">
        <v>1234</v>
      </c>
      <c r="H224" s="34">
        <v>20</v>
      </c>
      <c r="I224" s="34">
        <v>20</v>
      </c>
      <c r="J224" s="149">
        <f>IF($F224="","",IFERROR(IFERROR(INDEX(Réttabanki!$U:$U,MATCH($F224,Réttabanki!$A:$A,0)),INDEX(Vöruskrá!$R:$R,MATCH($F224,Vöruskrá!$B:$B,0)))*($H224+IF($I224="",$H224*(1+#REF!),$I224))/2/1000,""))</f>
        <v>29.32</v>
      </c>
      <c r="K224" s="21" t="s">
        <v>1236</v>
      </c>
      <c r="L224" s="21" t="s">
        <v>30</v>
      </c>
      <c r="M224" s="21" t="s">
        <v>1237</v>
      </c>
      <c r="N224" s="22">
        <v>225.3</v>
      </c>
      <c r="O224" s="22">
        <v>2</v>
      </c>
      <c r="P224" s="22">
        <v>0.6</v>
      </c>
      <c r="Q224" s="22">
        <v>48.5</v>
      </c>
      <c r="R224" s="22">
        <v>7.4</v>
      </c>
      <c r="S224" s="22">
        <v>0.24</v>
      </c>
      <c r="T224" s="65" t="str">
        <f>IF(F224="","",IFERROR(INDEX(Réttabanki!Q:Q,MATCH(F224,Réttabanki!A:A,0)),IFERROR(INDEX(Réttabanki!Q:Q,MATCH(F224,Réttabanki!B:B,0)),"")))</f>
        <v/>
      </c>
      <c r="U224" s="284"/>
      <c r="V224" s="284"/>
      <c r="W224" s="284"/>
      <c r="X224" s="284"/>
      <c r="Y224" s="284"/>
      <c r="Z224" s="284"/>
      <c r="AA224" s="284"/>
    </row>
    <row r="225" spans="1:27" ht="36">
      <c r="A225" s="31"/>
      <c r="B225" s="32" t="s">
        <v>1851</v>
      </c>
      <c r="C225" s="32">
        <v>34</v>
      </c>
      <c r="D225" s="33" t="s">
        <v>1825</v>
      </c>
      <c r="E225" s="33" t="s">
        <v>1867</v>
      </c>
      <c r="F225" s="33" t="s">
        <v>1234</v>
      </c>
      <c r="G225" s="33" t="s">
        <v>1234</v>
      </c>
      <c r="H225" s="34">
        <v>20</v>
      </c>
      <c r="I225" s="34">
        <v>20</v>
      </c>
      <c r="J225" s="149">
        <f>IF($F225="","",IFERROR(IFERROR(INDEX(Réttabanki!$U:$U,MATCH($F225,Réttabanki!$A:$A,0)),INDEX(Vöruskrá!$R:$R,MATCH($F225,Vöruskrá!$B:$B,0)))*($H225+IF($I225="",$H225*(1+#REF!),$I225))/2/1000,""))</f>
        <v>29.32</v>
      </c>
      <c r="K225" s="21" t="s">
        <v>1236</v>
      </c>
      <c r="L225" s="21" t="s">
        <v>30</v>
      </c>
      <c r="M225" s="21" t="s">
        <v>1237</v>
      </c>
      <c r="N225" s="22">
        <v>225.3</v>
      </c>
      <c r="O225" s="22">
        <v>2</v>
      </c>
      <c r="P225" s="22">
        <v>0.6</v>
      </c>
      <c r="Q225" s="22">
        <v>48.5</v>
      </c>
      <c r="R225" s="22">
        <v>7.4</v>
      </c>
      <c r="S225" s="22">
        <v>0.24</v>
      </c>
      <c r="T225" s="66" t="str">
        <f>IF(F225="","",IFERROR(INDEX(Réttabanki!Q:Q,MATCH(F225,Réttabanki!A:A,0)),IFERROR(INDEX(Réttabanki!Q:Q,MATCH(F225,Réttabanki!B:B,0)),"")))</f>
        <v/>
      </c>
      <c r="U225" s="286"/>
      <c r="V225" s="286"/>
      <c r="W225" s="286"/>
      <c r="X225" s="286"/>
      <c r="Y225" s="286"/>
      <c r="Z225" s="286"/>
      <c r="AA225" s="286"/>
    </row>
    <row r="226" spans="1:27">
      <c r="A226" s="31"/>
      <c r="B226" s="32" t="s">
        <v>1851</v>
      </c>
      <c r="C226" s="32">
        <v>34</v>
      </c>
      <c r="D226" s="33" t="s">
        <v>1856</v>
      </c>
      <c r="E226" s="33" t="s">
        <v>1852</v>
      </c>
      <c r="F226" s="33"/>
      <c r="G226" s="33" t="s">
        <v>2041</v>
      </c>
      <c r="H226" s="34"/>
      <c r="I226" s="34"/>
      <c r="J226" s="149" t="str">
        <f>IF($F226="","",IFERROR(IFERROR(INDEX(Réttabanki!$U:$U,MATCH($F226,Réttabanki!$A:$A,0)),INDEX(Vöruskrá!$R:$R,MATCH($F226,Vöruskrá!$B:$B,0)))*($H226+IF($I226="",$H226*(1+#REF!),$I226))/2/1000,""))</f>
        <v/>
      </c>
      <c r="K226" s="21"/>
      <c r="L226" s="21" t="s">
        <v>121</v>
      </c>
      <c r="M226" s="21" t="str">
        <f>IF($F226="","",IFERROR(IFERROR(INDEX(Réttabanki!$F:$F,MATCH($F226,Réttabanki!$A:$A,0)),INDEX(Vöruskrá!$H:$H,MATCH($F226,Vöruskrá!$B:$B,0))),""))</f>
        <v/>
      </c>
      <c r="N226" s="22" t="str">
        <f>IF($F226="","",IFERROR(IFERROR(INDEX(Réttabanki!$G:$G,MATCH($F226,Réttabanki!$A:$A,0)),INDEX(Vöruskrá!$J:$J,MATCH($F226,Vöruskrá!$B:$B,0)))*($H226+IF($I226="",$H226*(1+#REF!),$I226))/2/100,""))</f>
        <v/>
      </c>
      <c r="O226" s="22" t="str">
        <f>IF($F226="","",IFERROR(IFERROR(INDEX(Réttabanki!$H:$H,MATCH($F226,Réttabanki!$A:$A,0)),INDEX(Vöruskrá!$K:$K,MATCH($F226,Vöruskrá!$B:$B,0)))*($H226+IF($I226="",$H226*(1+#REF!),$I226))/2/100,""))</f>
        <v/>
      </c>
      <c r="P226" s="22" t="str">
        <f>IF($F226="","",IFERROR(IFERROR(INDEX(Réttabanki!$I:$I,MATCH($F226,Réttabanki!$A:$A,0)),INDEX(Vöruskrá!$L:$L,MATCH($F226,Vöruskrá!$B:$B,0)))*($H226+IF($I226="",$H226*(1+#REF!),$I226))/2/100,""))</f>
        <v/>
      </c>
      <c r="Q226" s="22" t="str">
        <f>IF($F226="","",IFERROR(IFERROR(INDEX(Réttabanki!$J:$J,MATCH($F226,Réttabanki!$A:$A,0)),INDEX(Vöruskrá!$M:$M,MATCH($F226,Vöruskrá!$B:$B,0)))*($H226+IF($I226="",$H226*(1+#REF!),$I226))/2/100,""))</f>
        <v/>
      </c>
      <c r="R226" s="22" t="str">
        <f>IF($F226="","",IFERROR(IFERROR(INDEX(Réttabanki!$L:$L,MATCH($F226,Réttabanki!$A:$A,0)),INDEX(Vöruskrá!$O:$O,MATCH($F226,Vöruskrá!$B:$B,0)))*($H226+IF($I226="",$H226*(1+#REF!),$I226))/2/100,""))</f>
        <v/>
      </c>
      <c r="S226" s="22" t="str">
        <f>IF($F226="","",IFERROR(IFERROR(INDEX(Réttabanki!$M:$M,MATCH($F226,Réttabanki!$A:$A,0)),INDEX(Vöruskrá!$P:$P,MATCH($F226,Vöruskrá!$B:$B,0)))*($H226+IF($I226="",$H226*(1+#REF!),$I226))/2/100,""))</f>
        <v/>
      </c>
      <c r="T226" s="65" t="str">
        <f>IF(F226="","",IFERROR(INDEX(Réttabanki!Q:Q,MATCH(F226,Réttabanki!A:A,0)),IFERROR(INDEX(Réttabanki!Q:Q,MATCH(F226,Réttabanki!B:B,0)),"")))</f>
        <v/>
      </c>
      <c r="U226" s="284"/>
      <c r="V226" s="284"/>
      <c r="W226" s="284"/>
      <c r="X226" s="284"/>
      <c r="Y226" s="284"/>
      <c r="Z226" s="284"/>
      <c r="AA226" s="284"/>
    </row>
    <row r="227" spans="1:27">
      <c r="A227" s="31"/>
      <c r="B227" s="32" t="s">
        <v>1851</v>
      </c>
      <c r="C227" s="32">
        <v>34</v>
      </c>
      <c r="D227" s="33" t="s">
        <v>1850</v>
      </c>
      <c r="E227" s="33" t="s">
        <v>1877</v>
      </c>
      <c r="F227" s="33"/>
      <c r="G227" s="33"/>
      <c r="H227" s="34"/>
      <c r="I227" s="34"/>
      <c r="J227" s="149" t="str">
        <f>IF($F227="","",IFERROR(IFERROR(INDEX(Réttabanki!$U:$U,MATCH($F227,Réttabanki!$A:$A,0)),INDEX(Vöruskrá!$R:$R,MATCH($F227,Vöruskrá!$B:$B,0)))*($H227+IF($I227="",$H227*(1+#REF!),$I227))/2/1000,""))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IF($F227="","",IFERROR(IFERROR(INDEX(Réttabanki!$G:$G,MATCH($F227,Réttabanki!$A:$A,0)),INDEX(Vöruskrá!$J:$J,MATCH($F227,Vöruskrá!$B:$B,0)))*($H227+IF($I227="",$H227*(1+#REF!),$I227))/2/100,""))</f>
        <v/>
      </c>
      <c r="O227" s="22" t="str">
        <f>IF($F227="","",IFERROR(IFERROR(INDEX(Réttabanki!$H:$H,MATCH($F227,Réttabanki!$A:$A,0)),INDEX(Vöruskrá!$K:$K,MATCH($F227,Vöruskrá!$B:$B,0)))*($H227+IF($I227="",$H227*(1+#REF!),$I227))/2/100,""))</f>
        <v/>
      </c>
      <c r="P227" s="22" t="str">
        <f>IF($F227="","",IFERROR(IFERROR(INDEX(Réttabanki!$I:$I,MATCH($F227,Réttabanki!$A:$A,0)),INDEX(Vöruskrá!$L:$L,MATCH($F227,Vöruskrá!$B:$B,0)))*($H227+IF($I227="",$H227*(1+#REF!),$I227))/2/100,""))</f>
        <v/>
      </c>
      <c r="Q227" s="22" t="str">
        <f>IF($F227="","",IFERROR(IFERROR(INDEX(Réttabanki!$J:$J,MATCH($F227,Réttabanki!$A:$A,0)),INDEX(Vöruskrá!$M:$M,MATCH($F227,Vöruskrá!$B:$B,0)))*($H227+IF($I227="",$H227*(1+#REF!),$I227))/2/100,""))</f>
        <v/>
      </c>
      <c r="R227" s="22" t="str">
        <f>IF($F227="","",IFERROR(IFERROR(INDEX(Réttabanki!$L:$L,MATCH($F227,Réttabanki!$A:$A,0)),INDEX(Vöruskrá!$O:$O,MATCH($F227,Vöruskrá!$B:$B,0)))*($H227+IF($I227="",$H227*(1+#REF!),$I227))/2/100,""))</f>
        <v/>
      </c>
      <c r="S227" s="22" t="str">
        <f>IF($F227="","",IFERROR(IFERROR(INDEX(Réttabanki!$M:$M,MATCH($F227,Réttabanki!$A:$A,0)),INDEX(Vöruskrá!$P:$P,MATCH($F227,Vöruskrá!$B:$B,0)))*($H227+IF($I227="",$H227*(1+#REF!),$I227))/2/100,""))</f>
        <v/>
      </c>
      <c r="T227" s="66" t="str">
        <f>IF(F227="","",IFERROR(INDEX(Réttabanki!Q:Q,MATCH(F227,Réttabanki!A:A,0)),IFERROR(INDEX(Réttabanki!Q:Q,MATCH(F227,Réttabanki!B:B,0)),"")))</f>
        <v/>
      </c>
      <c r="U227" s="286"/>
      <c r="V227" s="286"/>
      <c r="W227" s="286"/>
      <c r="X227" s="286"/>
      <c r="Y227" s="286"/>
      <c r="Z227" s="286"/>
      <c r="AA227" s="286"/>
    </row>
    <row r="228" spans="1:27">
      <c r="A228" s="31"/>
      <c r="B228" s="32" t="s">
        <v>1851</v>
      </c>
      <c r="C228" s="32">
        <v>34</v>
      </c>
      <c r="D228" s="33" t="s">
        <v>1856</v>
      </c>
      <c r="E228" s="33" t="s">
        <v>1877</v>
      </c>
      <c r="F228" s="33"/>
      <c r="G228" s="33"/>
      <c r="H228" s="34"/>
      <c r="I228" s="34"/>
      <c r="J228" s="149" t="str">
        <f>IF($F228="","",IFERROR(IFERROR(INDEX(Réttabanki!$U:$U,MATCH($F228,Réttabanki!$A:$A,0)),INDEX(Vöruskrá!$R:$R,MATCH($F228,Vöruskrá!$B:$B,0)))*($H228+IF($I228="",$H228*(1+#REF!),$I228))/2/1000,""))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IF($F228="","",IFERROR(IFERROR(INDEX(Réttabanki!$G:$G,MATCH($F228,Réttabanki!$A:$A,0)),INDEX(Vöruskrá!$J:$J,MATCH($F228,Vöruskrá!$B:$B,0)))*($H228+IF($I228="",$H228*(1+#REF!),$I228))/2/100,""))</f>
        <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65" t="str">
        <f>IF(F228="","",IFERROR(INDEX(Réttabanki!Q:Q,MATCH(F228,Réttabanki!A:A,0)),IFERROR(INDEX(Réttabanki!Q:Q,MATCH(F228,Réttabanki!B:B,0)),"")))</f>
        <v/>
      </c>
      <c r="U228" s="284"/>
      <c r="V228" s="284"/>
      <c r="W228" s="284"/>
      <c r="X228" s="284"/>
      <c r="Y228" s="284"/>
      <c r="Z228" s="284"/>
      <c r="AA228" s="284"/>
    </row>
    <row r="229" spans="1:27" ht="36">
      <c r="A229" s="31"/>
      <c r="B229" s="32" t="s">
        <v>1851</v>
      </c>
      <c r="C229" s="32">
        <v>34</v>
      </c>
      <c r="D229" s="33" t="s">
        <v>1850</v>
      </c>
      <c r="E229" s="33" t="s">
        <v>1885</v>
      </c>
      <c r="F229" s="33"/>
      <c r="G229" s="33" t="s">
        <v>2042</v>
      </c>
      <c r="H229" s="34"/>
      <c r="I229" s="34"/>
      <c r="J229" s="149" t="str">
        <f>IF($F229="","",IFERROR(IFERROR(INDEX(Réttabanki!$U:$U,MATCH($F229,Réttabanki!$A:$A,0)),INDEX(Vöruskrá!$R:$R,MATCH($F229,Vöruskrá!$B:$B,0)))*($H229+IF($I229="",$H229*(1+#REF!),$I229))/2/1000,""))</f>
        <v/>
      </c>
      <c r="K229" s="21" t="s">
        <v>2043</v>
      </c>
      <c r="L229" s="21" t="s">
        <v>1920</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66" t="str">
        <f>IF(F229="","",IFERROR(INDEX(Réttabanki!Q:Q,MATCH(F229,Réttabanki!A:A,0)),IFERROR(INDEX(Réttabanki!Q:Q,MATCH(F229,Réttabanki!B:B,0)),"")))</f>
        <v/>
      </c>
      <c r="U229" s="286"/>
      <c r="V229" s="286"/>
      <c r="W229" s="286"/>
      <c r="X229" s="286"/>
      <c r="Y229" s="286"/>
      <c r="Z229" s="286"/>
      <c r="AA229" s="286"/>
    </row>
    <row r="230" spans="1:27" ht="36">
      <c r="A230" s="31"/>
      <c r="B230" s="32" t="s">
        <v>1851</v>
      </c>
      <c r="C230" s="32">
        <v>34</v>
      </c>
      <c r="D230" s="33" t="s">
        <v>1850</v>
      </c>
      <c r="E230" s="33" t="s">
        <v>1885</v>
      </c>
      <c r="F230" s="33" t="s">
        <v>340</v>
      </c>
      <c r="G230" s="33" t="s">
        <v>1921</v>
      </c>
      <c r="H230" s="34">
        <v>40</v>
      </c>
      <c r="I230" s="34"/>
      <c r="J230" s="149" t="str">
        <f>IF($F230="","",IFERROR(IFERROR(INDEX(Réttabanki!$U:$U,MATCH($F230,Réttabanki!$A:$A,0)),INDEX(Vöruskrá!$R:$R,MATCH($F230,Vöruskrá!$B:$B,0)))*($H230+IF($I230="",$H230*(1+#REF!),$I230))/2/1000,""))</f>
        <v/>
      </c>
      <c r="K230" s="21" t="s">
        <v>342</v>
      </c>
      <c r="L230" s="21" t="s">
        <v>343</v>
      </c>
      <c r="M230" s="21"/>
      <c r="N230" s="22">
        <v>296</v>
      </c>
      <c r="O230" s="22">
        <v>4.5</v>
      </c>
      <c r="P230" s="22">
        <v>0.5</v>
      </c>
      <c r="Q230" s="22">
        <v>52</v>
      </c>
      <c r="R230" s="22">
        <v>9.1</v>
      </c>
      <c r="S230" s="22">
        <v>0.8</v>
      </c>
      <c r="T230" s="65" t="str">
        <f>IF(F230="","",IFERROR(INDEX(Réttabanki!Q:Q,MATCH(F230,Réttabanki!A:A,0)),IFERROR(INDEX(Réttabanki!Q:Q,MATCH(F230,Réttabanki!B:B,0)),"")))</f>
        <v/>
      </c>
      <c r="U230" s="284"/>
      <c r="V230" s="284"/>
      <c r="W230" s="284"/>
      <c r="X230" s="284"/>
      <c r="Y230" s="284"/>
      <c r="Z230" s="284"/>
      <c r="AA230" s="284"/>
    </row>
    <row r="231" spans="1:27">
      <c r="A231" s="31"/>
      <c r="B231" s="32" t="s">
        <v>1851</v>
      </c>
      <c r="C231" s="32">
        <v>34</v>
      </c>
      <c r="D231" s="33" t="s">
        <v>1850</v>
      </c>
      <c r="E231" s="33" t="s">
        <v>1885</v>
      </c>
      <c r="F231" s="33" t="s">
        <v>557</v>
      </c>
      <c r="G231" s="33" t="s">
        <v>1883</v>
      </c>
      <c r="H231" s="34">
        <v>20</v>
      </c>
      <c r="I231" s="34"/>
      <c r="J231" s="149" t="str">
        <f>IF($F231="","",IFERROR(IFERROR(INDEX(Réttabanki!$U:$U,MATCH($F231,Réttabanki!$A:$A,0)),INDEX(Vöruskrá!$R:$R,MATCH($F231,Vöruskrá!$B:$B,0)))*($H231+IF($I231="",$H231*(1+#REF!),$I231))/2/1000,""))</f>
        <v/>
      </c>
      <c r="K231" s="21" t="s">
        <v>559</v>
      </c>
      <c r="L231" s="21" t="s">
        <v>108</v>
      </c>
      <c r="M231" s="21"/>
      <c r="N231" s="22">
        <v>330</v>
      </c>
      <c r="O231" s="22">
        <v>26</v>
      </c>
      <c r="P231" s="22">
        <v>14</v>
      </c>
      <c r="Q231" s="22">
        <v>0</v>
      </c>
      <c r="R231" s="22">
        <v>25</v>
      </c>
      <c r="S231" s="22">
        <v>1.5</v>
      </c>
      <c r="T231" s="66" t="str">
        <f>IF(F231="","",IFERROR(INDEX(Réttabanki!Q:Q,MATCH(F231,Réttabanki!A:A,0)),IFERROR(INDEX(Réttabanki!Q:Q,MATCH(F231,Réttabanki!B:B,0)),"")))</f>
        <v/>
      </c>
      <c r="U231" s="286"/>
      <c r="V231" s="286"/>
      <c r="W231" s="286"/>
      <c r="X231" s="286"/>
      <c r="Y231" s="286"/>
      <c r="Z231" s="286"/>
      <c r="AA231" s="286"/>
    </row>
    <row r="232" spans="1:27">
      <c r="A232" s="155"/>
      <c r="B232" s="156" t="s">
        <v>1851</v>
      </c>
      <c r="C232" s="156">
        <v>34</v>
      </c>
      <c r="D232" s="157"/>
      <c r="E232" s="157"/>
      <c r="F232" s="157" t="s">
        <v>1894</v>
      </c>
      <c r="G232" s="157"/>
      <c r="H232" s="158"/>
      <c r="I232" s="158"/>
      <c r="J232" s="159">
        <f>SUMIFS(J216:J231,E216:E231,"&lt;&gt;Hliðarréttur",E216:E231,"&lt;&gt;Sérfæði")</f>
        <v>197.44288</v>
      </c>
      <c r="K232" s="21" t="s">
        <v>1895</v>
      </c>
      <c r="L232" s="21"/>
      <c r="M232" s="21"/>
      <c r="N232" s="22"/>
      <c r="O232" s="22"/>
      <c r="P232" s="22"/>
      <c r="Q232" s="22"/>
      <c r="R232" s="22"/>
      <c r="S232" s="22"/>
      <c r="T232" s="66"/>
      <c r="U232" s="284"/>
      <c r="V232" s="284"/>
      <c r="W232" s="284"/>
      <c r="X232" s="284"/>
      <c r="Y232" s="284"/>
      <c r="Z232" s="284"/>
      <c r="AA232" s="284"/>
    </row>
    <row r="233" spans="1:27">
      <c r="A233" s="155"/>
      <c r="B233" s="156" t="s">
        <v>1851</v>
      </c>
      <c r="C233" s="156">
        <v>34</v>
      </c>
      <c r="D233" s="157"/>
      <c r="E233" s="157"/>
      <c r="F233" s="157" t="s">
        <v>1897</v>
      </c>
      <c r="G233" s="157"/>
      <c r="H233" s="158"/>
      <c r="I233" s="158"/>
      <c r="J233" s="159">
        <f>SUMIFS(J216:J231,E216:E231,"&lt;&gt;Hliðarréttur",E216:E231,"&lt;&gt;Sérfæði")</f>
        <v>197.44288</v>
      </c>
      <c r="K233" s="21" t="s">
        <v>1895</v>
      </c>
      <c r="L233" s="21"/>
      <c r="M233" s="21"/>
      <c r="N233" s="22"/>
      <c r="O233" s="22"/>
      <c r="P233" s="22"/>
      <c r="Q233" s="22"/>
      <c r="R233" s="22"/>
      <c r="S233" s="22"/>
      <c r="T233" s="66"/>
      <c r="U233" s="286"/>
      <c r="V233" s="286"/>
      <c r="W233" s="286"/>
      <c r="X233" s="286"/>
      <c r="Y233" s="286"/>
      <c r="Z233" s="286"/>
      <c r="AA233" s="286"/>
    </row>
    <row r="234" spans="1:27" ht="178.5">
      <c r="A234" s="31">
        <v>46252</v>
      </c>
      <c r="B234" s="32" t="s">
        <v>1899</v>
      </c>
      <c r="C234" s="32">
        <v>34</v>
      </c>
      <c r="D234" s="33" t="s">
        <v>1856</v>
      </c>
      <c r="E234" s="33" t="s">
        <v>1852</v>
      </c>
      <c r="F234" s="33"/>
      <c r="G234" s="33" t="s">
        <v>2044</v>
      </c>
      <c r="H234" s="34"/>
      <c r="I234" s="34"/>
      <c r="J234" s="149" t="str">
        <f>IF($F234="","",IFERROR(IFERROR(INDEX(Réttabanki!$U:$U,MATCH($F234,Réttabanki!$A:$A,0)),INDEX(Vöruskrá!$R:$R,MATCH($F234,Vöruskrá!$B:$B,0)))*($H234+IF($I234="",$H234*(1+#REF!),$I234))/2/1000,""))</f>
        <v/>
      </c>
      <c r="K234" s="21" t="s">
        <v>2045</v>
      </c>
      <c r="L234" s="21" t="s">
        <v>2046</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5" t="str">
        <f>IF(F234="","",IFERROR(INDEX(Réttabanki!Q:Q,MATCH(F234,Réttabanki!A:A,0)),IFERROR(INDEX(Réttabanki!Q:Q,MATCH(F234,Réttabanki!B:B,0)),"")))</f>
        <v/>
      </c>
      <c r="U234" s="284"/>
      <c r="V234" s="284"/>
      <c r="W234" s="284"/>
      <c r="X234" s="284"/>
      <c r="Y234" s="284"/>
      <c r="Z234" s="284"/>
      <c r="AA234" s="284"/>
    </row>
    <row r="235" spans="1:27" ht="60">
      <c r="A235" s="31"/>
      <c r="B235" s="32" t="s">
        <v>1899</v>
      </c>
      <c r="C235" s="32">
        <v>34</v>
      </c>
      <c r="D235" s="33" t="s">
        <v>1856</v>
      </c>
      <c r="E235" s="33" t="s">
        <v>1852</v>
      </c>
      <c r="F235" s="33" t="s">
        <v>785</v>
      </c>
      <c r="G235" s="33" t="s">
        <v>785</v>
      </c>
      <c r="H235" s="34"/>
      <c r="I235" s="34">
        <v>120</v>
      </c>
      <c r="J235" s="149">
        <f>IF($F235="","",IFERROR(IFERROR(INDEX(Réttabanki!$U:$U,MATCH($F235,Réttabanki!$A:$A,0)),INDEX(Vöruskrá!$R:$R,MATCH($F235,Vöruskrá!$B:$B,0)))*($H235+IF($I235="",$H235*(1+#REF!),$I235))/2/1000,""))</f>
        <v>48</v>
      </c>
      <c r="K235" s="21" t="s">
        <v>786</v>
      </c>
      <c r="L235" s="21" t="s">
        <v>227</v>
      </c>
      <c r="M235" s="21"/>
      <c r="N235" s="22">
        <v>96</v>
      </c>
      <c r="O235" s="22">
        <v>5.2</v>
      </c>
      <c r="P235" s="22">
        <v>1.9</v>
      </c>
      <c r="Q235" s="22">
        <v>5.5</v>
      </c>
      <c r="R235" s="22">
        <v>8.6</v>
      </c>
      <c r="S235" s="22">
        <v>0.9</v>
      </c>
      <c r="T235" s="66" t="str">
        <f>IF(F235="","",IFERROR(INDEX(Réttabanki!Q:Q,MATCH(F235,Réttabanki!A:A,0)),IFERROR(INDEX(Réttabanki!Q:Q,MATCH(F235,Réttabanki!B:B,0)),"")))</f>
        <v/>
      </c>
      <c r="U235" s="286"/>
      <c r="V235" s="286"/>
      <c r="W235" s="286"/>
      <c r="X235" s="286"/>
      <c r="Y235" s="286"/>
      <c r="Z235" s="286"/>
      <c r="AA235" s="286"/>
    </row>
    <row r="236" spans="1:27">
      <c r="A236" s="31"/>
      <c r="B236" s="32" t="s">
        <v>1899</v>
      </c>
      <c r="C236" s="32">
        <v>34</v>
      </c>
      <c r="D236" s="33" t="s">
        <v>1856</v>
      </c>
      <c r="E236" s="33" t="s">
        <v>1852</v>
      </c>
      <c r="F236" s="33" t="s">
        <v>1079</v>
      </c>
      <c r="G236" s="33" t="s">
        <v>779</v>
      </c>
      <c r="H236" s="34"/>
      <c r="I236" s="34">
        <v>100</v>
      </c>
      <c r="J236" s="149">
        <f>IF($F236="","",IFERROR(IFERROR(INDEX(Réttabanki!$U:$U,MATCH($F236,Réttabanki!$A:$A,0)),INDEX(Vöruskrá!$R:$R,MATCH($F236,Vöruskrá!$B:$B,0)))*($H236+IF($I236="",$H236*(1+#REF!),$I236))/2/1000,""))</f>
        <v>30</v>
      </c>
      <c r="K236" s="21" t="s">
        <v>781</v>
      </c>
      <c r="L236" s="21" t="s">
        <v>30</v>
      </c>
      <c r="M236" s="21" t="s">
        <v>782</v>
      </c>
      <c r="N236" s="22">
        <v>146</v>
      </c>
      <c r="O236" s="22">
        <v>0.6</v>
      </c>
      <c r="P236" s="22">
        <v>0.1</v>
      </c>
      <c r="Q236" s="22">
        <v>30.4</v>
      </c>
      <c r="R236" s="22">
        <v>5</v>
      </c>
      <c r="S236" s="22">
        <v>0</v>
      </c>
      <c r="T236" s="65" t="str">
        <f>IF(F236="","",IFERROR(INDEX(Réttabanki!Q:Q,MATCH(F236,Réttabanki!A:A,0)),IFERROR(INDEX(Réttabanki!Q:Q,MATCH(F236,Réttabanki!B:B,0)),"")))</f>
        <v/>
      </c>
      <c r="U236" s="284"/>
      <c r="V236" s="284"/>
      <c r="W236" s="284"/>
      <c r="X236" s="284"/>
      <c r="Y236" s="284"/>
      <c r="Z236" s="284"/>
      <c r="AA236" s="284"/>
    </row>
    <row r="237" spans="1:27" ht="36">
      <c r="A237" s="31"/>
      <c r="B237" s="32" t="s">
        <v>1899</v>
      </c>
      <c r="C237" s="32">
        <v>34</v>
      </c>
      <c r="D237" s="33" t="s">
        <v>1856</v>
      </c>
      <c r="E237" s="33" t="s">
        <v>1852</v>
      </c>
      <c r="F237" s="33" t="s">
        <v>62</v>
      </c>
      <c r="G237" s="33" t="s">
        <v>2047</v>
      </c>
      <c r="H237" s="34"/>
      <c r="I237" s="34">
        <v>55</v>
      </c>
      <c r="J237" s="149">
        <f>IF($F237="","",IFERROR(IFERROR(INDEX(Réttabanki!$U:$U,MATCH($F237,Réttabanki!$A:$A,0)),INDEX(Vöruskrá!$R:$R,MATCH($F237,Vöruskrá!$B:$B,0)))*($H237+IF($I237="",$H237*(1+#REF!),$I237))/2/1000,""))</f>
        <v>16.5</v>
      </c>
      <c r="K237" s="21" t="s">
        <v>63</v>
      </c>
      <c r="L237" s="21" t="s">
        <v>64</v>
      </c>
      <c r="M237" s="21" t="s">
        <v>65</v>
      </c>
      <c r="N237" s="22">
        <v>305</v>
      </c>
      <c r="O237" s="22">
        <v>14</v>
      </c>
      <c r="P237" s="22">
        <v>6.4</v>
      </c>
      <c r="Q237" s="22">
        <v>37</v>
      </c>
      <c r="R237" s="22">
        <v>6.6</v>
      </c>
      <c r="S237" s="22">
        <v>1.5</v>
      </c>
      <c r="T237" s="66" t="str">
        <f>IF(F237="","",IFERROR(INDEX(Réttabanki!Q:Q,MATCH(F237,Réttabanki!A:A,0)),IFERROR(INDEX(Réttabanki!Q:Q,MATCH(F237,Réttabanki!B:B,0)),"")))</f>
        <v/>
      </c>
      <c r="U237" s="286"/>
      <c r="V237" s="286"/>
      <c r="W237" s="286"/>
      <c r="X237" s="286"/>
      <c r="Y237" s="286"/>
      <c r="Z237" s="286"/>
      <c r="AA237" s="286"/>
    </row>
    <row r="238" spans="1:27" ht="84">
      <c r="A238" s="31"/>
      <c r="B238" s="32" t="s">
        <v>1899</v>
      </c>
      <c r="C238" s="32">
        <v>34</v>
      </c>
      <c r="D238" s="33" t="s">
        <v>1856</v>
      </c>
      <c r="E238" s="33" t="s">
        <v>1867</v>
      </c>
      <c r="F238" s="33" t="s">
        <v>1700</v>
      </c>
      <c r="G238" s="33" t="s">
        <v>1700</v>
      </c>
      <c r="H238" s="34"/>
      <c r="I238" s="34">
        <v>120</v>
      </c>
      <c r="J238" s="149">
        <f>IF($F238="","",IFERROR(IFERROR(INDEX(Réttabanki!$U:$U,MATCH($F238,Réttabanki!$A:$A,0)),INDEX(Vöruskrá!$R:$R,MATCH($F238,Vöruskrá!$B:$B,0)))*($H238+IF($I238="",$H238*(1+#REF!),$I238))/2/1000,""))</f>
        <v>59.9505312</v>
      </c>
      <c r="K238" s="21" t="s">
        <v>1701</v>
      </c>
      <c r="L238" s="21" t="s">
        <v>1702</v>
      </c>
      <c r="M238" s="21"/>
      <c r="N238" s="22">
        <v>86.46</v>
      </c>
      <c r="O238" s="22">
        <v>2.4500000000000002</v>
      </c>
      <c r="P238" s="22">
        <v>0.27</v>
      </c>
      <c r="Q238" s="22">
        <v>4.71</v>
      </c>
      <c r="R238" s="22">
        <v>9.7200000000000006</v>
      </c>
      <c r="S238" s="22">
        <v>1.5</v>
      </c>
      <c r="T238" s="65"/>
      <c r="U238" s="284"/>
      <c r="V238" s="284"/>
      <c r="W238" s="284"/>
      <c r="X238" s="284"/>
      <c r="Y238" s="284"/>
      <c r="Z238" s="284"/>
      <c r="AA238" s="284"/>
    </row>
    <row r="239" spans="1:27" ht="36">
      <c r="A239" s="31"/>
      <c r="B239" s="32" t="s">
        <v>1899</v>
      </c>
      <c r="C239" s="32">
        <v>34</v>
      </c>
      <c r="D239" s="33" t="s">
        <v>1850</v>
      </c>
      <c r="E239" s="33" t="s">
        <v>1852</v>
      </c>
      <c r="F239" s="33"/>
      <c r="G239" s="33" t="s">
        <v>1923</v>
      </c>
      <c r="H239" s="34"/>
      <c r="I239" s="34"/>
      <c r="J239" s="149" t="str">
        <f>IF($F239="","",IFERROR(IFERROR(INDEX(Réttabanki!$U:$U,MATCH($F239,Réttabanki!$A:$A,0)),INDEX(Vöruskrá!$R:$R,MATCH($F239,Vöruskrá!$B:$B,0)))*($H239+IF($I239="",$H239*(1+#REF!),$I239))/2/1000,""))</f>
        <v/>
      </c>
      <c r="K239" s="21" t="s">
        <v>1924</v>
      </c>
      <c r="L239" s="21" t="s">
        <v>1925</v>
      </c>
      <c r="M239" s="21" t="str">
        <f>IF($F239="","",IFERROR(IFERROR(INDEX(Réttabanki!$F:$F,MATCH($F239,Réttabanki!$A:$A,0)),INDEX(Vöruskrá!$H:$H,MATCH($F239,Vöruskrá!$B:$B,0))),""))</f>
        <v/>
      </c>
      <c r="N239" s="22" t="str">
        <f>IF($F239="","",IFERROR(IFERROR(INDEX(Réttabanki!$G:$G,MATCH($F239,Réttabanki!$A:$A,0)),INDEX(Vöruskrá!$J:$J,MATCH($F239,Vöruskrá!$B:$B,0)))*($H239+IF($I239="",$H239*(1+#REF!),$I239))/2/100,""))</f>
        <v/>
      </c>
      <c r="O239" s="22" t="str">
        <f>IF($F239="","",IFERROR(IFERROR(INDEX(Réttabanki!$H:$H,MATCH($F239,Réttabanki!$A:$A,0)),INDEX(Vöruskrá!$K:$K,MATCH($F239,Vöruskrá!$B:$B,0)))*($H239+IF($I239="",$H239*(1+#REF!),$I239))/2/100,""))</f>
        <v/>
      </c>
      <c r="P239" s="22" t="str">
        <f>IF($F239="","",IFERROR(IFERROR(INDEX(Réttabanki!$I:$I,MATCH($F239,Réttabanki!$A:$A,0)),INDEX(Vöruskrá!$L:$L,MATCH($F239,Vöruskrá!$B:$B,0)))*($H239+IF($I239="",$H239*(1+#REF!),$I239))/2/100,""))</f>
        <v/>
      </c>
      <c r="Q239" s="22" t="str">
        <f>IF($F239="","",IFERROR(IFERROR(INDEX(Réttabanki!$J:$J,MATCH($F239,Réttabanki!$A:$A,0)),INDEX(Vöruskrá!$M:$M,MATCH($F239,Vöruskrá!$B:$B,0)))*($H239+IF($I239="",$H239*(1+#REF!),$I239))/2/100,""))</f>
        <v/>
      </c>
      <c r="R239" s="22" t="str">
        <f>IF($F239="","",IFERROR(IFERROR(INDEX(Réttabanki!$L:$L,MATCH($F239,Réttabanki!$A:$A,0)),INDEX(Vöruskrá!$O:$O,MATCH($F239,Vöruskrá!$B:$B,0)))*($H239+IF($I239="",$H239*(1+#REF!),$I239))/2/100,""))</f>
        <v/>
      </c>
      <c r="S239" s="22" t="str">
        <f>IF($F239="","",IFERROR(IFERROR(INDEX(Réttabanki!$M:$M,MATCH($F239,Réttabanki!$A:$A,0)),INDEX(Vöruskrá!$P:$P,MATCH($F239,Vöruskrá!$B:$B,0)))*($H239+IF($I239="",$H239*(1+#REF!),$I239))/2/100,""))</f>
        <v/>
      </c>
      <c r="T239" s="66" t="str">
        <f>IF(F239="","",IFERROR(INDEX(Réttabanki!Q:Q,MATCH(F239,Réttabanki!A:A,0)),IFERROR(INDEX(Réttabanki!Q:Q,MATCH(F239,Réttabanki!B:B,0)),"")))</f>
        <v/>
      </c>
      <c r="U239" s="286"/>
      <c r="V239" s="286"/>
      <c r="W239" s="286"/>
      <c r="X239" s="286"/>
      <c r="Y239" s="286"/>
      <c r="Z239" s="286"/>
      <c r="AA239" s="286"/>
    </row>
    <row r="240" spans="1:27">
      <c r="A240" s="31"/>
      <c r="B240" s="32" t="s">
        <v>1899</v>
      </c>
      <c r="C240" s="32">
        <v>34</v>
      </c>
      <c r="D240" s="33" t="s">
        <v>1850</v>
      </c>
      <c r="E240" s="33" t="s">
        <v>1852</v>
      </c>
      <c r="F240" s="33" t="s">
        <v>792</v>
      </c>
      <c r="G240" s="33" t="s">
        <v>792</v>
      </c>
      <c r="H240" s="34">
        <v>160</v>
      </c>
      <c r="I240" s="34"/>
      <c r="J240" s="149" t="str">
        <f>IF($F240="","",IFERROR(IFERROR(INDEX(Réttabanki!$U:$U,MATCH($F240,Réttabanki!$A:$A,0)),INDEX(Vöruskrá!$R:$R,MATCH($F240,Vöruskrá!$B:$B,0)))*($H240+IF($I240="",$H240*(1+#REF!),$I240))/2/1000,""))</f>
        <v/>
      </c>
      <c r="K240" s="21" t="s">
        <v>792</v>
      </c>
      <c r="L240" s="21" t="s">
        <v>543</v>
      </c>
      <c r="M240" s="21"/>
      <c r="N240" s="22">
        <v>100</v>
      </c>
      <c r="O240" s="22">
        <v>0.7</v>
      </c>
      <c r="P240" s="22">
        <v>0.1</v>
      </c>
      <c r="Q240" s="22">
        <v>0</v>
      </c>
      <c r="R240" s="22">
        <v>23</v>
      </c>
      <c r="S240" s="22">
        <v>0.3</v>
      </c>
      <c r="T240" s="65">
        <f>IF(F240="","",IFERROR(INDEX(Réttabanki!Q:Q,MATCH(F240,Réttabanki!A:A,0)),IFERROR(INDEX(Réttabanki!Q:Q,MATCH(F240,Réttabanki!B:B,0)),"")))</f>
        <v>0</v>
      </c>
      <c r="U240" s="284"/>
      <c r="V240" s="284"/>
      <c r="W240" s="284"/>
      <c r="X240" s="284"/>
      <c r="Y240" s="284"/>
      <c r="Z240" s="284"/>
      <c r="AA240" s="284"/>
    </row>
    <row r="241" spans="1:27">
      <c r="A241" s="31"/>
      <c r="B241" s="32" t="s">
        <v>1899</v>
      </c>
      <c r="C241" s="32">
        <v>34</v>
      </c>
      <c r="D241" s="33" t="s">
        <v>1850</v>
      </c>
      <c r="E241" s="33" t="s">
        <v>1852</v>
      </c>
      <c r="F241" s="33" t="s">
        <v>867</v>
      </c>
      <c r="G241" s="33" t="s">
        <v>554</v>
      </c>
      <c r="H241" s="34">
        <v>80</v>
      </c>
      <c r="I241" s="34"/>
      <c r="J241" s="149" t="str">
        <f>IF($F241="","",IFERROR(IFERROR(INDEX(Réttabanki!$U:$U,MATCH($F241,Réttabanki!$A:$A,0)),INDEX(Vöruskrá!$R:$R,MATCH($F241,Vöruskrá!$B:$B,0)))*($H241+IF($I241="",$H241*(1+#REF!),$I241))/2/1000,""))</f>
        <v/>
      </c>
      <c r="K241" s="21" t="s">
        <v>554</v>
      </c>
      <c r="L241" s="21" t="s">
        <v>121</v>
      </c>
      <c r="M241" s="21"/>
      <c r="N241" s="22">
        <v>77</v>
      </c>
      <c r="O241" s="22">
        <v>0.1</v>
      </c>
      <c r="P241" s="22">
        <v>0</v>
      </c>
      <c r="Q241" s="22">
        <v>17</v>
      </c>
      <c r="R241" s="22">
        <v>2</v>
      </c>
      <c r="S241" s="22">
        <v>0</v>
      </c>
      <c r="T241" s="66">
        <f>IF(F241="","",IFERROR(INDEX(Réttabanki!Q:Q,MATCH(F241,Réttabanki!A:A,0)),IFERROR(INDEX(Réttabanki!Q:Q,MATCH(F241,Réttabanki!B:B,0)),"")))</f>
        <v>0</v>
      </c>
      <c r="U241" s="286"/>
      <c r="V241" s="286"/>
      <c r="W241" s="286"/>
      <c r="X241" s="286"/>
      <c r="Y241" s="286"/>
      <c r="Z241" s="286"/>
      <c r="AA241" s="286"/>
    </row>
    <row r="242" spans="1:27">
      <c r="A242" s="31"/>
      <c r="B242" s="32" t="s">
        <v>1899</v>
      </c>
      <c r="C242" s="32">
        <v>34</v>
      </c>
      <c r="D242" s="33" t="s">
        <v>1850</v>
      </c>
      <c r="E242" s="33" t="s">
        <v>1852</v>
      </c>
      <c r="F242" s="33" t="s">
        <v>390</v>
      </c>
      <c r="G242" s="33" t="s">
        <v>1409</v>
      </c>
      <c r="H242" s="34">
        <v>10</v>
      </c>
      <c r="I242" s="34"/>
      <c r="J242" s="149" t="str">
        <f>IF($F242="","",IFERROR(IFERROR(INDEX(Réttabanki!$U:$U,MATCH($F242,Réttabanki!$A:$A,0)),INDEX(Vöruskrá!$R:$R,MATCH($F242,Vöruskrá!$B:$B,0)))*($H242+IF($I242="",$H242*(1+#REF!),$I242))/2/1000,""))</f>
        <v/>
      </c>
      <c r="K242" s="21" t="s">
        <v>392</v>
      </c>
      <c r="L242" s="21" t="s">
        <v>108</v>
      </c>
      <c r="M242" s="21"/>
      <c r="N242" s="22">
        <v>738</v>
      </c>
      <c r="O242" s="22">
        <v>82</v>
      </c>
      <c r="P242" s="22">
        <v>49</v>
      </c>
      <c r="Q242" s="22">
        <v>0.4</v>
      </c>
      <c r="R242" s="22">
        <v>0.6</v>
      </c>
      <c r="S242" s="22">
        <v>1.2</v>
      </c>
      <c r="T242" s="65">
        <f>IF(F242="","",IFERROR(INDEX(Réttabanki!Q:Q,MATCH(F242,Réttabanki!A:A,0)),IFERROR(INDEX(Réttabanki!Q:Q,MATCH(F242,Réttabanki!B:B,0)),"")))</f>
        <v>0</v>
      </c>
      <c r="U242" s="284"/>
      <c r="V242" s="284"/>
      <c r="W242" s="284"/>
      <c r="X242" s="284"/>
      <c r="Y242" s="284"/>
      <c r="Z242" s="284"/>
      <c r="AA242" s="284"/>
    </row>
    <row r="243" spans="1:27" ht="36">
      <c r="A243" s="31"/>
      <c r="B243" s="32" t="s">
        <v>1899</v>
      </c>
      <c r="C243" s="32">
        <v>34</v>
      </c>
      <c r="D243" s="33" t="s">
        <v>1850</v>
      </c>
      <c r="E243" s="33" t="s">
        <v>1852</v>
      </c>
      <c r="F243" s="33" t="s">
        <v>324</v>
      </c>
      <c r="G243" s="33" t="s">
        <v>1931</v>
      </c>
      <c r="H243" s="34">
        <v>25</v>
      </c>
      <c r="I243" s="34"/>
      <c r="J243" s="149" t="str">
        <f>IF($F243="","",IFERROR(IFERROR(INDEX(Réttabanki!$U:$U,MATCH($F243,Réttabanki!$A:$A,0)),INDEX(Vöruskrá!$R:$R,MATCH($F243,Vöruskrá!$B:$B,0)))*($H243+IF($I243="",$H243*(1+#REF!),$I243))/2/1000,""))</f>
        <v/>
      </c>
      <c r="K243" s="21" t="s">
        <v>325</v>
      </c>
      <c r="L243" s="21" t="s">
        <v>326</v>
      </c>
      <c r="M243" s="21" t="s">
        <v>327</v>
      </c>
      <c r="N243" s="22">
        <v>252</v>
      </c>
      <c r="O243" s="22">
        <v>1.1000000000000001</v>
      </c>
      <c r="P243" s="22">
        <v>0.2</v>
      </c>
      <c r="Q243" s="22">
        <v>50</v>
      </c>
      <c r="R243" s="22">
        <v>4.8</v>
      </c>
      <c r="S243" s="22">
        <v>0.6</v>
      </c>
      <c r="T243" s="66" t="str">
        <f>IF(F243="","",IFERROR(INDEX(Réttabanki!Q:Q,MATCH(F243,Réttabanki!A:A,0)),IFERROR(INDEX(Réttabanki!Q:Q,MATCH(F243,Réttabanki!B:B,0)),"")))</f>
        <v/>
      </c>
      <c r="U243" s="286"/>
      <c r="V243" s="286"/>
      <c r="W243" s="286"/>
      <c r="X243" s="286"/>
      <c r="Y243" s="286"/>
      <c r="Z243" s="286"/>
      <c r="AA243" s="286"/>
    </row>
    <row r="244" spans="1:27" ht="60">
      <c r="A244" s="31"/>
      <c r="B244" s="32" t="s">
        <v>1899</v>
      </c>
      <c r="C244" s="32">
        <v>34</v>
      </c>
      <c r="D244" s="33" t="s">
        <v>1850</v>
      </c>
      <c r="E244" s="33" t="s">
        <v>1867</v>
      </c>
      <c r="F244" s="33"/>
      <c r="G244" s="33" t="s">
        <v>2048</v>
      </c>
      <c r="H244" s="34"/>
      <c r="I244" s="34"/>
      <c r="J244" s="149" t="str">
        <f>IF($F244="","",IFERROR(IFERROR(INDEX(Réttabanki!$U:$U,MATCH($F244,Réttabanki!$A:$A,0)),INDEX(Vöruskrá!$R:$R,MATCH($F244,Vöruskrá!$B:$B,0)))*($H244+IF($I244="",$H244*(1+#REF!),$I244))/2/1000,""))</f>
        <v/>
      </c>
      <c r="K244" s="21" t="s">
        <v>2049</v>
      </c>
      <c r="L244" s="21" t="s">
        <v>355</v>
      </c>
      <c r="M244" s="21" t="str">
        <f>IF($F244="","",IFERROR(IFERROR(INDEX(Réttabanki!$F:$F,MATCH($F244,Réttabanki!$A:$A,0)),INDEX(Vöruskrá!$H:$H,MATCH($F244,Vöruskrá!$B:$B,0))),""))</f>
        <v/>
      </c>
      <c r="N244" s="22" t="str">
        <f>IF($F244="","",IFERROR(IFERROR(INDEX(Réttabanki!$G:$G,MATCH($F244,Réttabanki!$A:$A,0)),INDEX(Vöruskrá!$J:$J,MATCH($F244,Vöruskrá!$B:$B,0)))*($H244+IF($I244="",$H244*(1+#REF!),$I244))/2/100,""))</f>
        <v/>
      </c>
      <c r="O244" s="22" t="str">
        <f>IF($F244="","",IFERROR(IFERROR(INDEX(Réttabanki!$H:$H,MATCH($F244,Réttabanki!$A:$A,0)),INDEX(Vöruskrá!$K:$K,MATCH($F244,Vöruskrá!$B:$B,0)))*($H244+IF($I244="",$H244*(1+#REF!),$I244))/2/100,""))</f>
        <v/>
      </c>
      <c r="P244" s="22" t="str">
        <f>IF($F244="","",IFERROR(IFERROR(INDEX(Réttabanki!$I:$I,MATCH($F244,Réttabanki!$A:$A,0)),INDEX(Vöruskrá!$L:$L,MATCH($F244,Vöruskrá!$B:$B,0)))*($H244+IF($I244="",$H244*(1+#REF!),$I244))/2/100,""))</f>
        <v/>
      </c>
      <c r="Q244" s="22" t="str">
        <f>IF($F244="","",IFERROR(IFERROR(INDEX(Réttabanki!$J:$J,MATCH($F244,Réttabanki!$A:$A,0)),INDEX(Vöruskrá!$M:$M,MATCH($F244,Vöruskrá!$B:$B,0)))*($H244+IF($I244="",$H244*(1+#REF!),$I244))/2/100,""))</f>
        <v/>
      </c>
      <c r="R244" s="22" t="str">
        <f>IF($F244="","",IFERROR(IFERROR(INDEX(Réttabanki!$L:$L,MATCH($F244,Réttabanki!$A:$A,0)),INDEX(Vöruskrá!$O:$O,MATCH($F244,Vöruskrá!$B:$B,0)))*($H244+IF($I244="",$H244*(1+#REF!),$I244))/2/100,""))</f>
        <v/>
      </c>
      <c r="S244" s="22" t="str">
        <f>IF($F244="","",IFERROR(IFERROR(INDEX(Réttabanki!$M:$M,MATCH($F244,Réttabanki!$A:$A,0)),INDEX(Vöruskrá!$P:$P,MATCH($F244,Vöruskrá!$B:$B,0)))*($H244+IF($I244="",$H244*(1+#REF!),$I244))/2/100,""))</f>
        <v/>
      </c>
      <c r="T244" s="65" t="str">
        <f>IF(F244="","",IFERROR(INDEX(Réttabanki!Q:Q,MATCH(F244,Réttabanki!A:A,0)),IFERROR(INDEX(Réttabanki!Q:Q,MATCH(F244,Réttabanki!B:B,0)),"")))</f>
        <v/>
      </c>
      <c r="U244" s="284"/>
      <c r="V244" s="284"/>
      <c r="W244" s="284"/>
      <c r="X244" s="284"/>
      <c r="Y244" s="284"/>
      <c r="Z244" s="284"/>
      <c r="AA244" s="284"/>
    </row>
    <row r="245" spans="1:27" ht="60">
      <c r="A245" s="31"/>
      <c r="B245" s="32" t="s">
        <v>1899</v>
      </c>
      <c r="C245" s="32">
        <v>34</v>
      </c>
      <c r="D245" s="33" t="s">
        <v>1850</v>
      </c>
      <c r="E245" s="33" t="s">
        <v>1867</v>
      </c>
      <c r="F245" s="33" t="s">
        <v>351</v>
      </c>
      <c r="G245" s="33" t="s">
        <v>1936</v>
      </c>
      <c r="H245" s="34">
        <v>160</v>
      </c>
      <c r="I245" s="34"/>
      <c r="J245" s="149" t="str">
        <f>IF($F245="","",IFERROR(IFERROR(INDEX(Réttabanki!$U:$U,MATCH($F245,Réttabanki!$A:$A,0)),INDEX(Vöruskrá!$R:$R,MATCH($F245,Vöruskrá!$B:$B,0)))*($H245+IF($I245="",$H245*(1+#REF!),$I245))/2/1000,""))</f>
        <v/>
      </c>
      <c r="K245" s="21" t="s">
        <v>354</v>
      </c>
      <c r="L245" s="21" t="s">
        <v>355</v>
      </c>
      <c r="M245" s="21"/>
      <c r="N245" s="22">
        <v>212</v>
      </c>
      <c r="O245" s="22">
        <v>11.4</v>
      </c>
      <c r="P245" s="22">
        <v>1.3</v>
      </c>
      <c r="Q245" s="22">
        <v>21.7</v>
      </c>
      <c r="R245" s="22">
        <v>4.5</v>
      </c>
      <c r="S245" s="22">
        <v>1</v>
      </c>
      <c r="T245" s="66" t="str">
        <f>IF(F245="","",IFERROR(INDEX(Réttabanki!Q:Q,MATCH(F245,Réttabanki!A:A,0)),IFERROR(INDEX(Réttabanki!Q:Q,MATCH(F245,Réttabanki!B:B,0)),"")))</f>
        <v/>
      </c>
      <c r="U245" s="286"/>
      <c r="V245" s="286"/>
      <c r="W245" s="286"/>
      <c r="X245" s="286"/>
      <c r="Y245" s="286"/>
      <c r="Z245" s="286"/>
      <c r="AA245" s="286"/>
    </row>
    <row r="246" spans="1:27">
      <c r="A246" s="31"/>
      <c r="B246" s="32" t="s">
        <v>1899</v>
      </c>
      <c r="C246" s="32">
        <v>34</v>
      </c>
      <c r="D246" s="33" t="s">
        <v>1850</v>
      </c>
      <c r="E246" s="33" t="s">
        <v>1867</v>
      </c>
      <c r="F246" s="33" t="s">
        <v>867</v>
      </c>
      <c r="G246" s="33" t="s">
        <v>554</v>
      </c>
      <c r="H246" s="34">
        <v>80</v>
      </c>
      <c r="I246" s="34"/>
      <c r="J246" s="149" t="str">
        <f>IF($F246="","",IFERROR(IFERROR(INDEX(Réttabanki!$U:$U,MATCH($F246,Réttabanki!$A:$A,0)),INDEX(Vöruskrá!$R:$R,MATCH($F246,Vöruskrá!$B:$B,0)))*($H246+IF($I246="",$H246*(1+#REF!),$I246))/2/1000,""))</f>
        <v/>
      </c>
      <c r="K246" s="21" t="s">
        <v>554</v>
      </c>
      <c r="L246" s="21" t="s">
        <v>121</v>
      </c>
      <c r="M246" s="21"/>
      <c r="N246" s="22">
        <v>77</v>
      </c>
      <c r="O246" s="22">
        <v>0.1</v>
      </c>
      <c r="P246" s="22">
        <v>0</v>
      </c>
      <c r="Q246" s="22">
        <v>17</v>
      </c>
      <c r="R246" s="22">
        <v>2</v>
      </c>
      <c r="S246" s="22">
        <v>0</v>
      </c>
      <c r="T246" s="65">
        <f>IF(F246="","",IFERROR(INDEX(Réttabanki!Q:Q,MATCH(F246,Réttabanki!A:A,0)),IFERROR(INDEX(Réttabanki!Q:Q,MATCH(F246,Réttabanki!B:B,0)),"")))</f>
        <v>0</v>
      </c>
      <c r="U246" s="284"/>
      <c r="V246" s="284"/>
      <c r="W246" s="284"/>
      <c r="X246" s="284"/>
      <c r="Y246" s="284"/>
      <c r="Z246" s="284"/>
      <c r="AA246" s="284"/>
    </row>
    <row r="247" spans="1:27">
      <c r="A247" s="31"/>
      <c r="B247" s="32" t="s">
        <v>1899</v>
      </c>
      <c r="C247" s="32">
        <v>34</v>
      </c>
      <c r="D247" s="33" t="s">
        <v>1850</v>
      </c>
      <c r="E247" s="33" t="s">
        <v>1867</v>
      </c>
      <c r="F247" s="33"/>
      <c r="G247" s="33" t="s">
        <v>2050</v>
      </c>
      <c r="H247" s="34">
        <v>25</v>
      </c>
      <c r="I247" s="34"/>
      <c r="J247" s="149" t="str">
        <f>IF($F247="","",IFERROR(IFERROR(INDEX(Réttabanki!$U:$U,MATCH($F247,Réttabanki!$A:$A,0)),INDEX(Vöruskrá!$R:$R,MATCH($F247,Vöruskrá!$B:$B,0)))*($H247+IF($I247="",$H247*(1+#REF!),$I247))/2/1000,""))</f>
        <v/>
      </c>
      <c r="K247" s="21"/>
      <c r="L247" s="21" t="s">
        <v>121</v>
      </c>
      <c r="M247" s="21" t="str">
        <f>IF($F247="","",IFERROR(IFERROR(INDEX(Réttabanki!$F:$F,MATCH($F247,Réttabanki!$A:$A,0)),INDEX(Vöruskrá!$H:$H,MATCH($F247,Vöruskrá!$B:$B,0))),""))</f>
        <v/>
      </c>
      <c r="N247" s="22" t="str">
        <f>IF($F247="","",IFERROR(IFERROR(INDEX(Réttabanki!$G:$G,MATCH($F247,Réttabanki!$A:$A,0)),INDEX(Vöruskrá!$J:$J,MATCH($F247,Vöruskrá!$B:$B,0)))*($H247+IF($I247="",$H247*(1+#REF!),$I247))/2/100,""))</f>
        <v/>
      </c>
      <c r="O247" s="22" t="str">
        <f>IF($F247="","",IFERROR(IFERROR(INDEX(Réttabanki!$H:$H,MATCH($F247,Réttabanki!$A:$A,0)),INDEX(Vöruskrá!$K:$K,MATCH($F247,Vöruskrá!$B:$B,0)))*($H247+IF($I247="",$H247*(1+#REF!),$I247))/2/100,""))</f>
        <v/>
      </c>
      <c r="P247" s="22" t="str">
        <f>IF($F247="","",IFERROR(IFERROR(INDEX(Réttabanki!$I:$I,MATCH($F247,Réttabanki!$A:$A,0)),INDEX(Vöruskrá!$L:$L,MATCH($F247,Vöruskrá!$B:$B,0)))*($H247+IF($I247="",$H247*(1+#REF!),$I247))/2/100,""))</f>
        <v/>
      </c>
      <c r="Q247" s="22" t="str">
        <f>IF($F247="","",IFERROR(IFERROR(INDEX(Réttabanki!$J:$J,MATCH($F247,Réttabanki!$A:$A,0)),INDEX(Vöruskrá!$M:$M,MATCH($F247,Vöruskrá!$B:$B,0)))*($H247+IF($I247="",$H247*(1+#REF!),$I247))/2/100,""))</f>
        <v/>
      </c>
      <c r="R247" s="22" t="str">
        <f>IF($F247="","",IFERROR(IFERROR(INDEX(Réttabanki!$L:$L,MATCH($F247,Réttabanki!$A:$A,0)),INDEX(Vöruskrá!$O:$O,MATCH($F247,Vöruskrá!$B:$B,0)))*($H247+IF($I247="",$H247*(1+#REF!),$I247))/2/100,""))</f>
        <v/>
      </c>
      <c r="S247" s="22" t="str">
        <f>IF($F247="","",IFERROR(IFERROR(INDEX(Réttabanki!$M:$M,MATCH($F247,Réttabanki!$A:$A,0)),INDEX(Vöruskrá!$P:$P,MATCH($F247,Vöruskrá!$B:$B,0)))*($H247+IF($I247="",$H247*(1+#REF!),$I247))/2/100,""))</f>
        <v/>
      </c>
      <c r="T247" s="66" t="str">
        <f>IF(F247="","",IFERROR(INDEX(Réttabanki!Q:Q,MATCH(F247,Réttabanki!A:A,0)),IFERROR(INDEX(Réttabanki!Q:Q,MATCH(F247,Réttabanki!B:B,0)),"")))</f>
        <v/>
      </c>
      <c r="U247" s="286"/>
      <c r="V247" s="286"/>
      <c r="W247" s="286"/>
      <c r="X247" s="286"/>
      <c r="Y247" s="286"/>
      <c r="Z247" s="286"/>
      <c r="AA247" s="286"/>
    </row>
    <row r="248" spans="1:27">
      <c r="A248" s="31"/>
      <c r="B248" s="32" t="s">
        <v>1899</v>
      </c>
      <c r="C248" s="32">
        <v>34</v>
      </c>
      <c r="D248" s="33" t="s">
        <v>1850</v>
      </c>
      <c r="E248" s="33" t="s">
        <v>946</v>
      </c>
      <c r="F248" s="33"/>
      <c r="G248" s="33" t="s">
        <v>2051</v>
      </c>
      <c r="H248" s="34">
        <v>160</v>
      </c>
      <c r="I248" s="34"/>
      <c r="J248" s="149"/>
      <c r="K248" s="21"/>
      <c r="L248" s="21" t="s">
        <v>121</v>
      </c>
      <c r="M248" s="21"/>
      <c r="N248" s="22"/>
      <c r="O248" s="22"/>
      <c r="P248" s="22"/>
      <c r="Q248" s="22"/>
      <c r="R248" s="22"/>
      <c r="S248" s="22"/>
      <c r="T248" s="66"/>
      <c r="U248" s="284"/>
      <c r="V248" s="284"/>
      <c r="W248" s="284"/>
      <c r="X248" s="284"/>
      <c r="Y248" s="284"/>
      <c r="Z248" s="284"/>
      <c r="AA248" s="284"/>
    </row>
    <row r="249" spans="1:27">
      <c r="A249" s="31"/>
      <c r="B249" s="32" t="s">
        <v>1899</v>
      </c>
      <c r="C249" s="32">
        <v>34</v>
      </c>
      <c r="D249" s="33" t="s">
        <v>1850</v>
      </c>
      <c r="E249" s="33" t="s">
        <v>946</v>
      </c>
      <c r="F249" s="33"/>
      <c r="G249" s="33" t="s">
        <v>2050</v>
      </c>
      <c r="H249" s="34">
        <v>25</v>
      </c>
      <c r="I249" s="34"/>
      <c r="J249" s="149"/>
      <c r="K249" s="21"/>
      <c r="L249" s="21" t="s">
        <v>121</v>
      </c>
      <c r="M249" s="21"/>
      <c r="N249" s="22"/>
      <c r="O249" s="22"/>
      <c r="P249" s="22"/>
      <c r="Q249" s="22"/>
      <c r="R249" s="22"/>
      <c r="S249" s="22"/>
      <c r="T249" s="66"/>
      <c r="U249" s="286"/>
      <c r="V249" s="286"/>
      <c r="W249" s="286"/>
      <c r="X249" s="286"/>
      <c r="Y249" s="286"/>
      <c r="Z249" s="286"/>
      <c r="AA249" s="286"/>
    </row>
    <row r="250" spans="1:27">
      <c r="A250" s="31"/>
      <c r="B250" s="32" t="s">
        <v>1899</v>
      </c>
      <c r="C250" s="32">
        <v>34</v>
      </c>
      <c r="D250" s="33" t="s">
        <v>1850</v>
      </c>
      <c r="E250" s="33" t="s">
        <v>1877</v>
      </c>
      <c r="F250" s="33"/>
      <c r="G250" s="33"/>
      <c r="H250" s="34"/>
      <c r="I250" s="34"/>
      <c r="J250" s="149" t="str">
        <f>IF($F250="","",IFERROR(IFERROR(INDEX(Réttabanki!$U:$U,MATCH($F250,Réttabanki!$A:$A,0)),INDEX(Vöruskrá!$R:$R,MATCH($F250,Vöruskrá!$B:$B,0)))*($H250+IF($I250="",$H250*(1+#REF!),$I250))/2/1000,""))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IF($F250="","",IFERROR(IFERROR(INDEX(Réttabanki!$G:$G,MATCH($F250,Réttabanki!$A:$A,0)),INDEX(Vöruskrá!$J:$J,MATCH($F250,Vöruskrá!$B:$B,0)))*($H250+IF($I250="",$H250*(1+#REF!),$I250))/2/100,""))</f>
        <v/>
      </c>
      <c r="O250" s="22" t="str">
        <f>IF($F250="","",IFERROR(IFERROR(INDEX(Réttabanki!$H:$H,MATCH($F250,Réttabanki!$A:$A,0)),INDEX(Vöruskrá!$K:$K,MATCH($F250,Vöruskrá!$B:$B,0)))*($H250+IF($I250="",$H250*(1+#REF!),$I250))/2/100,""))</f>
        <v/>
      </c>
      <c r="P250" s="22" t="str">
        <f>IF($F250="","",IFERROR(IFERROR(INDEX(Réttabanki!$I:$I,MATCH($F250,Réttabanki!$A:$A,0)),INDEX(Vöruskrá!$L:$L,MATCH($F250,Vöruskrá!$B:$B,0)))*($H250+IF($I250="",$H250*(1+#REF!),$I250))/2/100,""))</f>
        <v/>
      </c>
      <c r="Q250" s="22" t="str">
        <f>IF($F250="","",IFERROR(IFERROR(INDEX(Réttabanki!$J:$J,MATCH($F250,Réttabanki!$A:$A,0)),INDEX(Vöruskrá!$M:$M,MATCH($F250,Vöruskrá!$B:$B,0)))*($H250+IF($I250="",$H250*(1+#REF!),$I250))/2/100,""))</f>
        <v/>
      </c>
      <c r="R250" s="22" t="str">
        <f>IF($F250="","",IFERROR(IFERROR(INDEX(Réttabanki!$L:$L,MATCH($F250,Réttabanki!$A:$A,0)),INDEX(Vöruskrá!$O:$O,MATCH($F250,Vöruskrá!$B:$B,0)))*($H250+IF($I250="",$H250*(1+#REF!),$I250))/2/100,""))</f>
        <v/>
      </c>
      <c r="S250" s="22" t="str">
        <f>IF($F250="","",IFERROR(IFERROR(INDEX(Réttabanki!$M:$M,MATCH($F250,Réttabanki!$A:$A,0)),INDEX(Vöruskrá!$P:$P,MATCH($F250,Vöruskrá!$B:$B,0)))*($H250+IF($I250="",$H250*(1+#REF!),$I250))/2/100,""))</f>
        <v/>
      </c>
      <c r="T250" s="65" t="str">
        <f>IF(F250="","",IFERROR(INDEX(Réttabanki!Q:Q,MATCH(F250,Réttabanki!A:A,0)),IFERROR(INDEX(Réttabanki!Q:Q,MATCH(F250,Réttabanki!B:B,0)),"")))</f>
        <v/>
      </c>
      <c r="U250" s="284"/>
      <c r="V250" s="284"/>
      <c r="W250" s="284"/>
      <c r="X250" s="284"/>
      <c r="Y250" s="284"/>
      <c r="Z250" s="284"/>
      <c r="AA250" s="284"/>
    </row>
    <row r="251" spans="1:27">
      <c r="A251" s="31"/>
      <c r="B251" s="32" t="s">
        <v>1899</v>
      </c>
      <c r="C251" s="32">
        <v>34</v>
      </c>
      <c r="D251" s="33" t="s">
        <v>1856</v>
      </c>
      <c r="E251" s="33" t="s">
        <v>1877</v>
      </c>
      <c r="F251" s="33"/>
      <c r="G251" s="33"/>
      <c r="H251" s="34"/>
      <c r="I251" s="34"/>
      <c r="J251" s="149"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6" t="str">
        <f>IF(F251="","",IFERROR(INDEX(Réttabanki!Q:Q,MATCH(F251,Réttabanki!A:A,0)),IFERROR(INDEX(Réttabanki!Q:Q,MATCH(F251,Réttabanki!B:B,0)),"")))</f>
        <v/>
      </c>
      <c r="U251" s="286"/>
      <c r="V251" s="286"/>
      <c r="W251" s="286"/>
      <c r="X251" s="286"/>
      <c r="Y251" s="286"/>
      <c r="Z251" s="286"/>
      <c r="AA251" s="286"/>
    </row>
    <row r="252" spans="1:27" ht="48">
      <c r="A252" s="31"/>
      <c r="B252" s="32" t="s">
        <v>1899</v>
      </c>
      <c r="C252" s="32">
        <v>34</v>
      </c>
      <c r="D252" s="33" t="s">
        <v>1850</v>
      </c>
      <c r="E252" s="33" t="s">
        <v>1885</v>
      </c>
      <c r="F252" s="33"/>
      <c r="G252" s="33" t="s">
        <v>2052</v>
      </c>
      <c r="H252" s="34"/>
      <c r="I252" s="34"/>
      <c r="J252" s="149" t="str">
        <f>IF($F252="","",IFERROR(IFERROR(INDEX(Réttabanki!$U:$U,MATCH($F252,Réttabanki!$A:$A,0)),INDEX(Vöruskrá!$R:$R,MATCH($F252,Vöruskrá!$B:$B,0)))*($H252+IF($I252="",$H252*(1+#REF!),$I252))/2/1000,""))</f>
        <v/>
      </c>
      <c r="K252" s="21" t="s">
        <v>2053</v>
      </c>
      <c r="L252" s="21" t="s">
        <v>407</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5" t="str">
        <f>IF(F252="","",IFERROR(INDEX(Réttabanki!Q:Q,MATCH(F252,Réttabanki!A:A,0)),IFERROR(INDEX(Réttabanki!Q:Q,MATCH(F252,Réttabanki!B:B,0)),"")))</f>
        <v/>
      </c>
      <c r="U252" s="284"/>
      <c r="V252" s="284"/>
      <c r="W252" s="284"/>
      <c r="X252" s="284"/>
      <c r="Y252" s="284"/>
      <c r="Z252" s="284"/>
      <c r="AA252" s="284"/>
    </row>
    <row r="253" spans="1:27" ht="30.75">
      <c r="A253" s="31"/>
      <c r="B253" s="32" t="s">
        <v>1899</v>
      </c>
      <c r="C253" s="32">
        <v>34</v>
      </c>
      <c r="D253" s="33" t="s">
        <v>1850</v>
      </c>
      <c r="E253" s="33" t="s">
        <v>1885</v>
      </c>
      <c r="F253" s="33" t="s">
        <v>404</v>
      </c>
      <c r="G253" s="33" t="s">
        <v>2054</v>
      </c>
      <c r="H253" s="34">
        <v>45</v>
      </c>
      <c r="I253" s="34"/>
      <c r="J253" s="149" t="str">
        <f>IF($F253="","",IFERROR(IFERROR(INDEX(Réttabanki!$U:$U,MATCH($F253,Réttabanki!$A:$A,0)),INDEX(Vöruskrá!$R:$R,MATCH($F253,Vöruskrá!$B:$B,0)))*($H253+IF($I253="",$H253*(1+#REF!),$I253))/2/1000,""))</f>
        <v/>
      </c>
      <c r="K253" s="21" t="s">
        <v>406</v>
      </c>
      <c r="L253" s="21" t="s">
        <v>407</v>
      </c>
      <c r="M253" s="21" t="s">
        <v>408</v>
      </c>
      <c r="N253" s="22">
        <v>242</v>
      </c>
      <c r="O253" s="22">
        <v>2.5</v>
      </c>
      <c r="P253" s="22">
        <v>0.4</v>
      </c>
      <c r="Q253" s="22">
        <v>44</v>
      </c>
      <c r="R253" s="22">
        <v>9.4</v>
      </c>
      <c r="S253" s="22">
        <v>1.3</v>
      </c>
      <c r="T253" s="66" t="str">
        <f>IF(F253="","",IFERROR(INDEX(Réttabanki!Q:Q,MATCH(F253,Réttabanki!A:A,0)),IFERROR(INDEX(Réttabanki!Q:Q,MATCH(F253,Réttabanki!B:B,0)),"")))</f>
        <v/>
      </c>
      <c r="U253" s="286"/>
      <c r="V253" s="286"/>
      <c r="W253" s="286"/>
      <c r="X253" s="286"/>
      <c r="Y253" s="286"/>
      <c r="Z253" s="286"/>
      <c r="AA253" s="286"/>
    </row>
    <row r="254" spans="1:27" ht="24">
      <c r="A254" s="31"/>
      <c r="B254" s="32" t="s">
        <v>1899</v>
      </c>
      <c r="C254" s="32">
        <v>34</v>
      </c>
      <c r="D254" s="33" t="s">
        <v>1850</v>
      </c>
      <c r="E254" s="33" t="s">
        <v>1885</v>
      </c>
      <c r="F254" s="33" t="s">
        <v>376</v>
      </c>
      <c r="G254" s="33" t="s">
        <v>1962</v>
      </c>
      <c r="H254" s="34">
        <v>20</v>
      </c>
      <c r="I254" s="34"/>
      <c r="J254" s="149" t="str">
        <f>IF($F254="","",IFERROR(IFERROR(INDEX(Réttabanki!$U:$U,MATCH($F254,Réttabanki!$A:$A,0)),INDEX(Vöruskrá!$R:$R,MATCH($F254,Vöruskrá!$B:$B,0)))*($H254+IF($I254="",$H254*(1+#REF!),$I254))/2/1000,""))</f>
        <v/>
      </c>
      <c r="K254" s="21" t="s">
        <v>378</v>
      </c>
      <c r="L254" s="21" t="s">
        <v>121</v>
      </c>
      <c r="M254" s="21"/>
      <c r="N254" s="22">
        <v>85</v>
      </c>
      <c r="O254" s="22">
        <v>0.8</v>
      </c>
      <c r="P254" s="22">
        <v>0.3</v>
      </c>
      <c r="Q254" s="22">
        <v>1.8</v>
      </c>
      <c r="R254" s="22">
        <v>16</v>
      </c>
      <c r="S254" s="22">
        <v>2.6</v>
      </c>
      <c r="T254" s="65" t="str">
        <f>IF(F254="","",IFERROR(INDEX(Réttabanki!Q:Q,MATCH(F254,Réttabanki!A:A,0)),IFERROR(INDEX(Réttabanki!Q:Q,MATCH(F254,Réttabanki!B:B,0)),"")))</f>
        <v/>
      </c>
      <c r="U254" s="284"/>
      <c r="V254" s="284"/>
      <c r="W254" s="284"/>
      <c r="X254" s="284"/>
      <c r="Y254" s="284"/>
      <c r="Z254" s="284"/>
      <c r="AA254" s="284"/>
    </row>
    <row r="255" spans="1:27">
      <c r="A255" s="155"/>
      <c r="B255" s="156" t="s">
        <v>1899</v>
      </c>
      <c r="C255" s="156">
        <v>34</v>
      </c>
      <c r="D255" s="157"/>
      <c r="E255" s="157"/>
      <c r="F255" s="157" t="s">
        <v>1894</v>
      </c>
      <c r="G255" s="157"/>
      <c r="H255" s="158"/>
      <c r="I255" s="158"/>
      <c r="J255" s="159">
        <f>SUMIFS(J234:J254,E234:E254,"&lt;&gt;Hliðarréttur",E234:E254,"&lt;&gt;Sérfæði")</f>
        <v>94.5</v>
      </c>
      <c r="K255" s="21" t="s">
        <v>1895</v>
      </c>
      <c r="L255" s="21"/>
      <c r="M255" s="21"/>
      <c r="N255" s="22"/>
      <c r="O255" s="22"/>
      <c r="P255" s="22"/>
      <c r="Q255" s="22"/>
      <c r="R255" s="22"/>
      <c r="S255" s="22"/>
      <c r="T255" s="65"/>
      <c r="U255" s="286"/>
      <c r="V255" s="286"/>
      <c r="W255" s="286"/>
      <c r="X255" s="286"/>
      <c r="Y255" s="286"/>
      <c r="Z255" s="286"/>
      <c r="AA255" s="286"/>
    </row>
    <row r="256" spans="1:27">
      <c r="A256" s="155"/>
      <c r="B256" s="156" t="s">
        <v>1899</v>
      </c>
      <c r="C256" s="156">
        <v>34</v>
      </c>
      <c r="D256" s="157"/>
      <c r="E256" s="157"/>
      <c r="F256" s="157" t="s">
        <v>1897</v>
      </c>
      <c r="G256" s="157"/>
      <c r="H256" s="158"/>
      <c r="I256" s="158"/>
      <c r="J256" s="159">
        <f>SUMIFS(J234:J254,E234:E254,"&lt;&gt;Hliðarréttur",E234:E254,"&lt;&gt;Sérfæði")</f>
        <v>94.5</v>
      </c>
      <c r="K256" s="21" t="s">
        <v>1895</v>
      </c>
      <c r="L256" s="21"/>
      <c r="M256" s="21"/>
      <c r="N256" s="22"/>
      <c r="O256" s="22"/>
      <c r="P256" s="22"/>
      <c r="Q256" s="22"/>
      <c r="R256" s="22"/>
      <c r="S256" s="22"/>
      <c r="T256" s="65"/>
      <c r="U256" s="284"/>
      <c r="V256" s="284"/>
      <c r="W256" s="284"/>
      <c r="X256" s="284"/>
      <c r="Y256" s="284"/>
      <c r="Z256" s="284"/>
      <c r="AA256" s="284"/>
    </row>
    <row r="257" spans="1:27" ht="72">
      <c r="A257" s="31">
        <v>46253</v>
      </c>
      <c r="B257" s="32" t="s">
        <v>1922</v>
      </c>
      <c r="C257" s="32">
        <v>34</v>
      </c>
      <c r="D257" s="33" t="s">
        <v>1856</v>
      </c>
      <c r="E257" s="33" t="s">
        <v>1852</v>
      </c>
      <c r="F257" s="33"/>
      <c r="G257" s="33" t="s">
        <v>2055</v>
      </c>
      <c r="H257" s="34"/>
      <c r="I257" s="34"/>
      <c r="J257" s="149" t="str">
        <f>IF($F257="","",IFERROR(IFERROR(INDEX(Réttabanki!$U:$U,MATCH($F257,Réttabanki!$A:$A,0)),INDEX(Vöruskrá!$R:$R,MATCH($F257,Vöruskrá!$B:$B,0)))*($H257+IF($I257="",$H257*(1+#REF!),$I257))/2/1000,""))</f>
        <v/>
      </c>
      <c r="K257" s="21" t="s">
        <v>2056</v>
      </c>
      <c r="L257" s="21" t="s">
        <v>1537</v>
      </c>
      <c r="M257" s="21" t="str">
        <f>IF($F257="","",IFERROR(IFERROR(INDEX(Réttabanki!$F:$F,MATCH($F257,Réttabanki!$A:$A,0)),INDEX(Vöruskrá!$H:$H,MATCH($F257,Vöruskrá!$B:$B,0))),""))</f>
        <v/>
      </c>
      <c r="N257" s="22" t="str">
        <f>IF($F257="","",IFERROR(IFERROR(INDEX(Réttabanki!$G:$G,MATCH($F257,Réttabanki!$A:$A,0)),INDEX(Vöruskrá!$J:$J,MATCH($F257,Vöruskrá!$B:$B,0)))*($H257+IF($I257="",$H257*(1+#REF!),$I257))/2/100,""))</f>
        <v/>
      </c>
      <c r="O257" s="22" t="str">
        <f>IF($F257="","",IFERROR(IFERROR(INDEX(Réttabanki!$H:$H,MATCH($F257,Réttabanki!$A:$A,0)),INDEX(Vöruskrá!$K:$K,MATCH($F257,Vöruskrá!$B:$B,0)))*($H257+IF($I257="",$H257*(1+#REF!),$I257))/2/100,""))</f>
        <v/>
      </c>
      <c r="P257" s="22" t="str">
        <f>IF($F257="","",IFERROR(IFERROR(INDEX(Réttabanki!$I:$I,MATCH($F257,Réttabanki!$A:$A,0)),INDEX(Vöruskrá!$L:$L,MATCH($F257,Vöruskrá!$B:$B,0)))*($H257+IF($I257="",$H257*(1+#REF!),$I257))/2/100,""))</f>
        <v/>
      </c>
      <c r="Q257" s="22" t="str">
        <f>IF($F257="","",IFERROR(IFERROR(INDEX(Réttabanki!$J:$J,MATCH($F257,Réttabanki!$A:$A,0)),INDEX(Vöruskrá!$M:$M,MATCH($F257,Vöruskrá!$B:$B,0)))*($H257+IF($I257="",$H257*(1+#REF!),$I257))/2/100,""))</f>
        <v/>
      </c>
      <c r="R257" s="22" t="str">
        <f>IF($F257="","",IFERROR(IFERROR(INDEX(Réttabanki!$L:$L,MATCH($F257,Réttabanki!$A:$A,0)),INDEX(Vöruskrá!$O:$O,MATCH($F257,Vöruskrá!$B:$B,0)))*($H257+IF($I257="",$H257*(1+#REF!),$I257))/2/100,""))</f>
        <v/>
      </c>
      <c r="S257" s="22" t="str">
        <f>IF($F257="","",IFERROR(IFERROR(INDEX(Réttabanki!$M:$M,MATCH($F257,Réttabanki!$A:$A,0)),INDEX(Vöruskrá!$P:$P,MATCH($F257,Vöruskrá!$B:$B,0)))*($H257+IF($I257="",$H257*(1+#REF!),$I257))/2/100,""))</f>
        <v/>
      </c>
      <c r="T257" s="66" t="str">
        <f>IF(F257="","",IFERROR(INDEX(Réttabanki!Q:Q,MATCH(F257,Réttabanki!A:A,0)),IFERROR(INDEX(Réttabanki!Q:Q,MATCH(F257,Réttabanki!B:B,0)),"")))</f>
        <v/>
      </c>
      <c r="U257" s="286"/>
      <c r="V257" s="286"/>
      <c r="W257" s="286"/>
      <c r="X257" s="286"/>
      <c r="Y257" s="286"/>
      <c r="Z257" s="286"/>
      <c r="AA257" s="286"/>
    </row>
    <row r="258" spans="1:27" ht="60">
      <c r="A258" s="31"/>
      <c r="B258" s="32" t="s">
        <v>1922</v>
      </c>
      <c r="C258" s="32">
        <v>34</v>
      </c>
      <c r="D258" s="33" t="s">
        <v>1856</v>
      </c>
      <c r="E258" s="33" t="s">
        <v>1852</v>
      </c>
      <c r="F258" s="33" t="s">
        <v>1535</v>
      </c>
      <c r="G258" s="33" t="s">
        <v>2057</v>
      </c>
      <c r="H258" s="34"/>
      <c r="I258" s="34">
        <v>180</v>
      </c>
      <c r="J258" s="149">
        <f>IF($F258="","",IFERROR(IFERROR(INDEX(Réttabanki!$U:$U,MATCH($F258,Réttabanki!$A:$A,0)),INDEX(Vöruskrá!$R:$R,MATCH($F258,Vöruskrá!$B:$B,0)))*($H258+IF($I258="",$H258*(1+#REF!),$I258))/2/1000,""))</f>
        <v>135.53277300000005</v>
      </c>
      <c r="K258" s="21" t="s">
        <v>1536</v>
      </c>
      <c r="L258" s="21" t="s">
        <v>1537</v>
      </c>
      <c r="M258" s="21"/>
      <c r="N258" s="22">
        <v>117.95</v>
      </c>
      <c r="O258" s="22">
        <v>7</v>
      </c>
      <c r="P258" s="22">
        <v>2.99</v>
      </c>
      <c r="Q258" s="22">
        <v>4.12</v>
      </c>
      <c r="R258" s="22">
        <v>9.74</v>
      </c>
      <c r="S258" s="22">
        <v>1.54</v>
      </c>
      <c r="T258" s="65"/>
      <c r="U258" s="284"/>
      <c r="V258" s="284"/>
      <c r="W258" s="284"/>
      <c r="X258" s="284"/>
      <c r="Y258" s="284"/>
      <c r="Z258" s="284"/>
      <c r="AA258" s="284"/>
    </row>
    <row r="259" spans="1:27">
      <c r="A259" s="31"/>
      <c r="B259" s="32" t="s">
        <v>1922</v>
      </c>
      <c r="C259" s="32">
        <v>34</v>
      </c>
      <c r="D259" s="33" t="s">
        <v>1856</v>
      </c>
      <c r="E259" s="33" t="s">
        <v>1852</v>
      </c>
      <c r="F259" s="33" t="s">
        <v>1097</v>
      </c>
      <c r="G259" s="33" t="s">
        <v>1912</v>
      </c>
      <c r="H259" s="34"/>
      <c r="I259" s="34">
        <v>100</v>
      </c>
      <c r="J259" s="149">
        <f>IF($F259="","",IFERROR(IFERROR(INDEX(Réttabanki!$U:$U,MATCH($F259,Réttabanki!$A:$A,0)),INDEX(Vöruskrá!$R:$R,MATCH($F259,Vöruskrá!$B:$B,0)))*($H259+IF($I259="",$H259*(1+#REF!),$I259))/2/1000,""))</f>
        <v>25</v>
      </c>
      <c r="K259" s="21" t="s">
        <v>1099</v>
      </c>
      <c r="L259" s="21" t="s">
        <v>108</v>
      </c>
      <c r="M259" s="21" t="s">
        <v>1100</v>
      </c>
      <c r="N259" s="22">
        <v>103</v>
      </c>
      <c r="O259" s="22">
        <v>3</v>
      </c>
      <c r="P259" s="22">
        <v>2.1</v>
      </c>
      <c r="Q259" s="22">
        <v>16</v>
      </c>
      <c r="R259" s="22">
        <v>2.2000000000000002</v>
      </c>
      <c r="S259" s="22">
        <v>0.7</v>
      </c>
      <c r="T259" s="66" t="str">
        <f>IF(F259="","",IFERROR(INDEX(Réttabanki!Q:Q,MATCH(F259,Réttabanki!A:A,0)),IFERROR(INDEX(Réttabanki!Q:Q,MATCH(F259,Réttabanki!B:B,0)),"")))</f>
        <v/>
      </c>
      <c r="U259" s="286"/>
      <c r="V259" s="286"/>
      <c r="W259" s="286"/>
      <c r="X259" s="286"/>
      <c r="Y259" s="286"/>
      <c r="Z259" s="286"/>
      <c r="AA259" s="286"/>
    </row>
    <row r="260" spans="1:27" ht="24">
      <c r="A260" s="31"/>
      <c r="B260" s="32" t="s">
        <v>1922</v>
      </c>
      <c r="C260" s="32">
        <v>34</v>
      </c>
      <c r="D260" s="33" t="s">
        <v>1850</v>
      </c>
      <c r="E260" s="33" t="s">
        <v>1852</v>
      </c>
      <c r="F260" s="33"/>
      <c r="G260" s="33" t="s">
        <v>2058</v>
      </c>
      <c r="H260" s="34"/>
      <c r="I260" s="34"/>
      <c r="J260" s="149" t="str">
        <f>IF($F260="","",IFERROR(IFERROR(INDEX(Réttabanki!$U:$U,MATCH($F260,Réttabanki!$A:$A,0)),INDEX(Vöruskrá!$R:$R,MATCH($F260,Vöruskrá!$B:$B,0)))*($H260+IF($I260="",$H260*(1+#REF!),$I260))/2/1000,""))</f>
        <v/>
      </c>
      <c r="K260" s="21" t="s">
        <v>2059</v>
      </c>
      <c r="L260" s="21" t="s">
        <v>101</v>
      </c>
      <c r="M260" s="21" t="str">
        <f>IF($F260="","",IFERROR(IFERROR(INDEX(Réttabanki!$F:$F,MATCH($F260,Réttabanki!$A:$A,0)),INDEX(Vöruskrá!$H:$H,MATCH($F260,Vöruskrá!$B:$B,0))),""))</f>
        <v/>
      </c>
      <c r="N260" s="22" t="str">
        <f>IF($F260="","",IFERROR(IFERROR(INDEX(Réttabanki!$G:$G,MATCH($F260,Réttabanki!$A:$A,0)),INDEX(Vöruskrá!$J:$J,MATCH($F260,Vöruskrá!$B:$B,0)))*($H260+IF($I260="",$H260*(1+#REF!),$I260))/2/100,""))</f>
        <v/>
      </c>
      <c r="O260" s="22" t="str">
        <f>IF($F260="","",IFERROR(IFERROR(INDEX(Réttabanki!$H:$H,MATCH($F260,Réttabanki!$A:$A,0)),INDEX(Vöruskrá!$K:$K,MATCH($F260,Vöruskrá!$B:$B,0)))*($H260+IF($I260="",$H260*(1+#REF!),$I260))/2/100,""))</f>
        <v/>
      </c>
      <c r="P260" s="22" t="str">
        <f>IF($F260="","",IFERROR(IFERROR(INDEX(Réttabanki!$I:$I,MATCH($F260,Réttabanki!$A:$A,0)),INDEX(Vöruskrá!$L:$L,MATCH($F260,Vöruskrá!$B:$B,0)))*($H260+IF($I260="",$H260*(1+#REF!),$I260))/2/100,""))</f>
        <v/>
      </c>
      <c r="Q260" s="22" t="str">
        <f>IF($F260="","",IFERROR(IFERROR(INDEX(Réttabanki!$J:$J,MATCH($F260,Réttabanki!$A:$A,0)),INDEX(Vöruskrá!$M:$M,MATCH($F260,Vöruskrá!$B:$B,0)))*($H260+IF($I260="",$H260*(1+#REF!),$I260))/2/100,""))</f>
        <v/>
      </c>
      <c r="R260" s="22" t="str">
        <f>IF($F260="","",IFERROR(IFERROR(INDEX(Réttabanki!$L:$L,MATCH($F260,Réttabanki!$A:$A,0)),INDEX(Vöruskrá!$O:$O,MATCH($F260,Vöruskrá!$B:$B,0)))*($H260+IF($I260="",$H260*(1+#REF!),$I260))/2/100,""))</f>
        <v/>
      </c>
      <c r="S260" s="22" t="str">
        <f>IF($F260="","",IFERROR(IFERROR(INDEX(Réttabanki!$M:$M,MATCH($F260,Réttabanki!$A:$A,0)),INDEX(Vöruskrá!$P:$P,MATCH($F260,Vöruskrá!$B:$B,0)))*($H260+IF($I260="",$H260*(1+#REF!),$I260))/2/100,""))</f>
        <v/>
      </c>
      <c r="T260" s="65" t="str">
        <f>IF(F260="","",IFERROR(INDEX(Réttabanki!Q:Q,MATCH(F260,Réttabanki!A:A,0)),IFERROR(INDEX(Réttabanki!Q:Q,MATCH(F260,Réttabanki!B:B,0)),"")))</f>
        <v/>
      </c>
      <c r="U260" s="284"/>
      <c r="V260" s="284"/>
      <c r="W260" s="284"/>
      <c r="X260" s="284"/>
      <c r="Y260" s="284"/>
      <c r="Z260" s="284"/>
      <c r="AA260" s="284"/>
    </row>
    <row r="261" spans="1:27">
      <c r="A261" s="31"/>
      <c r="B261" s="32" t="s">
        <v>1922</v>
      </c>
      <c r="C261" s="32">
        <v>34</v>
      </c>
      <c r="D261" s="33" t="s">
        <v>1850</v>
      </c>
      <c r="E261" s="33" t="s">
        <v>1852</v>
      </c>
      <c r="F261" s="33" t="s">
        <v>97</v>
      </c>
      <c r="G261" s="33" t="s">
        <v>2060</v>
      </c>
      <c r="H261" s="34">
        <v>200</v>
      </c>
      <c r="I261" s="34"/>
      <c r="J261" s="149" t="str">
        <f>IF($F261="","",IFERROR(IFERROR(INDEX(Réttabanki!$U:$U,MATCH($F261,Réttabanki!$A:$A,0)),INDEX(Vöruskrá!$R:$R,MATCH($F261,Vöruskrá!$B:$B,0)))*($H261+IF($I261="",$H261*(1+#REF!),$I261))/2/1000,""))</f>
        <v/>
      </c>
      <c r="K261" s="21" t="s">
        <v>100</v>
      </c>
      <c r="L261" s="21" t="s">
        <v>101</v>
      </c>
      <c r="M261" s="21"/>
      <c r="N261" s="22">
        <v>78</v>
      </c>
      <c r="O261" s="22">
        <v>0.3</v>
      </c>
      <c r="P261" s="22">
        <v>0.2</v>
      </c>
      <c r="Q261" s="22">
        <v>7.9</v>
      </c>
      <c r="R261" s="22">
        <v>11</v>
      </c>
      <c r="S261" s="22">
        <v>0.1</v>
      </c>
      <c r="T261" s="66" t="str">
        <f>IF(F261="","",IFERROR(INDEX(Réttabanki!Q:Q,MATCH(F261,Réttabanki!A:A,0)),IFERROR(INDEX(Réttabanki!Q:Q,MATCH(F261,Réttabanki!B:B,0)),"")))</f>
        <v/>
      </c>
      <c r="U261" s="286"/>
      <c r="V261" s="286"/>
      <c r="W261" s="286"/>
      <c r="X261" s="286"/>
      <c r="Y261" s="286"/>
      <c r="Z261" s="286"/>
      <c r="AA261" s="286"/>
    </row>
    <row r="262" spans="1:27">
      <c r="A262" s="31"/>
      <c r="B262" s="32" t="s">
        <v>1922</v>
      </c>
      <c r="C262" s="32">
        <v>34</v>
      </c>
      <c r="D262" s="33" t="s">
        <v>1850</v>
      </c>
      <c r="E262" s="33" t="s">
        <v>1852</v>
      </c>
      <c r="F262" s="33" t="s">
        <v>477</v>
      </c>
      <c r="G262" s="33" t="s">
        <v>480</v>
      </c>
      <c r="H262" s="34">
        <v>20</v>
      </c>
      <c r="I262" s="34"/>
      <c r="J262" s="149" t="str">
        <f>IF($F262="","",IFERROR(IFERROR(INDEX(Réttabanki!$U:$U,MATCH($F262,Réttabanki!$A:$A,0)),INDEX(Vöruskrá!$R:$R,MATCH($F262,Vöruskrá!$B:$B,0)))*($H262+IF($I262="",$H262*(1+#REF!),$I262))/2/1000,""))</f>
        <v/>
      </c>
      <c r="K262" s="21" t="s">
        <v>480</v>
      </c>
      <c r="L262" s="21" t="s">
        <v>121</v>
      </c>
      <c r="M262" s="21"/>
      <c r="N262" s="22">
        <v>37</v>
      </c>
      <c r="O262" s="22">
        <v>0.5</v>
      </c>
      <c r="P262" s="22">
        <v>0.1</v>
      </c>
      <c r="Q262" s="22">
        <v>3.7</v>
      </c>
      <c r="R262" s="22">
        <v>0</v>
      </c>
      <c r="S262" s="22">
        <v>0</v>
      </c>
      <c r="T262" s="65" t="str">
        <f>IF(F262="","",IFERROR(INDEX(Réttabanki!Q:Q,MATCH(F262,Réttabanki!A:A,0)),IFERROR(INDEX(Réttabanki!Q:Q,MATCH(F262,Réttabanki!B:B,0)),"")))</f>
        <v/>
      </c>
      <c r="U262" s="284"/>
      <c r="V262" s="284"/>
      <c r="W262" s="284"/>
      <c r="X262" s="284"/>
      <c r="Y262" s="284"/>
      <c r="Z262" s="284"/>
      <c r="AA262" s="284"/>
    </row>
    <row r="263" spans="1:27">
      <c r="A263" s="31"/>
      <c r="B263" s="32" t="s">
        <v>1922</v>
      </c>
      <c r="C263" s="32">
        <v>34</v>
      </c>
      <c r="D263" s="33" t="s">
        <v>1850</v>
      </c>
      <c r="E263" s="33" t="s">
        <v>1852</v>
      </c>
      <c r="F263" s="33" t="s">
        <v>508</v>
      </c>
      <c r="G263" s="33" t="s">
        <v>510</v>
      </c>
      <c r="H263" s="34">
        <v>20</v>
      </c>
      <c r="I263" s="34"/>
      <c r="J263" s="149" t="str">
        <f>IF($F263="","",IFERROR(IFERROR(INDEX(Réttabanki!$U:$U,MATCH($F263,Réttabanki!$A:$A,0)),INDEX(Vöruskrá!$R:$R,MATCH($F263,Vöruskrá!$B:$B,0)))*($H263+IF($I263="",$H263*(1+#REF!),$I263))/2/1000,""))</f>
        <v/>
      </c>
      <c r="K263" s="21" t="s">
        <v>510</v>
      </c>
      <c r="L263" s="21" t="s">
        <v>121</v>
      </c>
      <c r="M263" s="21"/>
      <c r="N263" s="22">
        <v>43</v>
      </c>
      <c r="O263" s="22">
        <v>0.5</v>
      </c>
      <c r="P263" s="22">
        <v>0.1</v>
      </c>
      <c r="Q263" s="22">
        <v>9.1</v>
      </c>
      <c r="R263" s="22">
        <v>0.4</v>
      </c>
      <c r="S263" s="22">
        <v>0</v>
      </c>
      <c r="T263" s="66" t="str">
        <f>IF(F263="","",IFERROR(INDEX(Réttabanki!Q:Q,MATCH(F263,Réttabanki!A:A,0)),IFERROR(INDEX(Réttabanki!Q:Q,MATCH(F263,Réttabanki!B:B,0)),"")))</f>
        <v/>
      </c>
      <c r="U263" s="286"/>
      <c r="V263" s="286"/>
      <c r="W263" s="286"/>
      <c r="X263" s="286"/>
      <c r="Y263" s="286"/>
      <c r="Z263" s="286"/>
      <c r="AA263" s="286"/>
    </row>
    <row r="264" spans="1:27" ht="96">
      <c r="A264" s="31"/>
      <c r="B264" s="32" t="s">
        <v>1922</v>
      </c>
      <c r="C264" s="32">
        <v>34</v>
      </c>
      <c r="D264" s="33" t="s">
        <v>1850</v>
      </c>
      <c r="E264" s="33" t="s">
        <v>1867</v>
      </c>
      <c r="F264" s="33"/>
      <c r="G264" s="33" t="s">
        <v>1868</v>
      </c>
      <c r="H264" s="34"/>
      <c r="I264" s="34"/>
      <c r="J264" s="149" t="str">
        <f>IF($F264="","",IFERROR(IFERROR(INDEX(Réttabanki!$U:$U,MATCH($F264,Réttabanki!$A:$A,0)),INDEX(Vöruskrá!$R:$R,MATCH($F264,Vöruskrá!$B:$B,0)))*($H264+IF($I264="",$H264*(1+#REF!),$I264))/2/1000,""))</f>
        <v/>
      </c>
      <c r="K264" s="21" t="s">
        <v>2061</v>
      </c>
      <c r="L264" s="21" t="s">
        <v>2062</v>
      </c>
      <c r="M264" s="21" t="str">
        <f>IF($F264="","",IFERROR(IFERROR(INDEX(Réttabanki!$F:$F,MATCH($F264,Réttabanki!$A:$A,0)),INDEX(Vöruskrá!$H:$H,MATCH($F264,Vöruskrá!$B:$B,0))),""))</f>
        <v/>
      </c>
      <c r="N264" s="22" t="str">
        <f>IF($F264="","",IFERROR(IFERROR(INDEX(Réttabanki!$G:$G,MATCH($F264,Réttabanki!$A:$A,0)),INDEX(Vöruskrá!$J:$J,MATCH($F264,Vöruskrá!$B:$B,0)))*($H264+IF($I264="",$H264*(1+#REF!),$I264))/2/100,""))</f>
        <v/>
      </c>
      <c r="O264" s="22" t="str">
        <f>IF($F264="","",IFERROR(IFERROR(INDEX(Réttabanki!$H:$H,MATCH($F264,Réttabanki!$A:$A,0)),INDEX(Vöruskrá!$K:$K,MATCH($F264,Vöruskrá!$B:$B,0)))*($H264+IF($I264="",$H264*(1+#REF!),$I264))/2/100,""))</f>
        <v/>
      </c>
      <c r="P264" s="22" t="str">
        <f>IF($F264="","",IFERROR(IFERROR(INDEX(Réttabanki!$I:$I,MATCH($F264,Réttabanki!$A:$A,0)),INDEX(Vöruskrá!$L:$L,MATCH($F264,Vöruskrá!$B:$B,0)))*($H264+IF($I264="",$H264*(1+#REF!),$I264))/2/100,""))</f>
        <v/>
      </c>
      <c r="Q264" s="22" t="str">
        <f>IF($F264="","",IFERROR(IFERROR(INDEX(Réttabanki!$J:$J,MATCH($F264,Réttabanki!$A:$A,0)),INDEX(Vöruskrá!$M:$M,MATCH($F264,Vöruskrá!$B:$B,0)))*($H264+IF($I264="",$H264*(1+#REF!),$I264))/2/100,""))</f>
        <v/>
      </c>
      <c r="R264" s="22" t="str">
        <f>IF($F264="","",IFERROR(IFERROR(INDEX(Réttabanki!$L:$L,MATCH($F264,Réttabanki!$A:$A,0)),INDEX(Vöruskrá!$O:$O,MATCH($F264,Vöruskrá!$B:$B,0)))*($H264+IF($I264="",$H264*(1+#REF!),$I264))/2/100,""))</f>
        <v/>
      </c>
      <c r="S264" s="22" t="str">
        <f>IF($F264="","",IFERROR(IFERROR(INDEX(Réttabanki!$M:$M,MATCH($F264,Réttabanki!$A:$A,0)),INDEX(Vöruskrá!$P:$P,MATCH($F264,Vöruskrá!$B:$B,0)))*($H264+IF($I264="",$H264*(1+#REF!),$I264))/2/100,""))</f>
        <v/>
      </c>
      <c r="T264" s="65" t="str">
        <f>IF(F264="","",IFERROR(INDEX(Réttabanki!Q:Q,MATCH(F264,Réttabanki!A:A,0)),IFERROR(INDEX(Réttabanki!Q:Q,MATCH(F264,Réttabanki!B:B,0)),"")))</f>
        <v/>
      </c>
      <c r="U264" s="284"/>
      <c r="V264" s="284"/>
      <c r="W264" s="284"/>
      <c r="X264" s="284"/>
      <c r="Y264" s="284"/>
      <c r="Z264" s="284"/>
      <c r="AA264" s="284"/>
    </row>
    <row r="265" spans="1:27" ht="36">
      <c r="A265" s="31"/>
      <c r="B265" s="32" t="s">
        <v>1922</v>
      </c>
      <c r="C265" s="32">
        <v>34</v>
      </c>
      <c r="D265" s="33" t="s">
        <v>1850</v>
      </c>
      <c r="E265" s="33" t="s">
        <v>1867</v>
      </c>
      <c r="F265" s="33" t="s">
        <v>1255</v>
      </c>
      <c r="G265" s="33" t="s">
        <v>1871</v>
      </c>
      <c r="H265" s="34">
        <v>200</v>
      </c>
      <c r="I265" s="34"/>
      <c r="J265" s="149" t="str">
        <f>IF($F265="","",IFERROR(IFERROR(INDEX(Réttabanki!$U:$U,MATCH($F265,Réttabanki!$A:$A,0)),INDEX(Vöruskrá!$R:$R,MATCH($F265,Vöruskrá!$B:$B,0)))*($H265+IF($I265="",$H265*(1+#REF!),$I265))/2/1000,""))</f>
        <v/>
      </c>
      <c r="K265" s="21" t="s">
        <v>1257</v>
      </c>
      <c r="L265" s="21" t="s">
        <v>115</v>
      </c>
      <c r="M265" s="21"/>
      <c r="N265" s="22">
        <v>89</v>
      </c>
      <c r="O265" s="22">
        <v>2.1</v>
      </c>
      <c r="P265" s="22">
        <v>0.2</v>
      </c>
      <c r="Q265" s="22">
        <v>16</v>
      </c>
      <c r="R265" s="22"/>
      <c r="S265" s="22"/>
      <c r="T265" s="66" t="str">
        <f>IF(F265="","",IFERROR(INDEX(Réttabanki!Q:Q,MATCH(F265,Réttabanki!A:A,0)),IFERROR(INDEX(Réttabanki!Q:Q,MATCH(F265,Réttabanki!B:B,0)),"")))</f>
        <v/>
      </c>
      <c r="U265" s="286"/>
      <c r="V265" s="286"/>
      <c r="W265" s="286"/>
      <c r="X265" s="286"/>
      <c r="Y265" s="286"/>
      <c r="Z265" s="286"/>
      <c r="AA265" s="286"/>
    </row>
    <row r="266" spans="1:27">
      <c r="A266" s="31"/>
      <c r="B266" s="32" t="s">
        <v>1922</v>
      </c>
      <c r="C266" s="32">
        <v>34</v>
      </c>
      <c r="D266" s="33" t="s">
        <v>1850</v>
      </c>
      <c r="E266" s="33" t="s">
        <v>1867</v>
      </c>
      <c r="F266" s="33" t="s">
        <v>477</v>
      </c>
      <c r="G266" s="33" t="s">
        <v>480</v>
      </c>
      <c r="H266" s="34">
        <v>20</v>
      </c>
      <c r="I266" s="34"/>
      <c r="J266" s="149" t="str">
        <f>IF($F266="","",IFERROR(IFERROR(INDEX(Réttabanki!$U:$U,MATCH($F266,Réttabanki!$A:$A,0)),INDEX(Vöruskrá!$R:$R,MATCH($F266,Vöruskrá!$B:$B,0)))*($H266+IF($I266="",$H266*(1+#REF!),$I266))/2/1000,""))</f>
        <v/>
      </c>
      <c r="K266" s="21" t="s">
        <v>480</v>
      </c>
      <c r="L266" s="21" t="s">
        <v>121</v>
      </c>
      <c r="M266" s="21"/>
      <c r="N266" s="22">
        <v>37</v>
      </c>
      <c r="O266" s="22">
        <v>0.5</v>
      </c>
      <c r="P266" s="22">
        <v>0.1</v>
      </c>
      <c r="Q266" s="22">
        <v>3.7</v>
      </c>
      <c r="R266" s="22">
        <v>0</v>
      </c>
      <c r="S266" s="22">
        <v>0</v>
      </c>
      <c r="T266" s="65" t="str">
        <f>IF(F266="","",IFERROR(INDEX(Réttabanki!Q:Q,MATCH(F266,Réttabanki!A:A,0)),IFERROR(INDEX(Réttabanki!Q:Q,MATCH(F266,Réttabanki!B:B,0)),"")))</f>
        <v/>
      </c>
      <c r="U266" s="284"/>
      <c r="V266" s="284"/>
      <c r="W266" s="284"/>
      <c r="X266" s="284"/>
      <c r="Y266" s="284"/>
      <c r="Z266" s="284"/>
      <c r="AA266" s="284"/>
    </row>
    <row r="267" spans="1:27">
      <c r="A267" s="31"/>
      <c r="B267" s="32" t="s">
        <v>1922</v>
      </c>
      <c r="C267" s="32">
        <v>34</v>
      </c>
      <c r="D267" s="33" t="s">
        <v>1850</v>
      </c>
      <c r="E267" s="33" t="s">
        <v>1867</v>
      </c>
      <c r="F267" s="33" t="s">
        <v>508</v>
      </c>
      <c r="G267" s="33" t="s">
        <v>510</v>
      </c>
      <c r="H267" s="34">
        <v>20</v>
      </c>
      <c r="I267" s="34"/>
      <c r="J267" s="149" t="str">
        <f>IF($F267="","",IFERROR(IFERROR(INDEX(Réttabanki!$U:$U,MATCH($F267,Réttabanki!$A:$A,0)),INDEX(Vöruskrá!$R:$R,MATCH($F267,Vöruskrá!$B:$B,0)))*($H267+IF($I267="",$H267*(1+#REF!),$I267))/2/1000,""))</f>
        <v/>
      </c>
      <c r="K267" s="21" t="s">
        <v>510</v>
      </c>
      <c r="L267" s="21" t="s">
        <v>121</v>
      </c>
      <c r="M267" s="21"/>
      <c r="N267" s="22">
        <v>43</v>
      </c>
      <c r="O267" s="22">
        <v>0.5</v>
      </c>
      <c r="P267" s="22">
        <v>0.1</v>
      </c>
      <c r="Q267" s="22">
        <v>9.1</v>
      </c>
      <c r="R267" s="22">
        <v>0.4</v>
      </c>
      <c r="S267" s="22">
        <v>0</v>
      </c>
      <c r="T267" s="66" t="str">
        <f>IF(F267="","",IFERROR(INDEX(Réttabanki!Q:Q,MATCH(F267,Réttabanki!A:A,0)),IFERROR(INDEX(Réttabanki!Q:Q,MATCH(F267,Réttabanki!B:B,0)),"")))</f>
        <v/>
      </c>
      <c r="U267" s="286"/>
      <c r="V267" s="286"/>
      <c r="W267" s="286"/>
      <c r="X267" s="286"/>
      <c r="Y267" s="286"/>
      <c r="Z267" s="286"/>
      <c r="AA267" s="286"/>
    </row>
    <row r="268" spans="1:27" ht="36">
      <c r="A268" s="31"/>
      <c r="B268" s="32" t="s">
        <v>1922</v>
      </c>
      <c r="C268" s="32">
        <v>34</v>
      </c>
      <c r="D268" s="33" t="s">
        <v>1850</v>
      </c>
      <c r="E268" s="33" t="s">
        <v>946</v>
      </c>
      <c r="F268" s="33" t="s">
        <v>1255</v>
      </c>
      <c r="G268" s="33" t="s">
        <v>1863</v>
      </c>
      <c r="H268" s="34">
        <v>200</v>
      </c>
      <c r="I268" s="34"/>
      <c r="J268" s="149"/>
      <c r="K268" s="21" t="s">
        <v>1257</v>
      </c>
      <c r="L268" s="21" t="s">
        <v>115</v>
      </c>
      <c r="M268" s="21"/>
      <c r="N268" s="22">
        <v>89</v>
      </c>
      <c r="O268" s="22">
        <v>2.1</v>
      </c>
      <c r="P268" s="22">
        <v>0.2</v>
      </c>
      <c r="Q268" s="22">
        <v>16</v>
      </c>
      <c r="R268" s="22"/>
      <c r="S268" s="22"/>
      <c r="T268" s="66"/>
      <c r="U268" s="284"/>
      <c r="V268" s="284"/>
      <c r="W268" s="284"/>
      <c r="X268" s="284"/>
      <c r="Y268" s="284"/>
      <c r="Z268" s="284"/>
      <c r="AA268" s="284"/>
    </row>
    <row r="269" spans="1:27" ht="36">
      <c r="A269" s="31"/>
      <c r="B269" s="32" t="s">
        <v>1922</v>
      </c>
      <c r="C269" s="32">
        <v>34</v>
      </c>
      <c r="D269" s="33" t="s">
        <v>1850</v>
      </c>
      <c r="E269" s="33" t="s">
        <v>946</v>
      </c>
      <c r="F269" s="33" t="s">
        <v>611</v>
      </c>
      <c r="G269" s="33" t="s">
        <v>2063</v>
      </c>
      <c r="H269" s="34">
        <v>200</v>
      </c>
      <c r="I269" s="34"/>
      <c r="J269" s="149"/>
      <c r="K269" s="21" t="s">
        <v>612</v>
      </c>
      <c r="L269" s="21" t="s">
        <v>128</v>
      </c>
      <c r="M269" s="21"/>
      <c r="N269" s="22">
        <v>83</v>
      </c>
      <c r="O269" s="22">
        <v>1.8</v>
      </c>
      <c r="P269" s="22">
        <v>0.2</v>
      </c>
      <c r="Q269" s="22">
        <v>12</v>
      </c>
      <c r="R269" s="22">
        <v>3.6</v>
      </c>
      <c r="S269" s="22">
        <v>0.1</v>
      </c>
      <c r="T269" s="66"/>
      <c r="U269" s="286"/>
      <c r="V269" s="286"/>
      <c r="W269" s="286"/>
      <c r="X269" s="286"/>
      <c r="Y269" s="286"/>
      <c r="Z269" s="286"/>
      <c r="AA269" s="286"/>
    </row>
    <row r="270" spans="1:27">
      <c r="A270" s="31"/>
      <c r="B270" s="32" t="s">
        <v>1922</v>
      </c>
      <c r="C270" s="32">
        <v>34</v>
      </c>
      <c r="D270" s="33" t="s">
        <v>1856</v>
      </c>
      <c r="E270" s="33" t="s">
        <v>1877</v>
      </c>
      <c r="F270" s="33"/>
      <c r="G270" s="33"/>
      <c r="H270" s="34"/>
      <c r="I270" s="34"/>
      <c r="J270" s="149" t="str">
        <f>IF($F270="","",IFERROR(IFERROR(INDEX(Réttabanki!$U:$U,MATCH($F270,Réttabanki!$A:$A,0)),INDEX(Vöruskrá!$R:$R,MATCH($F270,Vöruskrá!$B:$B,0)))*($H270+IF($I270="",$H270*(1+#REF!),$I270))/2/1000,""))</f>
        <v/>
      </c>
      <c r="K270" s="21"/>
      <c r="L270" s="21" t="s">
        <v>121</v>
      </c>
      <c r="M270" s="21" t="str">
        <f>IF($F270="","",IFERROR(IFERROR(INDEX(Réttabanki!$F:$F,MATCH($F270,Réttabanki!$A:$A,0)),INDEX(Vöruskrá!$H:$H,MATCH($F270,Vöruskrá!$B:$B,0))),""))</f>
        <v/>
      </c>
      <c r="N270" s="22" t="str">
        <f>IF($F270="","",IFERROR(IFERROR(INDEX(Réttabanki!$G:$G,MATCH($F270,Réttabanki!$A:$A,0)),INDEX(Vöruskrá!$J:$J,MATCH($F270,Vöruskrá!$B:$B,0)))*($H270+IF($I270="",$H270*(1+#REF!),$I270))/2/100,""))</f>
        <v/>
      </c>
      <c r="O270" s="22" t="str">
        <f>IF($F270="","",IFERROR(IFERROR(INDEX(Réttabanki!$H:$H,MATCH($F270,Réttabanki!$A:$A,0)),INDEX(Vöruskrá!$K:$K,MATCH($F270,Vöruskrá!$B:$B,0)))*($H270+IF($I270="",$H270*(1+#REF!),$I270))/2/100,""))</f>
        <v/>
      </c>
      <c r="P270" s="22" t="str">
        <f>IF($F270="","",IFERROR(IFERROR(INDEX(Réttabanki!$I:$I,MATCH($F270,Réttabanki!$A:$A,0)),INDEX(Vöruskrá!$L:$L,MATCH($F270,Vöruskrá!$B:$B,0)))*($H270+IF($I270="",$H270*(1+#REF!),$I270))/2/100,""))</f>
        <v/>
      </c>
      <c r="Q270" s="22" t="str">
        <f>IF($F270="","",IFERROR(IFERROR(INDEX(Réttabanki!$J:$J,MATCH($F270,Réttabanki!$A:$A,0)),INDEX(Vöruskrá!$M:$M,MATCH($F270,Vöruskrá!$B:$B,0)))*($H270+IF($I270="",$H270*(1+#REF!),$I270))/2/100,""))</f>
        <v/>
      </c>
      <c r="R270" s="22" t="str">
        <f>IF($F270="","",IFERROR(IFERROR(INDEX(Réttabanki!$L:$L,MATCH($F270,Réttabanki!$A:$A,0)),INDEX(Vöruskrá!$O:$O,MATCH($F270,Vöruskrá!$B:$B,0)))*($H270+IF($I270="",$H270*(1+#REF!),$I270))/2/100,""))</f>
        <v/>
      </c>
      <c r="S270" s="22" t="str">
        <f>IF($F270="","",IFERROR(IFERROR(INDEX(Réttabanki!$M:$M,MATCH($F270,Réttabanki!$A:$A,0)),INDEX(Vöruskrá!$P:$P,MATCH($F270,Vöruskrá!$B:$B,0)))*($H270+IF($I270="",$H270*(1+#REF!),$I270))/2/100,""))</f>
        <v/>
      </c>
      <c r="T270" s="65" t="str">
        <f>IF(F270="","",IFERROR(INDEX(Réttabanki!Q:Q,MATCH(F270,Réttabanki!A:A,0)),IFERROR(INDEX(Réttabanki!Q:Q,MATCH(F270,Réttabanki!B:B,0)),"")))</f>
        <v/>
      </c>
      <c r="U270" s="284"/>
      <c r="V270" s="284"/>
      <c r="W270" s="284"/>
      <c r="X270" s="284"/>
      <c r="Y270" s="284"/>
      <c r="Z270" s="284"/>
      <c r="AA270" s="284"/>
    </row>
    <row r="271" spans="1:27">
      <c r="A271" s="31"/>
      <c r="B271" s="32" t="s">
        <v>1922</v>
      </c>
      <c r="C271" s="32">
        <v>34</v>
      </c>
      <c r="D271" s="33" t="s">
        <v>1850</v>
      </c>
      <c r="E271" s="33" t="s">
        <v>1877</v>
      </c>
      <c r="F271" s="33"/>
      <c r="G271" s="33"/>
      <c r="H271" s="34"/>
      <c r="I271" s="34"/>
      <c r="J271" s="149" t="str">
        <f>IF($F271="","",IFERROR(IFERROR(INDEX(Réttabanki!$U:$U,MATCH($F271,Réttabanki!$A:$A,0)),INDEX(Vöruskrá!$R:$R,MATCH($F271,Vöruskrá!$B:$B,0)))*($H271+IF($I271="",$H271*(1+#REF!),$I271))/2/1000,""))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66" t="str">
        <f>IF(F271="","",IFERROR(INDEX(Réttabanki!Q:Q,MATCH(F271,Réttabanki!A:A,0)),IFERROR(INDEX(Réttabanki!Q:Q,MATCH(F271,Réttabanki!B:B,0)),"")))</f>
        <v/>
      </c>
      <c r="U271" s="286"/>
      <c r="V271" s="286"/>
      <c r="W271" s="286"/>
      <c r="X271" s="286"/>
      <c r="Y271" s="286"/>
      <c r="Z271" s="286"/>
      <c r="AA271" s="286"/>
    </row>
    <row r="272" spans="1:27" ht="48">
      <c r="A272" s="31"/>
      <c r="B272" s="32" t="s">
        <v>1922</v>
      </c>
      <c r="C272" s="32">
        <v>34</v>
      </c>
      <c r="D272" s="33" t="s">
        <v>1850</v>
      </c>
      <c r="E272" s="33" t="s">
        <v>1885</v>
      </c>
      <c r="F272" s="33"/>
      <c r="G272" s="33" t="s">
        <v>2064</v>
      </c>
      <c r="H272" s="34"/>
      <c r="I272" s="34"/>
      <c r="J272" s="149" t="str">
        <f>IF($F272="","",IFERROR(IFERROR(INDEX(Réttabanki!$U:$U,MATCH($F272,Réttabanki!$A:$A,0)),INDEX(Vöruskrá!$R:$R,MATCH($F272,Vöruskrá!$B:$B,0)))*($H272+IF($I272="",$H272*(1+#REF!),$I272))/2/1000,""))</f>
        <v/>
      </c>
      <c r="K272" s="21" t="s">
        <v>2065</v>
      </c>
      <c r="L272" s="21" t="s">
        <v>1888</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65" t="str">
        <f>IF(F272="","",IFERROR(INDEX(Réttabanki!Q:Q,MATCH(F272,Réttabanki!A:A,0)),IFERROR(INDEX(Réttabanki!Q:Q,MATCH(F272,Réttabanki!B:B,0)),"")))</f>
        <v/>
      </c>
      <c r="U272" s="284"/>
      <c r="V272" s="284"/>
      <c r="W272" s="284"/>
      <c r="X272" s="284"/>
      <c r="Y272" s="284"/>
      <c r="Z272" s="284"/>
      <c r="AA272" s="284"/>
    </row>
    <row r="273" spans="1:27" ht="24">
      <c r="A273" s="31"/>
      <c r="B273" s="32" t="s">
        <v>1922</v>
      </c>
      <c r="C273" s="32">
        <v>34</v>
      </c>
      <c r="D273" s="33" t="s">
        <v>1850</v>
      </c>
      <c r="E273" s="33" t="s">
        <v>1885</v>
      </c>
      <c r="F273" s="33" t="s">
        <v>85</v>
      </c>
      <c r="G273" s="33" t="s">
        <v>2066</v>
      </c>
      <c r="H273" s="34">
        <v>40</v>
      </c>
      <c r="I273" s="34"/>
      <c r="J273" s="149" t="str">
        <f>IF($F273="","",IFERROR(IFERROR(INDEX(Réttabanki!$U:$U,MATCH($F273,Réttabanki!$A:$A,0)),INDEX(Vöruskrá!$R:$R,MATCH($F273,Vöruskrá!$B:$B,0)))*($H273+IF($I273="",$H273*(1+#REF!),$I273))/2/1000,""))</f>
        <v/>
      </c>
      <c r="K273" s="21" t="s">
        <v>87</v>
      </c>
      <c r="L273" s="21" t="s">
        <v>30</v>
      </c>
      <c r="M273" s="21" t="s">
        <v>88</v>
      </c>
      <c r="N273" s="22">
        <v>478</v>
      </c>
      <c r="O273" s="22">
        <v>20.8</v>
      </c>
      <c r="P273" s="22">
        <v>10.5</v>
      </c>
      <c r="Q273" s="22">
        <v>62.4</v>
      </c>
      <c r="R273" s="22">
        <v>8</v>
      </c>
      <c r="S273" s="22">
        <v>1.1000000000000001</v>
      </c>
      <c r="T273" s="66" t="str">
        <f>IF(F273="","",IFERROR(INDEX(Réttabanki!Q:Q,MATCH(F273,Réttabanki!A:A,0)),IFERROR(INDEX(Réttabanki!Q:Q,MATCH(F273,Réttabanki!B:B,0)),"")))</f>
        <v/>
      </c>
      <c r="U273" s="286"/>
      <c r="V273" s="286"/>
      <c r="W273" s="286"/>
      <c r="X273" s="286"/>
      <c r="Y273" s="286"/>
      <c r="Z273" s="286"/>
      <c r="AA273" s="286"/>
    </row>
    <row r="274" spans="1:27" ht="24">
      <c r="A274" s="31"/>
      <c r="B274" s="32" t="s">
        <v>1922</v>
      </c>
      <c r="C274" s="32">
        <v>34</v>
      </c>
      <c r="D274" s="33" t="s">
        <v>1850</v>
      </c>
      <c r="E274" s="33" t="s">
        <v>1885</v>
      </c>
      <c r="F274" s="33" t="s">
        <v>124</v>
      </c>
      <c r="G274" s="33" t="s">
        <v>1892</v>
      </c>
      <c r="H274" s="34">
        <v>20</v>
      </c>
      <c r="I274" s="34"/>
      <c r="J274" s="149" t="str">
        <f>IF($F274="","",IFERROR(IFERROR(INDEX(Réttabanki!$U:$U,MATCH($F274,Réttabanki!$A:$A,0)),INDEX(Vöruskrá!$R:$R,MATCH($F274,Vöruskrá!$B:$B,0)))*($H274+IF($I274="",$H274*(1+#REF!),$I274))/2/1000,""))</f>
        <v/>
      </c>
      <c r="K274" s="21" t="s">
        <v>127</v>
      </c>
      <c r="L274" s="21" t="s">
        <v>128</v>
      </c>
      <c r="M274" s="21"/>
      <c r="N274" s="22">
        <v>122</v>
      </c>
      <c r="O274" s="22">
        <v>5.9</v>
      </c>
      <c r="P274" s="22">
        <v>2.4</v>
      </c>
      <c r="Q274" s="22">
        <v>3.6</v>
      </c>
      <c r="R274" s="22">
        <v>13.4</v>
      </c>
      <c r="S274" s="22">
        <v>2.7</v>
      </c>
      <c r="T274" s="65" t="str">
        <f>IF(F274="","",IFERROR(INDEX(Réttabanki!Q:Q,MATCH(F274,Réttabanki!A:A,0)),IFERROR(INDEX(Réttabanki!Q:Q,MATCH(F274,Réttabanki!B:B,0)),"")))</f>
        <v/>
      </c>
      <c r="U274" s="284"/>
      <c r="V274" s="284"/>
      <c r="W274" s="284"/>
      <c r="X274" s="284"/>
      <c r="Y274" s="284"/>
      <c r="Z274" s="284"/>
      <c r="AA274" s="284"/>
    </row>
    <row r="275" spans="1:27">
      <c r="A275" s="155"/>
      <c r="B275" s="156" t="s">
        <v>1922</v>
      </c>
      <c r="C275" s="156">
        <v>34</v>
      </c>
      <c r="D275" s="157"/>
      <c r="E275" s="157"/>
      <c r="F275" s="157" t="s">
        <v>1894</v>
      </c>
      <c r="G275" s="157"/>
      <c r="H275" s="158"/>
      <c r="I275" s="158"/>
      <c r="J275" s="159">
        <f>SUMIFS(J257:J274,E257:E274,"&lt;&gt;Hliðarréttur",E257:E274,"&lt;&gt;Sérfæði")</f>
        <v>160.53277300000005</v>
      </c>
      <c r="K275" s="21" t="s">
        <v>1895</v>
      </c>
      <c r="L275" s="21"/>
      <c r="M275" s="21"/>
      <c r="N275" s="22"/>
      <c r="O275" s="22"/>
      <c r="P275" s="22"/>
      <c r="Q275" s="22"/>
      <c r="R275" s="22"/>
      <c r="S275" s="22"/>
      <c r="T275" s="65"/>
      <c r="U275" s="286"/>
      <c r="V275" s="286"/>
      <c r="W275" s="286"/>
      <c r="X275" s="286"/>
      <c r="Y275" s="286"/>
      <c r="Z275" s="286"/>
      <c r="AA275" s="286"/>
    </row>
    <row r="276" spans="1:27">
      <c r="A276" s="155"/>
      <c r="B276" s="156" t="s">
        <v>1922</v>
      </c>
      <c r="C276" s="156">
        <v>34</v>
      </c>
      <c r="D276" s="157"/>
      <c r="E276" s="157"/>
      <c r="F276" s="157" t="s">
        <v>1897</v>
      </c>
      <c r="G276" s="157"/>
      <c r="H276" s="158"/>
      <c r="I276" s="158"/>
      <c r="J276" s="159">
        <f>SUMIFS(J257:J274,E257:E274,"&lt;&gt;Hliðarréttur",E257:E274,"&lt;&gt;Sérfæði")</f>
        <v>160.53277300000005</v>
      </c>
      <c r="K276" s="21" t="s">
        <v>1895</v>
      </c>
      <c r="L276" s="21"/>
      <c r="M276" s="21"/>
      <c r="N276" s="22"/>
      <c r="O276" s="22"/>
      <c r="P276" s="22"/>
      <c r="Q276" s="22"/>
      <c r="R276" s="22"/>
      <c r="S276" s="22"/>
      <c r="T276" s="65"/>
      <c r="U276" s="284"/>
      <c r="V276" s="284"/>
      <c r="W276" s="284"/>
      <c r="X276" s="284"/>
      <c r="Y276" s="284"/>
      <c r="Z276" s="284"/>
      <c r="AA276" s="284"/>
    </row>
    <row r="277" spans="1:27" ht="60">
      <c r="A277" s="31">
        <v>46254</v>
      </c>
      <c r="B277" s="32" t="s">
        <v>1946</v>
      </c>
      <c r="C277" s="32">
        <v>34</v>
      </c>
      <c r="D277" s="33" t="s">
        <v>1856</v>
      </c>
      <c r="E277" s="33" t="s">
        <v>1852</v>
      </c>
      <c r="F277" s="33"/>
      <c r="G277" s="33" t="s">
        <v>2067</v>
      </c>
      <c r="H277" s="34"/>
      <c r="I277" s="34"/>
      <c r="J277" s="149" t="str">
        <f>IF($F277="","",IFERROR(IFERROR(INDEX(Réttabanki!$U:$U,MATCH($F277,Réttabanki!$A:$A,0)),INDEX(Vöruskrá!$R:$R,MATCH($F277,Vöruskrá!$B:$B,0)))*($H277+IF($I277="",$H277*(1+#REF!),$I277))/2/1000,""))</f>
        <v/>
      </c>
      <c r="K277" s="21" t="s">
        <v>2068</v>
      </c>
      <c r="L277" s="21" t="s">
        <v>2069</v>
      </c>
      <c r="M277" s="21" t="str">
        <f>IF($F277="","",IFERROR(IFERROR(INDEX(Réttabanki!$F:$F,MATCH($F277,Réttabanki!$A:$A,0)),INDEX(Vöruskrá!$H:$H,MATCH($F277,Vöruskrá!$B:$B,0))),""))</f>
        <v/>
      </c>
      <c r="N277" s="22" t="str">
        <f>IF($F277="","",IFERROR(IFERROR(INDEX(Réttabanki!$G:$G,MATCH($F277,Réttabanki!$A:$A,0)),INDEX(Vöruskrá!$J:$J,MATCH($F277,Vöruskrá!$B:$B,0)))*($H277+IF($I277="",$H277*(1+#REF!),$I277))/2/100,""))</f>
        <v/>
      </c>
      <c r="O277" s="22" t="str">
        <f>IF($F277="","",IFERROR(IFERROR(INDEX(Réttabanki!$H:$H,MATCH($F277,Réttabanki!$A:$A,0)),INDEX(Vöruskrá!$K:$K,MATCH($F277,Vöruskrá!$B:$B,0)))*($H277+IF($I277="",$H277*(1+#REF!),$I277))/2/100,""))</f>
        <v/>
      </c>
      <c r="P277" s="22" t="str">
        <f>IF($F277="","",IFERROR(IFERROR(INDEX(Réttabanki!$I:$I,MATCH($F277,Réttabanki!$A:$A,0)),INDEX(Vöruskrá!$L:$L,MATCH($F277,Vöruskrá!$B:$B,0)))*($H277+IF($I277="",$H277*(1+#REF!),$I277))/2/100,""))</f>
        <v/>
      </c>
      <c r="Q277" s="22" t="str">
        <f>IF($F277="","",IFERROR(IFERROR(INDEX(Réttabanki!$J:$J,MATCH($F277,Réttabanki!$A:$A,0)),INDEX(Vöruskrá!$M:$M,MATCH($F277,Vöruskrá!$B:$B,0)))*($H277+IF($I277="",$H277*(1+#REF!),$I277))/2/100,""))</f>
        <v/>
      </c>
      <c r="R277" s="22" t="str">
        <f>IF($F277="","",IFERROR(IFERROR(INDEX(Réttabanki!$L:$L,MATCH($F277,Réttabanki!$A:$A,0)),INDEX(Vöruskrá!$O:$O,MATCH($F277,Vöruskrá!$B:$B,0)))*($H277+IF($I277="",$H277*(1+#REF!),$I277))/2/100,""))</f>
        <v/>
      </c>
      <c r="S277" s="22" t="str">
        <f>IF($F277="","",IFERROR(IFERROR(INDEX(Réttabanki!$M:$M,MATCH($F277,Réttabanki!$A:$A,0)),INDEX(Vöruskrá!$P:$P,MATCH($F277,Vöruskrá!$B:$B,0)))*($H277+IF($I277="",$H277*(1+#REF!),$I277))/2/100,""))</f>
        <v/>
      </c>
      <c r="T277" s="66" t="str">
        <f>IF(F277="","",IFERROR(INDEX(Réttabanki!Q:Q,MATCH(F277,Réttabanki!A:A,0)),IFERROR(INDEX(Réttabanki!Q:Q,MATCH(F277,Réttabanki!B:B,0)),"")))</f>
        <v/>
      </c>
      <c r="U277" s="286"/>
      <c r="V277" s="286"/>
      <c r="W277" s="286"/>
      <c r="X277" s="286"/>
      <c r="Y277" s="286"/>
      <c r="Z277" s="286"/>
      <c r="AA277" s="286"/>
    </row>
    <row r="278" spans="1:27" ht="36">
      <c r="A278" s="31"/>
      <c r="B278" s="32" t="s">
        <v>1946</v>
      </c>
      <c r="C278" s="32">
        <v>34</v>
      </c>
      <c r="D278" s="33" t="s">
        <v>1856</v>
      </c>
      <c r="E278" s="33" t="s">
        <v>1852</v>
      </c>
      <c r="F278" s="33" t="s">
        <v>1541</v>
      </c>
      <c r="G278" s="33" t="s">
        <v>1541</v>
      </c>
      <c r="H278" s="34"/>
      <c r="I278" s="34">
        <v>180</v>
      </c>
      <c r="J278" s="149">
        <f>IF($F278="","",IFERROR(IFERROR(INDEX(Réttabanki!$U:$U,MATCH($F278,Réttabanki!$A:$A,0)),INDEX(Vöruskrá!$R:$R,MATCH($F278,Vöruskrá!$B:$B,0)))*($H278+IF($I278="",$H278*(1+#REF!),$I278))/2/1000,""))</f>
        <v>113.875254</v>
      </c>
      <c r="K278" s="21" t="s">
        <v>1542</v>
      </c>
      <c r="L278" s="21" t="s">
        <v>1543</v>
      </c>
      <c r="M278" s="21"/>
      <c r="N278" s="22">
        <v>122.19</v>
      </c>
      <c r="O278" s="22">
        <v>7.85</v>
      </c>
      <c r="P278" s="22">
        <v>3.62</v>
      </c>
      <c r="Q278" s="22">
        <v>4.16</v>
      </c>
      <c r="R278" s="22">
        <v>9.6999999999999993</v>
      </c>
      <c r="S278" s="22">
        <v>0.77</v>
      </c>
      <c r="T278" s="65"/>
      <c r="U278" s="284"/>
      <c r="V278" s="284"/>
      <c r="W278" s="284"/>
      <c r="X278" s="284"/>
      <c r="Y278" s="284"/>
      <c r="Z278" s="284"/>
      <c r="AA278" s="284"/>
    </row>
    <row r="279" spans="1:27" ht="24">
      <c r="A279" s="31"/>
      <c r="B279" s="32" t="s">
        <v>1946</v>
      </c>
      <c r="C279" s="32">
        <v>34</v>
      </c>
      <c r="D279" s="33" t="s">
        <v>1856</v>
      </c>
      <c r="E279" s="33" t="s">
        <v>1852</v>
      </c>
      <c r="F279" s="33" t="s">
        <v>1563</v>
      </c>
      <c r="G279" s="33" t="s">
        <v>2070</v>
      </c>
      <c r="H279" s="34"/>
      <c r="I279" s="34">
        <v>100</v>
      </c>
      <c r="J279" s="149">
        <f>IF($F279="","",IFERROR(IFERROR(INDEX(Réttabanki!$U:$U,MATCH($F279,Réttabanki!$A:$A,0)),INDEX(Vöruskrá!$R:$R,MATCH($F279,Vöruskrá!$B:$B,0)))*($H279+IF($I279="",$H279*(1+#REF!),$I279))/2/1000,""))</f>
        <v>25.055</v>
      </c>
      <c r="K279" s="21" t="s">
        <v>1564</v>
      </c>
      <c r="L279" s="21" t="s">
        <v>1565</v>
      </c>
      <c r="M279" s="21"/>
      <c r="N279" s="22">
        <v>158.99</v>
      </c>
      <c r="O279" s="22">
        <v>6.39</v>
      </c>
      <c r="P279" s="22">
        <v>3.76</v>
      </c>
      <c r="Q279" s="22">
        <v>24.03</v>
      </c>
      <c r="R279" s="22">
        <v>2.39</v>
      </c>
      <c r="S279" s="22">
        <v>0.54</v>
      </c>
      <c r="T279" s="66"/>
      <c r="U279" s="286"/>
      <c r="V279" s="286"/>
      <c r="W279" s="286"/>
      <c r="X279" s="286"/>
      <c r="Y279" s="286"/>
      <c r="Z279" s="286"/>
      <c r="AA279" s="286"/>
    </row>
    <row r="280" spans="1:27" ht="36">
      <c r="A280" s="31"/>
      <c r="B280" s="32" t="s">
        <v>1946</v>
      </c>
      <c r="C280" s="32">
        <v>34</v>
      </c>
      <c r="D280" s="33" t="s">
        <v>1850</v>
      </c>
      <c r="E280" s="33" t="s">
        <v>1852</v>
      </c>
      <c r="F280" s="33"/>
      <c r="G280" s="33" t="s">
        <v>2071</v>
      </c>
      <c r="H280" s="34"/>
      <c r="I280" s="34"/>
      <c r="J280" s="149" t="str">
        <f>IF($F280="","",IFERROR(IFERROR(INDEX(Réttabanki!$U:$U,MATCH($F280,Réttabanki!$A:$A,0)),INDEX(Vöruskrá!$R:$R,MATCH($F280,Vöruskrá!$B:$B,0)))*($H280+IF($I280="",$H280*(1+#REF!),$I280))/2/1000,""))</f>
        <v/>
      </c>
      <c r="K280" s="21" t="s">
        <v>2072</v>
      </c>
      <c r="L280" s="21" t="s">
        <v>543</v>
      </c>
      <c r="M280" s="21" t="str">
        <f>IF($F280="","",IFERROR(IFERROR(INDEX(Réttabanki!$F:$F,MATCH($F280,Réttabanki!$A:$A,0)),INDEX(Vöruskrá!$H:$H,MATCH($F280,Vöruskrá!$B:$B,0))),""))</f>
        <v/>
      </c>
      <c r="N280" s="22" t="str">
        <f>IF($F280="","",IFERROR(IFERROR(INDEX(Réttabanki!$G:$G,MATCH($F280,Réttabanki!$A:$A,0)),INDEX(Vöruskrá!$J:$J,MATCH($F280,Vöruskrá!$B:$B,0)))*($H280+IF($I280="",$H280*(1+#REF!),$I280))/2/100,""))</f>
        <v/>
      </c>
      <c r="O280" s="22" t="str">
        <f>IF($F280="","",IFERROR(IFERROR(INDEX(Réttabanki!$H:$H,MATCH($F280,Réttabanki!$A:$A,0)),INDEX(Vöruskrá!$K:$K,MATCH($F280,Vöruskrá!$B:$B,0)))*($H280+IF($I280="",$H280*(1+#REF!),$I280))/2/100,""))</f>
        <v/>
      </c>
      <c r="P280" s="22" t="str">
        <f>IF($F280="","",IFERROR(IFERROR(INDEX(Réttabanki!$I:$I,MATCH($F280,Réttabanki!$A:$A,0)),INDEX(Vöruskrá!$L:$L,MATCH($F280,Vöruskrá!$B:$B,0)))*($H280+IF($I280="",$H280*(1+#REF!),$I280))/2/100,""))</f>
        <v/>
      </c>
      <c r="Q280" s="22" t="str">
        <f>IF($F280="","",IFERROR(IFERROR(INDEX(Réttabanki!$J:$J,MATCH($F280,Réttabanki!$A:$A,0)),INDEX(Vöruskrá!$M:$M,MATCH($F280,Vöruskrá!$B:$B,0)))*($H280+IF($I280="",$H280*(1+#REF!),$I280))/2/100,""))</f>
        <v/>
      </c>
      <c r="R280" s="22" t="str">
        <f>IF($F280="","",IFERROR(IFERROR(INDEX(Réttabanki!$L:$L,MATCH($F280,Réttabanki!$A:$A,0)),INDEX(Vöruskrá!$O:$O,MATCH($F280,Vöruskrá!$B:$B,0)))*($H280+IF($I280="",$H280*(1+#REF!),$I280))/2/100,""))</f>
        <v/>
      </c>
      <c r="S280" s="22" t="str">
        <f>IF($F280="","",IFERROR(IFERROR(INDEX(Réttabanki!$M:$M,MATCH($F280,Réttabanki!$A:$A,0)),INDEX(Vöruskrá!$P:$P,MATCH($F280,Vöruskrá!$B:$B,0)))*($H280+IF($I280="",$H280*(1+#REF!),$I280))/2/100,""))</f>
        <v/>
      </c>
      <c r="T280" s="65" t="str">
        <f>IF(F280="","",IFERROR(INDEX(Réttabanki!Q:Q,MATCH(F280,Réttabanki!A:A,0)),IFERROR(INDEX(Réttabanki!Q:Q,MATCH(F280,Réttabanki!B:B,0)),"")))</f>
        <v/>
      </c>
      <c r="U280" s="284"/>
      <c r="V280" s="284"/>
      <c r="W280" s="284"/>
      <c r="X280" s="284"/>
      <c r="Y280" s="284"/>
      <c r="Z280" s="284"/>
      <c r="AA280" s="284"/>
    </row>
    <row r="281" spans="1:27" ht="24">
      <c r="A281" s="31"/>
      <c r="B281" s="32" t="s">
        <v>1946</v>
      </c>
      <c r="C281" s="32">
        <v>34</v>
      </c>
      <c r="D281" s="33" t="s">
        <v>1850</v>
      </c>
      <c r="E281" s="33" t="s">
        <v>1852</v>
      </c>
      <c r="F281" s="33" t="s">
        <v>811</v>
      </c>
      <c r="G281" s="33" t="s">
        <v>2073</v>
      </c>
      <c r="H281" s="34">
        <v>160</v>
      </c>
      <c r="I281" s="34"/>
      <c r="J281" s="149" t="str">
        <f>IF($F281="","",IFERROR(IFERROR(INDEX(Réttabanki!$U:$U,MATCH($F281,Réttabanki!$A:$A,0)),INDEX(Vöruskrá!$R:$R,MATCH($F281,Vöruskrá!$B:$B,0)))*($H281+IF($I281="",$H281*(1+#REF!),$I281))/2/1000,""))</f>
        <v/>
      </c>
      <c r="K281" s="21" t="s">
        <v>812</v>
      </c>
      <c r="L281" s="21" t="s">
        <v>543</v>
      </c>
      <c r="M281" s="21"/>
      <c r="N281" s="22">
        <v>356</v>
      </c>
      <c r="O281" s="22">
        <v>37</v>
      </c>
      <c r="P281" s="22">
        <v>2.9</v>
      </c>
      <c r="Q281" s="22">
        <v>6.3</v>
      </c>
      <c r="R281" s="22">
        <v>0.9</v>
      </c>
      <c r="S281" s="22">
        <v>9.9</v>
      </c>
      <c r="T281" s="66" t="str">
        <f>IF(F281="","",IFERROR(INDEX(Réttabanki!Q:Q,MATCH(F281,Réttabanki!A:A,0)),IFERROR(INDEX(Réttabanki!Q:Q,MATCH(F281,Réttabanki!B:B,0)),"")))</f>
        <v/>
      </c>
      <c r="U281" s="286"/>
      <c r="V281" s="286"/>
      <c r="W281" s="286"/>
      <c r="X281" s="286"/>
      <c r="Y281" s="286"/>
      <c r="Z281" s="286"/>
      <c r="AA281" s="286"/>
    </row>
    <row r="282" spans="1:27">
      <c r="A282" s="31"/>
      <c r="B282" s="32" t="s">
        <v>1946</v>
      </c>
      <c r="C282" s="32">
        <v>34</v>
      </c>
      <c r="D282" s="33" t="s">
        <v>1850</v>
      </c>
      <c r="E282" s="33" t="s">
        <v>1852</v>
      </c>
      <c r="F282" s="33" t="s">
        <v>306</v>
      </c>
      <c r="G282" s="33" t="s">
        <v>1967</v>
      </c>
      <c r="H282" s="34">
        <v>80</v>
      </c>
      <c r="I282" s="34"/>
      <c r="J282" s="149" t="str">
        <f>IF($F282="","",IFERROR(IFERROR(INDEX(Réttabanki!$U:$U,MATCH($F282,Réttabanki!$A:$A,0)),INDEX(Vöruskrá!$R:$R,MATCH($F282,Vöruskrá!$B:$B,0)))*($H282+IF($I282="",$H282*(1+#REF!),$I282))/2/1000,""))</f>
        <v/>
      </c>
      <c r="K282" s="21" t="s">
        <v>304</v>
      </c>
      <c r="L282" s="21" t="s">
        <v>121</v>
      </c>
      <c r="M282" s="21"/>
      <c r="N282" s="22">
        <v>130</v>
      </c>
      <c r="O282" s="22">
        <v>0.3</v>
      </c>
      <c r="P282" s="22">
        <v>0.1</v>
      </c>
      <c r="Q282" s="22">
        <v>28.6</v>
      </c>
      <c r="R282" s="22">
        <v>2.7</v>
      </c>
      <c r="S282" s="22">
        <v>0</v>
      </c>
      <c r="T282" s="65" t="str">
        <f>IF(F282="","",IFERROR(INDEX(Réttabanki!Q:Q,MATCH(F282,Réttabanki!A:A,0)),IFERROR(INDEX(Réttabanki!Q:Q,MATCH(F282,Réttabanki!B:B,0)),"")))</f>
        <v/>
      </c>
      <c r="U282" s="284"/>
      <c r="V282" s="284"/>
      <c r="W282" s="284"/>
      <c r="X282" s="284"/>
      <c r="Y282" s="284"/>
      <c r="Z282" s="284"/>
      <c r="AA282" s="284"/>
    </row>
    <row r="283" spans="1:27" ht="130.5">
      <c r="A283" s="31"/>
      <c r="B283" s="32" t="s">
        <v>1946</v>
      </c>
      <c r="C283" s="32">
        <v>34</v>
      </c>
      <c r="D283" s="33" t="s">
        <v>1850</v>
      </c>
      <c r="E283" s="33" t="s">
        <v>1867</v>
      </c>
      <c r="F283" s="33"/>
      <c r="G283" s="33" t="s">
        <v>2074</v>
      </c>
      <c r="H283" s="34"/>
      <c r="I283" s="34"/>
      <c r="J283" s="149"/>
      <c r="K283" s="21" t="s">
        <v>2075</v>
      </c>
      <c r="L283" s="21" t="s">
        <v>1935</v>
      </c>
      <c r="M283" s="21"/>
      <c r="N283" s="22"/>
      <c r="O283" s="22"/>
      <c r="P283" s="22"/>
      <c r="Q283" s="22"/>
      <c r="R283" s="22"/>
      <c r="S283" s="22"/>
      <c r="T283" s="65"/>
      <c r="U283" s="286"/>
      <c r="V283" s="286"/>
      <c r="W283" s="286"/>
      <c r="X283" s="286"/>
      <c r="Y283" s="286"/>
      <c r="Z283" s="286"/>
      <c r="AA283" s="286"/>
    </row>
    <row r="284" spans="1:27" ht="24">
      <c r="A284" s="31"/>
      <c r="B284" s="32" t="s">
        <v>1946</v>
      </c>
      <c r="C284" s="32">
        <v>34</v>
      </c>
      <c r="D284" s="33" t="s">
        <v>1850</v>
      </c>
      <c r="E284" s="33" t="s">
        <v>1867</v>
      </c>
      <c r="F284" s="33" t="s">
        <v>497</v>
      </c>
      <c r="G284" s="33" t="s">
        <v>497</v>
      </c>
      <c r="H284" s="34">
        <v>160</v>
      </c>
      <c r="I284" s="34"/>
      <c r="J284" s="149"/>
      <c r="K284" s="21" t="s">
        <v>498</v>
      </c>
      <c r="L284" s="21" t="s">
        <v>469</v>
      </c>
      <c r="M284" s="21" t="s">
        <v>499</v>
      </c>
      <c r="N284" s="22">
        <v>264</v>
      </c>
      <c r="O284" s="22">
        <v>7.8</v>
      </c>
      <c r="P284" s="22">
        <v>0.7</v>
      </c>
      <c r="Q284" s="22">
        <v>29.9</v>
      </c>
      <c r="R284" s="22">
        <v>13.3</v>
      </c>
      <c r="S284" s="22">
        <v>1.7</v>
      </c>
      <c r="T284" s="65"/>
      <c r="U284" s="284"/>
      <c r="V284" s="284"/>
      <c r="W284" s="284"/>
      <c r="X284" s="284"/>
      <c r="Y284" s="284"/>
      <c r="Z284" s="284"/>
      <c r="AA284" s="284"/>
    </row>
    <row r="285" spans="1:27">
      <c r="A285" s="31"/>
      <c r="B285" s="32" t="s">
        <v>1946</v>
      </c>
      <c r="C285" s="32">
        <v>34</v>
      </c>
      <c r="D285" s="33" t="s">
        <v>1850</v>
      </c>
      <c r="E285" s="33" t="s">
        <v>1867</v>
      </c>
      <c r="F285" s="33" t="s">
        <v>306</v>
      </c>
      <c r="G285" s="33" t="s">
        <v>1967</v>
      </c>
      <c r="H285" s="34">
        <v>80</v>
      </c>
      <c r="I285" s="34"/>
      <c r="J285" s="149"/>
      <c r="K285" s="21" t="s">
        <v>304</v>
      </c>
      <c r="L285" s="21" t="s">
        <v>121</v>
      </c>
      <c r="M285" s="21"/>
      <c r="N285" s="22">
        <v>130</v>
      </c>
      <c r="O285" s="22">
        <v>0.3</v>
      </c>
      <c r="P285" s="22">
        <v>0.1</v>
      </c>
      <c r="Q285" s="22">
        <v>28.6</v>
      </c>
      <c r="R285" s="22">
        <v>2.7</v>
      </c>
      <c r="S285" s="22">
        <v>0</v>
      </c>
      <c r="T285" s="65"/>
      <c r="U285" s="286"/>
      <c r="V285" s="286"/>
      <c r="W285" s="286"/>
      <c r="X285" s="286"/>
      <c r="Y285" s="286"/>
      <c r="Z285" s="286"/>
      <c r="AA285" s="286"/>
    </row>
    <row r="286" spans="1:27" ht="48">
      <c r="A286" s="31"/>
      <c r="B286" s="32" t="s">
        <v>1946</v>
      </c>
      <c r="C286" s="32">
        <v>34</v>
      </c>
      <c r="D286" s="33" t="s">
        <v>1850</v>
      </c>
      <c r="E286" s="33" t="s">
        <v>1867</v>
      </c>
      <c r="F286" s="33" t="s">
        <v>653</v>
      </c>
      <c r="G286" s="33" t="s">
        <v>2076</v>
      </c>
      <c r="H286" s="34">
        <v>25</v>
      </c>
      <c r="I286" s="34"/>
      <c r="J286" s="149"/>
      <c r="K286" s="21" t="s">
        <v>654</v>
      </c>
      <c r="L286" s="21" t="s">
        <v>133</v>
      </c>
      <c r="M286" s="21"/>
      <c r="N286" s="22">
        <v>557</v>
      </c>
      <c r="O286" s="22">
        <v>60</v>
      </c>
      <c r="P286" s="22">
        <v>3.9</v>
      </c>
      <c r="Q286" s="22">
        <v>5.4</v>
      </c>
      <c r="R286" s="22"/>
      <c r="S286" s="22">
        <v>1.2</v>
      </c>
      <c r="T286" s="65"/>
      <c r="U286" s="284"/>
      <c r="V286" s="284"/>
      <c r="W286" s="284"/>
      <c r="X286" s="284"/>
      <c r="Y286" s="284"/>
      <c r="Z286" s="284"/>
      <c r="AA286" s="284"/>
    </row>
    <row r="287" spans="1:27" ht="24">
      <c r="A287" s="31"/>
      <c r="B287" s="32" t="s">
        <v>1946</v>
      </c>
      <c r="C287" s="32">
        <v>34</v>
      </c>
      <c r="D287" s="33" t="s">
        <v>1850</v>
      </c>
      <c r="E287" s="33" t="s">
        <v>946</v>
      </c>
      <c r="F287" s="33" t="s">
        <v>584</v>
      </c>
      <c r="G287" s="33" t="s">
        <v>2077</v>
      </c>
      <c r="H287" s="34">
        <v>160</v>
      </c>
      <c r="I287" s="34"/>
      <c r="J287" s="149"/>
      <c r="K287" s="21" t="s">
        <v>586</v>
      </c>
      <c r="L287" s="21" t="s">
        <v>145</v>
      </c>
      <c r="M287" s="21"/>
      <c r="N287" s="22">
        <v>245</v>
      </c>
      <c r="O287" s="22">
        <v>12.6</v>
      </c>
      <c r="P287" s="22">
        <v>4.5</v>
      </c>
      <c r="Q287" s="22">
        <v>16.5</v>
      </c>
      <c r="R287" s="22">
        <v>16</v>
      </c>
      <c r="S287" s="22">
        <v>1.6</v>
      </c>
      <c r="T287" s="65"/>
      <c r="U287" s="286"/>
      <c r="V287" s="286"/>
      <c r="W287" s="286"/>
      <c r="X287" s="286"/>
      <c r="Y287" s="286"/>
      <c r="Z287" s="286"/>
      <c r="AA287" s="286"/>
    </row>
    <row r="288" spans="1:27" ht="48">
      <c r="A288" s="31"/>
      <c r="B288" s="32" t="s">
        <v>1946</v>
      </c>
      <c r="C288" s="32">
        <v>34</v>
      </c>
      <c r="D288" s="33" t="s">
        <v>1850</v>
      </c>
      <c r="E288" s="33" t="s">
        <v>946</v>
      </c>
      <c r="F288" s="33" t="s">
        <v>653</v>
      </c>
      <c r="G288" s="33" t="s">
        <v>2078</v>
      </c>
      <c r="H288" s="34">
        <v>25</v>
      </c>
      <c r="I288" s="34"/>
      <c r="J288" s="149"/>
      <c r="K288" s="21" t="s">
        <v>654</v>
      </c>
      <c r="L288" s="21" t="s">
        <v>133</v>
      </c>
      <c r="M288" s="21"/>
      <c r="N288" s="22">
        <v>557</v>
      </c>
      <c r="O288" s="22">
        <v>60</v>
      </c>
      <c r="P288" s="22">
        <v>3.9</v>
      </c>
      <c r="Q288" s="22">
        <v>5.4</v>
      </c>
      <c r="R288" s="22"/>
      <c r="S288" s="22">
        <v>1.2</v>
      </c>
      <c r="T288" s="65"/>
      <c r="U288" s="284"/>
      <c r="V288" s="284"/>
      <c r="W288" s="284"/>
      <c r="X288" s="284"/>
      <c r="Y288" s="284"/>
      <c r="Z288" s="284"/>
      <c r="AA288" s="284"/>
    </row>
    <row r="289" spans="1:27">
      <c r="A289" s="31"/>
      <c r="B289" s="32" t="s">
        <v>1946</v>
      </c>
      <c r="C289" s="32">
        <v>34</v>
      </c>
      <c r="D289" s="33" t="s">
        <v>1856</v>
      </c>
      <c r="E289" s="33" t="s">
        <v>1877</v>
      </c>
      <c r="F289" s="33"/>
      <c r="G289" s="33"/>
      <c r="H289" s="34"/>
      <c r="I289" s="34"/>
      <c r="J289" s="149" t="str">
        <f>IF($F289="","",IFERROR(IFERROR(INDEX(Réttabanki!$U:$U,MATCH($F289,Réttabanki!$A:$A,0)),INDEX(Vöruskrá!$R:$R,MATCH($F289,Vöruskrá!$B:$B,0)))*($H289+IF($I289="",$H289*(1+#REF!),$I289))/2/1000,""))</f>
        <v/>
      </c>
      <c r="K289" s="21"/>
      <c r="L289" s="21" t="s">
        <v>121</v>
      </c>
      <c r="M289" s="21" t="str">
        <f>IF($F289="","",IFERROR(IFERROR(INDEX(Réttabanki!$F:$F,MATCH($F289,Réttabanki!$A:$A,0)),INDEX(Vöruskrá!$H:$H,MATCH($F289,Vöruskrá!$B:$B,0))),""))</f>
        <v/>
      </c>
      <c r="N289" s="22" t="str">
        <f>IF($F289="","",IFERROR(IFERROR(INDEX(Réttabanki!$G:$G,MATCH($F289,Réttabanki!$A:$A,0)),INDEX(Vöruskrá!$J:$J,MATCH($F289,Vöruskrá!$B:$B,0)))*($H289+IF($I289="",$H289*(1+#REF!),$I289))/2/100,""))</f>
        <v/>
      </c>
      <c r="O289" s="22" t="str">
        <f>IF($F289="","",IFERROR(IFERROR(INDEX(Réttabanki!$H:$H,MATCH($F289,Réttabanki!$A:$A,0)),INDEX(Vöruskrá!$K:$K,MATCH($F289,Vöruskrá!$B:$B,0)))*($H289+IF($I289="",$H289*(1+#REF!),$I289))/2/100,""))</f>
        <v/>
      </c>
      <c r="P289" s="22" t="str">
        <f>IF($F289="","",IFERROR(IFERROR(INDEX(Réttabanki!$I:$I,MATCH($F289,Réttabanki!$A:$A,0)),INDEX(Vöruskrá!$L:$L,MATCH($F289,Vöruskrá!$B:$B,0)))*($H289+IF($I289="",$H289*(1+#REF!),$I289))/2/100,""))</f>
        <v/>
      </c>
      <c r="Q289" s="22" t="str">
        <f>IF($F289="","",IFERROR(IFERROR(INDEX(Réttabanki!$J:$J,MATCH($F289,Réttabanki!$A:$A,0)),INDEX(Vöruskrá!$M:$M,MATCH($F289,Vöruskrá!$B:$B,0)))*($H289+IF($I289="",$H289*(1+#REF!),$I289))/2/100,""))</f>
        <v/>
      </c>
      <c r="R289" s="22" t="str">
        <f>IF($F289="","",IFERROR(IFERROR(INDEX(Réttabanki!$L:$L,MATCH($F289,Réttabanki!$A:$A,0)),INDEX(Vöruskrá!$O:$O,MATCH($F289,Vöruskrá!$B:$B,0)))*($H289+IF($I289="",$H289*(1+#REF!),$I289))/2/100,""))</f>
        <v/>
      </c>
      <c r="S289" s="22" t="str">
        <f>IF($F289="","",IFERROR(IFERROR(INDEX(Réttabanki!$M:$M,MATCH($F289,Réttabanki!$A:$A,0)),INDEX(Vöruskrá!$P:$P,MATCH($F289,Vöruskrá!$B:$B,0)))*($H289+IF($I289="",$H289*(1+#REF!),$I289))/2/100,""))</f>
        <v/>
      </c>
      <c r="T289" s="66" t="str">
        <f>IF(F289="","",IFERROR(INDEX(Réttabanki!Q:Q,MATCH(F289,Réttabanki!A:A,0)),IFERROR(INDEX(Réttabanki!Q:Q,MATCH(F289,Réttabanki!B:B,0)),"")))</f>
        <v/>
      </c>
      <c r="U289" s="286"/>
      <c r="V289" s="286"/>
      <c r="W289" s="286"/>
      <c r="X289" s="286"/>
      <c r="Y289" s="286"/>
      <c r="Z289" s="286"/>
      <c r="AA289" s="286"/>
    </row>
    <row r="290" spans="1:27">
      <c r="A290" s="31"/>
      <c r="B290" s="32" t="s">
        <v>1946</v>
      </c>
      <c r="C290" s="32">
        <v>34</v>
      </c>
      <c r="D290" s="33" t="s">
        <v>1850</v>
      </c>
      <c r="E290" s="33" t="s">
        <v>1877</v>
      </c>
      <c r="F290" s="33"/>
      <c r="G290" s="33"/>
      <c r="H290" s="34"/>
      <c r="I290" s="34"/>
      <c r="J290" s="149" t="str">
        <f>IF($F290="","",IFERROR(IFERROR(INDEX(Réttabanki!$U:$U,MATCH($F290,Réttabanki!$A:$A,0)),INDEX(Vöruskrá!$R:$R,MATCH($F290,Vöruskrá!$B:$B,0)))*($H290+IF($I290="",$H290*(1+#REF!),$I290))/2/1000,""))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IF($F290="","",IFERROR(IFERROR(INDEX(Réttabanki!$G:$G,MATCH($F290,Réttabanki!$A:$A,0)),INDEX(Vöruskrá!$J:$J,MATCH($F290,Vöruskrá!$B:$B,0)))*($H290+IF($I290="",$H290*(1+#REF!),$I290))/2/100,""))</f>
        <v/>
      </c>
      <c r="O290" s="22" t="str">
        <f>IF($F290="","",IFERROR(IFERROR(INDEX(Réttabanki!$H:$H,MATCH($F290,Réttabanki!$A:$A,0)),INDEX(Vöruskrá!$K:$K,MATCH($F290,Vöruskrá!$B:$B,0)))*($H290+IF($I290="",$H290*(1+#REF!),$I290))/2/100,""))</f>
        <v/>
      </c>
      <c r="P290" s="22" t="str">
        <f>IF($F290="","",IFERROR(IFERROR(INDEX(Réttabanki!$I:$I,MATCH($F290,Réttabanki!$A:$A,0)),INDEX(Vöruskrá!$L:$L,MATCH($F290,Vöruskrá!$B:$B,0)))*($H290+IF($I290="",$H290*(1+#REF!),$I290))/2/100,""))</f>
        <v/>
      </c>
      <c r="Q290" s="22" t="str">
        <f>IF($F290="","",IFERROR(IFERROR(INDEX(Réttabanki!$J:$J,MATCH($F290,Réttabanki!$A:$A,0)),INDEX(Vöruskrá!$M:$M,MATCH($F290,Vöruskrá!$B:$B,0)))*($H290+IF($I290="",$H290*(1+#REF!),$I290))/2/100,""))</f>
        <v/>
      </c>
      <c r="R290" s="22" t="str">
        <f>IF($F290="","",IFERROR(IFERROR(INDEX(Réttabanki!$L:$L,MATCH($F290,Réttabanki!$A:$A,0)),INDEX(Vöruskrá!$O:$O,MATCH($F290,Vöruskrá!$B:$B,0)))*($H290+IF($I290="",$H290*(1+#REF!),$I290))/2/100,""))</f>
        <v/>
      </c>
      <c r="S290" s="22" t="str">
        <f>IF($F290="","",IFERROR(IFERROR(INDEX(Réttabanki!$M:$M,MATCH($F290,Réttabanki!$A:$A,0)),INDEX(Vöruskrá!$P:$P,MATCH($F290,Vöruskrá!$B:$B,0)))*($H290+IF($I290="",$H290*(1+#REF!),$I290))/2/100,""))</f>
        <v/>
      </c>
      <c r="T290" s="65" t="str">
        <f>IF(F290="","",IFERROR(INDEX(Réttabanki!Q:Q,MATCH(F290,Réttabanki!A:A,0)),IFERROR(INDEX(Réttabanki!Q:Q,MATCH(F290,Réttabanki!B:B,0)),"")))</f>
        <v/>
      </c>
      <c r="U290" s="284"/>
      <c r="V290" s="284"/>
      <c r="W290" s="284"/>
      <c r="X290" s="284"/>
      <c r="Y290" s="284"/>
      <c r="Z290" s="284"/>
      <c r="AA290" s="284"/>
    </row>
    <row r="291" spans="1:27" ht="59.25" customHeight="1">
      <c r="A291" s="31"/>
      <c r="B291" s="32" t="s">
        <v>1946</v>
      </c>
      <c r="C291" s="32">
        <v>34</v>
      </c>
      <c r="D291" s="33" t="s">
        <v>1850</v>
      </c>
      <c r="E291" s="33" t="s">
        <v>1885</v>
      </c>
      <c r="F291" s="33"/>
      <c r="G291" s="33" t="s">
        <v>2079</v>
      </c>
      <c r="H291" s="34"/>
      <c r="I291" s="34"/>
      <c r="J291" s="149" t="str">
        <f>IF($F291="","",IFERROR(IFERROR(INDEX(Réttabanki!$U:$U,MATCH($F291,Réttabanki!$A:$A,0)),INDEX(Vöruskrá!$R:$R,MATCH($F291,Vöruskrá!$B:$B,0)))*($H291+IF($I291="",$H291*(1+#REF!),$I291))/2/1000,""))</f>
        <v/>
      </c>
      <c r="K291" s="21" t="s">
        <v>2080</v>
      </c>
      <c r="L291" s="21" t="s">
        <v>2081</v>
      </c>
      <c r="M291" s="21" t="str">
        <f>IF($F291="","",IFERROR(IFERROR(INDEX(Réttabanki!$F:$F,MATCH($F291,Réttabanki!$A:$A,0)),INDEX(Vöruskrá!$H:$H,MATCH($F291,Vöruskrá!$B:$B,0))),""))</f>
        <v/>
      </c>
      <c r="N291" s="22" t="str">
        <f>IF($F291="","",IFERROR(IFERROR(INDEX(Réttabanki!$G:$G,MATCH($F291,Réttabanki!$A:$A,0)),INDEX(Vöruskrá!$J:$J,MATCH($F291,Vöruskrá!$B:$B,0)))*($H291+IF($I291="",$H291*(1+#REF!),$I291))/2/100,""))</f>
        <v/>
      </c>
      <c r="O291" s="22" t="str">
        <f>IF($F291="","",IFERROR(IFERROR(INDEX(Réttabanki!$H:$H,MATCH($F291,Réttabanki!$A:$A,0)),INDEX(Vöruskrá!$K:$K,MATCH($F291,Vöruskrá!$B:$B,0)))*($H291+IF($I291="",$H291*(1+#REF!),$I291))/2/100,""))</f>
        <v/>
      </c>
      <c r="P291" s="22" t="str">
        <f>IF($F291="","",IFERROR(IFERROR(INDEX(Réttabanki!$I:$I,MATCH($F291,Réttabanki!$A:$A,0)),INDEX(Vöruskrá!$L:$L,MATCH($F291,Vöruskrá!$B:$B,0)))*($H291+IF($I291="",$H291*(1+#REF!),$I291))/2/100,""))</f>
        <v/>
      </c>
      <c r="Q291" s="22" t="str">
        <f>IF($F291="","",IFERROR(IFERROR(INDEX(Réttabanki!$J:$J,MATCH($F291,Réttabanki!$A:$A,0)),INDEX(Vöruskrá!$M:$M,MATCH($F291,Vöruskrá!$B:$B,0)))*($H291+IF($I291="",$H291*(1+#REF!),$I291))/2/100,""))</f>
        <v/>
      </c>
      <c r="R291" s="22" t="str">
        <f>IF($F291="","",IFERROR(IFERROR(INDEX(Réttabanki!$L:$L,MATCH($F291,Réttabanki!$A:$A,0)),INDEX(Vöruskrá!$O:$O,MATCH($F291,Vöruskrá!$B:$B,0)))*($H291+IF($I291="",$H291*(1+#REF!),$I291))/2/100,""))</f>
        <v/>
      </c>
      <c r="S291" s="22" t="str">
        <f>IF($F291="","",IFERROR(IFERROR(INDEX(Réttabanki!$M:$M,MATCH($F291,Réttabanki!$A:$A,0)),INDEX(Vöruskrá!$P:$P,MATCH($F291,Vöruskrá!$B:$B,0)))*($H291+IF($I291="",$H291*(1+#REF!),$I291))/2/100,""))</f>
        <v/>
      </c>
      <c r="T291" s="66" t="str">
        <f>IF(F291="","",IFERROR(INDEX(Réttabanki!Q:Q,MATCH(F291,Réttabanki!A:A,0)),IFERROR(INDEX(Réttabanki!Q:Q,MATCH(F291,Réttabanki!B:B,0)),"")))</f>
        <v/>
      </c>
      <c r="U291" s="286"/>
      <c r="V291" s="286"/>
      <c r="W291" s="286"/>
      <c r="X291" s="286"/>
      <c r="Y291" s="286"/>
      <c r="Z291" s="286"/>
      <c r="AA291" s="286"/>
    </row>
    <row r="292" spans="1:27" ht="56.25" customHeight="1">
      <c r="A292" s="31"/>
      <c r="B292" s="32" t="s">
        <v>1946</v>
      </c>
      <c r="C292" s="32">
        <v>34</v>
      </c>
      <c r="D292" s="33" t="s">
        <v>1850</v>
      </c>
      <c r="E292" s="33" t="s">
        <v>1885</v>
      </c>
      <c r="F292" s="33" t="s">
        <v>1371</v>
      </c>
      <c r="G292" s="33" t="s">
        <v>1371</v>
      </c>
      <c r="H292" s="34"/>
      <c r="I292" s="34"/>
      <c r="J292" s="149" t="str">
        <f>IF($F292="","",IFERROR(IFERROR(INDEX(Réttabanki!$U:$U,MATCH($F292,Réttabanki!$A:$A,0)),INDEX(Vöruskrá!$R:$R,MATCH($F292,Vöruskrá!$B:$B,0)))*($H292+IF($I292="",$H292*(1+#REF!),$I292))/2/1000,""))</f>
        <v/>
      </c>
      <c r="K292" s="21" t="s">
        <v>1372</v>
      </c>
      <c r="L292" s="21" t="s">
        <v>1373</v>
      </c>
      <c r="M292" s="21" t="s">
        <v>1374</v>
      </c>
      <c r="N292" s="22">
        <v>245</v>
      </c>
      <c r="O292" s="22"/>
      <c r="P292" s="22"/>
      <c r="Q292" s="22">
        <v>39</v>
      </c>
      <c r="R292" s="22"/>
      <c r="S292" s="22">
        <v>1</v>
      </c>
      <c r="T292" s="65" t="str">
        <f>IF(F292="","",IFERROR(INDEX(Réttabanki!Q:Q,MATCH(F292,Réttabanki!A:A,0)),IFERROR(INDEX(Réttabanki!Q:Q,MATCH(F292,Réttabanki!B:B,0)),"")))</f>
        <v/>
      </c>
      <c r="U292" s="284"/>
      <c r="V292" s="284"/>
      <c r="W292" s="284"/>
      <c r="X292" s="284"/>
      <c r="Y292" s="284"/>
      <c r="Z292" s="284"/>
      <c r="AA292" s="284"/>
    </row>
    <row r="293" spans="1:27" ht="36">
      <c r="A293" s="31"/>
      <c r="B293" s="32" t="s">
        <v>1946</v>
      </c>
      <c r="C293" s="32">
        <v>34</v>
      </c>
      <c r="D293" s="33" t="s">
        <v>1850</v>
      </c>
      <c r="E293" s="33" t="s">
        <v>1885</v>
      </c>
      <c r="F293" s="33" t="s">
        <v>562</v>
      </c>
      <c r="G293" s="33" t="s">
        <v>1994</v>
      </c>
      <c r="H293" s="34">
        <v>20</v>
      </c>
      <c r="I293" s="34"/>
      <c r="J293" s="149" t="str">
        <f>IF($F293="","",IFERROR(IFERROR(INDEX(Réttabanki!$U:$U,MATCH($F293,Réttabanki!$A:$A,0)),INDEX(Vöruskrá!$R:$R,MATCH($F293,Vöruskrá!$B:$B,0)))*($H293+IF($I293="",$H293*(1+#REF!),$I293))/2/1000,""))</f>
        <v/>
      </c>
      <c r="K293" s="21" t="s">
        <v>563</v>
      </c>
      <c r="L293" s="21" t="s">
        <v>128</v>
      </c>
      <c r="M293" s="21"/>
      <c r="N293" s="22">
        <v>384</v>
      </c>
      <c r="O293" s="22">
        <v>29.3</v>
      </c>
      <c r="P293" s="22">
        <v>14.7</v>
      </c>
      <c r="Q293" s="22">
        <v>2.4</v>
      </c>
      <c r="R293" s="22">
        <v>12.8</v>
      </c>
      <c r="S293" s="22">
        <v>1.7</v>
      </c>
      <c r="T293" s="66" t="str">
        <f>IF(F293="","",IFERROR(INDEX(Réttabanki!Q:Q,MATCH(F293,Réttabanki!A:A,0)),IFERROR(INDEX(Réttabanki!Q:Q,MATCH(F293,Réttabanki!B:B,0)),"")))</f>
        <v/>
      </c>
      <c r="U293" s="286"/>
      <c r="V293" s="286"/>
      <c r="W293" s="286"/>
      <c r="X293" s="286"/>
      <c r="Y293" s="286"/>
      <c r="Z293" s="286"/>
      <c r="AA293" s="286"/>
    </row>
    <row r="294" spans="1:27">
      <c r="A294" s="155"/>
      <c r="B294" s="156" t="s">
        <v>1946</v>
      </c>
      <c r="C294" s="156">
        <v>34</v>
      </c>
      <c r="D294" s="157"/>
      <c r="E294" s="157"/>
      <c r="F294" s="157" t="s">
        <v>1894</v>
      </c>
      <c r="G294" s="157"/>
      <c r="H294" s="158"/>
      <c r="I294" s="158"/>
      <c r="J294" s="159">
        <f>SUMIFS(J277:J293,E277:E293,"&lt;&gt;Hliðarréttur",E277:E293,"&lt;&gt;Sérfæði")</f>
        <v>138.93025399999999</v>
      </c>
      <c r="K294" s="21" t="s">
        <v>1895</v>
      </c>
      <c r="L294" s="21"/>
      <c r="M294" s="21"/>
      <c r="N294" s="22"/>
      <c r="O294" s="22"/>
      <c r="P294" s="22"/>
      <c r="Q294" s="22"/>
      <c r="R294" s="22"/>
      <c r="S294" s="22"/>
      <c r="T294" s="66"/>
      <c r="U294" s="284"/>
      <c r="V294" s="284"/>
      <c r="W294" s="284"/>
      <c r="X294" s="284"/>
      <c r="Y294" s="284"/>
      <c r="Z294" s="284"/>
      <c r="AA294" s="284"/>
    </row>
    <row r="295" spans="1:27">
      <c r="A295" s="155"/>
      <c r="B295" s="156" t="s">
        <v>1946</v>
      </c>
      <c r="C295" s="156">
        <v>34</v>
      </c>
      <c r="D295" s="157"/>
      <c r="E295" s="157"/>
      <c r="F295" s="157" t="s">
        <v>1897</v>
      </c>
      <c r="G295" s="157"/>
      <c r="H295" s="158"/>
      <c r="I295" s="158"/>
      <c r="J295" s="159">
        <f>SUMIFS(J277:J293,E277:E293,"&lt;&gt;Hliðarréttur",E277:E293,"&lt;&gt;Sérfæði")</f>
        <v>138.93025399999999</v>
      </c>
      <c r="K295" s="21" t="s">
        <v>1895</v>
      </c>
      <c r="L295" s="21"/>
      <c r="M295" s="21"/>
      <c r="N295" s="22"/>
      <c r="O295" s="22"/>
      <c r="P295" s="22"/>
      <c r="Q295" s="22"/>
      <c r="R295" s="22"/>
      <c r="S295" s="22"/>
      <c r="T295" s="66"/>
      <c r="U295" s="286"/>
      <c r="V295" s="286"/>
      <c r="W295" s="286"/>
      <c r="X295" s="286"/>
      <c r="Y295" s="286"/>
      <c r="Z295" s="286"/>
      <c r="AA295" s="286"/>
    </row>
    <row r="296" spans="1:27" ht="60">
      <c r="A296" s="31">
        <v>46255</v>
      </c>
      <c r="B296" s="32" t="s">
        <v>1963</v>
      </c>
      <c r="C296" s="32">
        <v>34</v>
      </c>
      <c r="D296" s="33" t="s">
        <v>1856</v>
      </c>
      <c r="E296" s="33" t="s">
        <v>1852</v>
      </c>
      <c r="F296" s="33"/>
      <c r="G296" s="33" t="s">
        <v>2082</v>
      </c>
      <c r="H296" s="34"/>
      <c r="I296" s="34"/>
      <c r="J296" s="149" t="str">
        <f>IF($F296="","",IFERROR(IFERROR(INDEX(Réttabanki!$U:$U,MATCH($F296,Réttabanki!$A:$A,0)),INDEX(Vöruskrá!$R:$R,MATCH($F296,Vöruskrá!$B:$B,0)))*($H296+IF($I296="",$H296*(1+#REF!),$I296))/2/1000,""))</f>
        <v/>
      </c>
      <c r="K296" s="21" t="s">
        <v>2083</v>
      </c>
      <c r="L296" s="21" t="s">
        <v>505</v>
      </c>
      <c r="M296" s="21" t="str">
        <f>IF($F296="","",IFERROR(IFERROR(INDEX(Réttabanki!$F:$F,MATCH($F296,Réttabanki!$A:$A,0)),INDEX(Vöruskrá!$H:$H,MATCH($F296,Vöruskrá!$B:$B,0))),""))</f>
        <v/>
      </c>
      <c r="N296" s="22" t="str">
        <f>IF($F296="","",IFERROR(IFERROR(INDEX(Réttabanki!$G:$G,MATCH($F296,Réttabanki!$A:$A,0)),INDEX(Vöruskrá!$J:$J,MATCH($F296,Vöruskrá!$B:$B,0)))*($H296+IF($I296="",$H296*(1+#REF!),$I296))/2/100,""))</f>
        <v/>
      </c>
      <c r="O296" s="22" t="str">
        <f>IF($F296="","",IFERROR(IFERROR(INDEX(Réttabanki!$H:$H,MATCH($F296,Réttabanki!$A:$A,0)),INDEX(Vöruskrá!$K:$K,MATCH($F296,Vöruskrá!$B:$B,0)))*($H296+IF($I296="",$H296*(1+#REF!),$I296))/2/100,""))</f>
        <v/>
      </c>
      <c r="P296" s="22" t="str">
        <f>IF($F296="","",IFERROR(IFERROR(INDEX(Réttabanki!$I:$I,MATCH($F296,Réttabanki!$A:$A,0)),INDEX(Vöruskrá!$L:$L,MATCH($F296,Vöruskrá!$B:$B,0)))*($H296+IF($I296="",$H296*(1+#REF!),$I296))/2/100,""))</f>
        <v/>
      </c>
      <c r="Q296" s="22" t="str">
        <f>IF($F296="","",IFERROR(IFERROR(INDEX(Réttabanki!$J:$J,MATCH($F296,Réttabanki!$A:$A,0)),INDEX(Vöruskrá!$M:$M,MATCH($F296,Vöruskrá!$B:$B,0)))*($H296+IF($I296="",$H296*(1+#REF!),$I296))/2/100,""))</f>
        <v/>
      </c>
      <c r="R296" s="22" t="str">
        <f>IF($F296="","",IFERROR(IFERROR(INDEX(Réttabanki!$L:$L,MATCH($F296,Réttabanki!$A:$A,0)),INDEX(Vöruskrá!$O:$O,MATCH($F296,Vöruskrá!$B:$B,0)))*($H296+IF($I296="",$H296*(1+#REF!),$I296))/2/100,""))</f>
        <v/>
      </c>
      <c r="S296" s="22" t="str">
        <f>IF($F296="","",IFERROR(IFERROR(INDEX(Réttabanki!$M:$M,MATCH($F296,Réttabanki!$A:$A,0)),INDEX(Vöruskrá!$P:$P,MATCH($F296,Vöruskrá!$B:$B,0)))*($H296+IF($I296="",$H296*(1+#REF!),$I296))/2/100,""))</f>
        <v/>
      </c>
      <c r="T296" s="65" t="str">
        <f>IF(F296="","",IFERROR(INDEX(Réttabanki!Q:Q,MATCH(F296,Réttabanki!A:A,0)),IFERROR(INDEX(Réttabanki!Q:Q,MATCH(F296,Réttabanki!B:B,0)),"")))</f>
        <v/>
      </c>
      <c r="U296" s="284"/>
      <c r="V296" s="284"/>
      <c r="W296" s="284"/>
      <c r="X296" s="284"/>
      <c r="Y296" s="284"/>
      <c r="Z296" s="284"/>
      <c r="AA296" s="284"/>
    </row>
    <row r="297" spans="1:27" ht="60">
      <c r="A297" s="31"/>
      <c r="B297" s="32" t="s">
        <v>1963</v>
      </c>
      <c r="C297" s="32">
        <v>34</v>
      </c>
      <c r="D297" s="33" t="s">
        <v>1856</v>
      </c>
      <c r="E297" s="33" t="s">
        <v>1852</v>
      </c>
      <c r="F297" s="33" t="s">
        <v>1547</v>
      </c>
      <c r="G297" s="33" t="s">
        <v>2084</v>
      </c>
      <c r="H297" s="34"/>
      <c r="I297" s="34">
        <v>180</v>
      </c>
      <c r="J297" s="149">
        <f>IF($F297="","",IFERROR(IFERROR(INDEX(Réttabanki!$U:$U,MATCH($F297,Réttabanki!$A:$A,0)),INDEX(Vöruskrá!$R:$R,MATCH($F297,Vöruskrá!$B:$B,0)))*($H297+IF($I297="",$H297*(1+#REF!),$I297))/2/1000,""))</f>
        <v>206.69003999999995</v>
      </c>
      <c r="K297" s="21" t="s">
        <v>1548</v>
      </c>
      <c r="L297" s="21" t="s">
        <v>505</v>
      </c>
      <c r="M297" s="21"/>
      <c r="N297" s="22">
        <v>166.06</v>
      </c>
      <c r="O297" s="22">
        <v>12.21</v>
      </c>
      <c r="P297" s="22">
        <v>2.5299999999999998</v>
      </c>
      <c r="Q297" s="22">
        <v>1.17</v>
      </c>
      <c r="R297" s="22">
        <v>12.92</v>
      </c>
      <c r="S297" s="22">
        <v>1.71</v>
      </c>
      <c r="T297" s="66"/>
      <c r="U297" s="286"/>
      <c r="V297" s="286"/>
      <c r="W297" s="286"/>
      <c r="X297" s="286"/>
      <c r="Y297" s="286"/>
      <c r="Z297" s="286"/>
      <c r="AA297" s="286"/>
    </row>
    <row r="298" spans="1:27">
      <c r="A298" s="31"/>
      <c r="B298" s="32" t="s">
        <v>1963</v>
      </c>
      <c r="C298" s="32">
        <v>34</v>
      </c>
      <c r="D298" s="33" t="s">
        <v>1856</v>
      </c>
      <c r="E298" s="33" t="s">
        <v>1852</v>
      </c>
      <c r="F298" s="33" t="s">
        <v>242</v>
      </c>
      <c r="G298" s="33" t="s">
        <v>2085</v>
      </c>
      <c r="H298" s="34"/>
      <c r="I298" s="34">
        <v>100</v>
      </c>
      <c r="J298" s="149">
        <f>IF($F298="","",IFERROR(IFERROR(INDEX(Réttabanki!$U:$U,MATCH($F298,Réttabanki!$A:$A,0)),INDEX(Vöruskrá!$R:$R,MATCH($F298,Vöruskrá!$B:$B,0)))*($H298+IF($I298="",$H298*(1+#REF!),$I298))/2/1000,""))</f>
        <v>20</v>
      </c>
      <c r="K298" s="21" t="s">
        <v>244</v>
      </c>
      <c r="L298" s="21" t="s">
        <v>121</v>
      </c>
      <c r="M298" s="21"/>
      <c r="N298" s="22">
        <v>130</v>
      </c>
      <c r="O298" s="22">
        <v>3.8</v>
      </c>
      <c r="P298" s="22">
        <v>2.1</v>
      </c>
      <c r="Q298" s="22">
        <v>20</v>
      </c>
      <c r="R298" s="22">
        <v>2.7</v>
      </c>
      <c r="S298" s="22">
        <v>0.1</v>
      </c>
      <c r="T298" s="65" t="str">
        <f>IF(F298="","",IFERROR(INDEX(Réttabanki!Q:Q,MATCH(F298,Réttabanki!A:A,0)),IFERROR(INDEX(Réttabanki!Q:Q,MATCH(F298,Réttabanki!B:B,0)),"")))</f>
        <v/>
      </c>
      <c r="U298" s="284"/>
      <c r="V298" s="284"/>
      <c r="W298" s="284"/>
      <c r="X298" s="284"/>
      <c r="Y298" s="284"/>
      <c r="Z298" s="284"/>
      <c r="AA298" s="284"/>
    </row>
    <row r="299" spans="1:27" ht="130.5">
      <c r="A299" s="31"/>
      <c r="B299" s="32" t="s">
        <v>1963</v>
      </c>
      <c r="C299" s="32">
        <v>34</v>
      </c>
      <c r="D299" s="33" t="s">
        <v>1850</v>
      </c>
      <c r="E299" s="33" t="s">
        <v>1852</v>
      </c>
      <c r="F299" s="33"/>
      <c r="G299" s="33" t="s">
        <v>2086</v>
      </c>
      <c r="H299" s="34"/>
      <c r="I299" s="34"/>
      <c r="J299" s="149" t="str">
        <f>IF($F299="","",IFERROR(IFERROR(INDEX(Réttabanki!$U:$U,MATCH($F299,Réttabanki!$A:$A,0)),INDEX(Vöruskrá!$R:$R,MATCH($F299,Vöruskrá!$B:$B,0)))*($H299+IF($I299="",$H299*(1+#REF!),$I299))/2/1000,""))</f>
        <v/>
      </c>
      <c r="K299" s="21" t="s">
        <v>2087</v>
      </c>
      <c r="L299" s="21" t="s">
        <v>133</v>
      </c>
      <c r="M299" s="21" t="str">
        <f>IF($F299="","",IFERROR(IFERROR(INDEX(Réttabanki!$F:$F,MATCH($F299,Réttabanki!$A:$A,0)),INDEX(Vöruskrá!$H:$H,MATCH($F299,Vöruskrá!$B:$B,0))),""))</f>
        <v/>
      </c>
      <c r="N299" s="22" t="str">
        <f>IF($F299="","",IFERROR(IFERROR(INDEX(Réttabanki!$G:$G,MATCH($F299,Réttabanki!$A:$A,0)),INDEX(Vöruskrá!$J:$J,MATCH($F299,Vöruskrá!$B:$B,0)))*($H299+IF($I299="",$H299*(1+#REF!),$I299))/2/100,""))</f>
        <v/>
      </c>
      <c r="O299" s="22" t="str">
        <f>IF($F299="","",IFERROR(IFERROR(INDEX(Réttabanki!$H:$H,MATCH($F299,Réttabanki!$A:$A,0)),INDEX(Vöruskrá!$K:$K,MATCH($F299,Vöruskrá!$B:$B,0)))*($H299+IF($I299="",$H299*(1+#REF!),$I299))/2/100,""))</f>
        <v/>
      </c>
      <c r="P299" s="22" t="str">
        <f>IF($F299="","",IFERROR(IFERROR(INDEX(Réttabanki!$I:$I,MATCH($F299,Réttabanki!$A:$A,0)),INDEX(Vöruskrá!$L:$L,MATCH($F299,Vöruskrá!$B:$B,0)))*($H299+IF($I299="",$H299*(1+#REF!),$I299))/2/100,""))</f>
        <v/>
      </c>
      <c r="Q299" s="22" t="str">
        <f>IF($F299="","",IFERROR(IFERROR(INDEX(Réttabanki!$J:$J,MATCH($F299,Réttabanki!$A:$A,0)),INDEX(Vöruskrá!$M:$M,MATCH($F299,Vöruskrá!$B:$B,0)))*($H299+IF($I299="",$H299*(1+#REF!),$I299))/2/100,""))</f>
        <v/>
      </c>
      <c r="R299" s="22" t="str">
        <f>IF($F299="","",IFERROR(IFERROR(INDEX(Réttabanki!$L:$L,MATCH($F299,Réttabanki!$A:$A,0)),INDEX(Vöruskrá!$O:$O,MATCH($F299,Vöruskrá!$B:$B,0)))*($H299+IF($I299="",$H299*(1+#REF!),$I299))/2/100,""))</f>
        <v/>
      </c>
      <c r="S299" s="22" t="str">
        <f>IF($F299="","",IFERROR(IFERROR(INDEX(Réttabanki!$M:$M,MATCH($F299,Réttabanki!$A:$A,0)),INDEX(Vöruskrá!$P:$P,MATCH($F299,Vöruskrá!$B:$B,0)))*($H299+IF($I299="",$H299*(1+#REF!),$I299))/2/100,""))</f>
        <v/>
      </c>
      <c r="T299" s="66" t="str">
        <f>IF(F299="","",IFERROR(INDEX(Réttabanki!Q:Q,MATCH(F299,Réttabanki!A:A,0)),IFERROR(INDEX(Réttabanki!Q:Q,MATCH(F299,Réttabanki!B:B,0)),"")))</f>
        <v/>
      </c>
      <c r="U299" s="286"/>
      <c r="V299" s="286"/>
      <c r="W299" s="286"/>
      <c r="X299" s="286"/>
      <c r="Y299" s="286"/>
      <c r="Z299" s="286"/>
      <c r="AA299" s="286"/>
    </row>
    <row r="300" spans="1:27" ht="72">
      <c r="A300" s="31"/>
      <c r="B300" s="32" t="s">
        <v>1963</v>
      </c>
      <c r="C300" s="32">
        <v>34</v>
      </c>
      <c r="D300" s="33" t="s">
        <v>1850</v>
      </c>
      <c r="E300" s="33" t="s">
        <v>1852</v>
      </c>
      <c r="F300" s="33" t="s">
        <v>1036</v>
      </c>
      <c r="G300" s="33" t="s">
        <v>2088</v>
      </c>
      <c r="H300" s="34">
        <v>160</v>
      </c>
      <c r="I300" s="34"/>
      <c r="J300" s="149" t="str">
        <f>IF($F300="","",IFERROR(IFERROR(INDEX(Réttabanki!$U:$U,MATCH($F300,Réttabanki!$A:$A,0)),INDEX(Vöruskrá!$R:$R,MATCH($F300,Vöruskrá!$B:$B,0)))*($H300+IF($I300="",$H300*(1+#REF!),$I300))/2/1000,""))</f>
        <v/>
      </c>
      <c r="K300" s="21" t="s">
        <v>1037</v>
      </c>
      <c r="L300" s="21"/>
      <c r="M300" s="21"/>
      <c r="N300" s="22">
        <v>131</v>
      </c>
      <c r="O300" s="22">
        <v>7.4</v>
      </c>
      <c r="P300" s="22">
        <v>1.9</v>
      </c>
      <c r="Q300" s="22">
        <v>4.0999999999999996</v>
      </c>
      <c r="R300" s="22">
        <v>12.1</v>
      </c>
      <c r="S300" s="22">
        <v>2.4</v>
      </c>
      <c r="T300" s="65" t="str">
        <f>IF(F300="","",IFERROR(INDEX(Réttabanki!Q:Q,MATCH(F300,Réttabanki!A:A,0)),IFERROR(INDEX(Réttabanki!Q:Q,MATCH(F300,Réttabanki!B:B,0)),"")))</f>
        <v/>
      </c>
      <c r="U300" s="284"/>
      <c r="V300" s="284"/>
      <c r="W300" s="284"/>
      <c r="X300" s="284"/>
      <c r="Y300" s="284"/>
      <c r="Z300" s="284"/>
      <c r="AA300" s="284"/>
    </row>
    <row r="301" spans="1:27">
      <c r="A301" s="31"/>
      <c r="B301" s="32" t="s">
        <v>1963</v>
      </c>
      <c r="C301" s="32">
        <v>34</v>
      </c>
      <c r="D301" s="33" t="s">
        <v>1850</v>
      </c>
      <c r="E301" s="33" t="s">
        <v>1852</v>
      </c>
      <c r="F301" s="33" t="s">
        <v>242</v>
      </c>
      <c r="G301" s="33" t="s">
        <v>2085</v>
      </c>
      <c r="H301" s="34">
        <v>80</v>
      </c>
      <c r="I301" s="34"/>
      <c r="J301" s="149" t="str">
        <f>IF($F301="","",IFERROR(IFERROR(INDEX(Réttabanki!$U:$U,MATCH($F301,Réttabanki!$A:$A,0)),INDEX(Vöruskrá!$R:$R,MATCH($F301,Vöruskrá!$B:$B,0)))*($H301+IF($I301="",$H301*(1+#REF!),$I301))/2/1000,""))</f>
        <v/>
      </c>
      <c r="K301" s="21" t="s">
        <v>244</v>
      </c>
      <c r="L301" s="21" t="s">
        <v>121</v>
      </c>
      <c r="M301" s="21"/>
      <c r="N301" s="22">
        <v>130</v>
      </c>
      <c r="O301" s="22">
        <v>3.8</v>
      </c>
      <c r="P301" s="22">
        <v>2.1</v>
      </c>
      <c r="Q301" s="22">
        <v>20</v>
      </c>
      <c r="R301" s="22">
        <v>2.7</v>
      </c>
      <c r="S301" s="22">
        <v>0.1</v>
      </c>
      <c r="T301" s="66" t="str">
        <f>IF(F301="","",IFERROR(INDEX(Réttabanki!Q:Q,MATCH(F301,Réttabanki!A:A,0)),IFERROR(INDEX(Réttabanki!Q:Q,MATCH(F301,Réttabanki!B:B,0)),"")))</f>
        <v/>
      </c>
      <c r="U301" s="286"/>
      <c r="V301" s="286"/>
      <c r="W301" s="286"/>
      <c r="X301" s="286"/>
      <c r="Y301" s="286"/>
      <c r="Z301" s="286"/>
      <c r="AA301" s="286"/>
    </row>
    <row r="302" spans="1:27" ht="60">
      <c r="A302" s="31"/>
      <c r="B302" s="32" t="s">
        <v>1963</v>
      </c>
      <c r="C302" s="32">
        <v>34</v>
      </c>
      <c r="D302" s="33" t="s">
        <v>1850</v>
      </c>
      <c r="E302" s="33" t="s">
        <v>1852</v>
      </c>
      <c r="F302" s="33" t="s">
        <v>257</v>
      </c>
      <c r="G302" s="33" t="s">
        <v>1938</v>
      </c>
      <c r="H302" s="34">
        <v>25</v>
      </c>
      <c r="I302" s="34"/>
      <c r="J302" s="149" t="str">
        <f>IF($F302="","",IFERROR(IFERROR(INDEX(Réttabanki!$U:$U,MATCH($F302,Réttabanki!$A:$A,0)),INDEX(Vöruskrá!$R:$R,MATCH($F302,Vöruskrá!$B:$B,0)))*($H302+IF($I302="",$H302*(1+#REF!),$I302))/2/1000,""))</f>
        <v/>
      </c>
      <c r="K302" s="21" t="s">
        <v>258</v>
      </c>
      <c r="L302" s="21" t="s">
        <v>133</v>
      </c>
      <c r="M302" s="21"/>
      <c r="N302" s="22">
        <v>448</v>
      </c>
      <c r="O302" s="22">
        <v>45</v>
      </c>
      <c r="P302" s="22">
        <v>2.9</v>
      </c>
      <c r="Q302" s="22">
        <v>12</v>
      </c>
      <c r="R302" s="22"/>
      <c r="S302" s="22">
        <v>1.4</v>
      </c>
      <c r="T302" s="65" t="str">
        <f>IF(F302="","",IFERROR(INDEX(Réttabanki!Q:Q,MATCH(F302,Réttabanki!A:A,0)),IFERROR(INDEX(Réttabanki!Q:Q,MATCH(F302,Réttabanki!B:B,0)),"")))</f>
        <v/>
      </c>
      <c r="U302" s="284"/>
      <c r="V302" s="284"/>
      <c r="W302" s="284"/>
      <c r="X302" s="284"/>
      <c r="Y302" s="284"/>
      <c r="Z302" s="284"/>
      <c r="AA302" s="284"/>
    </row>
    <row r="303" spans="1:27" ht="96">
      <c r="A303" s="31"/>
      <c r="B303" s="32" t="s">
        <v>1963</v>
      </c>
      <c r="C303" s="32">
        <v>34</v>
      </c>
      <c r="D303" s="33" t="s">
        <v>1850</v>
      </c>
      <c r="E303" s="33" t="s">
        <v>1867</v>
      </c>
      <c r="F303" s="33"/>
      <c r="G303" s="33" t="s">
        <v>2089</v>
      </c>
      <c r="H303" s="34"/>
      <c r="I303" s="34"/>
      <c r="J303" s="149"/>
      <c r="K303" s="21" t="s">
        <v>2090</v>
      </c>
      <c r="L303" s="21" t="s">
        <v>133</v>
      </c>
      <c r="M303" s="21"/>
      <c r="N303" s="22"/>
      <c r="O303" s="22"/>
      <c r="P303" s="22"/>
      <c r="Q303" s="22"/>
      <c r="R303" s="22"/>
      <c r="S303" s="22"/>
      <c r="T303" s="65"/>
      <c r="U303" s="286"/>
      <c r="V303" s="286"/>
      <c r="W303" s="286"/>
      <c r="X303" s="286"/>
      <c r="Y303" s="286"/>
      <c r="Z303" s="286"/>
      <c r="AA303" s="286"/>
    </row>
    <row r="304" spans="1:27" ht="36">
      <c r="A304" s="31"/>
      <c r="B304" s="32" t="s">
        <v>1963</v>
      </c>
      <c r="C304" s="32">
        <v>34</v>
      </c>
      <c r="D304" s="33" t="s">
        <v>1850</v>
      </c>
      <c r="E304" s="33" t="s">
        <v>1867</v>
      </c>
      <c r="F304" s="33" t="s">
        <v>180</v>
      </c>
      <c r="G304" s="33" t="s">
        <v>2091</v>
      </c>
      <c r="H304" s="34">
        <v>160</v>
      </c>
      <c r="I304" s="34"/>
      <c r="J304" s="149"/>
      <c r="K304" s="21" t="s">
        <v>182</v>
      </c>
      <c r="L304" s="21" t="s">
        <v>121</v>
      </c>
      <c r="M304" s="21" t="s">
        <v>183</v>
      </c>
      <c r="N304" s="22">
        <v>256</v>
      </c>
      <c r="O304" s="22">
        <v>17</v>
      </c>
      <c r="P304" s="22">
        <v>1.2</v>
      </c>
      <c r="Q304" s="22">
        <v>14</v>
      </c>
      <c r="R304" s="22">
        <v>12</v>
      </c>
      <c r="S304" s="22">
        <v>1.2</v>
      </c>
      <c r="T304" s="65"/>
      <c r="U304" s="284"/>
      <c r="V304" s="284"/>
      <c r="W304" s="284"/>
      <c r="X304" s="284"/>
      <c r="Y304" s="284"/>
      <c r="Z304" s="284"/>
      <c r="AA304" s="284"/>
    </row>
    <row r="305" spans="1:27">
      <c r="A305" s="31"/>
      <c r="B305" s="32" t="s">
        <v>1963</v>
      </c>
      <c r="C305" s="32">
        <v>34</v>
      </c>
      <c r="D305" s="33" t="s">
        <v>1850</v>
      </c>
      <c r="E305" s="33" t="s">
        <v>1867</v>
      </c>
      <c r="F305" s="33" t="s">
        <v>242</v>
      </c>
      <c r="G305" s="33" t="s">
        <v>2085</v>
      </c>
      <c r="H305" s="34">
        <v>80</v>
      </c>
      <c r="I305" s="34"/>
      <c r="J305" s="149"/>
      <c r="K305" s="21" t="s">
        <v>244</v>
      </c>
      <c r="L305" s="21" t="s">
        <v>121</v>
      </c>
      <c r="M305" s="21"/>
      <c r="N305" s="22">
        <v>130</v>
      </c>
      <c r="O305" s="22">
        <v>3.8</v>
      </c>
      <c r="P305" s="22">
        <v>2.1</v>
      </c>
      <c r="Q305" s="22">
        <v>20</v>
      </c>
      <c r="R305" s="22">
        <v>2.7</v>
      </c>
      <c r="S305" s="22">
        <v>0.1</v>
      </c>
      <c r="T305" s="65"/>
      <c r="U305" s="286"/>
      <c r="V305" s="286"/>
      <c r="W305" s="286"/>
      <c r="X305" s="286"/>
      <c r="Y305" s="286"/>
      <c r="Z305" s="286"/>
      <c r="AA305" s="286"/>
    </row>
    <row r="306" spans="1:27" ht="60">
      <c r="A306" s="31"/>
      <c r="B306" s="32" t="s">
        <v>1963</v>
      </c>
      <c r="C306" s="32">
        <v>34</v>
      </c>
      <c r="D306" s="33" t="s">
        <v>1850</v>
      </c>
      <c r="E306" s="33" t="s">
        <v>1867</v>
      </c>
      <c r="F306" s="33" t="s">
        <v>257</v>
      </c>
      <c r="G306" s="33" t="s">
        <v>1938</v>
      </c>
      <c r="H306" s="34">
        <v>25</v>
      </c>
      <c r="I306" s="34"/>
      <c r="J306" s="149"/>
      <c r="K306" s="21" t="s">
        <v>258</v>
      </c>
      <c r="L306" s="21" t="s">
        <v>133</v>
      </c>
      <c r="M306" s="21"/>
      <c r="N306" s="22">
        <v>448</v>
      </c>
      <c r="O306" s="22">
        <v>45</v>
      </c>
      <c r="P306" s="22">
        <v>2.9</v>
      </c>
      <c r="Q306" s="22">
        <v>12</v>
      </c>
      <c r="R306" s="22"/>
      <c r="S306" s="22">
        <v>1.4</v>
      </c>
      <c r="T306" s="65"/>
      <c r="U306" s="284"/>
      <c r="V306" s="284"/>
      <c r="W306" s="284"/>
      <c r="X306" s="284"/>
      <c r="Y306" s="284"/>
      <c r="Z306" s="284"/>
      <c r="AA306" s="284"/>
    </row>
    <row r="307" spans="1:27">
      <c r="A307" s="31"/>
      <c r="B307" s="32" t="s">
        <v>1963</v>
      </c>
      <c r="C307" s="32">
        <v>34</v>
      </c>
      <c r="D307" s="33" t="s">
        <v>1856</v>
      </c>
      <c r="E307" s="33" t="s">
        <v>1877</v>
      </c>
      <c r="F307" s="33"/>
      <c r="G307" s="33"/>
      <c r="H307" s="34"/>
      <c r="I307" s="34"/>
      <c r="J307" s="149" t="str">
        <f>IF($F307="","",IFERROR(IFERROR(INDEX(Réttabanki!$U:$U,MATCH($F307,Réttabanki!$A:$A,0)),INDEX(Vöruskrá!$R:$R,MATCH($F307,Vöruskrá!$B:$B,0)))*($H307+IF($I307="",$H307*(1+#REF!),$I307))/2/1000,""))</f>
        <v/>
      </c>
      <c r="K307" s="21"/>
      <c r="L307" s="21" t="s">
        <v>121</v>
      </c>
      <c r="M307" s="21" t="str">
        <f>IF($F307="","",IFERROR(IFERROR(INDEX(Réttabanki!$F:$F,MATCH($F307,Réttabanki!$A:$A,0)),INDEX(Vöruskrá!$H:$H,MATCH($F307,Vöruskrá!$B:$B,0))),""))</f>
        <v/>
      </c>
      <c r="N307" s="22" t="str">
        <f>IF($F307="","",IFERROR(IFERROR(INDEX(Réttabanki!$G:$G,MATCH($F307,Réttabanki!$A:$A,0)),INDEX(Vöruskrá!$J:$J,MATCH($F307,Vöruskrá!$B:$B,0)))*($H307+IF($I307="",$H307*(1+#REF!),$I307))/2/100,""))</f>
        <v/>
      </c>
      <c r="O307" s="22" t="str">
        <f>IF($F307="","",IFERROR(IFERROR(INDEX(Réttabanki!$H:$H,MATCH($F307,Réttabanki!$A:$A,0)),INDEX(Vöruskrá!$K:$K,MATCH($F307,Vöruskrá!$B:$B,0)))*($H307+IF($I307="",$H307*(1+#REF!),$I307))/2/100,""))</f>
        <v/>
      </c>
      <c r="P307" s="22" t="str">
        <f>IF($F307="","",IFERROR(IFERROR(INDEX(Réttabanki!$I:$I,MATCH($F307,Réttabanki!$A:$A,0)),INDEX(Vöruskrá!$L:$L,MATCH($F307,Vöruskrá!$B:$B,0)))*($H307+IF($I307="",$H307*(1+#REF!),$I307))/2/100,""))</f>
        <v/>
      </c>
      <c r="Q307" s="22" t="str">
        <f>IF($F307="","",IFERROR(IFERROR(INDEX(Réttabanki!$J:$J,MATCH($F307,Réttabanki!$A:$A,0)),INDEX(Vöruskrá!$M:$M,MATCH($F307,Vöruskrá!$B:$B,0)))*($H307+IF($I307="",$H307*(1+#REF!),$I307))/2/100,""))</f>
        <v/>
      </c>
      <c r="R307" s="22" t="str">
        <f>IF($F307="","",IFERROR(IFERROR(INDEX(Réttabanki!$L:$L,MATCH($F307,Réttabanki!$A:$A,0)),INDEX(Vöruskrá!$O:$O,MATCH($F307,Vöruskrá!$B:$B,0)))*($H307+IF($I307="",$H307*(1+#REF!),$I307))/2/100,""))</f>
        <v/>
      </c>
      <c r="S307" s="22" t="str">
        <f>IF($F307="","",IFERROR(IFERROR(INDEX(Réttabanki!$M:$M,MATCH($F307,Réttabanki!$A:$A,0)),INDEX(Vöruskrá!$P:$P,MATCH($F307,Vöruskrá!$B:$B,0)))*($H307+IF($I307="",$H307*(1+#REF!),$I307))/2/100,""))</f>
        <v/>
      </c>
      <c r="T307" s="66" t="str">
        <f>IF(F307="","",IFERROR(INDEX(Réttabanki!Q:Q,MATCH(F307,Réttabanki!A:A,0)),IFERROR(INDEX(Réttabanki!Q:Q,MATCH(F307,Réttabanki!B:B,0)),"")))</f>
        <v/>
      </c>
      <c r="U307" s="286"/>
      <c r="V307" s="286"/>
      <c r="W307" s="286"/>
      <c r="X307" s="286"/>
      <c r="Y307" s="286"/>
      <c r="Z307" s="286"/>
      <c r="AA307" s="286"/>
    </row>
    <row r="308" spans="1:27">
      <c r="A308" s="31"/>
      <c r="B308" s="32" t="s">
        <v>1963</v>
      </c>
      <c r="C308" s="32">
        <v>34</v>
      </c>
      <c r="D308" s="33" t="s">
        <v>1850</v>
      </c>
      <c r="E308" s="33" t="s">
        <v>1877</v>
      </c>
      <c r="F308" s="33"/>
      <c r="G308" s="33"/>
      <c r="H308" s="34"/>
      <c r="I308" s="34"/>
      <c r="J308" s="149" t="str">
        <f>IF($F308="","",IFERROR(IFERROR(INDEX(Réttabanki!$U:$U,MATCH($F308,Réttabanki!$A:$A,0)),INDEX(Vöruskrá!$R:$R,MATCH($F308,Vöruskrá!$B:$B,0)))*($H308+IF($I308="",$H308*(1+#REF!),$I308))/2/1000,""))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IF($F308="","",IFERROR(IFERROR(INDEX(Réttabanki!$G:$G,MATCH($F308,Réttabanki!$A:$A,0)),INDEX(Vöruskrá!$J:$J,MATCH($F308,Vöruskrá!$B:$B,0)))*($H308+IF($I308="",$H308*(1+#REF!),$I308))/2/100,""))</f>
        <v/>
      </c>
      <c r="O308" s="22" t="str">
        <f>IF($F308="","",IFERROR(IFERROR(INDEX(Réttabanki!$H:$H,MATCH($F308,Réttabanki!$A:$A,0)),INDEX(Vöruskrá!$K:$K,MATCH($F308,Vöruskrá!$B:$B,0)))*($H308+IF($I308="",$H308*(1+#REF!),$I308))/2/100,""))</f>
        <v/>
      </c>
      <c r="P308" s="22" t="str">
        <f>IF($F308="","",IFERROR(IFERROR(INDEX(Réttabanki!$I:$I,MATCH($F308,Réttabanki!$A:$A,0)),INDEX(Vöruskrá!$L:$L,MATCH($F308,Vöruskrá!$B:$B,0)))*($H308+IF($I308="",$H308*(1+#REF!),$I308))/2/100,""))</f>
        <v/>
      </c>
      <c r="Q308" s="22" t="str">
        <f>IF($F308="","",IFERROR(IFERROR(INDEX(Réttabanki!$J:$J,MATCH($F308,Réttabanki!$A:$A,0)),INDEX(Vöruskrá!$M:$M,MATCH($F308,Vöruskrá!$B:$B,0)))*($H308+IF($I308="",$H308*(1+#REF!),$I308))/2/100,""))</f>
        <v/>
      </c>
      <c r="R308" s="22" t="str">
        <f>IF($F308="","",IFERROR(IFERROR(INDEX(Réttabanki!$L:$L,MATCH($F308,Réttabanki!$A:$A,0)),INDEX(Vöruskrá!$O:$O,MATCH($F308,Vöruskrá!$B:$B,0)))*($H308+IF($I308="",$H308*(1+#REF!),$I308))/2/100,""))</f>
        <v/>
      </c>
      <c r="S308" s="22" t="str">
        <f>IF($F308="","",IFERROR(IFERROR(INDEX(Réttabanki!$M:$M,MATCH($F308,Réttabanki!$A:$A,0)),INDEX(Vöruskrá!$P:$P,MATCH($F308,Vöruskrá!$B:$B,0)))*($H308+IF($I308="",$H308*(1+#REF!),$I308))/2/100,""))</f>
        <v/>
      </c>
      <c r="T308" s="65" t="str">
        <f>IF(F308="","",IFERROR(INDEX(Réttabanki!Q:Q,MATCH(F308,Réttabanki!A:A,0)),IFERROR(INDEX(Réttabanki!Q:Q,MATCH(F308,Réttabanki!B:B,0)),"")))</f>
        <v/>
      </c>
      <c r="U308" s="284"/>
      <c r="V308" s="284"/>
      <c r="W308" s="284"/>
      <c r="X308" s="284"/>
      <c r="Y308" s="284"/>
      <c r="Z308" s="284"/>
      <c r="AA308" s="284"/>
    </row>
    <row r="309" spans="1:27" ht="24">
      <c r="A309" s="31"/>
      <c r="B309" s="32" t="s">
        <v>1963</v>
      </c>
      <c r="C309" s="32">
        <v>34</v>
      </c>
      <c r="D309" s="33" t="s">
        <v>1850</v>
      </c>
      <c r="E309" s="33" t="s">
        <v>1885</v>
      </c>
      <c r="F309" s="33"/>
      <c r="G309" s="33" t="s">
        <v>2092</v>
      </c>
      <c r="H309" s="34"/>
      <c r="I309" s="34"/>
      <c r="J309" s="149" t="str">
        <f>IF($F309="","",IFERROR(IFERROR(INDEX(Réttabanki!$U:$U,MATCH($F309,Réttabanki!$A:$A,0)),INDEX(Vöruskrá!$R:$R,MATCH($F309,Vöruskrá!$B:$B,0)))*($H309+IF($I309="",$H309*(1+#REF!),$I309))/2/1000,""))</f>
        <v/>
      </c>
      <c r="K309" s="21" t="s">
        <v>2093</v>
      </c>
      <c r="L309" s="21" t="s">
        <v>30</v>
      </c>
      <c r="M309" s="21" t="str">
        <f>IF($F309="","",IFERROR(IFERROR(INDEX(Réttabanki!$F:$F,MATCH($F309,Réttabanki!$A:$A,0)),INDEX(Vöruskrá!$H:$H,MATCH($F309,Vöruskrá!$B:$B,0))),""))</f>
        <v/>
      </c>
      <c r="N309" s="22" t="str">
        <f>IF($F309="","",IFERROR(IFERROR(INDEX(Réttabanki!$G:$G,MATCH($F309,Réttabanki!$A:$A,0)),INDEX(Vöruskrá!$J:$J,MATCH($F309,Vöruskrá!$B:$B,0)))*($H309+IF($I309="",$H309*(1+#REF!),$I309))/2/100,""))</f>
        <v/>
      </c>
      <c r="O309" s="22" t="str">
        <f>IF($F309="","",IFERROR(IFERROR(INDEX(Réttabanki!$H:$H,MATCH($F309,Réttabanki!$A:$A,0)),INDEX(Vöruskrá!$K:$K,MATCH($F309,Vöruskrá!$B:$B,0)))*($H309+IF($I309="",$H309*(1+#REF!),$I309))/2/100,""))</f>
        <v/>
      </c>
      <c r="P309" s="22" t="str">
        <f>IF($F309="","",IFERROR(IFERROR(INDEX(Réttabanki!$I:$I,MATCH($F309,Réttabanki!$A:$A,0)),INDEX(Vöruskrá!$L:$L,MATCH($F309,Vöruskrá!$B:$B,0)))*($H309+IF($I309="",$H309*(1+#REF!),$I309))/2/100,""))</f>
        <v/>
      </c>
      <c r="Q309" s="22" t="str">
        <f>IF($F309="","",IFERROR(IFERROR(INDEX(Réttabanki!$J:$J,MATCH($F309,Réttabanki!$A:$A,0)),INDEX(Vöruskrá!$M:$M,MATCH($F309,Vöruskrá!$B:$B,0)))*($H309+IF($I309="",$H309*(1+#REF!),$I309))/2/100,""))</f>
        <v/>
      </c>
      <c r="R309" s="22" t="str">
        <f>IF($F309="","",IFERROR(IFERROR(INDEX(Réttabanki!$L:$L,MATCH($F309,Réttabanki!$A:$A,0)),INDEX(Vöruskrá!$O:$O,MATCH($F309,Vöruskrá!$B:$B,0)))*($H309+IF($I309="",$H309*(1+#REF!),$I309))/2/100,""))</f>
        <v/>
      </c>
      <c r="S309" s="22" t="str">
        <f>IF($F309="","",IFERROR(IFERROR(INDEX(Réttabanki!$M:$M,MATCH($F309,Réttabanki!$A:$A,0)),INDEX(Vöruskrá!$P:$P,MATCH($F309,Vöruskrá!$B:$B,0)))*($H309+IF($I309="",$H309*(1+#REF!),$I309))/2/100,""))</f>
        <v/>
      </c>
      <c r="T309" s="66" t="str">
        <f>IF(F309="","",IFERROR(INDEX(Réttabanki!Q:Q,MATCH(F309,Réttabanki!A:A,0)),IFERROR(INDEX(Réttabanki!Q:Q,MATCH(F309,Réttabanki!B:B,0)),"")))</f>
        <v/>
      </c>
      <c r="U309" s="286"/>
      <c r="V309" s="286"/>
      <c r="W309" s="286"/>
      <c r="X309" s="286"/>
      <c r="Y309" s="286"/>
      <c r="Z309" s="286"/>
      <c r="AA309" s="286"/>
    </row>
    <row r="310" spans="1:27" ht="24">
      <c r="A310" s="31"/>
      <c r="B310" s="32" t="s">
        <v>1963</v>
      </c>
      <c r="C310" s="32">
        <v>34</v>
      </c>
      <c r="D310" s="33" t="s">
        <v>1850</v>
      </c>
      <c r="E310" s="33" t="s">
        <v>1885</v>
      </c>
      <c r="F310" s="33" t="s">
        <v>52</v>
      </c>
      <c r="G310" s="33" t="s">
        <v>1436</v>
      </c>
      <c r="H310" s="34">
        <v>40</v>
      </c>
      <c r="I310" s="34"/>
      <c r="J310" s="149" t="str">
        <f>IF($F310="","",IFERROR(IFERROR(INDEX(Réttabanki!$U:$U,MATCH($F310,Réttabanki!$A:$A,0)),INDEX(Vöruskrá!$R:$R,MATCH($F310,Vöruskrá!$B:$B,0)))*($H310+IF($I310="",$H310*(1+#REF!),$I310))/2/1000,""))</f>
        <v/>
      </c>
      <c r="K310" s="21" t="s">
        <v>53</v>
      </c>
      <c r="L310" s="21" t="s">
        <v>30</v>
      </c>
      <c r="M310" s="21" t="s">
        <v>54</v>
      </c>
      <c r="N310" s="22">
        <v>250</v>
      </c>
      <c r="O310" s="22">
        <v>2.7</v>
      </c>
      <c r="P310" s="22">
        <v>0.4</v>
      </c>
      <c r="Q310" s="22">
        <v>45</v>
      </c>
      <c r="R310" s="22">
        <v>9</v>
      </c>
      <c r="S310" s="22">
        <v>1.4</v>
      </c>
      <c r="T310" s="65" t="str">
        <f>IF(F310="","",IFERROR(INDEX(Réttabanki!Q:Q,MATCH(F310,Réttabanki!A:A,0)),IFERROR(INDEX(Réttabanki!Q:Q,MATCH(F310,Réttabanki!B:B,0)),"")))</f>
        <v/>
      </c>
      <c r="U310" s="284"/>
      <c r="V310" s="284"/>
      <c r="W310" s="284"/>
      <c r="X310" s="284"/>
      <c r="Y310" s="284"/>
      <c r="Z310" s="284"/>
      <c r="AA310" s="284"/>
    </row>
    <row r="311" spans="1:27">
      <c r="A311" s="31"/>
      <c r="B311" s="32" t="s">
        <v>1963</v>
      </c>
      <c r="C311" s="32">
        <v>34</v>
      </c>
      <c r="D311" s="33" t="s">
        <v>1850</v>
      </c>
      <c r="E311" s="33" t="s">
        <v>1885</v>
      </c>
      <c r="F311" s="33" t="s">
        <v>157</v>
      </c>
      <c r="G311" s="33" t="s">
        <v>2032</v>
      </c>
      <c r="H311" s="34">
        <v>20</v>
      </c>
      <c r="I311" s="34"/>
      <c r="J311" s="149" t="str">
        <f>IF($F311="","",IFERROR(IFERROR(INDEX(Réttabanki!$U:$U,MATCH($F311,Réttabanki!$A:$A,0)),INDEX(Vöruskrá!$R:$R,MATCH($F311,Vöruskrá!$B:$B,0)))*($H311+IF($I311="",$H311*(1+#REF!),$I311))/2/1000,""))</f>
        <v/>
      </c>
      <c r="K311" s="21" t="s">
        <v>159</v>
      </c>
      <c r="L311" s="21"/>
      <c r="M311" s="21"/>
      <c r="N311" s="22">
        <v>264</v>
      </c>
      <c r="O311" s="22">
        <v>24</v>
      </c>
      <c r="P311" s="22">
        <v>12</v>
      </c>
      <c r="Q311" s="22">
        <v>1</v>
      </c>
      <c r="R311" s="22">
        <v>11</v>
      </c>
      <c r="S311" s="22">
        <v>2.1</v>
      </c>
      <c r="T311" s="66" t="str">
        <f>IF(F311="","",IFERROR(INDEX(Réttabanki!Q:Q,MATCH(F311,Réttabanki!A:A,0)),IFERROR(INDEX(Réttabanki!Q:Q,MATCH(F311,Réttabanki!B:B,0)),"")))</f>
        <v/>
      </c>
      <c r="U311" s="286"/>
      <c r="V311" s="286"/>
      <c r="W311" s="286"/>
      <c r="X311" s="286"/>
      <c r="Y311" s="286"/>
      <c r="Z311" s="286"/>
      <c r="AA311" s="286"/>
    </row>
    <row r="312" spans="1:27">
      <c r="A312" s="155"/>
      <c r="B312" s="156" t="s">
        <v>1963</v>
      </c>
      <c r="C312" s="156">
        <v>34</v>
      </c>
      <c r="D312" s="157"/>
      <c r="E312" s="157"/>
      <c r="F312" s="157" t="s">
        <v>1894</v>
      </c>
      <c r="G312" s="157"/>
      <c r="H312" s="158"/>
      <c r="I312" s="158"/>
      <c r="J312" s="159">
        <f>SUMIFS(J296:J311,E296:E311,"&lt;&gt;Hliðarréttur",E296:E311,"&lt;&gt;Sérfæði")</f>
        <v>226.69003999999995</v>
      </c>
      <c r="K312" s="21" t="s">
        <v>1895</v>
      </c>
      <c r="L312" s="21"/>
      <c r="M312" s="21"/>
      <c r="N312" s="22"/>
      <c r="O312" s="22"/>
      <c r="P312" s="22"/>
      <c r="Q312" s="22"/>
      <c r="R312" s="22"/>
      <c r="S312" s="22"/>
      <c r="T312" s="66"/>
      <c r="U312" s="284"/>
      <c r="V312" s="284"/>
      <c r="W312" s="284"/>
      <c r="X312" s="284"/>
      <c r="Y312" s="284"/>
      <c r="Z312" s="284"/>
      <c r="AA312" s="284"/>
    </row>
    <row r="313" spans="1:27">
      <c r="A313" s="155"/>
      <c r="B313" s="156" t="s">
        <v>1963</v>
      </c>
      <c r="C313" s="156">
        <v>34</v>
      </c>
      <c r="D313" s="157"/>
      <c r="E313" s="157"/>
      <c r="F313" s="157" t="s">
        <v>1897</v>
      </c>
      <c r="G313" s="157"/>
      <c r="H313" s="158"/>
      <c r="I313" s="158"/>
      <c r="J313" s="159">
        <f>SUMIFS(J296:J311,E296:E311,"&lt;&gt;Hliðarréttur",E296:E311,"&lt;&gt;Sérfæði")</f>
        <v>226.69003999999995</v>
      </c>
      <c r="K313" s="21" t="s">
        <v>1895</v>
      </c>
      <c r="L313" s="21"/>
      <c r="M313" s="21"/>
      <c r="N313" s="22"/>
      <c r="O313" s="22"/>
      <c r="P313" s="22"/>
      <c r="Q313" s="22"/>
      <c r="R313" s="22"/>
      <c r="S313" s="22"/>
      <c r="T313" s="66"/>
      <c r="U313" s="286"/>
      <c r="V313" s="286"/>
      <c r="W313" s="286"/>
      <c r="X313" s="286"/>
      <c r="Y313" s="286"/>
      <c r="Z313" s="286"/>
      <c r="AA313" s="286"/>
    </row>
    <row r="314" spans="1:27" ht="72">
      <c r="A314" s="31">
        <v>46258</v>
      </c>
      <c r="B314" s="32" t="s">
        <v>1851</v>
      </c>
      <c r="C314" s="32">
        <v>35</v>
      </c>
      <c r="D314" s="33" t="s">
        <v>1856</v>
      </c>
      <c r="E314" s="33" t="s">
        <v>1852</v>
      </c>
      <c r="F314" s="33"/>
      <c r="G314" s="33" t="s">
        <v>2094</v>
      </c>
      <c r="H314" s="34"/>
      <c r="I314" s="34"/>
      <c r="J314" s="149" t="str">
        <f>IF($F314="","",IFERROR(IFERROR(INDEX(Réttabanki!$U:$U,MATCH($F314,Réttabanki!$A:$A,0)),INDEX(Vöruskrá!$R:$R,MATCH($F314,Vöruskrá!$B:$B,0)))*($H314+IF($I314="",$H314*(1+#REF!),$I314))/2/1000,""))</f>
        <v/>
      </c>
      <c r="K314" s="21" t="s">
        <v>2095</v>
      </c>
      <c r="L314" s="21" t="s">
        <v>2096</v>
      </c>
      <c r="M314" s="21" t="str">
        <f>IF($F314="","",IFERROR(IFERROR(INDEX(Réttabanki!$F:$F,MATCH($F314,Réttabanki!$A:$A,0)),INDEX(Vöruskrá!$H:$H,MATCH($F314,Vöruskrá!$B:$B,0))),""))</f>
        <v/>
      </c>
      <c r="N314" s="22" t="str">
        <f>IF($F314="","",IFERROR(IFERROR(INDEX(Réttabanki!$G:$G,MATCH($F314,Réttabanki!$A:$A,0)),INDEX(Vöruskrá!$J:$J,MATCH($F314,Vöruskrá!$B:$B,0)))*($H314+IF($I314="",$H314*(1+#REF!),$I314))/2/100,""))</f>
        <v/>
      </c>
      <c r="O314" s="22" t="str">
        <f>IF($F314="","",IFERROR(IFERROR(INDEX(Réttabanki!$H:$H,MATCH($F314,Réttabanki!$A:$A,0)),INDEX(Vöruskrá!$K:$K,MATCH($F314,Vöruskrá!$B:$B,0)))*($H314+IF($I314="",$H314*(1+#REF!),$I314))/2/100,""))</f>
        <v/>
      </c>
      <c r="P314" s="22" t="str">
        <f>IF($F314="","",IFERROR(IFERROR(INDEX(Réttabanki!$I:$I,MATCH($F314,Réttabanki!$A:$A,0)),INDEX(Vöruskrá!$L:$L,MATCH($F314,Vöruskrá!$B:$B,0)))*($H314+IF($I314="",$H314*(1+#REF!),$I314))/2/100,""))</f>
        <v/>
      </c>
      <c r="Q314" s="22" t="str">
        <f>IF($F314="","",IFERROR(IFERROR(INDEX(Réttabanki!$J:$J,MATCH($F314,Réttabanki!$A:$A,0)),INDEX(Vöruskrá!$M:$M,MATCH($F314,Vöruskrá!$B:$B,0)))*($H314+IF($I314="",$H314*(1+#REF!),$I314))/2/100,""))</f>
        <v/>
      </c>
      <c r="R314" s="22" t="str">
        <f>IF($F314="","",IFERROR(IFERROR(INDEX(Réttabanki!$L:$L,MATCH($F314,Réttabanki!$A:$A,0)),INDEX(Vöruskrá!$O:$O,MATCH($F314,Vöruskrá!$B:$B,0)))*($H314+IF($I314="",$H314*(1+#REF!),$I314))/2/100,""))</f>
        <v/>
      </c>
      <c r="S314" s="22" t="str">
        <f>IF($F314="","",IFERROR(IFERROR(INDEX(Réttabanki!$M:$M,MATCH($F314,Réttabanki!$A:$A,0)),INDEX(Vöruskrá!$P:$P,MATCH($F314,Vöruskrá!$B:$B,0)))*($H314+IF($I314="",$H314*(1+#REF!),$I314))/2/100,""))</f>
        <v/>
      </c>
      <c r="T314" s="65" t="str">
        <f>IF(F314="","",IFERROR(INDEX(Réttabanki!Q:Q,MATCH(F314,Réttabanki!A:A,0)),IFERROR(INDEX(Réttabanki!Q:Q,MATCH(F314,Réttabanki!B:B,0)),"")))</f>
        <v/>
      </c>
      <c r="U314" s="284"/>
      <c r="V314" s="284"/>
      <c r="W314" s="284"/>
      <c r="X314" s="284"/>
      <c r="Y314" s="284"/>
      <c r="Z314" s="284"/>
      <c r="AA314" s="284"/>
    </row>
    <row r="315" spans="1:27" ht="60">
      <c r="A315" s="31"/>
      <c r="B315" s="32" t="s">
        <v>1851</v>
      </c>
      <c r="C315" s="32">
        <v>35</v>
      </c>
      <c r="D315" s="33" t="s">
        <v>1856</v>
      </c>
      <c r="E315" s="33" t="s">
        <v>1852</v>
      </c>
      <c r="F315" s="33" t="s">
        <v>1552</v>
      </c>
      <c r="G315" s="33" t="s">
        <v>1603</v>
      </c>
      <c r="H315" s="34"/>
      <c r="I315" s="34">
        <v>200</v>
      </c>
      <c r="J315" s="149">
        <f>IF($F315="","",IFERROR(IFERROR(INDEX(Réttabanki!$U:$U,MATCH($F315,Réttabanki!$A:$A,0)),INDEX(Vöruskrá!$R:$R,MATCH($F315,Vöruskrá!$B:$B,0)))*($H315+IF($I315="",$H315*(1+#REF!),$I315))/2/1000,""))</f>
        <v>90.734409999999997</v>
      </c>
      <c r="K315" s="21" t="s">
        <v>1553</v>
      </c>
      <c r="L315" s="21" t="s">
        <v>227</v>
      </c>
      <c r="M315" s="21"/>
      <c r="N315" s="22">
        <v>38.6</v>
      </c>
      <c r="O315" s="22">
        <v>1.99</v>
      </c>
      <c r="P315" s="22">
        <v>0.14000000000000001</v>
      </c>
      <c r="Q315" s="22">
        <v>5.53</v>
      </c>
      <c r="R315" s="22">
        <v>0.9</v>
      </c>
      <c r="S315" s="22">
        <v>1.29</v>
      </c>
      <c r="T315" s="66"/>
      <c r="U315" s="286"/>
      <c r="V315" s="286"/>
      <c r="W315" s="286"/>
      <c r="X315" s="286"/>
      <c r="Y315" s="286"/>
      <c r="Z315" s="286"/>
      <c r="AA315" s="286"/>
    </row>
    <row r="316" spans="1:27">
      <c r="A316" s="31"/>
      <c r="B316" s="32" t="s">
        <v>1851</v>
      </c>
      <c r="C316" s="32">
        <v>35</v>
      </c>
      <c r="D316" s="33" t="s">
        <v>1856</v>
      </c>
      <c r="E316" s="33" t="s">
        <v>1852</v>
      </c>
      <c r="F316" s="33" t="s">
        <v>1097</v>
      </c>
      <c r="G316" s="33" t="s">
        <v>1912</v>
      </c>
      <c r="H316" s="34"/>
      <c r="I316" s="34">
        <v>100</v>
      </c>
      <c r="J316" s="149">
        <f>IF($F316="","",IFERROR(IFERROR(INDEX(Réttabanki!$U:$U,MATCH($F316,Réttabanki!$A:$A,0)),INDEX(Vöruskrá!$R:$R,MATCH($F316,Vöruskrá!$B:$B,0)))*($H316+IF($I316="",$H316*(1+#REF!),$I316))/2/1000,""))</f>
        <v>25</v>
      </c>
      <c r="K316" s="21" t="s">
        <v>1099</v>
      </c>
      <c r="L316" s="21" t="s">
        <v>108</v>
      </c>
      <c r="M316" s="21" t="s">
        <v>1100</v>
      </c>
      <c r="N316" s="22">
        <v>103</v>
      </c>
      <c r="O316" s="22">
        <v>3</v>
      </c>
      <c r="P316" s="22">
        <v>2.1</v>
      </c>
      <c r="Q316" s="22">
        <v>16</v>
      </c>
      <c r="R316" s="22">
        <v>2.2000000000000002</v>
      </c>
      <c r="S316" s="22">
        <v>0.7</v>
      </c>
      <c r="T316" s="65" t="str">
        <f>IF(F316="","",IFERROR(INDEX(Réttabanki!Q:Q,MATCH(F316,Réttabanki!A:A,0)),IFERROR(INDEX(Réttabanki!Q:Q,MATCH(F316,Réttabanki!B:B,0)),"")))</f>
        <v/>
      </c>
      <c r="U316" s="284"/>
      <c r="V316" s="284"/>
      <c r="W316" s="284"/>
      <c r="X316" s="284"/>
      <c r="Y316" s="284"/>
      <c r="Z316" s="284"/>
      <c r="AA316" s="284"/>
    </row>
    <row r="317" spans="1:27" ht="96">
      <c r="A317" s="31"/>
      <c r="B317" s="32" t="s">
        <v>1851</v>
      </c>
      <c r="C317" s="32">
        <v>35</v>
      </c>
      <c r="D317" s="33" t="s">
        <v>1850</v>
      </c>
      <c r="E317" s="33" t="s">
        <v>1852</v>
      </c>
      <c r="F317" s="33"/>
      <c r="G317" s="33" t="s">
        <v>2097</v>
      </c>
      <c r="H317" s="34"/>
      <c r="I317" s="34"/>
      <c r="J317" s="149" t="str">
        <f>IF($F317="","",IFERROR(IFERROR(INDEX(Réttabanki!$U:$U,MATCH($F317,Réttabanki!$A:$A,0)),INDEX(Vöruskrá!$R:$R,MATCH($F317,Vöruskrá!$B:$B,0)))*($H317+IF($I317="",$H317*(1+#REF!),$I317))/2/1000,""))</f>
        <v/>
      </c>
      <c r="K317" s="21" t="s">
        <v>2098</v>
      </c>
      <c r="L317" s="21" t="s">
        <v>2099</v>
      </c>
      <c r="M317" s="21" t="str">
        <f>IF($F317="","",IFERROR(IFERROR(INDEX(Réttabanki!$F:$F,MATCH($F317,Réttabanki!$A:$A,0)),INDEX(Vöruskrá!$H:$H,MATCH($F317,Vöruskrá!$B:$B,0))),""))</f>
        <v/>
      </c>
      <c r="N317" s="22" t="str">
        <f>IF($F317="","",IFERROR(IFERROR(INDEX(Réttabanki!$G:$G,MATCH($F317,Réttabanki!$A:$A,0)),INDEX(Vöruskrá!$J:$J,MATCH($F317,Vöruskrá!$B:$B,0)))*($H317+IF($I317="",$H317*(1+#REF!),$I317))/2/100,""))</f>
        <v/>
      </c>
      <c r="O317" s="22" t="str">
        <f>IF($F317="","",IFERROR(IFERROR(INDEX(Réttabanki!$H:$H,MATCH($F317,Réttabanki!$A:$A,0)),INDEX(Vöruskrá!$K:$K,MATCH($F317,Vöruskrá!$B:$B,0)))*($H317+IF($I317="",$H317*(1+#REF!),$I317))/2/100,""))</f>
        <v/>
      </c>
      <c r="P317" s="22" t="str">
        <f>IF($F317="","",IFERROR(IFERROR(INDEX(Réttabanki!$I:$I,MATCH($F317,Réttabanki!$A:$A,0)),INDEX(Vöruskrá!$L:$L,MATCH($F317,Vöruskrá!$B:$B,0)))*($H317+IF($I317="",$H317*(1+#REF!),$I317))/2/100,""))</f>
        <v/>
      </c>
      <c r="Q317" s="22" t="str">
        <f>IF($F317="","",IFERROR(IFERROR(INDEX(Réttabanki!$J:$J,MATCH($F317,Réttabanki!$A:$A,0)),INDEX(Vöruskrá!$M:$M,MATCH($F317,Vöruskrá!$B:$B,0)))*($H317+IF($I317="",$H317*(1+#REF!),$I317))/2/100,""))</f>
        <v/>
      </c>
      <c r="R317" s="22" t="str">
        <f>IF($F317="","",IFERROR(IFERROR(INDEX(Réttabanki!$L:$L,MATCH($F317,Réttabanki!$A:$A,0)),INDEX(Vöruskrá!$O:$O,MATCH($F317,Vöruskrá!$B:$B,0)))*($H317+IF($I317="",$H317*(1+#REF!),$I317))/2/100,""))</f>
        <v/>
      </c>
      <c r="S317" s="22" t="str">
        <f>IF($F317="","",IFERROR(IFERROR(INDEX(Réttabanki!$M:$M,MATCH($F317,Réttabanki!$A:$A,0)),INDEX(Vöruskrá!$P:$P,MATCH($F317,Vöruskrá!$B:$B,0)))*($H317+IF($I317="",$H317*(1+#REF!),$I317))/2/100,""))</f>
        <v/>
      </c>
      <c r="T317" s="66" t="str">
        <f>IF(F317="","",IFERROR(INDEX(Réttabanki!Q:Q,MATCH(F317,Réttabanki!A:A,0)),IFERROR(INDEX(Réttabanki!Q:Q,MATCH(F317,Réttabanki!B:B,0)),"")))</f>
        <v/>
      </c>
      <c r="U317" s="286"/>
      <c r="V317" s="286"/>
      <c r="W317" s="286"/>
      <c r="X317" s="286"/>
      <c r="Y317" s="286"/>
      <c r="Z317" s="286"/>
      <c r="AA317" s="286"/>
    </row>
    <row r="318" spans="1:27" ht="96">
      <c r="A318" s="31"/>
      <c r="B318" s="32" t="s">
        <v>1851</v>
      </c>
      <c r="C318" s="32">
        <v>35</v>
      </c>
      <c r="D318" s="33" t="s">
        <v>1850</v>
      </c>
      <c r="E318" s="33" t="s">
        <v>1852</v>
      </c>
      <c r="F318" s="33" t="s">
        <v>1603</v>
      </c>
      <c r="G318" s="33" t="s">
        <v>1603</v>
      </c>
      <c r="H318" s="34">
        <v>180</v>
      </c>
      <c r="I318" s="34"/>
      <c r="J318" s="149" t="str">
        <f>IF($F318="","",IFERROR(IFERROR(INDEX(Réttabanki!$U:$U,MATCH($F318,Réttabanki!$A:$A,0)),INDEX(Vöruskrá!$R:$R,MATCH($F318,Vöruskrá!$B:$B,0)))*($H318+IF($I318="",$H318*(1+#REF!),$I318))/2/1000,""))</f>
        <v/>
      </c>
      <c r="K318" s="21" t="s">
        <v>1604</v>
      </c>
      <c r="L318" s="21" t="s">
        <v>1605</v>
      </c>
      <c r="M318" s="21"/>
      <c r="N318" s="22">
        <v>56.88</v>
      </c>
      <c r="O318" s="22">
        <v>2.2999999999999998</v>
      </c>
      <c r="P318" s="22">
        <v>0.71</v>
      </c>
      <c r="Q318" s="22">
        <v>5.37</v>
      </c>
      <c r="R318" s="22">
        <v>3.32</v>
      </c>
      <c r="S318" s="22">
        <v>1.65</v>
      </c>
      <c r="T318" s="65"/>
      <c r="U318" s="284"/>
      <c r="V318" s="284"/>
      <c r="W318" s="284"/>
      <c r="X318" s="284"/>
      <c r="Y318" s="284"/>
      <c r="Z318" s="284"/>
      <c r="AA318" s="284"/>
    </row>
    <row r="319" spans="1:27">
      <c r="A319" s="31"/>
      <c r="B319" s="32" t="s">
        <v>1851</v>
      </c>
      <c r="C319" s="32">
        <v>35</v>
      </c>
      <c r="D319" s="33" t="s">
        <v>1850</v>
      </c>
      <c r="E319" s="33" t="s">
        <v>1852</v>
      </c>
      <c r="F319" s="33" t="s">
        <v>1097</v>
      </c>
      <c r="G319" s="33" t="s">
        <v>1912</v>
      </c>
      <c r="H319" s="34">
        <v>80</v>
      </c>
      <c r="I319" s="34"/>
      <c r="J319" s="149" t="str">
        <f>IF($F319="","",IFERROR(IFERROR(INDEX(Réttabanki!$U:$U,MATCH($F319,Réttabanki!$A:$A,0)),INDEX(Vöruskrá!$R:$R,MATCH($F319,Vöruskrá!$B:$B,0)))*($H319+IF($I319="",$H319*(1+#REF!),$I319))/2/1000,""))</f>
        <v/>
      </c>
      <c r="K319" s="21" t="s">
        <v>1099</v>
      </c>
      <c r="L319" s="21" t="s">
        <v>108</v>
      </c>
      <c r="M319" s="21" t="s">
        <v>1100</v>
      </c>
      <c r="N319" s="22">
        <v>103</v>
      </c>
      <c r="O319" s="22">
        <v>3</v>
      </c>
      <c r="P319" s="22">
        <v>2.1</v>
      </c>
      <c r="Q319" s="22">
        <v>16</v>
      </c>
      <c r="R319" s="22">
        <v>2.2000000000000002</v>
      </c>
      <c r="S319" s="22">
        <v>0.7</v>
      </c>
      <c r="T319" s="66" t="str">
        <f>IF(F319="","",IFERROR(INDEX(Réttabanki!Q:Q,MATCH(F319,Réttabanki!A:A,0)),IFERROR(INDEX(Réttabanki!Q:Q,MATCH(F319,Réttabanki!B:B,0)),"")))</f>
        <v/>
      </c>
      <c r="U319" s="286"/>
      <c r="V319" s="286"/>
      <c r="W319" s="286"/>
      <c r="X319" s="286"/>
      <c r="Y319" s="286"/>
      <c r="Z319" s="286"/>
      <c r="AA319" s="286"/>
    </row>
    <row r="320" spans="1:27" ht="84">
      <c r="A320" s="31"/>
      <c r="B320" s="32" t="s">
        <v>1851</v>
      </c>
      <c r="C320" s="32">
        <v>35</v>
      </c>
      <c r="D320" s="33" t="s">
        <v>1850</v>
      </c>
      <c r="E320" s="33" t="s">
        <v>1867</v>
      </c>
      <c r="F320" s="33"/>
      <c r="G320" s="33" t="s">
        <v>2100</v>
      </c>
      <c r="H320" s="34"/>
      <c r="I320" s="34"/>
      <c r="J320" s="149"/>
      <c r="K320" s="21" t="s">
        <v>2101</v>
      </c>
      <c r="L320" s="21" t="s">
        <v>2102</v>
      </c>
      <c r="M320" s="21"/>
      <c r="N320" s="22"/>
      <c r="O320" s="22"/>
      <c r="P320" s="22"/>
      <c r="Q320" s="22"/>
      <c r="R320" s="22"/>
      <c r="S320" s="22"/>
      <c r="T320" s="66"/>
      <c r="U320" s="284"/>
      <c r="V320" s="284"/>
      <c r="W320" s="284"/>
      <c r="X320" s="284"/>
      <c r="Y320" s="284"/>
      <c r="Z320" s="284"/>
      <c r="AA320" s="284"/>
    </row>
    <row r="321" spans="1:27" ht="72">
      <c r="A321" s="31"/>
      <c r="B321" s="32" t="s">
        <v>1851</v>
      </c>
      <c r="C321" s="32">
        <v>35</v>
      </c>
      <c r="D321" s="33" t="s">
        <v>1850</v>
      </c>
      <c r="E321" s="33" t="s">
        <v>1867</v>
      </c>
      <c r="F321" s="33" t="s">
        <v>209</v>
      </c>
      <c r="G321" s="33" t="s">
        <v>209</v>
      </c>
      <c r="H321" s="34">
        <v>180</v>
      </c>
      <c r="I321" s="34"/>
      <c r="J321" s="149"/>
      <c r="K321" s="21" t="s">
        <v>211</v>
      </c>
      <c r="L321" s="21" t="s">
        <v>212</v>
      </c>
      <c r="M321" s="21" t="s">
        <v>213</v>
      </c>
      <c r="N321" s="22">
        <v>118</v>
      </c>
      <c r="O321" s="22">
        <v>4.5</v>
      </c>
      <c r="P321" s="22">
        <v>0.4</v>
      </c>
      <c r="Q321" s="22">
        <v>13.5</v>
      </c>
      <c r="R321" s="22">
        <v>3.8</v>
      </c>
      <c r="S321" s="22">
        <v>0.9</v>
      </c>
      <c r="T321" s="66"/>
      <c r="U321" s="286"/>
      <c r="V321" s="286"/>
      <c r="W321" s="286"/>
      <c r="X321" s="286"/>
      <c r="Y321" s="286"/>
      <c r="Z321" s="286"/>
      <c r="AA321" s="286"/>
    </row>
    <row r="322" spans="1:27">
      <c r="A322" s="31"/>
      <c r="B322" s="32" t="s">
        <v>1851</v>
      </c>
      <c r="C322" s="32">
        <v>35</v>
      </c>
      <c r="D322" s="33" t="s">
        <v>1850</v>
      </c>
      <c r="E322" s="33" t="s">
        <v>1867</v>
      </c>
      <c r="F322" s="33" t="s">
        <v>1097</v>
      </c>
      <c r="G322" s="33" t="s">
        <v>1912</v>
      </c>
      <c r="H322" s="34">
        <v>80</v>
      </c>
      <c r="I322" s="34"/>
      <c r="J322" s="149"/>
      <c r="K322" s="21" t="s">
        <v>1099</v>
      </c>
      <c r="L322" s="21" t="s">
        <v>108</v>
      </c>
      <c r="M322" s="21" t="s">
        <v>1100</v>
      </c>
      <c r="N322" s="22">
        <v>103</v>
      </c>
      <c r="O322" s="22">
        <v>3</v>
      </c>
      <c r="P322" s="22">
        <v>2.1</v>
      </c>
      <c r="Q322" s="22">
        <v>16</v>
      </c>
      <c r="R322" s="22">
        <v>2.2000000000000002</v>
      </c>
      <c r="S322" s="22">
        <v>0.7</v>
      </c>
      <c r="T322" s="66"/>
      <c r="U322" s="284"/>
      <c r="V322" s="284"/>
      <c r="W322" s="284"/>
      <c r="X322" s="284"/>
      <c r="Y322" s="284"/>
      <c r="Z322" s="284"/>
      <c r="AA322" s="284"/>
    </row>
    <row r="323" spans="1:27">
      <c r="A323" s="31"/>
      <c r="B323" s="32" t="s">
        <v>1851</v>
      </c>
      <c r="C323" s="32">
        <v>35</v>
      </c>
      <c r="D323" s="33" t="s">
        <v>1856</v>
      </c>
      <c r="E323" s="33" t="s">
        <v>1877</v>
      </c>
      <c r="F323" s="33"/>
      <c r="G323" s="33"/>
      <c r="H323" s="34"/>
      <c r="I323" s="34"/>
      <c r="J323" s="149" t="str">
        <f>IF($F323="","",IFERROR(IFERROR(INDEX(Réttabanki!$U:$U,MATCH($F323,Réttabanki!$A:$A,0)),INDEX(Vöruskrá!$R:$R,MATCH($F323,Vöruskrá!$B:$B,0)))*($H323+IF($I323="",$H323*(1+#REF!),$I323))/2/1000,""))</f>
        <v/>
      </c>
      <c r="K323" s="21"/>
      <c r="L323" s="21" t="s">
        <v>121</v>
      </c>
      <c r="M323" s="21" t="str">
        <f>IF($F323="","",IFERROR(IFERROR(INDEX(Réttabanki!$F:$F,MATCH($F323,Réttabanki!$A:$A,0)),INDEX(Vöruskrá!$H:$H,MATCH($F323,Vöruskrá!$B:$B,0))),""))</f>
        <v/>
      </c>
      <c r="N323" s="22" t="str">
        <f>IF($F323="","",IFERROR(IFERROR(INDEX(Réttabanki!$G:$G,MATCH($F323,Réttabanki!$A:$A,0)),INDEX(Vöruskrá!$J:$J,MATCH($F323,Vöruskrá!$B:$B,0)))*($H323+IF($I323="",$H323*(1+#REF!),$I323))/2/100,""))</f>
        <v/>
      </c>
      <c r="O323" s="22" t="str">
        <f>IF($F323="","",IFERROR(IFERROR(INDEX(Réttabanki!$H:$H,MATCH($F323,Réttabanki!$A:$A,0)),INDEX(Vöruskrá!$K:$K,MATCH($F323,Vöruskrá!$B:$B,0)))*($H323+IF($I323="",$H323*(1+#REF!),$I323))/2/100,""))</f>
        <v/>
      </c>
      <c r="P323" s="22" t="str">
        <f>IF($F323="","",IFERROR(IFERROR(INDEX(Réttabanki!$I:$I,MATCH($F323,Réttabanki!$A:$A,0)),INDEX(Vöruskrá!$L:$L,MATCH($F323,Vöruskrá!$B:$B,0)))*($H323+IF($I323="",$H323*(1+#REF!),$I323))/2/100,""))</f>
        <v/>
      </c>
      <c r="Q323" s="22" t="str">
        <f>IF($F323="","",IFERROR(IFERROR(INDEX(Réttabanki!$J:$J,MATCH($F323,Réttabanki!$A:$A,0)),INDEX(Vöruskrá!$M:$M,MATCH($F323,Vöruskrá!$B:$B,0)))*($H323+IF($I323="",$H323*(1+#REF!),$I323))/2/100,""))</f>
        <v/>
      </c>
      <c r="R323" s="22" t="str">
        <f>IF($F323="","",IFERROR(IFERROR(INDEX(Réttabanki!$L:$L,MATCH($F323,Réttabanki!$A:$A,0)),INDEX(Vöruskrá!$O:$O,MATCH($F323,Vöruskrá!$B:$B,0)))*($H323+IF($I323="",$H323*(1+#REF!),$I323))/2/100,""))</f>
        <v/>
      </c>
      <c r="S323" s="22" t="str">
        <f>IF($F323="","",IFERROR(IFERROR(INDEX(Réttabanki!$M:$M,MATCH($F323,Réttabanki!$A:$A,0)),INDEX(Vöruskrá!$P:$P,MATCH($F323,Vöruskrá!$B:$B,0)))*($H323+IF($I323="",$H323*(1+#REF!),$I323))/2/100,""))</f>
        <v/>
      </c>
      <c r="T323" s="65" t="str">
        <f>IF(F323="","",IFERROR(INDEX(Réttabanki!Q:Q,MATCH(F323,Réttabanki!A:A,0)),IFERROR(INDEX(Réttabanki!Q:Q,MATCH(F323,Réttabanki!B:B,0)),"")))</f>
        <v/>
      </c>
      <c r="U323" s="286"/>
      <c r="V323" s="286"/>
      <c r="W323" s="286"/>
      <c r="X323" s="286"/>
      <c r="Y323" s="286"/>
      <c r="Z323" s="286"/>
      <c r="AA323" s="286"/>
    </row>
    <row r="324" spans="1:27">
      <c r="A324" s="31"/>
      <c r="B324" s="32" t="s">
        <v>1851</v>
      </c>
      <c r="C324" s="32">
        <v>35</v>
      </c>
      <c r="D324" s="33" t="s">
        <v>1850</v>
      </c>
      <c r="E324" s="33" t="s">
        <v>1877</v>
      </c>
      <c r="F324" s="33"/>
      <c r="G324" s="33"/>
      <c r="H324" s="34"/>
      <c r="I324" s="34"/>
      <c r="J324" s="149" t="str">
        <f>IF($F324="","",IFERROR(IFERROR(INDEX(Réttabanki!$U:$U,MATCH($F324,Réttabanki!$A:$A,0)),INDEX(Vöruskrá!$R:$R,MATCH($F324,Vöruskrá!$B:$B,0)))*($H324+IF($I324="",$H324*(1+#REF!),$I324))/2/1000,""))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66" t="str">
        <f>IF(F324="","",IFERROR(INDEX(Réttabanki!Q:Q,MATCH(F324,Réttabanki!A:A,0)),IFERROR(INDEX(Réttabanki!Q:Q,MATCH(F324,Réttabanki!B:B,0)),"")))</f>
        <v/>
      </c>
      <c r="U324" s="284"/>
      <c r="V324" s="284"/>
      <c r="W324" s="284"/>
      <c r="X324" s="284"/>
      <c r="Y324" s="284"/>
      <c r="Z324" s="284"/>
      <c r="AA324" s="284"/>
    </row>
    <row r="325" spans="1:27" ht="48">
      <c r="A325" s="31"/>
      <c r="B325" s="32" t="s">
        <v>1851</v>
      </c>
      <c r="C325" s="32">
        <v>35</v>
      </c>
      <c r="D325" s="33" t="s">
        <v>1850</v>
      </c>
      <c r="E325" s="33" t="s">
        <v>1885</v>
      </c>
      <c r="F325" s="33"/>
      <c r="G325" s="33" t="s">
        <v>1972</v>
      </c>
      <c r="H325" s="34"/>
      <c r="I325" s="34"/>
      <c r="J325" s="149" t="str">
        <f>IF($F325="","",IFERROR(IFERROR(INDEX(Réttabanki!$U:$U,MATCH($F325,Réttabanki!$A:$A,0)),INDEX(Vöruskrá!$R:$R,MATCH($F325,Vöruskrá!$B:$B,0)))*($H325+IF($I325="",$H325*(1+#REF!),$I325))/2/1000,""))</f>
        <v/>
      </c>
      <c r="K325" s="21" t="s">
        <v>1973</v>
      </c>
      <c r="L325" s="21" t="s">
        <v>1974</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65" t="str">
        <f>IF(F325="","",IFERROR(INDEX(Réttabanki!Q:Q,MATCH(F325,Réttabanki!A:A,0)),IFERROR(INDEX(Réttabanki!Q:Q,MATCH(F325,Réttabanki!B:B,0)),"")))</f>
        <v/>
      </c>
      <c r="U325" s="286"/>
      <c r="V325" s="286"/>
      <c r="W325" s="286"/>
      <c r="X325" s="286"/>
      <c r="Y325" s="286"/>
      <c r="Z325" s="286"/>
      <c r="AA325" s="286"/>
    </row>
    <row r="326" spans="1:27" ht="36">
      <c r="A326" s="31"/>
      <c r="B326" s="32" t="s">
        <v>1851</v>
      </c>
      <c r="C326" s="32">
        <v>35</v>
      </c>
      <c r="D326" s="33" t="s">
        <v>1850</v>
      </c>
      <c r="E326" s="33" t="s">
        <v>1885</v>
      </c>
      <c r="F326" s="33" t="s">
        <v>57</v>
      </c>
      <c r="G326" s="33" t="s">
        <v>1975</v>
      </c>
      <c r="H326" s="34">
        <v>40</v>
      </c>
      <c r="I326" s="34"/>
      <c r="J326" s="149" t="str">
        <f>IF($F326="","",IFERROR(IFERROR(INDEX(Réttabanki!$U:$U,MATCH($F326,Réttabanki!$A:$A,0)),INDEX(Vöruskrá!$R:$R,MATCH($F326,Vöruskrá!$B:$B,0)))*($H326+IF($I326="",$H326*(1+#REF!),$I326))/2/1000,""))</f>
        <v/>
      </c>
      <c r="K326" s="21" t="s">
        <v>58</v>
      </c>
      <c r="L326" s="21" t="s">
        <v>59</v>
      </c>
      <c r="M326" s="21" t="s">
        <v>49</v>
      </c>
      <c r="N326" s="22">
        <v>241</v>
      </c>
      <c r="O326" s="22">
        <v>4.3</v>
      </c>
      <c r="P326" s="22">
        <v>0.8</v>
      </c>
      <c r="Q326" s="22">
        <v>33</v>
      </c>
      <c r="R326" s="22">
        <v>14</v>
      </c>
      <c r="S326" s="22">
        <v>0.9</v>
      </c>
      <c r="T326" s="66" t="str">
        <f>IF(F326="","",IFERROR(INDEX(Réttabanki!Q:Q,MATCH(F326,Réttabanki!A:A,0)),IFERROR(INDEX(Réttabanki!Q:Q,MATCH(F326,Réttabanki!B:B,0)),"")))</f>
        <v/>
      </c>
      <c r="U326" s="284"/>
      <c r="V326" s="284"/>
      <c r="W326" s="284"/>
      <c r="X326" s="284"/>
      <c r="Y326" s="284"/>
      <c r="Z326" s="284"/>
      <c r="AA326" s="284"/>
    </row>
    <row r="327" spans="1:27">
      <c r="A327" s="31"/>
      <c r="B327" s="32" t="s">
        <v>1851</v>
      </c>
      <c r="C327" s="32">
        <v>35</v>
      </c>
      <c r="D327" s="33" t="s">
        <v>1850</v>
      </c>
      <c r="E327" s="33" t="s">
        <v>1885</v>
      </c>
      <c r="F327" s="33" t="s">
        <v>557</v>
      </c>
      <c r="G327" s="33" t="s">
        <v>1883</v>
      </c>
      <c r="H327" s="34">
        <v>20</v>
      </c>
      <c r="I327" s="34"/>
      <c r="J327" s="149" t="str">
        <f>IF($F327="","",IFERROR(IFERROR(INDEX(Réttabanki!$U:$U,MATCH($F327,Réttabanki!$A:$A,0)),INDEX(Vöruskrá!$R:$R,MATCH($F327,Vöruskrá!$B:$B,0)))*($H327+IF($I327="",$H327*(1+#REF!),$I327))/2/1000,""))</f>
        <v/>
      </c>
      <c r="K327" s="21" t="s">
        <v>559</v>
      </c>
      <c r="L327" s="21" t="s">
        <v>108</v>
      </c>
      <c r="M327" s="21"/>
      <c r="N327" s="22">
        <v>330</v>
      </c>
      <c r="O327" s="22">
        <v>26</v>
      </c>
      <c r="P327" s="22">
        <v>14</v>
      </c>
      <c r="Q327" s="22">
        <v>0</v>
      </c>
      <c r="R327" s="22">
        <v>25</v>
      </c>
      <c r="S327" s="22">
        <v>1.5</v>
      </c>
      <c r="T327" s="65" t="str">
        <f>IF(F327="","",IFERROR(INDEX(Réttabanki!Q:Q,MATCH(F327,Réttabanki!A:A,0)),IFERROR(INDEX(Réttabanki!Q:Q,MATCH(F327,Réttabanki!B:B,0)),"")))</f>
        <v/>
      </c>
      <c r="U327" s="286"/>
      <c r="V327" s="286"/>
      <c r="W327" s="286"/>
      <c r="X327" s="286"/>
      <c r="Y327" s="286"/>
      <c r="Z327" s="286"/>
      <c r="AA327" s="286"/>
    </row>
    <row r="328" spans="1:27">
      <c r="A328" s="155"/>
      <c r="B328" s="156" t="s">
        <v>1851</v>
      </c>
      <c r="C328" s="156">
        <v>35</v>
      </c>
      <c r="D328" s="157"/>
      <c r="E328" s="157"/>
      <c r="F328" s="157" t="s">
        <v>1894</v>
      </c>
      <c r="G328" s="157"/>
      <c r="H328" s="158"/>
      <c r="I328" s="158"/>
      <c r="J328" s="159">
        <f>SUMIFS(J314:J327,E314:E327,"&lt;&gt;Hliðarréttur",E314:E327,"&lt;&gt;Sérfæði")</f>
        <v>115.73441</v>
      </c>
      <c r="K328" s="21" t="s">
        <v>1895</v>
      </c>
      <c r="L328" s="21"/>
      <c r="M328" s="21"/>
      <c r="N328" s="22"/>
      <c r="O328" s="22"/>
      <c r="P328" s="22"/>
      <c r="Q328" s="22"/>
      <c r="R328" s="22"/>
      <c r="S328" s="22"/>
      <c r="T328" s="65"/>
      <c r="U328" s="284"/>
      <c r="V328" s="284"/>
      <c r="W328" s="284"/>
      <c r="X328" s="284"/>
      <c r="Y328" s="284"/>
      <c r="Z328" s="284"/>
      <c r="AA328" s="284"/>
    </row>
    <row r="329" spans="1:27">
      <c r="A329" s="155"/>
      <c r="B329" s="156" t="s">
        <v>1851</v>
      </c>
      <c r="C329" s="156">
        <v>35</v>
      </c>
      <c r="D329" s="157"/>
      <c r="E329" s="157"/>
      <c r="F329" s="157" t="s">
        <v>1897</v>
      </c>
      <c r="G329" s="157"/>
      <c r="H329" s="158"/>
      <c r="I329" s="158"/>
      <c r="J329" s="159">
        <f>SUMIFS(J314:J327,E314:E327,"&lt;&gt;Hliðarréttur",E314:E327,"&lt;&gt;Sérfæði")</f>
        <v>115.73441</v>
      </c>
      <c r="K329" s="21" t="s">
        <v>1895</v>
      </c>
      <c r="L329" s="21"/>
      <c r="M329" s="21"/>
      <c r="N329" s="22"/>
      <c r="O329" s="22"/>
      <c r="P329" s="22"/>
      <c r="Q329" s="22"/>
      <c r="R329" s="22"/>
      <c r="S329" s="22"/>
      <c r="T329" s="65"/>
      <c r="U329" s="286"/>
      <c r="V329" s="286"/>
      <c r="W329" s="286"/>
      <c r="X329" s="286"/>
      <c r="Y329" s="286"/>
      <c r="Z329" s="286"/>
      <c r="AA329" s="286"/>
    </row>
    <row r="330" spans="1:27" ht="84">
      <c r="A330" s="31">
        <v>46259</v>
      </c>
      <c r="B330" s="32" t="s">
        <v>1899</v>
      </c>
      <c r="C330" s="32">
        <v>35</v>
      </c>
      <c r="D330" s="33" t="s">
        <v>1825</v>
      </c>
      <c r="E330" s="33" t="s">
        <v>1852</v>
      </c>
      <c r="F330" s="33"/>
      <c r="G330" s="33" t="s">
        <v>2007</v>
      </c>
      <c r="H330" s="34"/>
      <c r="I330" s="34"/>
      <c r="J330" s="149" t="str">
        <f>IF($F330="","",IFERROR(IFERROR(INDEX(Réttabanki!$U:$U,MATCH($F330,Réttabanki!$A:$A,0)),INDEX(Vöruskrá!$R:$R,MATCH($F330,Vöruskrá!$B:$B,0)))*($H330+IF($I330="",$H330*(1+#REF!),$I330))/2/1000,""))</f>
        <v/>
      </c>
      <c r="K330" s="21" t="s">
        <v>2103</v>
      </c>
      <c r="L330" s="21" t="s">
        <v>1925</v>
      </c>
      <c r="M330" s="21" t="str">
        <f>IF($F330="","",IFERROR(IFERROR(INDEX(Réttabanki!$F:$F,MATCH($F330,Réttabanki!$A:$A,0)),INDEX(Vöruskrá!$H:$H,MATCH($F330,Vöruskrá!$B:$B,0))),""))</f>
        <v/>
      </c>
      <c r="N330" s="22" t="str">
        <f>IF($F330="","",IFERROR(IFERROR(INDEX(Réttabanki!$G:$G,MATCH($F330,Réttabanki!$A:$A,0)),INDEX(Vöruskrá!$J:$J,MATCH($F330,Vöruskrá!$B:$B,0)))*($H330+IF($I330="",$H330*(1+#REF!),$I330))/2/100,""))</f>
        <v/>
      </c>
      <c r="O330" s="22" t="str">
        <f>IF($F330="","",IFERROR(IFERROR(INDEX(Réttabanki!$H:$H,MATCH($F330,Réttabanki!$A:$A,0)),INDEX(Vöruskrá!$K:$K,MATCH($F330,Vöruskrá!$B:$B,0)))*($H330+IF($I330="",$H330*(1+#REF!),$I330))/2/100,""))</f>
        <v/>
      </c>
      <c r="P330" s="22" t="str">
        <f>IF($F330="","",IFERROR(IFERROR(INDEX(Réttabanki!$I:$I,MATCH($F330,Réttabanki!$A:$A,0)),INDEX(Vöruskrá!$L:$L,MATCH($F330,Vöruskrá!$B:$B,0)))*($H330+IF($I330="",$H330*(1+#REF!),$I330))/2/100,""))</f>
        <v/>
      </c>
      <c r="Q330" s="22" t="str">
        <f>IF($F330="","",IFERROR(IFERROR(INDEX(Réttabanki!$J:$J,MATCH($F330,Réttabanki!$A:$A,0)),INDEX(Vöruskrá!$M:$M,MATCH($F330,Vöruskrá!$B:$B,0)))*($H330+IF($I330="",$H330*(1+#REF!),$I330))/2/100,""))</f>
        <v/>
      </c>
      <c r="R330" s="22" t="str">
        <f>IF($F330="","",IFERROR(IFERROR(INDEX(Réttabanki!$L:$L,MATCH($F330,Réttabanki!$A:$A,0)),INDEX(Vöruskrá!$O:$O,MATCH($F330,Vöruskrá!$B:$B,0)))*($H330+IF($I330="",$H330*(1+#REF!),$I330))/2/100,""))</f>
        <v/>
      </c>
      <c r="S330" s="22" t="str">
        <f>IF($F330="","",IFERROR(IFERROR(INDEX(Réttabanki!$M:$M,MATCH($F330,Réttabanki!$A:$A,0)),INDEX(Vöruskrá!$P:$P,MATCH($F330,Vöruskrá!$B:$B,0)))*($H330+IF($I330="",$H330*(1+#REF!),$I330))/2/100,""))</f>
        <v/>
      </c>
      <c r="T330" s="66" t="str">
        <f>IF(F330="","",IFERROR(INDEX(Réttabanki!Q:Q,MATCH(F330,Réttabanki!A:A,0)),IFERROR(INDEX(Réttabanki!Q:Q,MATCH(F330,Réttabanki!B:B,0)),"")))</f>
        <v/>
      </c>
      <c r="U330" s="284"/>
      <c r="V330" s="284"/>
      <c r="W330" s="284"/>
      <c r="X330" s="284"/>
      <c r="Y330" s="284"/>
      <c r="Z330" s="284"/>
      <c r="AA330" s="284"/>
    </row>
    <row r="331" spans="1:27" ht="24">
      <c r="A331" s="31"/>
      <c r="B331" s="32" t="s">
        <v>1899</v>
      </c>
      <c r="C331" s="32">
        <v>35</v>
      </c>
      <c r="D331" s="33" t="s">
        <v>1856</v>
      </c>
      <c r="E331" s="33" t="s">
        <v>1852</v>
      </c>
      <c r="F331" s="33" t="s">
        <v>1557</v>
      </c>
      <c r="G331" s="33" t="s">
        <v>1125</v>
      </c>
      <c r="H331" s="34"/>
      <c r="I331" s="34">
        <v>250</v>
      </c>
      <c r="J331" s="149">
        <f>IF($F331="","",IFERROR(IFERROR(INDEX(Réttabanki!$U:$U,MATCH($F331,Réttabanki!$A:$A,0)),INDEX(Vöruskrá!$R:$R,MATCH($F331,Vöruskrá!$B:$B,0)))*($H331+IF($I331="",$H331*(1+#REF!),$I331))/2/1000,""))</f>
        <v>127.28325000000001</v>
      </c>
      <c r="K331" s="21" t="s">
        <v>1558</v>
      </c>
      <c r="L331" s="21" t="s">
        <v>1559</v>
      </c>
      <c r="M331" s="21"/>
      <c r="N331" s="22">
        <v>92.61</v>
      </c>
      <c r="O331" s="22">
        <v>3.7</v>
      </c>
      <c r="P331" s="22">
        <v>1.92</v>
      </c>
      <c r="Q331" s="22">
        <v>8.0399999999999991</v>
      </c>
      <c r="R331" s="22">
        <v>7.26</v>
      </c>
      <c r="S331" s="22">
        <v>1.79</v>
      </c>
      <c r="T331" s="65"/>
      <c r="U331" s="286"/>
      <c r="V331" s="286"/>
      <c r="W331" s="286"/>
      <c r="X331" s="286"/>
      <c r="Y331" s="286"/>
      <c r="Z331" s="286"/>
      <c r="AA331" s="286"/>
    </row>
    <row r="332" spans="1:27" ht="36">
      <c r="A332" s="31"/>
      <c r="B332" s="32" t="s">
        <v>1899</v>
      </c>
      <c r="C332" s="32">
        <v>35</v>
      </c>
      <c r="D332" s="33" t="s">
        <v>1825</v>
      </c>
      <c r="E332" s="33" t="s">
        <v>1852</v>
      </c>
      <c r="F332" s="33" t="s">
        <v>324</v>
      </c>
      <c r="G332" s="33" t="s">
        <v>1931</v>
      </c>
      <c r="H332" s="34">
        <v>25</v>
      </c>
      <c r="I332" s="34">
        <v>25</v>
      </c>
      <c r="J332" s="149">
        <f>IF($F332="","",IFERROR(IFERROR(INDEX(Réttabanki!$U:$U,MATCH($F332,Réttabanki!$A:$A,0)),INDEX(Vöruskrá!$R:$R,MATCH($F332,Vöruskrá!$B:$B,0)))*($H332+IF($I332="",$H332*(1+#REF!),$I332))/2/1000,""))</f>
        <v>15</v>
      </c>
      <c r="K332" s="21" t="s">
        <v>325</v>
      </c>
      <c r="L332" s="21" t="s">
        <v>326</v>
      </c>
      <c r="M332" s="21" t="s">
        <v>327</v>
      </c>
      <c r="N332" s="22">
        <v>252</v>
      </c>
      <c r="O332" s="22">
        <v>1.1000000000000001</v>
      </c>
      <c r="P332" s="22">
        <v>0.2</v>
      </c>
      <c r="Q332" s="22">
        <v>50</v>
      </c>
      <c r="R332" s="22">
        <v>4.8</v>
      </c>
      <c r="S332" s="22">
        <v>0.6</v>
      </c>
      <c r="T332" s="66" t="str">
        <f>IF(F332="","",IFERROR(INDEX(Réttabanki!Q:Q,MATCH(F332,Réttabanki!A:A,0)),IFERROR(INDEX(Réttabanki!Q:Q,MATCH(F332,Réttabanki!B:B,0)),"")))</f>
        <v/>
      </c>
      <c r="U332" s="284"/>
      <c r="V332" s="284"/>
      <c r="W332" s="284"/>
      <c r="X332" s="284"/>
      <c r="Y332" s="284"/>
      <c r="Z332" s="284"/>
      <c r="AA332" s="284"/>
    </row>
    <row r="333" spans="1:27">
      <c r="A333" s="31"/>
      <c r="B333" s="32" t="s">
        <v>1899</v>
      </c>
      <c r="C333" s="32">
        <v>35</v>
      </c>
      <c r="D333" s="33" t="s">
        <v>1825</v>
      </c>
      <c r="E333" s="33" t="s">
        <v>1852</v>
      </c>
      <c r="F333" s="33" t="s">
        <v>390</v>
      </c>
      <c r="G333" s="33" t="s">
        <v>1409</v>
      </c>
      <c r="H333" s="34">
        <v>10</v>
      </c>
      <c r="I333" s="34">
        <v>10</v>
      </c>
      <c r="J333" s="149">
        <f>IF($F333="","",IFERROR(IFERROR(INDEX(Réttabanki!$U:$U,MATCH($F333,Réttabanki!$A:$A,0)),INDEX(Vöruskrá!$R:$R,MATCH($F333,Vöruskrá!$B:$B,0)))*($H333+IF($I333="",$H333*(1+#REF!),$I333))/2/1000,""))</f>
        <v>23</v>
      </c>
      <c r="K333" s="21" t="s">
        <v>392</v>
      </c>
      <c r="L333" s="21" t="s">
        <v>108</v>
      </c>
      <c r="M333" s="21"/>
      <c r="N333" s="22">
        <v>738</v>
      </c>
      <c r="O333" s="22">
        <v>82</v>
      </c>
      <c r="P333" s="22">
        <v>49</v>
      </c>
      <c r="Q333" s="22">
        <v>0.4</v>
      </c>
      <c r="R333" s="22">
        <v>0.6</v>
      </c>
      <c r="S333" s="22">
        <v>1.2</v>
      </c>
      <c r="T333" s="65">
        <f>IF(F333="","",IFERROR(INDEX(Réttabanki!Q:Q,MATCH(F333,Réttabanki!A:A,0)),IFERROR(INDEX(Réttabanki!Q:Q,MATCH(F333,Réttabanki!B:B,0)),"")))</f>
        <v>0</v>
      </c>
      <c r="U333" s="286"/>
      <c r="V333" s="286"/>
      <c r="W333" s="286"/>
      <c r="X333" s="286"/>
      <c r="Y333" s="286"/>
      <c r="Z333" s="286"/>
      <c r="AA333" s="286"/>
    </row>
    <row r="334" spans="1:27" ht="24">
      <c r="A334" s="31"/>
      <c r="B334" s="32" t="s">
        <v>1899</v>
      </c>
      <c r="C334" s="32">
        <v>35</v>
      </c>
      <c r="D334" s="33" t="s">
        <v>1850</v>
      </c>
      <c r="E334" s="33" t="s">
        <v>1852</v>
      </c>
      <c r="F334" s="33" t="s">
        <v>1125</v>
      </c>
      <c r="G334" s="33" t="s">
        <v>1125</v>
      </c>
      <c r="H334" s="34">
        <v>200</v>
      </c>
      <c r="I334" s="34"/>
      <c r="J334" s="149" t="str">
        <f>IF($F334="","",IFERROR(IFERROR(INDEX(Réttabanki!$U:$U,MATCH($F334,Réttabanki!$A:$A,0)),INDEX(Vöruskrá!$R:$R,MATCH($F334,Vöruskrá!$B:$B,0)))*($H334+IF($I334="",$H334*(1+#REF!),$I334))/2/1000,""))</f>
        <v/>
      </c>
      <c r="K334" s="21" t="s">
        <v>1589</v>
      </c>
      <c r="L334" s="21" t="s">
        <v>1559</v>
      </c>
      <c r="M334" s="21"/>
      <c r="N334" s="22">
        <v>104.95</v>
      </c>
      <c r="O334" s="22">
        <v>3.94</v>
      </c>
      <c r="P334" s="22">
        <v>2.25</v>
      </c>
      <c r="Q334" s="22">
        <v>8.52</v>
      </c>
      <c r="R334" s="22">
        <v>8.7200000000000006</v>
      </c>
      <c r="S334" s="22">
        <v>0.66</v>
      </c>
      <c r="T334" s="66" t="str">
        <f>IF(F334="","",IFERROR(INDEX(Réttabanki!Q:Q,MATCH(F334,Réttabanki!A:A,0)),IFERROR(INDEX(Réttabanki!Q:Q,MATCH(F334,Réttabanki!B:B,0)),"")))</f>
        <v/>
      </c>
      <c r="U334" s="284"/>
      <c r="V334" s="284"/>
      <c r="W334" s="284"/>
      <c r="X334" s="284"/>
      <c r="Y334" s="284"/>
      <c r="Z334" s="284"/>
      <c r="AA334" s="284"/>
    </row>
    <row r="335" spans="1:27">
      <c r="A335" s="31"/>
      <c r="B335" s="32" t="s">
        <v>1899</v>
      </c>
      <c r="C335" s="32">
        <v>35</v>
      </c>
      <c r="D335" s="33" t="s">
        <v>1850</v>
      </c>
      <c r="E335" s="33" t="s">
        <v>1867</v>
      </c>
      <c r="F335" s="33"/>
      <c r="G335" s="33" t="s">
        <v>2104</v>
      </c>
      <c r="H335" s="34"/>
      <c r="I335" s="34"/>
      <c r="J335" s="149"/>
      <c r="K335" s="21"/>
      <c r="L335" s="21" t="s">
        <v>121</v>
      </c>
      <c r="M335" s="21"/>
      <c r="N335" s="22"/>
      <c r="O335" s="22"/>
      <c r="P335" s="22"/>
      <c r="Q335" s="22"/>
      <c r="R335" s="22"/>
      <c r="S335" s="22"/>
      <c r="T335" s="66"/>
      <c r="U335" s="286"/>
      <c r="V335" s="286"/>
      <c r="W335" s="286"/>
      <c r="X335" s="286"/>
      <c r="Y335" s="286"/>
      <c r="Z335" s="286"/>
      <c r="AA335" s="286"/>
    </row>
    <row r="336" spans="1:27">
      <c r="A336" s="31"/>
      <c r="B336" s="32" t="s">
        <v>1899</v>
      </c>
      <c r="C336" s="32">
        <v>35</v>
      </c>
      <c r="D336" s="33" t="s">
        <v>1850</v>
      </c>
      <c r="E336" s="33" t="s">
        <v>1867</v>
      </c>
      <c r="F336" s="33"/>
      <c r="G336" s="33"/>
      <c r="H336" s="34"/>
      <c r="I336" s="34"/>
      <c r="J336" s="149"/>
      <c r="K336" s="21"/>
      <c r="L336" s="21" t="s">
        <v>121</v>
      </c>
      <c r="M336" s="21"/>
      <c r="N336" s="22"/>
      <c r="O336" s="22"/>
      <c r="P336" s="22"/>
      <c r="Q336" s="22"/>
      <c r="R336" s="22"/>
      <c r="S336" s="22"/>
      <c r="T336" s="66"/>
      <c r="U336" s="284"/>
      <c r="V336" s="284"/>
      <c r="W336" s="284"/>
      <c r="X336" s="284"/>
      <c r="Y336" s="284"/>
      <c r="Z336" s="284"/>
      <c r="AA336" s="284"/>
    </row>
    <row r="337" spans="1:27" ht="107.25">
      <c r="A337" s="31"/>
      <c r="B337" s="32" t="s">
        <v>1899</v>
      </c>
      <c r="C337" s="32">
        <v>35</v>
      </c>
      <c r="D337" s="33" t="s">
        <v>1850</v>
      </c>
      <c r="E337" s="33" t="s">
        <v>1867</v>
      </c>
      <c r="F337" s="33"/>
      <c r="G337" s="33"/>
      <c r="H337" s="34"/>
      <c r="I337" s="34"/>
      <c r="J337" s="149"/>
      <c r="K337" s="21" t="s">
        <v>2105</v>
      </c>
      <c r="L337" s="21" t="s">
        <v>1499</v>
      </c>
      <c r="M337" s="21"/>
      <c r="N337" s="22"/>
      <c r="O337" s="22"/>
      <c r="P337" s="22"/>
      <c r="Q337" s="22"/>
      <c r="R337" s="22"/>
      <c r="S337" s="22"/>
      <c r="T337" s="66"/>
      <c r="U337" s="286"/>
      <c r="V337" s="286"/>
      <c r="W337" s="286"/>
      <c r="X337" s="286"/>
      <c r="Y337" s="286"/>
      <c r="Z337" s="286"/>
      <c r="AA337" s="286"/>
    </row>
    <row r="338" spans="1:27" ht="72">
      <c r="A338" s="31"/>
      <c r="B338" s="32" t="s">
        <v>1899</v>
      </c>
      <c r="C338" s="32">
        <v>35</v>
      </c>
      <c r="D338" s="33" t="s">
        <v>1850</v>
      </c>
      <c r="E338" s="33" t="s">
        <v>946</v>
      </c>
      <c r="F338" s="33" t="s">
        <v>1497</v>
      </c>
      <c r="G338" s="33" t="s">
        <v>2013</v>
      </c>
      <c r="H338" s="34">
        <v>200</v>
      </c>
      <c r="I338" s="34"/>
      <c r="J338" s="149"/>
      <c r="K338" s="21" t="s">
        <v>1498</v>
      </c>
      <c r="L338" s="21" t="s">
        <v>1499</v>
      </c>
      <c r="M338" s="21"/>
      <c r="N338" s="22">
        <v>115.06</v>
      </c>
      <c r="O338" s="22">
        <v>4.18</v>
      </c>
      <c r="P338" s="22">
        <v>2.62</v>
      </c>
      <c r="Q338" s="22">
        <v>9.64</v>
      </c>
      <c r="R338" s="22">
        <v>10.050000000000001</v>
      </c>
      <c r="S338" s="22">
        <v>0.68</v>
      </c>
      <c r="T338" s="66"/>
      <c r="U338" s="284"/>
      <c r="V338" s="284"/>
      <c r="W338" s="284"/>
      <c r="X338" s="284"/>
      <c r="Y338" s="284"/>
      <c r="Z338" s="284"/>
      <c r="AA338" s="284"/>
    </row>
    <row r="339" spans="1:27" ht="48">
      <c r="A339" s="31"/>
      <c r="B339" s="32" t="s">
        <v>1899</v>
      </c>
      <c r="C339" s="32">
        <v>35</v>
      </c>
      <c r="D339" s="33" t="s">
        <v>1850</v>
      </c>
      <c r="E339" s="33" t="s">
        <v>946</v>
      </c>
      <c r="F339" s="33" t="s">
        <v>1221</v>
      </c>
      <c r="G339" s="33" t="s">
        <v>2014</v>
      </c>
      <c r="H339" s="34">
        <v>200</v>
      </c>
      <c r="I339" s="34"/>
      <c r="J339" s="149"/>
      <c r="K339" s="21" t="s">
        <v>1222</v>
      </c>
      <c r="L339" s="21"/>
      <c r="M339" s="21"/>
      <c r="N339" s="22">
        <v>105</v>
      </c>
      <c r="O339" s="22">
        <v>5.0999999999999996</v>
      </c>
      <c r="P339" s="22">
        <v>3.3</v>
      </c>
      <c r="Q339" s="22">
        <v>7.8</v>
      </c>
      <c r="R339" s="22">
        <v>6.9</v>
      </c>
      <c r="S339" s="22">
        <v>0.6</v>
      </c>
      <c r="T339" s="66"/>
      <c r="U339" s="286"/>
      <c r="V339" s="286"/>
      <c r="W339" s="286"/>
      <c r="X339" s="286"/>
      <c r="Y339" s="286"/>
      <c r="Z339" s="286"/>
      <c r="AA339" s="286"/>
    </row>
    <row r="340" spans="1:27">
      <c r="A340" s="31"/>
      <c r="B340" s="32" t="s">
        <v>1899</v>
      </c>
      <c r="C340" s="32">
        <v>35</v>
      </c>
      <c r="D340" s="33" t="s">
        <v>1856</v>
      </c>
      <c r="E340" s="33" t="s">
        <v>1877</v>
      </c>
      <c r="F340" s="33"/>
      <c r="G340" s="33"/>
      <c r="H340" s="34"/>
      <c r="I340" s="34"/>
      <c r="J340" s="149" t="str">
        <f>IF($F340="","",IFERROR(IFERROR(INDEX(Réttabanki!$U:$U,MATCH($F340,Réttabanki!$A:$A,0)),INDEX(Vöruskrá!$R:$R,MATCH($F340,Vöruskrá!$B:$B,0)))*($H340+IF($I340="",$H340*(1+#REF!),$I340))/2/1000,""))</f>
        <v/>
      </c>
      <c r="K340" s="21"/>
      <c r="L340" s="21" t="s">
        <v>121</v>
      </c>
      <c r="M340" s="21" t="str">
        <f>IF($F340="","",IFERROR(IFERROR(INDEX(Réttabanki!$F:$F,MATCH($F340,Réttabanki!$A:$A,0)),INDEX(Vöruskrá!$H:$H,MATCH($F340,Vöruskrá!$B:$B,0))),""))</f>
        <v/>
      </c>
      <c r="N340" s="22" t="str">
        <f>IF($F340="","",IFERROR(IFERROR(INDEX(Réttabanki!$G:$G,MATCH($F340,Réttabanki!$A:$A,0)),INDEX(Vöruskrá!$J:$J,MATCH($F340,Vöruskrá!$B:$B,0)))*($H340+IF($I340="",$H340*(1+#REF!),$I340))/2/100,""))</f>
        <v/>
      </c>
      <c r="O340" s="22" t="str">
        <f>IF($F340="","",IFERROR(IFERROR(INDEX(Réttabanki!$H:$H,MATCH($F340,Réttabanki!$A:$A,0)),INDEX(Vöruskrá!$K:$K,MATCH($F340,Vöruskrá!$B:$B,0)))*($H340+IF($I340="",$H340*(1+#REF!),$I340))/2/100,""))</f>
        <v/>
      </c>
      <c r="P340" s="22" t="str">
        <f>IF($F340="","",IFERROR(IFERROR(INDEX(Réttabanki!$I:$I,MATCH($F340,Réttabanki!$A:$A,0)),INDEX(Vöruskrá!$L:$L,MATCH($F340,Vöruskrá!$B:$B,0)))*($H340+IF($I340="",$H340*(1+#REF!),$I340))/2/100,""))</f>
        <v/>
      </c>
      <c r="Q340" s="22" t="str">
        <f>IF($F340="","",IFERROR(IFERROR(INDEX(Réttabanki!$J:$J,MATCH($F340,Réttabanki!$A:$A,0)),INDEX(Vöruskrá!$M:$M,MATCH($F340,Vöruskrá!$B:$B,0)))*($H340+IF($I340="",$H340*(1+#REF!),$I340))/2/100,""))</f>
        <v/>
      </c>
      <c r="R340" s="22" t="str">
        <f>IF($F340="","",IFERROR(IFERROR(INDEX(Réttabanki!$L:$L,MATCH($F340,Réttabanki!$A:$A,0)),INDEX(Vöruskrá!$O:$O,MATCH($F340,Vöruskrá!$B:$B,0)))*($H340+IF($I340="",$H340*(1+#REF!),$I340))/2/100,""))</f>
        <v/>
      </c>
      <c r="S340" s="22" t="str">
        <f>IF($F340="","",IFERROR(IFERROR(INDEX(Réttabanki!$M:$M,MATCH($F340,Réttabanki!$A:$A,0)),INDEX(Vöruskrá!$P:$P,MATCH($F340,Vöruskrá!$B:$B,0)))*($H340+IF($I340="",$H340*(1+#REF!),$I340))/2/100,""))</f>
        <v/>
      </c>
      <c r="T340" s="65" t="str">
        <f>IF(F340="","",IFERROR(INDEX(Réttabanki!Q:Q,MATCH(F340,Réttabanki!A:A,0)),IFERROR(INDEX(Réttabanki!Q:Q,MATCH(F340,Réttabanki!B:B,0)),"")))</f>
        <v/>
      </c>
      <c r="U340" s="284"/>
      <c r="V340" s="284"/>
      <c r="W340" s="284"/>
      <c r="X340" s="284"/>
      <c r="Y340" s="284"/>
      <c r="Z340" s="284"/>
      <c r="AA340" s="284"/>
    </row>
    <row r="341" spans="1:27">
      <c r="A341" s="31"/>
      <c r="B341" s="32" t="s">
        <v>1899</v>
      </c>
      <c r="C341" s="32">
        <v>35</v>
      </c>
      <c r="D341" s="33" t="s">
        <v>1850</v>
      </c>
      <c r="E341" s="33" t="s">
        <v>1877</v>
      </c>
      <c r="F341" s="33"/>
      <c r="G341" s="33"/>
      <c r="H341" s="34"/>
      <c r="I341" s="34"/>
      <c r="J341" s="149" t="str">
        <f>IF($F341="","",IFERROR(IFERROR(INDEX(Réttabanki!$U:$U,MATCH($F341,Réttabanki!$A:$A,0)),INDEX(Vöruskrá!$R:$R,MATCH($F341,Vöruskrá!$B:$B,0)))*($H341+IF($I341="",$H341*(1+#REF!),$I341))/2/1000,""))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66" t="str">
        <f>IF(F341="","",IFERROR(INDEX(Réttabanki!Q:Q,MATCH(F341,Réttabanki!A:A,0)),IFERROR(INDEX(Réttabanki!Q:Q,MATCH(F341,Réttabanki!B:B,0)),"")))</f>
        <v/>
      </c>
      <c r="U341" s="286"/>
      <c r="V341" s="286"/>
      <c r="W341" s="286"/>
      <c r="X341" s="286"/>
      <c r="Y341" s="286"/>
      <c r="Z341" s="286"/>
      <c r="AA341" s="286"/>
    </row>
    <row r="342" spans="1:27" ht="84">
      <c r="A342" s="31"/>
      <c r="B342" s="32" t="s">
        <v>1899</v>
      </c>
      <c r="C342" s="32">
        <v>35</v>
      </c>
      <c r="D342" s="33" t="s">
        <v>1850</v>
      </c>
      <c r="E342" s="33" t="s">
        <v>1885</v>
      </c>
      <c r="F342" s="33"/>
      <c r="G342" s="33" t="s">
        <v>2106</v>
      </c>
      <c r="H342" s="34"/>
      <c r="I342" s="34"/>
      <c r="J342" s="149" t="str">
        <f>IF($F342="","",IFERROR(IFERROR(INDEX(Réttabanki!$U:$U,MATCH($F342,Réttabanki!$A:$A,0)),INDEX(Vöruskrá!$R:$R,MATCH($F342,Vöruskrá!$B:$B,0)))*($H342+IF($I342="",$H342*(1+#REF!),$I342))/2/1000,""))</f>
        <v/>
      </c>
      <c r="K342" s="21" t="s">
        <v>1991</v>
      </c>
      <c r="L342" s="21" t="s">
        <v>1992</v>
      </c>
      <c r="M342" s="21" t="str">
        <f>IF($F342="","",IFERROR(IFERROR(INDEX(Réttabanki!$F:$F,MATCH($F342,Réttabanki!$A:$A,0)),INDEX(Vöruskrá!$H:$H,MATCH($F342,Vöruskrá!$B:$B,0))),""))</f>
        <v/>
      </c>
      <c r="N342" s="22" t="str">
        <f>IF($F342="","",IFERROR(IFERROR(INDEX(Réttabanki!$G:$G,MATCH($F342,Réttabanki!$A:$A,0)),INDEX(Vöruskrá!$J:$J,MATCH($F342,Vöruskrá!$B:$B,0)))*($H342+IF($I342="",$H342*(1+#REF!),$I342))/2/100,""))</f>
        <v/>
      </c>
      <c r="O342" s="22" t="str">
        <f>IF($F342="","",IFERROR(IFERROR(INDEX(Réttabanki!$H:$H,MATCH($F342,Réttabanki!$A:$A,0)),INDEX(Vöruskrá!$K:$K,MATCH($F342,Vöruskrá!$B:$B,0)))*($H342+IF($I342="",$H342*(1+#REF!),$I342))/2/100,""))</f>
        <v/>
      </c>
      <c r="P342" s="22" t="str">
        <f>IF($F342="","",IFERROR(IFERROR(INDEX(Réttabanki!$I:$I,MATCH($F342,Réttabanki!$A:$A,0)),INDEX(Vöruskrá!$L:$L,MATCH($F342,Vöruskrá!$B:$B,0)))*($H342+IF($I342="",$H342*(1+#REF!),$I342))/2/100,""))</f>
        <v/>
      </c>
      <c r="Q342" s="22" t="str">
        <f>IF($F342="","",IFERROR(IFERROR(INDEX(Réttabanki!$J:$J,MATCH($F342,Réttabanki!$A:$A,0)),INDEX(Vöruskrá!$M:$M,MATCH($F342,Vöruskrá!$B:$B,0)))*($H342+IF($I342="",$H342*(1+#REF!),$I342))/2/100,""))</f>
        <v/>
      </c>
      <c r="R342" s="22" t="str">
        <f>IF($F342="","",IFERROR(IFERROR(INDEX(Réttabanki!$L:$L,MATCH($F342,Réttabanki!$A:$A,0)),INDEX(Vöruskrá!$O:$O,MATCH($F342,Vöruskrá!$B:$B,0)))*($H342+IF($I342="",$H342*(1+#REF!),$I342))/2/100,""))</f>
        <v/>
      </c>
      <c r="S342" s="22" t="str">
        <f>IF($F342="","",IFERROR(IFERROR(INDEX(Réttabanki!$M:$M,MATCH($F342,Réttabanki!$A:$A,0)),INDEX(Vöruskrá!$P:$P,MATCH($F342,Vöruskrá!$B:$B,0)))*($H342+IF($I342="",$H342*(1+#REF!),$I342))/2/100,""))</f>
        <v/>
      </c>
      <c r="T342" s="65" t="str">
        <f>IF(F342="","",IFERROR(INDEX(Réttabanki!Q:Q,MATCH(F342,Réttabanki!A:A,0)),IFERROR(INDEX(Réttabanki!Q:Q,MATCH(F342,Réttabanki!B:B,0)),"")))</f>
        <v/>
      </c>
      <c r="U342" s="284"/>
      <c r="V342" s="284"/>
      <c r="W342" s="284"/>
      <c r="X342" s="284"/>
      <c r="Y342" s="284"/>
      <c r="Z342" s="284"/>
      <c r="AA342" s="284"/>
    </row>
    <row r="343" spans="1:27" ht="48">
      <c r="A343" s="31"/>
      <c r="B343" s="32" t="s">
        <v>1899</v>
      </c>
      <c r="C343" s="32">
        <v>35</v>
      </c>
      <c r="D343" s="33" t="s">
        <v>1850</v>
      </c>
      <c r="E343" s="33" t="s">
        <v>1885</v>
      </c>
      <c r="F343" s="33" t="s">
        <v>68</v>
      </c>
      <c r="G343" s="33" t="s">
        <v>1993</v>
      </c>
      <c r="H343" s="34">
        <v>40</v>
      </c>
      <c r="I343" s="34"/>
      <c r="J343" s="149" t="str">
        <f>IF($F343="","",IFERROR(IFERROR(INDEX(Réttabanki!$U:$U,MATCH($F343,Réttabanki!$A:$A,0)),INDEX(Vöruskrá!$R:$R,MATCH($F343,Vöruskrá!$B:$B,0)))*($H343+IF($I343="",$H343*(1+#REF!),$I343))/2/1000,""))</f>
        <v/>
      </c>
      <c r="K343" s="21" t="s">
        <v>70</v>
      </c>
      <c r="L343" s="21" t="s">
        <v>71</v>
      </c>
      <c r="M343" s="21"/>
      <c r="N343" s="22">
        <v>308</v>
      </c>
      <c r="O343" s="22">
        <v>7.8</v>
      </c>
      <c r="P343" s="22">
        <v>0.8</v>
      </c>
      <c r="Q343" s="22">
        <v>48</v>
      </c>
      <c r="R343" s="22">
        <v>10</v>
      </c>
      <c r="S343" s="22">
        <v>1.4</v>
      </c>
      <c r="T343" s="66" t="str">
        <f>IF(F343="","",IFERROR(INDEX(Réttabanki!Q:Q,MATCH(F343,Réttabanki!A:A,0)),IFERROR(INDEX(Réttabanki!Q:Q,MATCH(F343,Réttabanki!B:B,0)),"")))</f>
        <v/>
      </c>
      <c r="U343" s="286"/>
      <c r="V343" s="286"/>
      <c r="W343" s="286"/>
      <c r="X343" s="286"/>
      <c r="Y343" s="286"/>
      <c r="Z343" s="286"/>
      <c r="AA343" s="286"/>
    </row>
    <row r="344" spans="1:27" ht="36">
      <c r="A344" s="31"/>
      <c r="B344" s="32" t="s">
        <v>1899</v>
      </c>
      <c r="C344" s="32">
        <v>35</v>
      </c>
      <c r="D344" s="33" t="s">
        <v>1850</v>
      </c>
      <c r="E344" s="33" t="s">
        <v>1885</v>
      </c>
      <c r="F344" s="33" t="s">
        <v>562</v>
      </c>
      <c r="G344" s="33" t="s">
        <v>1994</v>
      </c>
      <c r="H344" s="34">
        <v>20</v>
      </c>
      <c r="I344" s="34"/>
      <c r="J344" s="149" t="str">
        <f>IF($F344="","",IFERROR(IFERROR(INDEX(Réttabanki!$U:$U,MATCH($F344,Réttabanki!$A:$A,0)),INDEX(Vöruskrá!$R:$R,MATCH($F344,Vöruskrá!$B:$B,0)))*($H344+IF($I344="",$H344*(1+#REF!),$I344))/2/1000,""))</f>
        <v/>
      </c>
      <c r="K344" s="21" t="s">
        <v>563</v>
      </c>
      <c r="L344" s="21" t="s">
        <v>128</v>
      </c>
      <c r="M344" s="21"/>
      <c r="N344" s="22">
        <v>384</v>
      </c>
      <c r="O344" s="22">
        <v>29.3</v>
      </c>
      <c r="P344" s="22">
        <v>14.7</v>
      </c>
      <c r="Q344" s="22">
        <v>2.4</v>
      </c>
      <c r="R344" s="22">
        <v>12.8</v>
      </c>
      <c r="S344" s="22">
        <v>1.7</v>
      </c>
      <c r="T344" s="65" t="str">
        <f>IF(F344="","",IFERROR(INDEX(Réttabanki!Q:Q,MATCH(F344,Réttabanki!A:A,0)),IFERROR(INDEX(Réttabanki!Q:Q,MATCH(F344,Réttabanki!B:B,0)),"")))</f>
        <v/>
      </c>
      <c r="U344" s="284"/>
      <c r="V344" s="284"/>
      <c r="W344" s="284"/>
      <c r="X344" s="284"/>
      <c r="Y344" s="284"/>
      <c r="Z344" s="284"/>
      <c r="AA344" s="284"/>
    </row>
    <row r="345" spans="1:27">
      <c r="A345" s="155"/>
      <c r="B345" s="156" t="s">
        <v>1899</v>
      </c>
      <c r="C345" s="156">
        <v>35</v>
      </c>
      <c r="D345" s="157"/>
      <c r="E345" s="157"/>
      <c r="F345" s="157" t="s">
        <v>1894</v>
      </c>
      <c r="G345" s="157"/>
      <c r="H345" s="158"/>
      <c r="I345" s="158"/>
      <c r="J345" s="159">
        <f>SUMIFS(J330:J344,E330:E344,"&lt;&gt;Hliðarréttur",E330:E344,"&lt;&gt;Sérfæði")</f>
        <v>165.28325000000001</v>
      </c>
      <c r="K345" s="21" t="s">
        <v>1895</v>
      </c>
      <c r="L345" s="21"/>
      <c r="M345" s="21"/>
      <c r="N345" s="22"/>
      <c r="O345" s="22"/>
      <c r="P345" s="22"/>
      <c r="Q345" s="22"/>
      <c r="R345" s="22"/>
      <c r="S345" s="22"/>
      <c r="T345" s="65"/>
      <c r="U345" s="286"/>
      <c r="V345" s="286"/>
      <c r="W345" s="286"/>
      <c r="X345" s="286"/>
      <c r="Y345" s="286"/>
      <c r="Z345" s="286"/>
      <c r="AA345" s="286"/>
    </row>
    <row r="346" spans="1:27">
      <c r="A346" s="155"/>
      <c r="B346" s="156" t="s">
        <v>1899</v>
      </c>
      <c r="C346" s="156">
        <v>35</v>
      </c>
      <c r="D346" s="157"/>
      <c r="E346" s="157"/>
      <c r="F346" s="157" t="s">
        <v>1897</v>
      </c>
      <c r="G346" s="157"/>
      <c r="H346" s="158"/>
      <c r="I346" s="158"/>
      <c r="J346" s="159">
        <f>SUMIFS(J330:J344,E330:E344,"&lt;&gt;Hliðarréttur",E330:E344,"&lt;&gt;Sérfæði")</f>
        <v>165.28325000000001</v>
      </c>
      <c r="K346" s="21" t="s">
        <v>1895</v>
      </c>
      <c r="L346" s="21"/>
      <c r="M346" s="21"/>
      <c r="N346" s="22"/>
      <c r="O346" s="22"/>
      <c r="P346" s="22"/>
      <c r="Q346" s="22"/>
      <c r="R346" s="22"/>
      <c r="S346" s="22"/>
      <c r="T346" s="65"/>
      <c r="U346" s="284"/>
      <c r="V346" s="284"/>
      <c r="W346" s="284"/>
      <c r="X346" s="284"/>
      <c r="Y346" s="284"/>
      <c r="Z346" s="284"/>
      <c r="AA346" s="284"/>
    </row>
    <row r="347" spans="1:27">
      <c r="A347" s="31"/>
      <c r="B347" s="32"/>
      <c r="C347" s="32"/>
      <c r="D347" s="33"/>
      <c r="E347" s="33"/>
      <c r="F347" s="33"/>
      <c r="G347" s="33"/>
      <c r="H347" s="34"/>
      <c r="I347" s="34"/>
      <c r="J347" s="149" t="str">
        <f>IF($F347="","",IFERROR(IFERROR(INDEX(Réttabanki!$U:$U,MATCH($F347,Réttabanki!$A:$A,0)),INDEX(Vöruskrá!$R:$R,MATCH($F347,Vöruskrá!$B:$B,0)))*($H347+IF($I347="",$H347*(1+#REF!),$I347))/2/1000,""))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6" t="str">
        <f>IF(F347="","",IFERROR(INDEX(Réttabanki!Q:Q,MATCH(F347,Réttabanki!A:A,0)),IFERROR(INDEX(Réttabanki!Q:Q,MATCH(F347,Réttabanki!B:B,0)),"")))</f>
        <v/>
      </c>
      <c r="U347" s="286"/>
      <c r="V347" s="286"/>
      <c r="W347" s="286"/>
      <c r="X347" s="286"/>
      <c r="Y347" s="286"/>
      <c r="Z347" s="286"/>
      <c r="AA347" s="286"/>
    </row>
    <row r="348" spans="1:27">
      <c r="A348" s="31"/>
      <c r="B348" s="32"/>
      <c r="C348" s="32"/>
      <c r="D348" s="33"/>
      <c r="E348" s="33"/>
      <c r="F348" s="33"/>
      <c r="G348" s="33"/>
      <c r="H348" s="34"/>
      <c r="I348" s="34"/>
      <c r="J348" s="149" t="str">
        <f>IF($F348="","",IFERROR(IFERROR(INDEX(Réttabanki!$U:$U,MATCH($F348,Réttabanki!$A:$A,0)),INDEX(Vöruskrá!$R:$R,MATCH($F348,Vöruskrá!$B:$B,0)))*($H348+IF($I348="",$H348*(1+#REF!),$I348))/2/1000,""))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5" t="str">
        <f>IF(F348="","",IFERROR(INDEX(Réttabanki!Q:Q,MATCH(F348,Réttabanki!A:A,0)),IFERROR(INDEX(Réttabanki!Q:Q,MATCH(F348,Réttabanki!B:B,0)),"")))</f>
        <v/>
      </c>
      <c r="U348" s="284"/>
      <c r="V348" s="284"/>
      <c r="W348" s="284"/>
      <c r="X348" s="284"/>
      <c r="Y348" s="284"/>
      <c r="Z348" s="284"/>
      <c r="AA348" s="284"/>
    </row>
    <row r="349" spans="1:27">
      <c r="A349" s="31"/>
      <c r="B349" s="32"/>
      <c r="C349" s="32"/>
      <c r="D349" s="33"/>
      <c r="E349" s="33"/>
      <c r="F349" s="33"/>
      <c r="G349" s="33"/>
      <c r="H349" s="34"/>
      <c r="I349" s="34"/>
      <c r="J349" s="149" t="str">
        <f>IF($F349="","",IFERROR(IFERROR(INDEX(Réttabanki!$U:$U,MATCH($F349,Réttabanki!$A:$A,0)),INDEX(Vöruskrá!$R:$R,MATCH($F349,Vöruskrá!$B:$B,0)))*($H349+IF($I349="",$H349*(1+#REF!),$I349))/2/1000,""))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6" t="str">
        <f>IF(F349="","",IFERROR(INDEX(Réttabanki!Q:Q,MATCH(F349,Réttabanki!A:A,0)),IFERROR(INDEX(Réttabanki!Q:Q,MATCH(F349,Réttabanki!B:B,0)),"")))</f>
        <v/>
      </c>
      <c r="U349" s="286"/>
      <c r="V349" s="286"/>
      <c r="W349" s="286"/>
      <c r="X349" s="286"/>
      <c r="Y349" s="286"/>
      <c r="Z349" s="286"/>
      <c r="AA349" s="286"/>
    </row>
    <row r="350" spans="1:27">
      <c r="A350" s="31"/>
      <c r="B350" s="32"/>
      <c r="C350" s="32"/>
      <c r="D350" s="33"/>
      <c r="E350" s="33"/>
      <c r="F350" s="33"/>
      <c r="G350" s="33"/>
      <c r="H350" s="34"/>
      <c r="I350" s="34"/>
      <c r="J350" s="149"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5" t="str">
        <f>IF(F350="","",IFERROR(INDEX(Réttabanki!Q:Q,MATCH(F350,Réttabanki!A:A,0)),IFERROR(INDEX(Réttabanki!Q:Q,MATCH(F350,Réttabanki!B:B,0)),"")))</f>
        <v/>
      </c>
      <c r="U350" s="284"/>
      <c r="V350" s="284"/>
      <c r="W350" s="284"/>
      <c r="X350" s="284"/>
      <c r="Y350" s="284"/>
      <c r="Z350" s="284"/>
      <c r="AA350" s="284"/>
    </row>
    <row r="351" spans="1:27">
      <c r="A351" s="31"/>
      <c r="B351" s="32"/>
      <c r="C351" s="32"/>
      <c r="D351" s="33"/>
      <c r="E351" s="33"/>
      <c r="F351" s="33"/>
      <c r="G351" s="33"/>
      <c r="H351" s="34"/>
      <c r="I351" s="34"/>
      <c r="J351" s="149"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6" t="str">
        <f>IF(F351="","",IFERROR(INDEX(Réttabanki!Q:Q,MATCH(F351,Réttabanki!A:A,0)),IFERROR(INDEX(Réttabanki!Q:Q,MATCH(F351,Réttabanki!B:B,0)),"")))</f>
        <v/>
      </c>
      <c r="U351" s="286"/>
      <c r="V351" s="286"/>
      <c r="W351" s="286"/>
      <c r="X351" s="286"/>
      <c r="Y351" s="286"/>
      <c r="Z351" s="286"/>
      <c r="AA351" s="286"/>
    </row>
    <row r="352" spans="1:27">
      <c r="A352" s="31"/>
      <c r="B352" s="32"/>
      <c r="C352" s="32"/>
      <c r="D352" s="33"/>
      <c r="E352" s="33"/>
      <c r="F352" s="33"/>
      <c r="G352" s="33"/>
      <c r="H352" s="34"/>
      <c r="I352" s="34"/>
      <c r="J352" s="149"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5" t="str">
        <f>IF(F352="","",IFERROR(INDEX(Réttabanki!Q:Q,MATCH(F352,Réttabanki!A:A,0)),IFERROR(INDEX(Réttabanki!Q:Q,MATCH(F352,Réttabanki!B:B,0)),"")))</f>
        <v/>
      </c>
      <c r="U352" s="284"/>
      <c r="V352" s="284"/>
      <c r="W352" s="284"/>
      <c r="X352" s="284"/>
      <c r="Y352" s="284"/>
      <c r="Z352" s="284"/>
      <c r="AA352" s="284"/>
    </row>
    <row r="353" spans="1:27">
      <c r="A353" s="31"/>
      <c r="B353" s="32"/>
      <c r="C353" s="32"/>
      <c r="D353" s="33"/>
      <c r="E353" s="33"/>
      <c r="F353" s="33"/>
      <c r="G353" s="33"/>
      <c r="H353" s="34"/>
      <c r="I353" s="34"/>
      <c r="J353" s="149"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6" t="str">
        <f>IF(F353="","",IFERROR(INDEX(Réttabanki!Q:Q,MATCH(F353,Réttabanki!A:A,0)),IFERROR(INDEX(Réttabanki!Q:Q,MATCH(F353,Réttabanki!B:B,0)),"")))</f>
        <v/>
      </c>
      <c r="U353" s="286"/>
      <c r="V353" s="286"/>
      <c r="W353" s="286"/>
      <c r="X353" s="286"/>
      <c r="Y353" s="286"/>
      <c r="Z353" s="286"/>
      <c r="AA353" s="286"/>
    </row>
    <row r="354" spans="1:27">
      <c r="A354" s="31"/>
      <c r="B354" s="32"/>
      <c r="C354" s="32"/>
      <c r="D354" s="33"/>
      <c r="E354" s="33"/>
      <c r="F354" s="33"/>
      <c r="G354" s="33"/>
      <c r="H354" s="34"/>
      <c r="I354" s="34"/>
      <c r="J354" s="149"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5" t="str">
        <f>IF(F354="","",IFERROR(INDEX(Réttabanki!Q:Q,MATCH(F354,Réttabanki!A:A,0)),IFERROR(INDEX(Réttabanki!Q:Q,MATCH(F354,Réttabanki!B:B,0)),"")))</f>
        <v/>
      </c>
      <c r="U354" s="284"/>
      <c r="V354" s="284"/>
      <c r="W354" s="284"/>
      <c r="X354" s="284"/>
      <c r="Y354" s="284"/>
      <c r="Z354" s="284"/>
      <c r="AA354" s="284"/>
    </row>
    <row r="355" spans="1:27">
      <c r="A355" s="31"/>
      <c r="B355" s="32"/>
      <c r="C355" s="32"/>
      <c r="D355" s="33"/>
      <c r="E355" s="33"/>
      <c r="F355" s="33"/>
      <c r="G355" s="33"/>
      <c r="H355" s="34"/>
      <c r="I355" s="34"/>
      <c r="J355" s="149"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6" t="str">
        <f>IF(F355="","",IFERROR(INDEX(Réttabanki!Q:Q,MATCH(F355,Réttabanki!A:A,0)),IFERROR(INDEX(Réttabanki!Q:Q,MATCH(F355,Réttabanki!B:B,0)),"")))</f>
        <v/>
      </c>
      <c r="U355" s="286"/>
      <c r="V355" s="286"/>
      <c r="W355" s="286"/>
      <c r="X355" s="286"/>
      <c r="Y355" s="286"/>
      <c r="Z355" s="286"/>
      <c r="AA355" s="286"/>
    </row>
    <row r="356" spans="1:27">
      <c r="A356" s="31"/>
      <c r="B356" s="32"/>
      <c r="C356" s="32"/>
      <c r="D356" s="33"/>
      <c r="E356" s="33"/>
      <c r="F356" s="33"/>
      <c r="G356" s="33"/>
      <c r="H356" s="34"/>
      <c r="I356" s="34"/>
      <c r="J356" s="149"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5" t="str">
        <f>IF(F356="","",IFERROR(INDEX(Réttabanki!Q:Q,MATCH(F356,Réttabanki!A:A,0)),IFERROR(INDEX(Réttabanki!Q:Q,MATCH(F356,Réttabanki!B:B,0)),"")))</f>
        <v/>
      </c>
      <c r="U356" s="284"/>
      <c r="V356" s="284"/>
      <c r="W356" s="284"/>
      <c r="X356" s="284"/>
      <c r="Y356" s="284"/>
      <c r="Z356" s="284"/>
      <c r="AA356" s="284"/>
    </row>
    <row r="357" spans="1:27">
      <c r="A357" s="31"/>
      <c r="B357" s="32"/>
      <c r="C357" s="32"/>
      <c r="D357" s="33"/>
      <c r="E357" s="33"/>
      <c r="F357" s="33"/>
      <c r="G357" s="33"/>
      <c r="H357" s="34"/>
      <c r="I357" s="34"/>
      <c r="J357" s="149"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6" t="str">
        <f>IF(F357="","",IFERROR(INDEX(Réttabanki!Q:Q,MATCH(F357,Réttabanki!A:A,0)),IFERROR(INDEX(Réttabanki!Q:Q,MATCH(F357,Réttabanki!B:B,0)),"")))</f>
        <v/>
      </c>
      <c r="U357" s="286"/>
      <c r="V357" s="286"/>
      <c r="W357" s="286"/>
      <c r="X357" s="286"/>
      <c r="Y357" s="286"/>
      <c r="Z357" s="286"/>
      <c r="AA357" s="286"/>
    </row>
    <row r="358" spans="1:27">
      <c r="A358" s="31"/>
      <c r="B358" s="32"/>
      <c r="C358" s="32"/>
      <c r="D358" s="33"/>
      <c r="E358" s="33"/>
      <c r="F358" s="33"/>
      <c r="G358" s="33"/>
      <c r="H358" s="34"/>
      <c r="I358" s="34"/>
      <c r="J358" s="149"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5" t="str">
        <f>IF(F358="","",IFERROR(INDEX(Réttabanki!Q:Q,MATCH(F358,Réttabanki!A:A,0)),IFERROR(INDEX(Réttabanki!Q:Q,MATCH(F358,Réttabanki!B:B,0)),"")))</f>
        <v/>
      </c>
      <c r="U358" s="284"/>
      <c r="V358" s="284"/>
      <c r="W358" s="284"/>
      <c r="X358" s="284"/>
      <c r="Y358" s="284"/>
      <c r="Z358" s="284"/>
      <c r="AA358" s="284"/>
    </row>
    <row r="359" spans="1:27">
      <c r="A359" s="31"/>
      <c r="B359" s="32"/>
      <c r="C359" s="32"/>
      <c r="D359" s="33"/>
      <c r="E359" s="33"/>
      <c r="F359" s="33"/>
      <c r="G359" s="33"/>
      <c r="H359" s="34"/>
      <c r="I359" s="34"/>
      <c r="J359" s="149"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6" t="str">
        <f>IF(F359="","",IFERROR(INDEX(Réttabanki!Q:Q,MATCH(F359,Réttabanki!A:A,0)),IFERROR(INDEX(Réttabanki!Q:Q,MATCH(F359,Réttabanki!B:B,0)),"")))</f>
        <v/>
      </c>
      <c r="U359" s="286"/>
      <c r="V359" s="286"/>
      <c r="W359" s="286"/>
      <c r="X359" s="286"/>
      <c r="Y359" s="286"/>
      <c r="Z359" s="286"/>
      <c r="AA359" s="286"/>
    </row>
    <row r="360" spans="1:27">
      <c r="A360" s="31"/>
      <c r="B360" s="32"/>
      <c r="C360" s="32"/>
      <c r="D360" s="33"/>
      <c r="E360" s="33"/>
      <c r="F360" s="33"/>
      <c r="G360" s="33"/>
      <c r="H360" s="34"/>
      <c r="I360" s="34"/>
      <c r="J360" s="149"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5" t="str">
        <f>IF(F360="","",IFERROR(INDEX(Réttabanki!Q:Q,MATCH(F360,Réttabanki!A:A,0)),IFERROR(INDEX(Réttabanki!Q:Q,MATCH(F360,Réttabanki!B:B,0)),"")))</f>
        <v/>
      </c>
      <c r="U360" s="284"/>
      <c r="V360" s="284"/>
      <c r="W360" s="284"/>
      <c r="X360" s="284"/>
      <c r="Y360" s="284"/>
      <c r="Z360" s="284"/>
      <c r="AA360" s="284"/>
    </row>
    <row r="361" spans="1:27">
      <c r="A361" s="31"/>
      <c r="B361" s="32"/>
      <c r="C361" s="32"/>
      <c r="D361" s="33"/>
      <c r="E361" s="33"/>
      <c r="F361" s="33"/>
      <c r="G361" s="33"/>
      <c r="H361" s="34"/>
      <c r="I361" s="34"/>
      <c r="J361" s="14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6" t="str">
        <f>IF(F361="","",IFERROR(INDEX(Réttabanki!Q:Q,MATCH(F361,Réttabanki!A:A,0)),IFERROR(INDEX(Réttabanki!Q:Q,MATCH(F361,Réttabanki!B:B,0)),"")))</f>
        <v/>
      </c>
      <c r="U361" s="286"/>
      <c r="V361" s="286"/>
      <c r="W361" s="286"/>
      <c r="X361" s="286"/>
      <c r="Y361" s="286"/>
      <c r="Z361" s="286"/>
      <c r="AA361" s="286"/>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5" t="str">
        <f>IF(F362="","",IFERROR(INDEX(Réttabanki!Q:Q,MATCH(F362,Réttabanki!A:A,0)),IFERROR(INDEX(Réttabanki!Q:Q,MATCH(F362,Réttabanki!B:B,0)),"")))</f>
        <v/>
      </c>
      <c r="U362" s="284"/>
      <c r="V362" s="284"/>
      <c r="W362" s="284"/>
      <c r="X362" s="284"/>
      <c r="Y362" s="284"/>
      <c r="Z362" s="284"/>
      <c r="AA362" s="284"/>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6" t="str">
        <f>IF(F363="","",IFERROR(INDEX(Réttabanki!Q:Q,MATCH(F363,Réttabanki!A:A,0)),IFERROR(INDEX(Réttabanki!Q:Q,MATCH(F363,Réttabanki!B:B,0)),"")))</f>
        <v/>
      </c>
      <c r="U363" s="286"/>
      <c r="V363" s="286"/>
      <c r="W363" s="286"/>
      <c r="X363" s="286"/>
      <c r="Y363" s="286"/>
      <c r="Z363" s="286"/>
      <c r="AA363" s="286"/>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5" t="str">
        <f>IF(F364="","",IFERROR(INDEX(Réttabanki!Q:Q,MATCH(F364,Réttabanki!A:A,0)),IFERROR(INDEX(Réttabanki!Q:Q,MATCH(F364,Réttabanki!B:B,0)),"")))</f>
        <v/>
      </c>
      <c r="U364" s="284"/>
      <c r="V364" s="284"/>
      <c r="W364" s="284"/>
      <c r="X364" s="284"/>
      <c r="Y364" s="284"/>
      <c r="Z364" s="284"/>
      <c r="AA364" s="284"/>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6" t="str">
        <f>IF(F365="","",IFERROR(INDEX(Réttabanki!Q:Q,MATCH(F365,Réttabanki!A:A,0)),IFERROR(INDEX(Réttabanki!Q:Q,MATCH(F365,Réttabanki!B:B,0)),"")))</f>
        <v/>
      </c>
      <c r="U365" s="286"/>
      <c r="V365" s="286"/>
      <c r="W365" s="286"/>
      <c r="X365" s="286"/>
      <c r="Y365" s="286"/>
      <c r="Z365" s="286"/>
      <c r="AA365" s="286"/>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5" t="str">
        <f>IF(F366="","",IFERROR(INDEX(Réttabanki!Q:Q,MATCH(F366,Réttabanki!A:A,0)),IFERROR(INDEX(Réttabanki!Q:Q,MATCH(F366,Réttabanki!B:B,0)),"")))</f>
        <v/>
      </c>
      <c r="U366" s="284"/>
      <c r="V366" s="284"/>
      <c r="W366" s="284"/>
      <c r="X366" s="284"/>
      <c r="Y366" s="284"/>
      <c r="Z366" s="284"/>
      <c r="AA366" s="284"/>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6" t="str">
        <f>IF(F367="","",IFERROR(INDEX(Réttabanki!Q:Q,MATCH(F367,Réttabanki!A:A,0)),IFERROR(INDEX(Réttabanki!Q:Q,MATCH(F367,Réttabanki!B:B,0)),"")))</f>
        <v/>
      </c>
      <c r="U367" s="286"/>
      <c r="V367" s="286"/>
      <c r="W367" s="286"/>
      <c r="X367" s="286"/>
      <c r="Y367" s="286"/>
      <c r="Z367" s="286"/>
      <c r="AA367" s="286"/>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5" t="str">
        <f>IF(F368="","",IFERROR(INDEX(Réttabanki!Q:Q,MATCH(F368,Réttabanki!A:A,0)),IFERROR(INDEX(Réttabanki!Q:Q,MATCH(F368,Réttabanki!B:B,0)),"")))</f>
        <v/>
      </c>
      <c r="U368" s="284"/>
      <c r="V368" s="284"/>
      <c r="W368" s="284"/>
      <c r="X368" s="284"/>
      <c r="Y368" s="284"/>
      <c r="Z368" s="284"/>
      <c r="AA368" s="284"/>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6" t="str">
        <f>IF(F369="","",IFERROR(INDEX(Réttabanki!Q:Q,MATCH(F369,Réttabanki!A:A,0)),IFERROR(INDEX(Réttabanki!Q:Q,MATCH(F369,Réttabanki!B:B,0)),"")))</f>
        <v/>
      </c>
      <c r="U369" s="286"/>
      <c r="V369" s="286"/>
      <c r="W369" s="286"/>
      <c r="X369" s="286"/>
      <c r="Y369" s="286"/>
      <c r="Z369" s="286"/>
      <c r="AA369" s="286"/>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5" t="str">
        <f>IF(F370="","",IFERROR(INDEX(Réttabanki!Q:Q,MATCH(F370,Réttabanki!A:A,0)),IFERROR(INDEX(Réttabanki!Q:Q,MATCH(F370,Réttabanki!B:B,0)),"")))</f>
        <v/>
      </c>
      <c r="U370" s="284"/>
      <c r="V370" s="284"/>
      <c r="W370" s="284"/>
      <c r="X370" s="284"/>
      <c r="Y370" s="284"/>
      <c r="Z370" s="284"/>
      <c r="AA370" s="284"/>
    </row>
  </sheetData>
  <mergeCells count="2">
    <mergeCell ref="A1:S1"/>
    <mergeCell ref="T1:AA1"/>
  </mergeCells>
  <conditionalFormatting sqref="A3:AA670">
    <cfRule type="expression" dxfId="6" priority="1">
      <formula>AND($D3&lt;&gt;"",$D3&lt;&gt;"Bæði",$D3&lt;&gt;"Leikskóli",$D3&lt;&gt;"Grunnskóli")</formula>
    </cfRule>
  </conditionalFormatting>
  <conditionalFormatting sqref="A3:AA670">
    <cfRule type="expression" dxfId="5" priority="2">
      <formula>AND($A3&lt;&gt;"",OR($D3="",$D3="Bæði",$D3="Leikskóli",$D3="Grunnskóli"))</formula>
    </cfRule>
  </conditionalFormatting>
  <conditionalFormatting sqref="A3:AA670">
    <cfRule type="expression" dxfId="4" priority="3">
      <formula>AND($A3="",$F3="",OR($D3="",$D3="Bæði",$D3="Leikskóli",$D3="Grunnskóli"))</formula>
    </cfRule>
  </conditionalFormatting>
  <dataValidations count="6">
    <dataValidation type="list" allowBlank="1" showInputMessage="1" showErrorMessage="1" sqref="D671:D4999" xr:uid="{131A0E4F-499D-47C0-8999-99EED208AAA5}">
      <formula1>$AC$1:$AC$24</formula1>
    </dataValidation>
    <dataValidation type="list" allowBlank="1" showInputMessage="1" showErrorMessage="1" sqref="U3:U24 U25:U4999" xr:uid="{8485E2E8-C650-4411-96BA-461BDB33D575}">
      <formula1>"Frosið,Kælt,Ferskt,Þurrvara"</formula1>
    </dataValidation>
    <dataValidation type="list" allowBlank="1" showInputMessage="1" showErrorMessage="1" sqref="V3:V24 V25:V4999" xr:uid="{4CB09681-B16C-44F9-97BC-D8330A430702}">
      <formula1>"Ofn,Blástursofn,Pottur,Panna,Vatnsbað,Örbylgja,Engin (kalt)"</formula1>
    </dataValidation>
    <dataValidation type="list" allowBlank="1" showInputMessage="1" showErrorMessage="1" sqref="E3:E24 E25:E4999" xr:uid="{84472390-B2E7-4CF4-B69D-17A2B6827D91}">
      <formula1>"Aðalréttur,Hliðarréttur,Meðlæti,Meðlætisbar,Síðdegishressing,Ávaxtastund,Sérfæði"</formula1>
    </dataValidation>
    <dataValidation type="date" operator="greaterThan" allowBlank="1" sqref="A3:A24 A25:A370" xr:uid="{00000000-0002-0000-0200-000001000000}">
      <formula1>DATE(2020,1,1)</formula1>
      <formula2>0</formula2>
    </dataValidation>
    <dataValidation type="list" allowBlank="1" showInputMessage="1" showErrorMessage="1" sqref="D3:D24 D25:D670" xr:uid="{95AF8BCF-BC80-4D64-94AD-D31D5F0D720D}">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G278</xm:sqref>
        </x14:dataValidation>
        <x14:dataValidation type="list" allowBlank="1" showInputMessage="1" showErrorMessage="1" xr:uid="{8196A12C-A575-4F25-9986-336CA2076D77}">
          <x14:formula1>
            <xm:f>Lykillisti!$A$2:$A$431</xm:f>
          </x14:formula1>
          <xm:sqref>F3:F24 F25:F4999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367"/>
  <sheetViews>
    <sheetView workbookViewId="0">
      <pane xSplit="1" ySplit="3" topLeftCell="B169" activePane="bottomRight" state="frozen"/>
      <selection pane="bottomRight" activeCell="F196" sqref="F196"/>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2107</v>
      </c>
      <c r="B3" s="60" t="s">
        <v>2108</v>
      </c>
      <c r="C3" s="60" t="s">
        <v>2109</v>
      </c>
      <c r="D3" s="60" t="s">
        <v>2110</v>
      </c>
      <c r="E3" s="60" t="s">
        <v>2111</v>
      </c>
      <c r="F3" s="60" t="s">
        <v>2112</v>
      </c>
      <c r="G3" s="60" t="s">
        <v>1452</v>
      </c>
    </row>
    <row r="4" spans="1:7" ht="17.25">
      <c r="A4" s="76" t="s">
        <v>2113</v>
      </c>
      <c r="B4" s="76"/>
      <c r="C4" s="76"/>
      <c r="D4" s="76"/>
      <c r="E4" s="77"/>
      <c r="F4" s="76"/>
      <c r="G4" s="76"/>
    </row>
    <row r="5" spans="1:7">
      <c r="A5" s="57" t="s">
        <v>2114</v>
      </c>
      <c r="B5" s="57" t="s">
        <v>2115</v>
      </c>
      <c r="C5" s="57" t="s">
        <v>1559</v>
      </c>
      <c r="D5" s="57" t="s">
        <v>2116</v>
      </c>
      <c r="E5" s="75" t="s">
        <v>108</v>
      </c>
      <c r="F5" s="75" t="s">
        <v>1863</v>
      </c>
      <c r="G5" s="57" t="s">
        <v>2117</v>
      </c>
    </row>
    <row r="6" spans="1:7">
      <c r="A6" s="57" t="s">
        <v>2118</v>
      </c>
      <c r="B6" s="57"/>
      <c r="C6" s="57" t="s">
        <v>2119</v>
      </c>
      <c r="D6" s="57" t="s">
        <v>2116</v>
      </c>
      <c r="E6" s="75" t="s">
        <v>108</v>
      </c>
      <c r="F6" s="75" t="s">
        <v>1865</v>
      </c>
      <c r="G6" s="57" t="s">
        <v>2120</v>
      </c>
    </row>
    <row r="7" spans="1:7">
      <c r="A7" s="57" t="s">
        <v>2121</v>
      </c>
      <c r="B7" s="57" t="s">
        <v>2122</v>
      </c>
      <c r="C7" s="57" t="s">
        <v>108</v>
      </c>
      <c r="D7" s="57" t="s">
        <v>2116</v>
      </c>
      <c r="E7" s="75" t="s">
        <v>108</v>
      </c>
      <c r="F7" s="75" t="s">
        <v>1863</v>
      </c>
      <c r="G7" s="57" t="s">
        <v>2120</v>
      </c>
    </row>
    <row r="8" spans="1:7">
      <c r="A8" s="57" t="s">
        <v>2123</v>
      </c>
      <c r="B8" s="57" t="s">
        <v>2124</v>
      </c>
      <c r="C8" s="57" t="s">
        <v>108</v>
      </c>
      <c r="D8" s="57" t="s">
        <v>2116</v>
      </c>
      <c r="E8" s="75" t="s">
        <v>108</v>
      </c>
      <c r="F8" s="75" t="s">
        <v>1863</v>
      </c>
      <c r="G8" s="57" t="s">
        <v>2125</v>
      </c>
    </row>
    <row r="9" spans="1:7">
      <c r="A9" s="57" t="s">
        <v>2126</v>
      </c>
      <c r="B9" s="57"/>
      <c r="C9" s="57" t="s">
        <v>108</v>
      </c>
      <c r="D9" s="57" t="s">
        <v>2116</v>
      </c>
      <c r="E9" s="75" t="s">
        <v>108</v>
      </c>
      <c r="F9" s="75" t="s">
        <v>1863</v>
      </c>
      <c r="G9" s="57" t="s">
        <v>2120</v>
      </c>
    </row>
    <row r="10" spans="1:7" ht="17.25">
      <c r="A10" s="76" t="s">
        <v>2127</v>
      </c>
      <c r="B10" s="76"/>
      <c r="C10" s="76"/>
      <c r="D10" s="76"/>
      <c r="E10" s="77"/>
      <c r="F10" s="76"/>
      <c r="G10" s="76"/>
    </row>
    <row r="11" spans="1:7">
      <c r="A11" s="57" t="s">
        <v>2128</v>
      </c>
      <c r="B11" s="57" t="s">
        <v>2129</v>
      </c>
      <c r="C11" s="57" t="s">
        <v>108</v>
      </c>
      <c r="D11" s="57" t="s">
        <v>2116</v>
      </c>
      <c r="E11" s="75" t="s">
        <v>108</v>
      </c>
      <c r="F11" s="75" t="s">
        <v>1863</v>
      </c>
      <c r="G11" s="57" t="s">
        <v>2120</v>
      </c>
    </row>
    <row r="12" spans="1:7">
      <c r="A12" s="57" t="s">
        <v>2130</v>
      </c>
      <c r="B12" s="57" t="s">
        <v>2131</v>
      </c>
      <c r="C12" s="57" t="s">
        <v>108</v>
      </c>
      <c r="D12" s="57" t="s">
        <v>2116</v>
      </c>
      <c r="E12" s="75" t="s">
        <v>108</v>
      </c>
      <c r="F12" s="75" t="s">
        <v>1863</v>
      </c>
      <c r="G12" s="57" t="s">
        <v>2132</v>
      </c>
    </row>
    <row r="13" spans="1:7">
      <c r="A13" s="57" t="s">
        <v>2133</v>
      </c>
      <c r="B13" s="57" t="s">
        <v>2131</v>
      </c>
      <c r="C13" s="57" t="s">
        <v>108</v>
      </c>
      <c r="D13" s="57" t="s">
        <v>2116</v>
      </c>
      <c r="E13" s="75" t="s">
        <v>108</v>
      </c>
      <c r="F13" s="75" t="s">
        <v>1863</v>
      </c>
      <c r="G13" s="57" t="s">
        <v>2120</v>
      </c>
    </row>
    <row r="14" spans="1:7">
      <c r="A14" s="57" t="s">
        <v>2134</v>
      </c>
      <c r="B14" s="57"/>
      <c r="C14" s="57" t="s">
        <v>2135</v>
      </c>
      <c r="D14" s="57" t="s">
        <v>2116</v>
      </c>
      <c r="E14" s="75" t="s">
        <v>2136</v>
      </c>
      <c r="F14" s="57" t="s">
        <v>1868</v>
      </c>
      <c r="G14" s="57" t="s">
        <v>2137</v>
      </c>
    </row>
    <row r="15" spans="1:7">
      <c r="A15" s="57" t="s">
        <v>2138</v>
      </c>
      <c r="B15" s="57" t="s">
        <v>2139</v>
      </c>
      <c r="C15" s="57" t="s">
        <v>108</v>
      </c>
      <c r="D15" s="57" t="s">
        <v>2116</v>
      </c>
      <c r="E15" s="75" t="s">
        <v>108</v>
      </c>
      <c r="F15" s="75" t="s">
        <v>1863</v>
      </c>
      <c r="G15" s="57" t="s">
        <v>2140</v>
      </c>
    </row>
    <row r="16" spans="1:7" ht="17.25">
      <c r="A16" s="76" t="s">
        <v>2141</v>
      </c>
      <c r="B16" s="76"/>
      <c r="C16" s="76"/>
      <c r="D16" s="76"/>
      <c r="E16" s="77"/>
      <c r="F16" s="76"/>
      <c r="G16" s="76"/>
    </row>
    <row r="17" spans="1:7">
      <c r="A17" s="57" t="s">
        <v>2142</v>
      </c>
      <c r="B17" s="57" t="s">
        <v>2143</v>
      </c>
      <c r="C17" s="57" t="s">
        <v>108</v>
      </c>
      <c r="D17" s="57" t="s">
        <v>2116</v>
      </c>
      <c r="E17" s="75" t="s">
        <v>108</v>
      </c>
      <c r="F17" s="75" t="s">
        <v>1863</v>
      </c>
      <c r="G17" s="57" t="s">
        <v>2120</v>
      </c>
    </row>
    <row r="18" spans="1:7">
      <c r="A18" s="57" t="s">
        <v>2144</v>
      </c>
      <c r="B18" s="57" t="s">
        <v>2143</v>
      </c>
      <c r="C18" s="57" t="s">
        <v>2145</v>
      </c>
      <c r="D18" s="57" t="s">
        <v>2116</v>
      </c>
      <c r="E18" s="75" t="s">
        <v>108</v>
      </c>
      <c r="F18" s="75" t="s">
        <v>1865</v>
      </c>
      <c r="G18" s="57" t="s">
        <v>2120</v>
      </c>
    </row>
    <row r="19" spans="1:7">
      <c r="A19" s="57" t="s">
        <v>2146</v>
      </c>
      <c r="B19" s="57" t="s">
        <v>2143</v>
      </c>
      <c r="C19" s="57" t="s">
        <v>2147</v>
      </c>
      <c r="D19" s="57" t="s">
        <v>2116</v>
      </c>
      <c r="E19" s="75" t="s">
        <v>108</v>
      </c>
      <c r="F19" s="75" t="s">
        <v>1863</v>
      </c>
      <c r="G19" s="57" t="s">
        <v>2148</v>
      </c>
    </row>
    <row r="20" spans="1:7">
      <c r="A20" s="57" t="s">
        <v>2149</v>
      </c>
      <c r="B20" s="57" t="s">
        <v>2143</v>
      </c>
      <c r="C20" s="57" t="s">
        <v>108</v>
      </c>
      <c r="D20" s="57" t="s">
        <v>2116</v>
      </c>
      <c r="E20" s="75" t="s">
        <v>108</v>
      </c>
      <c r="F20" s="75" t="s">
        <v>1863</v>
      </c>
      <c r="G20" s="57" t="s">
        <v>2120</v>
      </c>
    </row>
    <row r="21" spans="1:7" ht="17.25">
      <c r="A21" s="76" t="s">
        <v>2150</v>
      </c>
      <c r="B21" s="76"/>
      <c r="C21" s="76"/>
      <c r="D21" s="76"/>
      <c r="E21" s="77"/>
      <c r="F21" s="76"/>
      <c r="G21" s="76"/>
    </row>
    <row r="22" spans="1:7">
      <c r="A22" s="57" t="s">
        <v>2151</v>
      </c>
      <c r="B22" s="57" t="s">
        <v>2152</v>
      </c>
      <c r="C22" s="57" t="s">
        <v>2153</v>
      </c>
      <c r="D22" s="57" t="s">
        <v>2116</v>
      </c>
      <c r="E22" s="75" t="s">
        <v>108</v>
      </c>
      <c r="F22" s="75" t="s">
        <v>1863</v>
      </c>
      <c r="G22" s="57" t="s">
        <v>2120</v>
      </c>
    </row>
    <row r="23" spans="1:7">
      <c r="A23" s="57" t="s">
        <v>2154</v>
      </c>
      <c r="B23" s="57" t="s">
        <v>2155</v>
      </c>
      <c r="C23" s="57" t="s">
        <v>108</v>
      </c>
      <c r="D23" s="57" t="s">
        <v>2116</v>
      </c>
      <c r="E23" s="75" t="s">
        <v>108</v>
      </c>
      <c r="F23" s="75" t="s">
        <v>1863</v>
      </c>
      <c r="G23" s="57" t="s">
        <v>2120</v>
      </c>
    </row>
    <row r="24" spans="1:7">
      <c r="A24" s="57" t="s">
        <v>2156</v>
      </c>
      <c r="B24" s="57" t="s">
        <v>2152</v>
      </c>
      <c r="C24" s="57" t="s">
        <v>2157</v>
      </c>
      <c r="D24" s="57" t="s">
        <v>2116</v>
      </c>
      <c r="E24" s="75" t="s">
        <v>108</v>
      </c>
      <c r="F24" s="75" t="s">
        <v>1863</v>
      </c>
      <c r="G24" s="57" t="s">
        <v>2120</v>
      </c>
    </row>
    <row r="25" spans="1:7">
      <c r="A25" s="57" t="s">
        <v>2158</v>
      </c>
      <c r="B25" s="57" t="s">
        <v>2155</v>
      </c>
      <c r="C25" s="57" t="s">
        <v>2159</v>
      </c>
      <c r="D25" s="57" t="s">
        <v>2116</v>
      </c>
      <c r="E25" s="75" t="s">
        <v>108</v>
      </c>
      <c r="F25" s="75" t="s">
        <v>1863</v>
      </c>
      <c r="G25" s="57" t="s">
        <v>2160</v>
      </c>
    </row>
    <row r="26" spans="1:7">
      <c r="A26" s="57" t="s">
        <v>2161</v>
      </c>
      <c r="B26" s="57" t="s">
        <v>2162</v>
      </c>
      <c r="C26" s="57" t="s">
        <v>108</v>
      </c>
      <c r="D26" s="57" t="s">
        <v>2116</v>
      </c>
      <c r="E26" s="75" t="s">
        <v>108</v>
      </c>
      <c r="F26" s="75" t="s">
        <v>1863</v>
      </c>
      <c r="G26" s="57" t="s">
        <v>2163</v>
      </c>
    </row>
    <row r="27" spans="1:7">
      <c r="A27" s="57" t="s">
        <v>2164</v>
      </c>
      <c r="B27" s="57" t="s">
        <v>2162</v>
      </c>
      <c r="C27" s="57" t="s">
        <v>108</v>
      </c>
      <c r="D27" s="57" t="s">
        <v>2116</v>
      </c>
      <c r="E27" s="75" t="s">
        <v>108</v>
      </c>
      <c r="F27" s="75" t="s">
        <v>1863</v>
      </c>
      <c r="G27" s="57" t="s">
        <v>2120</v>
      </c>
    </row>
    <row r="28" spans="1:7" ht="17.25">
      <c r="A28" s="76" t="s">
        <v>2165</v>
      </c>
      <c r="B28" s="76"/>
      <c r="C28" s="76"/>
      <c r="D28" s="76"/>
      <c r="E28" s="77"/>
      <c r="F28" s="76"/>
      <c r="G28" s="76"/>
    </row>
    <row r="29" spans="1:7">
      <c r="A29" s="57" t="s">
        <v>2166</v>
      </c>
      <c r="B29" s="57" t="s">
        <v>2167</v>
      </c>
      <c r="C29" s="57" t="s">
        <v>108</v>
      </c>
      <c r="D29" s="57" t="s">
        <v>2116</v>
      </c>
      <c r="E29" s="75" t="s">
        <v>108</v>
      </c>
      <c r="F29" s="75" t="s">
        <v>1863</v>
      </c>
      <c r="G29" s="57" t="s">
        <v>2168</v>
      </c>
    </row>
    <row r="30" spans="1:7">
      <c r="A30" s="57" t="s">
        <v>2169</v>
      </c>
      <c r="B30" s="57" t="s">
        <v>2129</v>
      </c>
      <c r="C30" s="57" t="s">
        <v>2170</v>
      </c>
      <c r="D30" s="57" t="s">
        <v>2116</v>
      </c>
      <c r="E30" s="75" t="s">
        <v>2136</v>
      </c>
      <c r="F30" s="57" t="s">
        <v>1868</v>
      </c>
      <c r="G30" s="57" t="s">
        <v>2120</v>
      </c>
    </row>
    <row r="31" spans="1:7">
      <c r="A31" s="57" t="s">
        <v>2171</v>
      </c>
      <c r="B31" s="57" t="s">
        <v>2129</v>
      </c>
      <c r="C31" s="57" t="s">
        <v>2135</v>
      </c>
      <c r="D31" s="57" t="s">
        <v>2116</v>
      </c>
      <c r="E31" s="75" t="s">
        <v>2136</v>
      </c>
      <c r="F31" s="57" t="s">
        <v>1868</v>
      </c>
      <c r="G31" s="57" t="s">
        <v>2120</v>
      </c>
    </row>
    <row r="32" spans="1:7">
      <c r="A32" s="57" t="s">
        <v>2172</v>
      </c>
      <c r="B32" s="57" t="s">
        <v>2129</v>
      </c>
      <c r="C32" s="57" t="s">
        <v>2135</v>
      </c>
      <c r="D32" s="57" t="s">
        <v>2116</v>
      </c>
      <c r="E32" s="75" t="s">
        <v>2136</v>
      </c>
      <c r="F32" s="57" t="s">
        <v>1868</v>
      </c>
      <c r="G32" s="57" t="s">
        <v>2120</v>
      </c>
    </row>
    <row r="33" spans="1:7">
      <c r="A33" s="57" t="s">
        <v>2173</v>
      </c>
      <c r="B33" s="57" t="s">
        <v>2174</v>
      </c>
      <c r="C33" s="57" t="s">
        <v>2135</v>
      </c>
      <c r="D33" s="57" t="s">
        <v>2116</v>
      </c>
      <c r="E33" s="75" t="s">
        <v>2136</v>
      </c>
      <c r="F33" s="57" t="s">
        <v>1868</v>
      </c>
      <c r="G33" s="57" t="s">
        <v>2120</v>
      </c>
    </row>
    <row r="34" spans="1:7">
      <c r="A34" s="57" t="s">
        <v>2175</v>
      </c>
      <c r="B34" s="57"/>
      <c r="C34" s="57" t="s">
        <v>2135</v>
      </c>
      <c r="D34" s="57" t="s">
        <v>2116</v>
      </c>
      <c r="E34" s="75" t="s">
        <v>2136</v>
      </c>
      <c r="F34" s="57" t="s">
        <v>1868</v>
      </c>
      <c r="G34" s="57" t="s">
        <v>2120</v>
      </c>
    </row>
    <row r="35" spans="1:7">
      <c r="A35" s="57" t="s">
        <v>2176</v>
      </c>
      <c r="B35" s="57"/>
      <c r="C35" s="57" t="s">
        <v>2135</v>
      </c>
      <c r="D35" s="57" t="s">
        <v>2116</v>
      </c>
      <c r="E35" s="75" t="s">
        <v>2136</v>
      </c>
      <c r="F35" s="57" t="s">
        <v>1868</v>
      </c>
      <c r="G35" s="57" t="s">
        <v>2120</v>
      </c>
    </row>
    <row r="36" spans="1:7">
      <c r="A36" s="57" t="s">
        <v>2177</v>
      </c>
      <c r="B36" s="57"/>
      <c r="C36" s="57" t="s">
        <v>2135</v>
      </c>
      <c r="D36" s="57" t="s">
        <v>2116</v>
      </c>
      <c r="E36" s="75" t="s">
        <v>2136</v>
      </c>
      <c r="F36" s="57" t="s">
        <v>1868</v>
      </c>
      <c r="G36" s="57" t="s">
        <v>2120</v>
      </c>
    </row>
    <row r="37" spans="1:7" ht="17.25">
      <c r="A37" s="76" t="s">
        <v>2178</v>
      </c>
      <c r="B37" s="76"/>
      <c r="C37" s="76"/>
      <c r="D37" s="76"/>
      <c r="E37" s="77"/>
      <c r="F37" s="76"/>
      <c r="G37" s="76"/>
    </row>
    <row r="38" spans="1:7">
      <c r="A38" s="57" t="s">
        <v>2179</v>
      </c>
      <c r="B38" s="57" t="s">
        <v>2180</v>
      </c>
      <c r="C38" s="57" t="s">
        <v>108</v>
      </c>
      <c r="D38" s="57" t="s">
        <v>2116</v>
      </c>
      <c r="E38" s="75" t="s">
        <v>108</v>
      </c>
      <c r="F38" s="75" t="s">
        <v>1863</v>
      </c>
      <c r="G38" s="57" t="s">
        <v>2120</v>
      </c>
    </row>
    <row r="39" spans="1:7">
      <c r="A39" s="57" t="s">
        <v>2181</v>
      </c>
      <c r="B39" s="57" t="s">
        <v>2182</v>
      </c>
      <c r="C39" s="57" t="s">
        <v>108</v>
      </c>
      <c r="D39" s="57" t="s">
        <v>2116</v>
      </c>
      <c r="E39" s="75" t="s">
        <v>108</v>
      </c>
      <c r="F39" s="75" t="s">
        <v>1863</v>
      </c>
      <c r="G39" s="57" t="s">
        <v>2120</v>
      </c>
    </row>
    <row r="40" spans="1:7">
      <c r="A40" s="57" t="s">
        <v>2183</v>
      </c>
      <c r="B40" s="57" t="s">
        <v>2182</v>
      </c>
      <c r="C40" s="57" t="s">
        <v>2184</v>
      </c>
      <c r="D40" s="57" t="s">
        <v>2116</v>
      </c>
      <c r="E40" s="75" t="s">
        <v>108</v>
      </c>
      <c r="F40" s="75" t="s">
        <v>1863</v>
      </c>
      <c r="G40" s="57" t="s">
        <v>2185</v>
      </c>
    </row>
    <row r="41" spans="1:7">
      <c r="A41" s="57" t="s">
        <v>2186</v>
      </c>
      <c r="B41" s="57" t="s">
        <v>2187</v>
      </c>
      <c r="C41" s="57" t="s">
        <v>108</v>
      </c>
      <c r="D41" s="57" t="s">
        <v>2116</v>
      </c>
      <c r="E41" s="75" t="s">
        <v>108</v>
      </c>
      <c r="F41" s="75" t="s">
        <v>1863</v>
      </c>
      <c r="G41" s="57" t="s">
        <v>2120</v>
      </c>
    </row>
    <row r="42" spans="1:7">
      <c r="A42" s="57" t="s">
        <v>2188</v>
      </c>
      <c r="B42" s="57"/>
      <c r="C42" s="57" t="s">
        <v>2189</v>
      </c>
      <c r="D42" s="57" t="s">
        <v>2116</v>
      </c>
      <c r="E42" s="75" t="s">
        <v>108</v>
      </c>
      <c r="F42" s="75" t="s">
        <v>1863</v>
      </c>
      <c r="G42" s="57" t="s">
        <v>2120</v>
      </c>
    </row>
    <row r="43" spans="1:7">
      <c r="A43" s="57" t="s">
        <v>2190</v>
      </c>
      <c r="B43" s="57"/>
      <c r="C43" s="57" t="s">
        <v>2135</v>
      </c>
      <c r="D43" s="57" t="s">
        <v>2116</v>
      </c>
      <c r="E43" s="75" t="s">
        <v>2136</v>
      </c>
      <c r="F43" s="57" t="s">
        <v>1868</v>
      </c>
      <c r="G43" s="57" t="s">
        <v>2120</v>
      </c>
    </row>
    <row r="44" spans="1:7">
      <c r="A44" s="57" t="s">
        <v>2191</v>
      </c>
      <c r="B44" s="57"/>
      <c r="C44" s="57" t="s">
        <v>2135</v>
      </c>
      <c r="D44" s="57" t="s">
        <v>2116</v>
      </c>
      <c r="E44" s="75" t="s">
        <v>2136</v>
      </c>
      <c r="F44" s="57" t="s">
        <v>1868</v>
      </c>
      <c r="G44" s="57" t="s">
        <v>2120</v>
      </c>
    </row>
    <row r="45" spans="1:7">
      <c r="A45" s="57" t="s">
        <v>2192</v>
      </c>
      <c r="B45" s="57" t="s">
        <v>2182</v>
      </c>
      <c r="C45" s="57" t="s">
        <v>2193</v>
      </c>
      <c r="D45" s="57" t="s">
        <v>2116</v>
      </c>
      <c r="E45" s="75" t="s">
        <v>2193</v>
      </c>
      <c r="F45" s="75" t="s">
        <v>1863</v>
      </c>
      <c r="G45" s="57" t="s">
        <v>2120</v>
      </c>
    </row>
    <row r="46" spans="1:7">
      <c r="A46" s="57" t="s">
        <v>2194</v>
      </c>
      <c r="B46" s="57" t="s">
        <v>2187</v>
      </c>
      <c r="C46" s="57" t="s">
        <v>108</v>
      </c>
      <c r="D46" s="57" t="s">
        <v>2116</v>
      </c>
      <c r="E46" s="75" t="s">
        <v>108</v>
      </c>
      <c r="F46" s="75" t="s">
        <v>1863</v>
      </c>
      <c r="G46" s="57" t="s">
        <v>2120</v>
      </c>
    </row>
    <row r="47" spans="1:7" ht="17.25">
      <c r="A47" s="76" t="s">
        <v>2195</v>
      </c>
      <c r="B47" s="76"/>
      <c r="C47" s="76"/>
      <c r="D47" s="76"/>
      <c r="E47" s="77"/>
      <c r="F47" s="76"/>
      <c r="G47" s="76"/>
    </row>
    <row r="48" spans="1:7">
      <c r="A48" s="57" t="s">
        <v>2196</v>
      </c>
      <c r="B48" s="57"/>
      <c r="C48" s="57" t="s">
        <v>2193</v>
      </c>
      <c r="D48" s="57" t="s">
        <v>2116</v>
      </c>
      <c r="E48" s="75" t="s">
        <v>2193</v>
      </c>
      <c r="F48" s="75" t="s">
        <v>1863</v>
      </c>
      <c r="G48" s="57" t="s">
        <v>2120</v>
      </c>
    </row>
    <row r="49" spans="1:7">
      <c r="A49" s="57" t="s">
        <v>2197</v>
      </c>
      <c r="B49" s="57"/>
      <c r="C49" s="57" t="s">
        <v>2193</v>
      </c>
      <c r="D49" s="57" t="s">
        <v>2116</v>
      </c>
      <c r="E49" s="75" t="s">
        <v>2193</v>
      </c>
      <c r="F49" s="75" t="s">
        <v>1863</v>
      </c>
      <c r="G49" s="57" t="s">
        <v>2120</v>
      </c>
    </row>
    <row r="50" spans="1:7">
      <c r="A50" s="57" t="s">
        <v>2198</v>
      </c>
      <c r="B50" s="57"/>
      <c r="C50" s="57" t="s">
        <v>2199</v>
      </c>
      <c r="D50" s="57" t="s">
        <v>2116</v>
      </c>
      <c r="E50" s="75" t="s">
        <v>2193</v>
      </c>
      <c r="F50" s="75" t="s">
        <v>1863</v>
      </c>
      <c r="G50" s="57" t="s">
        <v>2120</v>
      </c>
    </row>
    <row r="51" spans="1:7">
      <c r="A51" s="57" t="s">
        <v>2200</v>
      </c>
      <c r="B51" s="57" t="s">
        <v>2182</v>
      </c>
      <c r="C51" s="57" t="s">
        <v>108</v>
      </c>
      <c r="D51" s="57" t="s">
        <v>2116</v>
      </c>
      <c r="E51" s="75" t="s">
        <v>108</v>
      </c>
      <c r="F51" s="75" t="s">
        <v>1863</v>
      </c>
      <c r="G51" s="57" t="s">
        <v>2120</v>
      </c>
    </row>
    <row r="52" spans="1:7">
      <c r="A52" s="57" t="s">
        <v>2201</v>
      </c>
      <c r="B52" s="57" t="s">
        <v>2182</v>
      </c>
      <c r="C52" s="57" t="s">
        <v>108</v>
      </c>
      <c r="D52" s="57" t="s">
        <v>2116</v>
      </c>
      <c r="E52" s="75" t="s">
        <v>108</v>
      </c>
      <c r="F52" s="75" t="s">
        <v>1863</v>
      </c>
      <c r="G52" s="57" t="s">
        <v>2120</v>
      </c>
    </row>
    <row r="53" spans="1:7">
      <c r="A53" s="57" t="s">
        <v>2202</v>
      </c>
      <c r="B53" s="57" t="s">
        <v>2174</v>
      </c>
      <c r="C53" s="57" t="s">
        <v>108</v>
      </c>
      <c r="D53" s="57" t="s">
        <v>2116</v>
      </c>
      <c r="E53" s="75" t="s">
        <v>108</v>
      </c>
      <c r="F53" s="75" t="s">
        <v>1863</v>
      </c>
      <c r="G53" s="57" t="s">
        <v>2120</v>
      </c>
    </row>
    <row r="54" spans="1:7">
      <c r="A54" s="57" t="s">
        <v>2203</v>
      </c>
      <c r="B54" s="57" t="s">
        <v>2204</v>
      </c>
      <c r="C54" s="57" t="s">
        <v>2193</v>
      </c>
      <c r="D54" s="57" t="s">
        <v>2116</v>
      </c>
      <c r="E54" s="75" t="s">
        <v>2193</v>
      </c>
      <c r="F54" s="75" t="s">
        <v>1863</v>
      </c>
      <c r="G54" s="57" t="s">
        <v>2120</v>
      </c>
    </row>
    <row r="55" spans="1:7">
      <c r="A55" s="57" t="s">
        <v>2205</v>
      </c>
      <c r="B55" s="57" t="s">
        <v>2204</v>
      </c>
      <c r="C55" s="57" t="s">
        <v>2193</v>
      </c>
      <c r="D55" s="57" t="s">
        <v>2116</v>
      </c>
      <c r="E55" s="75" t="s">
        <v>2193</v>
      </c>
      <c r="F55" s="75" t="s">
        <v>1863</v>
      </c>
      <c r="G55" s="57" t="s">
        <v>2120</v>
      </c>
    </row>
    <row r="56" spans="1:7">
      <c r="A56" s="57" t="s">
        <v>2206</v>
      </c>
      <c r="B56" s="57"/>
      <c r="C56" s="57" t="s">
        <v>2135</v>
      </c>
      <c r="D56" s="57" t="s">
        <v>2116</v>
      </c>
      <c r="E56" s="75" t="s">
        <v>2136</v>
      </c>
      <c r="F56" s="57" t="s">
        <v>1868</v>
      </c>
      <c r="G56" s="57" t="s">
        <v>2120</v>
      </c>
    </row>
    <row r="57" spans="1:7">
      <c r="A57" s="57" t="s">
        <v>2207</v>
      </c>
      <c r="B57" s="57" t="s">
        <v>2204</v>
      </c>
      <c r="C57" s="57" t="s">
        <v>108</v>
      </c>
      <c r="D57" s="57" t="s">
        <v>2116</v>
      </c>
      <c r="E57" s="75" t="s">
        <v>108</v>
      </c>
      <c r="F57" s="75" t="s">
        <v>1863</v>
      </c>
      <c r="G57" s="57" t="s">
        <v>2208</v>
      </c>
    </row>
    <row r="58" spans="1:7" ht="17.25">
      <c r="A58" s="76" t="s">
        <v>2209</v>
      </c>
      <c r="B58" s="76"/>
      <c r="C58" s="76"/>
      <c r="D58" s="76"/>
      <c r="E58" s="77"/>
      <c r="F58" s="76"/>
      <c r="G58" s="76"/>
    </row>
    <row r="59" spans="1:7">
      <c r="A59" s="57" t="s">
        <v>2210</v>
      </c>
      <c r="B59" s="57" t="s">
        <v>2211</v>
      </c>
      <c r="C59" s="57" t="s">
        <v>108</v>
      </c>
      <c r="D59" s="57" t="s">
        <v>2116</v>
      </c>
      <c r="E59" s="75" t="s">
        <v>108</v>
      </c>
      <c r="F59" s="75" t="s">
        <v>1863</v>
      </c>
      <c r="G59" s="57" t="s">
        <v>2120</v>
      </c>
    </row>
    <row r="60" spans="1:7">
      <c r="A60" s="57" t="s">
        <v>2212</v>
      </c>
      <c r="B60" s="57" t="s">
        <v>2213</v>
      </c>
      <c r="C60" s="57" t="s">
        <v>108</v>
      </c>
      <c r="D60" s="57" t="s">
        <v>2116</v>
      </c>
      <c r="E60" s="75" t="s">
        <v>108</v>
      </c>
      <c r="F60" s="75" t="s">
        <v>1863</v>
      </c>
      <c r="G60" s="57" t="s">
        <v>2120</v>
      </c>
    </row>
    <row r="61" spans="1:7">
      <c r="A61" s="57" t="s">
        <v>2214</v>
      </c>
      <c r="B61" s="57" t="s">
        <v>2213</v>
      </c>
      <c r="C61" s="57" t="s">
        <v>108</v>
      </c>
      <c r="D61" s="57" t="s">
        <v>2116</v>
      </c>
      <c r="E61" s="75" t="s">
        <v>108</v>
      </c>
      <c r="F61" s="75" t="s">
        <v>1863</v>
      </c>
      <c r="G61" s="57" t="s">
        <v>2120</v>
      </c>
    </row>
    <row r="62" spans="1:7" ht="17.25">
      <c r="A62" s="76" t="s">
        <v>2215</v>
      </c>
      <c r="B62" s="76"/>
      <c r="C62" s="76"/>
      <c r="D62" s="76"/>
      <c r="E62" s="77"/>
      <c r="F62" s="76"/>
      <c r="G62" s="76"/>
    </row>
    <row r="63" spans="1:7">
      <c r="A63" s="57" t="s">
        <v>2216</v>
      </c>
      <c r="B63" s="57" t="s">
        <v>2217</v>
      </c>
      <c r="C63" s="57" t="s">
        <v>2193</v>
      </c>
      <c r="D63" s="57" t="s">
        <v>2116</v>
      </c>
      <c r="E63" s="75" t="s">
        <v>2193</v>
      </c>
      <c r="F63" s="75" t="s">
        <v>1863</v>
      </c>
      <c r="G63" s="57" t="s">
        <v>2218</v>
      </c>
    </row>
    <row r="64" spans="1:7">
      <c r="A64" s="57" t="s">
        <v>2219</v>
      </c>
      <c r="B64" s="57" t="s">
        <v>2220</v>
      </c>
      <c r="C64" s="57" t="s">
        <v>108</v>
      </c>
      <c r="D64" s="57" t="s">
        <v>2116</v>
      </c>
      <c r="E64" s="75" t="s">
        <v>108</v>
      </c>
      <c r="F64" s="75" t="s">
        <v>1863</v>
      </c>
      <c r="G64" s="57" t="s">
        <v>2221</v>
      </c>
    </row>
    <row r="65" spans="1:7">
      <c r="A65" s="57" t="s">
        <v>2222</v>
      </c>
      <c r="B65" s="57" t="s">
        <v>2223</v>
      </c>
      <c r="C65" s="57" t="s">
        <v>108</v>
      </c>
      <c r="D65" s="57" t="s">
        <v>2116</v>
      </c>
      <c r="E65" s="75" t="s">
        <v>108</v>
      </c>
      <c r="F65" s="75" t="s">
        <v>1863</v>
      </c>
      <c r="G65" s="57" t="s">
        <v>2224</v>
      </c>
    </row>
    <row r="66" spans="1:7">
      <c r="A66" s="57" t="s">
        <v>2225</v>
      </c>
      <c r="B66" s="57" t="s">
        <v>2226</v>
      </c>
      <c r="C66" s="57" t="s">
        <v>108</v>
      </c>
      <c r="D66" s="57" t="s">
        <v>2116</v>
      </c>
      <c r="E66" s="75" t="s">
        <v>108</v>
      </c>
      <c r="F66" s="75" t="s">
        <v>1863</v>
      </c>
      <c r="G66" s="57" t="s">
        <v>2227</v>
      </c>
    </row>
    <row r="67" spans="1:7">
      <c r="A67" s="57" t="s">
        <v>2228</v>
      </c>
      <c r="B67" s="57"/>
      <c r="C67" s="57" t="s">
        <v>2135</v>
      </c>
      <c r="D67" s="57" t="s">
        <v>2116</v>
      </c>
      <c r="E67" s="75" t="s">
        <v>2136</v>
      </c>
      <c r="F67" s="57" t="s">
        <v>1868</v>
      </c>
      <c r="G67" s="57" t="s">
        <v>2120</v>
      </c>
    </row>
    <row r="68" spans="1:7" ht="17.25">
      <c r="A68" s="76" t="s">
        <v>2229</v>
      </c>
      <c r="B68" s="76"/>
      <c r="C68" s="76"/>
      <c r="D68" s="76"/>
      <c r="E68" s="77"/>
      <c r="F68" s="76"/>
      <c r="G68" s="76"/>
    </row>
    <row r="69" spans="1:7">
      <c r="A69" s="57" t="s">
        <v>2230</v>
      </c>
      <c r="B69" s="57" t="s">
        <v>2220</v>
      </c>
      <c r="C69" s="57" t="s">
        <v>108</v>
      </c>
      <c r="D69" s="57" t="s">
        <v>2116</v>
      </c>
      <c r="E69" s="75" t="s">
        <v>108</v>
      </c>
      <c r="F69" s="75" t="s">
        <v>1863</v>
      </c>
      <c r="G69" s="57" t="s">
        <v>2231</v>
      </c>
    </row>
    <row r="70" spans="1:7">
      <c r="A70" s="57" t="s">
        <v>2232</v>
      </c>
      <c r="B70" s="57" t="s">
        <v>2220</v>
      </c>
      <c r="C70" s="57" t="s">
        <v>108</v>
      </c>
      <c r="D70" s="57" t="s">
        <v>2116</v>
      </c>
      <c r="E70" s="75" t="s">
        <v>108</v>
      </c>
      <c r="F70" s="75" t="s">
        <v>1863</v>
      </c>
      <c r="G70" s="57" t="s">
        <v>2120</v>
      </c>
    </row>
    <row r="71" spans="1:7">
      <c r="A71" s="57" t="s">
        <v>2233</v>
      </c>
      <c r="B71" s="57" t="s">
        <v>2234</v>
      </c>
      <c r="C71" s="57" t="s">
        <v>108</v>
      </c>
      <c r="D71" s="57" t="s">
        <v>2116</v>
      </c>
      <c r="E71" s="75" t="s">
        <v>108</v>
      </c>
      <c r="F71" s="75" t="s">
        <v>1863</v>
      </c>
      <c r="G71" s="57" t="s">
        <v>2235</v>
      </c>
    </row>
    <row r="72" spans="1:7">
      <c r="A72" s="57" t="s">
        <v>2236</v>
      </c>
      <c r="B72" s="57" t="s">
        <v>2237</v>
      </c>
      <c r="C72" s="57" t="s">
        <v>108</v>
      </c>
      <c r="D72" s="57" t="s">
        <v>2116</v>
      </c>
      <c r="E72" s="75" t="s">
        <v>108</v>
      </c>
      <c r="F72" s="75" t="s">
        <v>1863</v>
      </c>
      <c r="G72" s="57" t="s">
        <v>2231</v>
      </c>
    </row>
    <row r="73" spans="1:7">
      <c r="A73" s="57" t="s">
        <v>2238</v>
      </c>
      <c r="B73" s="57" t="s">
        <v>2237</v>
      </c>
      <c r="C73" s="57" t="s">
        <v>108</v>
      </c>
      <c r="D73" s="57" t="s">
        <v>2116</v>
      </c>
      <c r="E73" s="75" t="s">
        <v>108</v>
      </c>
      <c r="F73" s="75" t="s">
        <v>1863</v>
      </c>
      <c r="G73" s="57" t="s">
        <v>2239</v>
      </c>
    </row>
    <row r="74" spans="1:7">
      <c r="A74" s="57" t="s">
        <v>2240</v>
      </c>
      <c r="B74" s="57" t="s">
        <v>2241</v>
      </c>
      <c r="C74" s="57" t="s">
        <v>2193</v>
      </c>
      <c r="D74" s="57" t="s">
        <v>2116</v>
      </c>
      <c r="E74" s="75" t="s">
        <v>2193</v>
      </c>
      <c r="F74" s="75" t="s">
        <v>1863</v>
      </c>
      <c r="G74" s="57" t="s">
        <v>2120</v>
      </c>
    </row>
    <row r="75" spans="1:7">
      <c r="A75" s="57" t="s">
        <v>2242</v>
      </c>
      <c r="B75" s="57" t="s">
        <v>2220</v>
      </c>
      <c r="C75" s="57" t="s">
        <v>2243</v>
      </c>
      <c r="D75" s="57" t="s">
        <v>2116</v>
      </c>
      <c r="E75" s="75" t="s">
        <v>108</v>
      </c>
      <c r="F75" s="75" t="s">
        <v>1865</v>
      </c>
      <c r="G75" s="57" t="s">
        <v>2244</v>
      </c>
    </row>
    <row r="76" spans="1:7">
      <c r="A76" s="57" t="s">
        <v>2245</v>
      </c>
      <c r="B76" s="57" t="s">
        <v>2241</v>
      </c>
      <c r="C76" s="57" t="s">
        <v>2246</v>
      </c>
      <c r="D76" s="57" t="s">
        <v>2116</v>
      </c>
      <c r="E76" s="75" t="s">
        <v>108</v>
      </c>
      <c r="F76" s="75" t="s">
        <v>1863</v>
      </c>
      <c r="G76" s="57" t="s">
        <v>2120</v>
      </c>
    </row>
    <row r="77" spans="1:7">
      <c r="A77" s="57" t="s">
        <v>2247</v>
      </c>
      <c r="B77" s="57" t="s">
        <v>2248</v>
      </c>
      <c r="C77" s="57" t="s">
        <v>108</v>
      </c>
      <c r="D77" s="57" t="s">
        <v>2116</v>
      </c>
      <c r="E77" s="75" t="s">
        <v>108</v>
      </c>
      <c r="F77" s="75" t="s">
        <v>1863</v>
      </c>
      <c r="G77" s="57" t="s">
        <v>2249</v>
      </c>
    </row>
    <row r="78" spans="1:7" ht="17.25">
      <c r="A78" s="76" t="s">
        <v>2250</v>
      </c>
      <c r="B78" s="76"/>
      <c r="C78" s="76"/>
      <c r="D78" s="76"/>
      <c r="E78" s="77"/>
      <c r="F78" s="76"/>
      <c r="G78" s="76"/>
    </row>
    <row r="79" spans="1:7">
      <c r="A79" s="57" t="s">
        <v>2251</v>
      </c>
      <c r="B79" s="57" t="s">
        <v>2252</v>
      </c>
      <c r="C79" s="57" t="s">
        <v>108</v>
      </c>
      <c r="D79" s="57" t="s">
        <v>2116</v>
      </c>
      <c r="E79" s="75" t="s">
        <v>108</v>
      </c>
      <c r="F79" s="75" t="s">
        <v>1863</v>
      </c>
      <c r="G79" s="57" t="s">
        <v>2120</v>
      </c>
    </row>
    <row r="80" spans="1:7">
      <c r="A80" s="57" t="s">
        <v>2253</v>
      </c>
      <c r="B80" s="57" t="s">
        <v>2252</v>
      </c>
      <c r="C80" s="57" t="s">
        <v>2193</v>
      </c>
      <c r="D80" s="57" t="s">
        <v>2116</v>
      </c>
      <c r="E80" s="75" t="s">
        <v>2193</v>
      </c>
      <c r="F80" s="75" t="s">
        <v>1863</v>
      </c>
      <c r="G80" s="57" t="s">
        <v>2254</v>
      </c>
    </row>
    <row r="81" spans="1:7">
      <c r="A81" s="57" t="s">
        <v>2255</v>
      </c>
      <c r="B81" s="57" t="s">
        <v>2256</v>
      </c>
      <c r="C81" s="57" t="s">
        <v>2257</v>
      </c>
      <c r="D81" s="57" t="s">
        <v>2116</v>
      </c>
      <c r="E81" s="75" t="s">
        <v>108</v>
      </c>
      <c r="F81" s="75" t="s">
        <v>1863</v>
      </c>
      <c r="G81" s="57" t="s">
        <v>2120</v>
      </c>
    </row>
    <row r="82" spans="1:7">
      <c r="A82" s="57" t="s">
        <v>2258</v>
      </c>
      <c r="B82" s="57" t="s">
        <v>2259</v>
      </c>
      <c r="C82" s="57" t="s">
        <v>2260</v>
      </c>
      <c r="D82" s="57" t="s">
        <v>2116</v>
      </c>
      <c r="E82" s="75" t="s">
        <v>108</v>
      </c>
      <c r="F82" s="75" t="s">
        <v>1865</v>
      </c>
      <c r="G82" s="57" t="s">
        <v>2261</v>
      </c>
    </row>
    <row r="83" spans="1:7">
      <c r="A83" s="57" t="s">
        <v>2262</v>
      </c>
      <c r="B83" s="57" t="s">
        <v>2259</v>
      </c>
      <c r="C83" s="57" t="s">
        <v>2147</v>
      </c>
      <c r="D83" s="57" t="s">
        <v>2116</v>
      </c>
      <c r="E83" s="75" t="s">
        <v>108</v>
      </c>
      <c r="F83" s="75" t="s">
        <v>1863</v>
      </c>
      <c r="G83" s="57" t="s">
        <v>2263</v>
      </c>
    </row>
    <row r="84" spans="1:7">
      <c r="A84" s="57" t="s">
        <v>2264</v>
      </c>
      <c r="B84" s="57" t="s">
        <v>2252</v>
      </c>
      <c r="C84" s="57" t="s">
        <v>2265</v>
      </c>
      <c r="D84" s="57" t="s">
        <v>2116</v>
      </c>
      <c r="E84" s="75" t="s">
        <v>108</v>
      </c>
      <c r="F84" s="75" t="s">
        <v>1863</v>
      </c>
      <c r="G84" s="57" t="s">
        <v>2120</v>
      </c>
    </row>
    <row r="85" spans="1:7">
      <c r="A85" s="57" t="s">
        <v>2266</v>
      </c>
      <c r="B85" s="57" t="s">
        <v>2252</v>
      </c>
      <c r="C85" s="57" t="s">
        <v>2267</v>
      </c>
      <c r="D85" s="57" t="s">
        <v>2116</v>
      </c>
      <c r="E85" s="75" t="s">
        <v>108</v>
      </c>
      <c r="F85" s="75" t="s">
        <v>1863</v>
      </c>
      <c r="G85" s="57" t="s">
        <v>2268</v>
      </c>
    </row>
    <row r="86" spans="1:7">
      <c r="A86" s="57" t="s">
        <v>2269</v>
      </c>
      <c r="B86" s="57" t="s">
        <v>2252</v>
      </c>
      <c r="C86" s="57" t="s">
        <v>2270</v>
      </c>
      <c r="D86" s="57" t="s">
        <v>2116</v>
      </c>
      <c r="E86" s="75" t="s">
        <v>108</v>
      </c>
      <c r="F86" s="75" t="s">
        <v>1863</v>
      </c>
      <c r="G86" s="57" t="s">
        <v>2120</v>
      </c>
    </row>
    <row r="87" spans="1:7" ht="17.25">
      <c r="A87" s="76" t="s">
        <v>2271</v>
      </c>
      <c r="B87" s="76"/>
      <c r="C87" s="76"/>
      <c r="D87" s="76"/>
      <c r="E87" s="77"/>
      <c r="F87" s="76"/>
      <c r="G87" s="76"/>
    </row>
    <row r="88" spans="1:7">
      <c r="A88" s="57" t="s">
        <v>2272</v>
      </c>
      <c r="B88" s="57" t="s">
        <v>2273</v>
      </c>
      <c r="C88" s="57" t="s">
        <v>2274</v>
      </c>
      <c r="D88" s="57" t="s">
        <v>2116</v>
      </c>
      <c r="E88" s="75" t="s">
        <v>108</v>
      </c>
      <c r="F88" s="75" t="s">
        <v>1863</v>
      </c>
      <c r="G88" s="57" t="s">
        <v>2275</v>
      </c>
    </row>
    <row r="89" spans="1:7">
      <c r="A89" s="57" t="s">
        <v>2276</v>
      </c>
      <c r="B89" s="57" t="s">
        <v>2248</v>
      </c>
      <c r="C89" s="57" t="s">
        <v>2277</v>
      </c>
      <c r="D89" s="57" t="s">
        <v>2116</v>
      </c>
      <c r="E89" s="75" t="s">
        <v>108</v>
      </c>
      <c r="F89" s="75" t="s">
        <v>1863</v>
      </c>
      <c r="G89" s="57" t="s">
        <v>2278</v>
      </c>
    </row>
    <row r="90" spans="1:7">
      <c r="A90" s="57" t="s">
        <v>2279</v>
      </c>
      <c r="B90" s="57" t="s">
        <v>2280</v>
      </c>
      <c r="C90" s="57" t="s">
        <v>2281</v>
      </c>
      <c r="D90" s="57" t="s">
        <v>2116</v>
      </c>
      <c r="E90" s="75" t="s">
        <v>108</v>
      </c>
      <c r="F90" s="75" t="s">
        <v>1863</v>
      </c>
      <c r="G90" s="57" t="s">
        <v>2282</v>
      </c>
    </row>
    <row r="91" spans="1:7">
      <c r="A91" s="57" t="s">
        <v>2283</v>
      </c>
      <c r="B91" s="57" t="s">
        <v>2273</v>
      </c>
      <c r="C91" s="57" t="s">
        <v>108</v>
      </c>
      <c r="D91" s="57" t="s">
        <v>2116</v>
      </c>
      <c r="E91" s="75" t="s">
        <v>108</v>
      </c>
      <c r="F91" s="75" t="s">
        <v>1863</v>
      </c>
      <c r="G91" s="57" t="s">
        <v>2284</v>
      </c>
    </row>
    <row r="92" spans="1:7">
      <c r="A92" s="57" t="s">
        <v>2285</v>
      </c>
      <c r="B92" s="57"/>
      <c r="C92" s="57" t="s">
        <v>2135</v>
      </c>
      <c r="D92" s="57" t="s">
        <v>2116</v>
      </c>
      <c r="E92" s="75" t="s">
        <v>2136</v>
      </c>
      <c r="F92" s="57" t="s">
        <v>1868</v>
      </c>
      <c r="G92" s="57" t="s">
        <v>2120</v>
      </c>
    </row>
    <row r="93" spans="1:7">
      <c r="A93" s="57" t="s">
        <v>2286</v>
      </c>
      <c r="B93" s="57"/>
      <c r="C93" s="57" t="s">
        <v>108</v>
      </c>
      <c r="D93" s="57" t="s">
        <v>2116</v>
      </c>
      <c r="E93" s="75" t="s">
        <v>108</v>
      </c>
      <c r="F93" s="75" t="s">
        <v>1863</v>
      </c>
      <c r="G93" s="57" t="s">
        <v>2120</v>
      </c>
    </row>
    <row r="94" spans="1:7">
      <c r="A94" s="57" t="s">
        <v>2287</v>
      </c>
      <c r="B94" s="57" t="s">
        <v>2273</v>
      </c>
      <c r="C94" s="57" t="s">
        <v>2288</v>
      </c>
      <c r="D94" s="57" t="s">
        <v>2116</v>
      </c>
      <c r="E94" s="75" t="s">
        <v>2288</v>
      </c>
      <c r="F94" s="75" t="s">
        <v>1863</v>
      </c>
      <c r="G94" s="57" t="s">
        <v>2289</v>
      </c>
    </row>
    <row r="95" spans="1:7" ht="17.25">
      <c r="A95" s="76" t="s">
        <v>2290</v>
      </c>
      <c r="B95" s="76"/>
      <c r="C95" s="76"/>
      <c r="D95" s="76"/>
      <c r="E95" s="77"/>
      <c r="F95" s="76"/>
      <c r="G95" s="76"/>
    </row>
    <row r="96" spans="1:7">
      <c r="A96" s="57" t="s">
        <v>2291</v>
      </c>
      <c r="B96" s="57"/>
      <c r="C96" s="57" t="s">
        <v>2135</v>
      </c>
      <c r="D96" s="57" t="s">
        <v>2116</v>
      </c>
      <c r="E96" s="75" t="s">
        <v>2136</v>
      </c>
      <c r="F96" s="57" t="s">
        <v>1868</v>
      </c>
      <c r="G96" s="57" t="s">
        <v>2292</v>
      </c>
    </row>
    <row r="97" spans="1:7">
      <c r="A97" s="57" t="s">
        <v>2293</v>
      </c>
      <c r="B97" s="57" t="s">
        <v>2294</v>
      </c>
      <c r="C97" s="57" t="s">
        <v>2295</v>
      </c>
      <c r="D97" s="57" t="s">
        <v>2116</v>
      </c>
      <c r="E97" s="75" t="s">
        <v>108</v>
      </c>
      <c r="F97" s="75" t="s">
        <v>1863</v>
      </c>
      <c r="G97" s="57" t="s">
        <v>2296</v>
      </c>
    </row>
    <row r="98" spans="1:7">
      <c r="A98" s="57" t="s">
        <v>2297</v>
      </c>
      <c r="B98" s="57" t="s">
        <v>2298</v>
      </c>
      <c r="C98" s="57" t="s">
        <v>108</v>
      </c>
      <c r="D98" s="57" t="s">
        <v>2116</v>
      </c>
      <c r="E98" s="75" t="s">
        <v>108</v>
      </c>
      <c r="F98" s="75" t="s">
        <v>1863</v>
      </c>
      <c r="G98" s="57" t="s">
        <v>2299</v>
      </c>
    </row>
    <row r="99" spans="1:7">
      <c r="A99" s="57" t="s">
        <v>2300</v>
      </c>
      <c r="B99" s="57" t="s">
        <v>2294</v>
      </c>
      <c r="C99" s="57" t="s">
        <v>108</v>
      </c>
      <c r="D99" s="57" t="s">
        <v>2116</v>
      </c>
      <c r="E99" s="75" t="s">
        <v>108</v>
      </c>
      <c r="F99" s="75" t="s">
        <v>1863</v>
      </c>
      <c r="G99" s="57" t="s">
        <v>2299</v>
      </c>
    </row>
    <row r="100" spans="1:7">
      <c r="A100" s="57" t="s">
        <v>2301</v>
      </c>
      <c r="B100" s="57" t="s">
        <v>2302</v>
      </c>
      <c r="C100" s="57" t="s">
        <v>2193</v>
      </c>
      <c r="D100" s="57" t="s">
        <v>2116</v>
      </c>
      <c r="E100" s="75" t="s">
        <v>2193</v>
      </c>
      <c r="F100" s="75" t="s">
        <v>1863</v>
      </c>
      <c r="G100" s="57" t="s">
        <v>2303</v>
      </c>
    </row>
    <row r="101" spans="1:7">
      <c r="A101" s="57" t="s">
        <v>2304</v>
      </c>
      <c r="B101" s="57" t="s">
        <v>2305</v>
      </c>
      <c r="C101" s="57" t="s">
        <v>2257</v>
      </c>
      <c r="D101" s="57" t="s">
        <v>2116</v>
      </c>
      <c r="E101" s="75" t="s">
        <v>108</v>
      </c>
      <c r="F101" s="75" t="s">
        <v>1863</v>
      </c>
      <c r="G101" s="57" t="s">
        <v>2306</v>
      </c>
    </row>
    <row r="102" spans="1:7" ht="17.25">
      <c r="A102" s="76" t="s">
        <v>2307</v>
      </c>
      <c r="B102" s="76"/>
      <c r="C102" s="76"/>
      <c r="D102" s="76"/>
      <c r="E102" s="77"/>
      <c r="F102" s="76"/>
      <c r="G102" s="76"/>
    </row>
    <row r="103" spans="1:7">
      <c r="A103" s="57" t="s">
        <v>2308</v>
      </c>
      <c r="B103" s="57" t="s">
        <v>2122</v>
      </c>
      <c r="C103" s="57" t="s">
        <v>2309</v>
      </c>
      <c r="D103" s="57" t="s">
        <v>2310</v>
      </c>
      <c r="E103" s="75" t="s">
        <v>2311</v>
      </c>
      <c r="F103" s="57" t="s">
        <v>1908</v>
      </c>
      <c r="G103" s="57" t="s">
        <v>2312</v>
      </c>
    </row>
    <row r="104" spans="1:7">
      <c r="A104" s="57" t="s">
        <v>2114</v>
      </c>
      <c r="B104" s="57" t="s">
        <v>2115</v>
      </c>
      <c r="C104" s="57" t="s">
        <v>1559</v>
      </c>
      <c r="D104" s="57" t="s">
        <v>2310</v>
      </c>
      <c r="E104" s="75" t="s">
        <v>108</v>
      </c>
      <c r="F104" s="75" t="s">
        <v>1915</v>
      </c>
      <c r="G104" s="57" t="s">
        <v>2117</v>
      </c>
    </row>
    <row r="105" spans="1:7">
      <c r="A105" s="57" t="s">
        <v>2118</v>
      </c>
      <c r="B105" s="57"/>
      <c r="C105" s="57" t="s">
        <v>2119</v>
      </c>
      <c r="D105" s="57" t="s">
        <v>2310</v>
      </c>
      <c r="E105" s="75" t="s">
        <v>108</v>
      </c>
      <c r="F105" s="75" t="s">
        <v>1915</v>
      </c>
      <c r="G105" s="57" t="s">
        <v>2120</v>
      </c>
    </row>
    <row r="106" spans="1:7">
      <c r="A106" s="57" t="s">
        <v>2121</v>
      </c>
      <c r="B106" s="57" t="s">
        <v>2122</v>
      </c>
      <c r="C106" s="57" t="s">
        <v>108</v>
      </c>
      <c r="D106" s="57" t="s">
        <v>2310</v>
      </c>
      <c r="E106" s="75" t="s">
        <v>108</v>
      </c>
      <c r="F106" s="75" t="s">
        <v>1915</v>
      </c>
      <c r="G106" s="57" t="s">
        <v>2120</v>
      </c>
    </row>
    <row r="107" spans="1:7">
      <c r="A107" s="57" t="s">
        <v>2123</v>
      </c>
      <c r="B107" s="57" t="s">
        <v>2124</v>
      </c>
      <c r="C107" s="57" t="s">
        <v>108</v>
      </c>
      <c r="D107" s="57" t="s">
        <v>2310</v>
      </c>
      <c r="E107" s="75" t="s">
        <v>108</v>
      </c>
      <c r="F107" s="75" t="s">
        <v>1915</v>
      </c>
      <c r="G107" s="57" t="s">
        <v>2125</v>
      </c>
    </row>
    <row r="108" spans="1:7">
      <c r="A108" s="57" t="s">
        <v>2126</v>
      </c>
      <c r="B108" s="57"/>
      <c r="C108" s="57" t="s">
        <v>108</v>
      </c>
      <c r="D108" s="57" t="s">
        <v>2310</v>
      </c>
      <c r="E108" s="75" t="s">
        <v>108</v>
      </c>
      <c r="F108" s="75" t="s">
        <v>1915</v>
      </c>
      <c r="G108" s="57" t="s">
        <v>2120</v>
      </c>
    </row>
    <row r="109" spans="1:7">
      <c r="A109" s="57" t="s">
        <v>2313</v>
      </c>
      <c r="B109" s="57" t="s">
        <v>2314</v>
      </c>
      <c r="C109" s="57" t="s">
        <v>2309</v>
      </c>
      <c r="D109" s="57" t="s">
        <v>2310</v>
      </c>
      <c r="E109" s="75" t="s">
        <v>2311</v>
      </c>
      <c r="F109" s="57" t="s">
        <v>1908</v>
      </c>
      <c r="G109" s="57" t="s">
        <v>2120</v>
      </c>
    </row>
    <row r="110" spans="1:7">
      <c r="A110" s="57" t="s">
        <v>2315</v>
      </c>
      <c r="B110" s="57" t="s">
        <v>2314</v>
      </c>
      <c r="C110" s="57" t="s">
        <v>2309</v>
      </c>
      <c r="D110" s="57" t="s">
        <v>2310</v>
      </c>
      <c r="E110" s="75" t="s">
        <v>2311</v>
      </c>
      <c r="F110" s="57" t="s">
        <v>1908</v>
      </c>
      <c r="G110" s="57" t="s">
        <v>2120</v>
      </c>
    </row>
    <row r="111" spans="1:7">
      <c r="A111" s="57" t="s">
        <v>2316</v>
      </c>
      <c r="B111" s="57" t="s">
        <v>2124</v>
      </c>
      <c r="C111" s="57" t="s">
        <v>2309</v>
      </c>
      <c r="D111" s="57" t="s">
        <v>2310</v>
      </c>
      <c r="E111" s="75" t="s">
        <v>2311</v>
      </c>
      <c r="F111" s="57" t="s">
        <v>1908</v>
      </c>
      <c r="G111" s="57" t="s">
        <v>2120</v>
      </c>
    </row>
    <row r="112" spans="1:7" ht="17.25">
      <c r="A112" s="76" t="s">
        <v>2317</v>
      </c>
      <c r="B112" s="76"/>
      <c r="C112" s="76"/>
      <c r="D112" s="76"/>
      <c r="E112" s="77"/>
      <c r="F112" s="76"/>
      <c r="G112" s="76"/>
    </row>
    <row r="113" spans="1:7">
      <c r="A113" s="57" t="s">
        <v>2128</v>
      </c>
      <c r="B113" s="57" t="s">
        <v>2129</v>
      </c>
      <c r="C113" s="57" t="s">
        <v>108</v>
      </c>
      <c r="D113" s="57" t="s">
        <v>2310</v>
      </c>
      <c r="E113" s="75" t="s">
        <v>108</v>
      </c>
      <c r="F113" s="75" t="s">
        <v>1915</v>
      </c>
      <c r="G113" s="57" t="s">
        <v>2120</v>
      </c>
    </row>
    <row r="114" spans="1:7">
      <c r="A114" s="57" t="s">
        <v>2130</v>
      </c>
      <c r="B114" s="57" t="s">
        <v>2131</v>
      </c>
      <c r="C114" s="57" t="s">
        <v>108</v>
      </c>
      <c r="D114" s="57" t="s">
        <v>2310</v>
      </c>
      <c r="E114" s="75" t="s">
        <v>108</v>
      </c>
      <c r="F114" s="75" t="s">
        <v>1915</v>
      </c>
      <c r="G114" s="57" t="s">
        <v>2132</v>
      </c>
    </row>
    <row r="115" spans="1:7">
      <c r="A115" s="57" t="s">
        <v>2133</v>
      </c>
      <c r="B115" s="57" t="s">
        <v>2131</v>
      </c>
      <c r="C115" s="57" t="s">
        <v>108</v>
      </c>
      <c r="D115" s="57" t="s">
        <v>2310</v>
      </c>
      <c r="E115" s="75" t="s">
        <v>108</v>
      </c>
      <c r="F115" s="75" t="s">
        <v>1915</v>
      </c>
      <c r="G115" s="57" t="s">
        <v>2120</v>
      </c>
    </row>
    <row r="116" spans="1:7">
      <c r="A116" s="57" t="s">
        <v>2134</v>
      </c>
      <c r="B116" s="57"/>
      <c r="C116" s="57" t="s">
        <v>2135</v>
      </c>
      <c r="D116" s="57" t="s">
        <v>2310</v>
      </c>
      <c r="E116" s="75" t="s">
        <v>2318</v>
      </c>
      <c r="F116" s="57" t="s">
        <v>1908</v>
      </c>
      <c r="G116" s="57" t="s">
        <v>2137</v>
      </c>
    </row>
    <row r="117" spans="1:7">
      <c r="A117" s="57" t="s">
        <v>2138</v>
      </c>
      <c r="B117" s="57" t="s">
        <v>2139</v>
      </c>
      <c r="C117" s="57" t="s">
        <v>108</v>
      </c>
      <c r="D117" s="57" t="s">
        <v>2310</v>
      </c>
      <c r="E117" s="75" t="s">
        <v>108</v>
      </c>
      <c r="F117" s="75" t="s">
        <v>1915</v>
      </c>
      <c r="G117" s="57" t="s">
        <v>2140</v>
      </c>
    </row>
    <row r="118" spans="1:7" ht="17.25">
      <c r="A118" s="76" t="s">
        <v>2319</v>
      </c>
      <c r="B118" s="76"/>
      <c r="C118" s="76"/>
      <c r="D118" s="76"/>
      <c r="E118" s="77"/>
      <c r="F118" s="76"/>
      <c r="G118" s="76"/>
    </row>
    <row r="119" spans="1:7">
      <c r="A119" s="57" t="s">
        <v>2142</v>
      </c>
      <c r="B119" s="57" t="s">
        <v>2143</v>
      </c>
      <c r="C119" s="57" t="s">
        <v>108</v>
      </c>
      <c r="D119" s="57" t="s">
        <v>2310</v>
      </c>
      <c r="E119" s="75" t="s">
        <v>108</v>
      </c>
      <c r="F119" s="75" t="s">
        <v>1915</v>
      </c>
      <c r="G119" s="57" t="s">
        <v>2120</v>
      </c>
    </row>
    <row r="120" spans="1:7">
      <c r="A120" s="57" t="s">
        <v>2144</v>
      </c>
      <c r="B120" s="57" t="s">
        <v>2143</v>
      </c>
      <c r="C120" s="57" t="s">
        <v>2145</v>
      </c>
      <c r="D120" s="57" t="s">
        <v>2310</v>
      </c>
      <c r="E120" s="75" t="s">
        <v>108</v>
      </c>
      <c r="F120" s="75" t="s">
        <v>1915</v>
      </c>
      <c r="G120" s="57" t="s">
        <v>2120</v>
      </c>
    </row>
    <row r="121" spans="1:7">
      <c r="A121" s="57" t="s">
        <v>2146</v>
      </c>
      <c r="B121" s="57" t="s">
        <v>2143</v>
      </c>
      <c r="C121" s="57" t="s">
        <v>2147</v>
      </c>
      <c r="D121" s="57" t="s">
        <v>2310</v>
      </c>
      <c r="E121" s="75" t="s">
        <v>108</v>
      </c>
      <c r="F121" s="75" t="s">
        <v>1915</v>
      </c>
      <c r="G121" s="57" t="s">
        <v>2148</v>
      </c>
    </row>
    <row r="122" spans="1:7">
      <c r="A122" s="57" t="s">
        <v>2149</v>
      </c>
      <c r="B122" s="57" t="s">
        <v>2143</v>
      </c>
      <c r="C122" s="57" t="s">
        <v>108</v>
      </c>
      <c r="D122" s="57" t="s">
        <v>2310</v>
      </c>
      <c r="E122" s="75" t="s">
        <v>108</v>
      </c>
      <c r="F122" s="75" t="s">
        <v>1915</v>
      </c>
      <c r="G122" s="57" t="s">
        <v>2120</v>
      </c>
    </row>
    <row r="123" spans="1:7" ht="17.25">
      <c r="A123" s="76" t="s">
        <v>2320</v>
      </c>
      <c r="B123" s="76"/>
      <c r="C123" s="76"/>
      <c r="D123" s="76"/>
      <c r="E123" s="77"/>
      <c r="F123" s="76"/>
      <c r="G123" s="76"/>
    </row>
    <row r="124" spans="1:7">
      <c r="A124" s="57" t="s">
        <v>2151</v>
      </c>
      <c r="B124" s="57" t="s">
        <v>2152</v>
      </c>
      <c r="C124" s="57" t="s">
        <v>2153</v>
      </c>
      <c r="D124" s="57" t="s">
        <v>2310</v>
      </c>
      <c r="E124" s="75" t="s">
        <v>108</v>
      </c>
      <c r="F124" s="75" t="s">
        <v>1915</v>
      </c>
      <c r="G124" s="57" t="s">
        <v>2120</v>
      </c>
    </row>
    <row r="125" spans="1:7">
      <c r="A125" s="57" t="s">
        <v>2154</v>
      </c>
      <c r="B125" s="57" t="s">
        <v>2155</v>
      </c>
      <c r="C125" s="57" t="s">
        <v>108</v>
      </c>
      <c r="D125" s="57" t="s">
        <v>2310</v>
      </c>
      <c r="E125" s="75" t="s">
        <v>108</v>
      </c>
      <c r="F125" s="75" t="s">
        <v>1915</v>
      </c>
      <c r="G125" s="57" t="s">
        <v>2120</v>
      </c>
    </row>
    <row r="126" spans="1:7">
      <c r="A126" s="57" t="s">
        <v>2156</v>
      </c>
      <c r="B126" s="57" t="s">
        <v>2152</v>
      </c>
      <c r="C126" s="57" t="s">
        <v>2157</v>
      </c>
      <c r="D126" s="57" t="s">
        <v>2310</v>
      </c>
      <c r="E126" s="75" t="s">
        <v>108</v>
      </c>
      <c r="F126" s="75" t="s">
        <v>1915</v>
      </c>
      <c r="G126" s="57" t="s">
        <v>2120</v>
      </c>
    </row>
    <row r="127" spans="1:7">
      <c r="A127" s="57" t="s">
        <v>2158</v>
      </c>
      <c r="B127" s="57" t="s">
        <v>2155</v>
      </c>
      <c r="C127" s="57" t="s">
        <v>2159</v>
      </c>
      <c r="D127" s="57" t="s">
        <v>2310</v>
      </c>
      <c r="E127" s="75" t="s">
        <v>108</v>
      </c>
      <c r="F127" s="75" t="s">
        <v>1915</v>
      </c>
      <c r="G127" s="57" t="s">
        <v>2160</v>
      </c>
    </row>
    <row r="128" spans="1:7">
      <c r="A128" s="57" t="s">
        <v>2161</v>
      </c>
      <c r="B128" s="57" t="s">
        <v>2162</v>
      </c>
      <c r="C128" s="57" t="s">
        <v>108</v>
      </c>
      <c r="D128" s="57" t="s">
        <v>2310</v>
      </c>
      <c r="E128" s="75" t="s">
        <v>108</v>
      </c>
      <c r="F128" s="75" t="s">
        <v>1915</v>
      </c>
      <c r="G128" s="57" t="s">
        <v>2163</v>
      </c>
    </row>
    <row r="129" spans="1:7">
      <c r="A129" s="57" t="s">
        <v>2164</v>
      </c>
      <c r="B129" s="57" t="s">
        <v>2162</v>
      </c>
      <c r="C129" s="57" t="s">
        <v>108</v>
      </c>
      <c r="D129" s="57" t="s">
        <v>2310</v>
      </c>
      <c r="E129" s="75" t="s">
        <v>108</v>
      </c>
      <c r="F129" s="75" t="s">
        <v>1915</v>
      </c>
      <c r="G129" s="57" t="s">
        <v>2120</v>
      </c>
    </row>
    <row r="130" spans="1:7" ht="17.25">
      <c r="A130" s="76" t="s">
        <v>2321</v>
      </c>
      <c r="B130" s="76"/>
      <c r="C130" s="76"/>
      <c r="D130" s="76"/>
      <c r="E130" s="77"/>
      <c r="F130" s="76"/>
      <c r="G130" s="76"/>
    </row>
    <row r="131" spans="1:7">
      <c r="A131" s="57" t="s">
        <v>2166</v>
      </c>
      <c r="B131" s="57" t="s">
        <v>2167</v>
      </c>
      <c r="C131" s="57" t="s">
        <v>108</v>
      </c>
      <c r="D131" s="57" t="s">
        <v>2310</v>
      </c>
      <c r="E131" s="75" t="s">
        <v>108</v>
      </c>
      <c r="F131" s="75" t="s">
        <v>1915</v>
      </c>
      <c r="G131" s="57" t="s">
        <v>2168</v>
      </c>
    </row>
    <row r="132" spans="1:7">
      <c r="A132" s="57" t="s">
        <v>2169</v>
      </c>
      <c r="B132" s="57" t="s">
        <v>2129</v>
      </c>
      <c r="C132" s="57" t="s">
        <v>2170</v>
      </c>
      <c r="D132" s="57" t="s">
        <v>2310</v>
      </c>
      <c r="E132" s="75" t="s">
        <v>2318</v>
      </c>
      <c r="F132" s="57" t="s">
        <v>1908</v>
      </c>
      <c r="G132" s="57" t="s">
        <v>2120</v>
      </c>
    </row>
    <row r="133" spans="1:7">
      <c r="A133" s="57" t="s">
        <v>2171</v>
      </c>
      <c r="B133" s="57" t="s">
        <v>2129</v>
      </c>
      <c r="C133" s="57" t="s">
        <v>2135</v>
      </c>
      <c r="D133" s="57" t="s">
        <v>2310</v>
      </c>
      <c r="E133" s="75" t="s">
        <v>2318</v>
      </c>
      <c r="F133" s="57" t="s">
        <v>1908</v>
      </c>
      <c r="G133" s="57" t="s">
        <v>2120</v>
      </c>
    </row>
    <row r="134" spans="1:7">
      <c r="A134" s="57" t="s">
        <v>2172</v>
      </c>
      <c r="B134" s="57" t="s">
        <v>2129</v>
      </c>
      <c r="C134" s="57" t="s">
        <v>2135</v>
      </c>
      <c r="D134" s="57" t="s">
        <v>2310</v>
      </c>
      <c r="E134" s="75" t="s">
        <v>2318</v>
      </c>
      <c r="F134" s="57" t="s">
        <v>1908</v>
      </c>
      <c r="G134" s="57" t="s">
        <v>2120</v>
      </c>
    </row>
    <row r="135" spans="1:7">
      <c r="A135" s="57" t="s">
        <v>2173</v>
      </c>
      <c r="B135" s="57" t="s">
        <v>2174</v>
      </c>
      <c r="C135" s="57" t="s">
        <v>2135</v>
      </c>
      <c r="D135" s="57" t="s">
        <v>2310</v>
      </c>
      <c r="E135" s="75" t="s">
        <v>2318</v>
      </c>
      <c r="F135" s="57" t="s">
        <v>1908</v>
      </c>
      <c r="G135" s="57" t="s">
        <v>2120</v>
      </c>
    </row>
    <row r="136" spans="1:7">
      <c r="A136" s="57" t="s">
        <v>2175</v>
      </c>
      <c r="B136" s="57"/>
      <c r="C136" s="57" t="s">
        <v>2135</v>
      </c>
      <c r="D136" s="57" t="s">
        <v>2310</v>
      </c>
      <c r="E136" s="75" t="s">
        <v>2318</v>
      </c>
      <c r="F136" s="57" t="s">
        <v>1908</v>
      </c>
      <c r="G136" s="57" t="s">
        <v>2120</v>
      </c>
    </row>
    <row r="137" spans="1:7">
      <c r="A137" s="57" t="s">
        <v>2176</v>
      </c>
      <c r="B137" s="57"/>
      <c r="C137" s="57" t="s">
        <v>2135</v>
      </c>
      <c r="D137" s="57" t="s">
        <v>2310</v>
      </c>
      <c r="E137" s="75" t="s">
        <v>2318</v>
      </c>
      <c r="F137" s="57" t="s">
        <v>1908</v>
      </c>
      <c r="G137" s="57" t="s">
        <v>2120</v>
      </c>
    </row>
    <row r="138" spans="1:7">
      <c r="A138" s="57" t="s">
        <v>2177</v>
      </c>
      <c r="B138" s="57"/>
      <c r="C138" s="57" t="s">
        <v>2135</v>
      </c>
      <c r="D138" s="57" t="s">
        <v>2310</v>
      </c>
      <c r="E138" s="75" t="s">
        <v>2318</v>
      </c>
      <c r="F138" s="57" t="s">
        <v>1908</v>
      </c>
      <c r="G138" s="57" t="s">
        <v>2120</v>
      </c>
    </row>
    <row r="139" spans="1:7" ht="17.25">
      <c r="A139" s="76" t="s">
        <v>2322</v>
      </c>
      <c r="B139" s="76"/>
      <c r="C139" s="76"/>
      <c r="D139" s="76"/>
      <c r="E139" s="77"/>
      <c r="F139" s="76"/>
      <c r="G139" s="76"/>
    </row>
    <row r="140" spans="1:7">
      <c r="A140" s="57" t="s">
        <v>2179</v>
      </c>
      <c r="B140" s="57" t="s">
        <v>2180</v>
      </c>
      <c r="C140" s="57" t="s">
        <v>108</v>
      </c>
      <c r="D140" s="57" t="s">
        <v>2310</v>
      </c>
      <c r="E140" s="75" t="s">
        <v>108</v>
      </c>
      <c r="F140" s="75" t="s">
        <v>1915</v>
      </c>
      <c r="G140" s="57" t="s">
        <v>2120</v>
      </c>
    </row>
    <row r="141" spans="1:7">
      <c r="A141" s="57" t="s">
        <v>2181</v>
      </c>
      <c r="B141" s="57" t="s">
        <v>2182</v>
      </c>
      <c r="C141" s="57" t="s">
        <v>108</v>
      </c>
      <c r="D141" s="57" t="s">
        <v>2310</v>
      </c>
      <c r="E141" s="75" t="s">
        <v>108</v>
      </c>
      <c r="F141" s="75" t="s">
        <v>1915</v>
      </c>
      <c r="G141" s="57" t="s">
        <v>2120</v>
      </c>
    </row>
    <row r="142" spans="1:7">
      <c r="A142" s="57" t="s">
        <v>2183</v>
      </c>
      <c r="B142" s="57" t="s">
        <v>2182</v>
      </c>
      <c r="C142" s="57" t="s">
        <v>2184</v>
      </c>
      <c r="D142" s="57" t="s">
        <v>2310</v>
      </c>
      <c r="E142" s="75" t="s">
        <v>108</v>
      </c>
      <c r="F142" s="75" t="s">
        <v>1915</v>
      </c>
      <c r="G142" s="57" t="s">
        <v>2185</v>
      </c>
    </row>
    <row r="143" spans="1:7">
      <c r="A143" s="57" t="s">
        <v>2186</v>
      </c>
      <c r="B143" s="57" t="s">
        <v>2187</v>
      </c>
      <c r="C143" s="57" t="s">
        <v>108</v>
      </c>
      <c r="D143" s="57" t="s">
        <v>2310</v>
      </c>
      <c r="E143" s="75" t="s">
        <v>108</v>
      </c>
      <c r="F143" s="75" t="s">
        <v>1915</v>
      </c>
      <c r="G143" s="57" t="s">
        <v>2120</v>
      </c>
    </row>
    <row r="144" spans="1:7">
      <c r="A144" s="57" t="s">
        <v>2188</v>
      </c>
      <c r="B144" s="57"/>
      <c r="C144" s="57" t="s">
        <v>2189</v>
      </c>
      <c r="D144" s="57" t="s">
        <v>2310</v>
      </c>
      <c r="E144" s="75" t="s">
        <v>108</v>
      </c>
      <c r="F144" s="75" t="s">
        <v>1915</v>
      </c>
      <c r="G144" s="57" t="s">
        <v>2120</v>
      </c>
    </row>
    <row r="145" spans="1:7">
      <c r="A145" s="57" t="s">
        <v>2323</v>
      </c>
      <c r="B145" s="57" t="s">
        <v>2180</v>
      </c>
      <c r="C145" s="57" t="s">
        <v>2324</v>
      </c>
      <c r="D145" s="57" t="s">
        <v>2310</v>
      </c>
      <c r="E145" s="75" t="s">
        <v>2324</v>
      </c>
      <c r="F145" s="75" t="s">
        <v>1915</v>
      </c>
      <c r="G145" s="57" t="s">
        <v>2120</v>
      </c>
    </row>
    <row r="146" spans="1:7">
      <c r="A146" s="57" t="s">
        <v>2190</v>
      </c>
      <c r="B146" s="57"/>
      <c r="C146" s="57" t="s">
        <v>2135</v>
      </c>
      <c r="D146" s="57" t="s">
        <v>2310</v>
      </c>
      <c r="E146" s="75" t="s">
        <v>2318</v>
      </c>
      <c r="F146" s="57" t="s">
        <v>1908</v>
      </c>
      <c r="G146" s="57" t="s">
        <v>2120</v>
      </c>
    </row>
    <row r="147" spans="1:7">
      <c r="A147" s="57" t="s">
        <v>2191</v>
      </c>
      <c r="B147" s="57"/>
      <c r="C147" s="57" t="s">
        <v>2135</v>
      </c>
      <c r="D147" s="57" t="s">
        <v>2310</v>
      </c>
      <c r="E147" s="75" t="s">
        <v>2318</v>
      </c>
      <c r="F147" s="57" t="s">
        <v>1908</v>
      </c>
      <c r="G147" s="57" t="s">
        <v>2120</v>
      </c>
    </row>
    <row r="148" spans="1:7">
      <c r="A148" s="57" t="s">
        <v>2192</v>
      </c>
      <c r="B148" s="57" t="s">
        <v>2182</v>
      </c>
      <c r="C148" s="57" t="s">
        <v>2193</v>
      </c>
      <c r="D148" s="57" t="s">
        <v>2310</v>
      </c>
      <c r="E148" s="75" t="s">
        <v>2193</v>
      </c>
      <c r="F148" s="75" t="s">
        <v>1915</v>
      </c>
      <c r="G148" s="57" t="s">
        <v>2120</v>
      </c>
    </row>
    <row r="149" spans="1:7">
      <c r="A149" s="57" t="s">
        <v>2194</v>
      </c>
      <c r="B149" s="57" t="s">
        <v>2187</v>
      </c>
      <c r="C149" s="57" t="s">
        <v>108</v>
      </c>
      <c r="D149" s="57" t="s">
        <v>2310</v>
      </c>
      <c r="E149" s="75" t="s">
        <v>108</v>
      </c>
      <c r="F149" s="75" t="s">
        <v>1915</v>
      </c>
      <c r="G149" s="57" t="s">
        <v>2120</v>
      </c>
    </row>
    <row r="150" spans="1:7" ht="17.25">
      <c r="A150" s="76" t="s">
        <v>2325</v>
      </c>
      <c r="B150" s="76"/>
      <c r="C150" s="76"/>
      <c r="D150" s="76"/>
      <c r="E150" s="77"/>
      <c r="F150" s="76"/>
      <c r="G150" s="76"/>
    </row>
    <row r="151" spans="1:7">
      <c r="A151" s="57" t="s">
        <v>2196</v>
      </c>
      <c r="B151" s="57"/>
      <c r="C151" s="57" t="s">
        <v>2193</v>
      </c>
      <c r="D151" s="57" t="s">
        <v>2310</v>
      </c>
      <c r="E151" s="75" t="s">
        <v>2193</v>
      </c>
      <c r="F151" s="75" t="s">
        <v>1915</v>
      </c>
      <c r="G151" s="57" t="s">
        <v>2120</v>
      </c>
    </row>
    <row r="152" spans="1:7">
      <c r="A152" s="57" t="s">
        <v>2197</v>
      </c>
      <c r="B152" s="57"/>
      <c r="C152" s="57" t="s">
        <v>2193</v>
      </c>
      <c r="D152" s="57" t="s">
        <v>2310</v>
      </c>
      <c r="E152" s="75" t="s">
        <v>2193</v>
      </c>
      <c r="F152" s="75" t="s">
        <v>1915</v>
      </c>
      <c r="G152" s="57" t="s">
        <v>2120</v>
      </c>
    </row>
    <row r="153" spans="1:7">
      <c r="A153" s="57" t="s">
        <v>2198</v>
      </c>
      <c r="B153" s="57"/>
      <c r="C153" s="57" t="s">
        <v>2199</v>
      </c>
      <c r="D153" s="57" t="s">
        <v>2310</v>
      </c>
      <c r="E153" s="75" t="s">
        <v>2193</v>
      </c>
      <c r="F153" s="75" t="s">
        <v>1915</v>
      </c>
      <c r="G153" s="57" t="s">
        <v>2120</v>
      </c>
    </row>
    <row r="154" spans="1:7">
      <c r="A154" s="57" t="s">
        <v>2200</v>
      </c>
      <c r="B154" s="57" t="s">
        <v>2182</v>
      </c>
      <c r="C154" s="57" t="s">
        <v>108</v>
      </c>
      <c r="D154" s="57" t="s">
        <v>2310</v>
      </c>
      <c r="E154" s="75" t="s">
        <v>108</v>
      </c>
      <c r="F154" s="75" t="s">
        <v>1915</v>
      </c>
      <c r="G154" s="57" t="s">
        <v>2120</v>
      </c>
    </row>
    <row r="155" spans="1:7">
      <c r="A155" s="57" t="s">
        <v>2201</v>
      </c>
      <c r="B155" s="57" t="s">
        <v>2182</v>
      </c>
      <c r="C155" s="57" t="s">
        <v>108</v>
      </c>
      <c r="D155" s="57" t="s">
        <v>2310</v>
      </c>
      <c r="E155" s="75" t="s">
        <v>108</v>
      </c>
      <c r="F155" s="75" t="s">
        <v>1915</v>
      </c>
      <c r="G155" s="57" t="s">
        <v>2120</v>
      </c>
    </row>
    <row r="156" spans="1:7">
      <c r="A156" s="57" t="s">
        <v>2202</v>
      </c>
      <c r="B156" s="57" t="s">
        <v>2174</v>
      </c>
      <c r="C156" s="57" t="s">
        <v>108</v>
      </c>
      <c r="D156" s="57" t="s">
        <v>2310</v>
      </c>
      <c r="E156" s="75" t="s">
        <v>108</v>
      </c>
      <c r="F156" s="75" t="s">
        <v>1915</v>
      </c>
      <c r="G156" s="57" t="s">
        <v>2120</v>
      </c>
    </row>
    <row r="157" spans="1:7">
      <c r="A157" s="57" t="s">
        <v>2203</v>
      </c>
      <c r="B157" s="57" t="s">
        <v>2204</v>
      </c>
      <c r="C157" s="57" t="s">
        <v>2193</v>
      </c>
      <c r="D157" s="57" t="s">
        <v>2310</v>
      </c>
      <c r="E157" s="75" t="s">
        <v>2193</v>
      </c>
      <c r="F157" s="75" t="s">
        <v>1915</v>
      </c>
      <c r="G157" s="57" t="s">
        <v>2120</v>
      </c>
    </row>
    <row r="158" spans="1:7">
      <c r="A158" s="57" t="s">
        <v>2205</v>
      </c>
      <c r="B158" s="57" t="s">
        <v>2204</v>
      </c>
      <c r="C158" s="57" t="s">
        <v>2193</v>
      </c>
      <c r="D158" s="57" t="s">
        <v>2310</v>
      </c>
      <c r="E158" s="75" t="s">
        <v>2193</v>
      </c>
      <c r="F158" s="75" t="s">
        <v>1915</v>
      </c>
      <c r="G158" s="57" t="s">
        <v>2120</v>
      </c>
    </row>
    <row r="159" spans="1:7">
      <c r="A159" s="57" t="s">
        <v>2206</v>
      </c>
      <c r="B159" s="57"/>
      <c r="C159" s="57" t="s">
        <v>2135</v>
      </c>
      <c r="D159" s="57" t="s">
        <v>2310</v>
      </c>
      <c r="E159" s="75" t="s">
        <v>2318</v>
      </c>
      <c r="F159" s="57" t="s">
        <v>1908</v>
      </c>
      <c r="G159" s="57" t="s">
        <v>2120</v>
      </c>
    </row>
    <row r="160" spans="1:7">
      <c r="A160" s="57" t="s">
        <v>2207</v>
      </c>
      <c r="B160" s="57" t="s">
        <v>2204</v>
      </c>
      <c r="C160" s="57" t="s">
        <v>108</v>
      </c>
      <c r="D160" s="57" t="s">
        <v>2310</v>
      </c>
      <c r="E160" s="75" t="s">
        <v>108</v>
      </c>
      <c r="F160" s="75" t="s">
        <v>1915</v>
      </c>
      <c r="G160" s="57" t="s">
        <v>2208</v>
      </c>
    </row>
    <row r="161" spans="1:7" ht="17.25">
      <c r="A161" s="76" t="s">
        <v>2326</v>
      </c>
      <c r="B161" s="76"/>
      <c r="C161" s="76"/>
      <c r="D161" s="76"/>
      <c r="E161" s="77"/>
      <c r="F161" s="76"/>
      <c r="G161" s="76"/>
    </row>
    <row r="162" spans="1:7">
      <c r="A162" s="57" t="s">
        <v>2210</v>
      </c>
      <c r="B162" s="57" t="s">
        <v>2211</v>
      </c>
      <c r="C162" s="57" t="s">
        <v>108</v>
      </c>
      <c r="D162" s="57" t="s">
        <v>2310</v>
      </c>
      <c r="E162" s="75" t="s">
        <v>108</v>
      </c>
      <c r="F162" s="75" t="s">
        <v>1915</v>
      </c>
      <c r="G162" s="57" t="s">
        <v>2120</v>
      </c>
    </row>
    <row r="163" spans="1:7">
      <c r="A163" s="57" t="s">
        <v>2212</v>
      </c>
      <c r="B163" s="57" t="s">
        <v>2213</v>
      </c>
      <c r="C163" s="57" t="s">
        <v>108</v>
      </c>
      <c r="D163" s="57" t="s">
        <v>2310</v>
      </c>
      <c r="E163" s="75" t="s">
        <v>108</v>
      </c>
      <c r="F163" s="75" t="s">
        <v>1915</v>
      </c>
      <c r="G163" s="57" t="s">
        <v>2120</v>
      </c>
    </row>
    <row r="164" spans="1:7">
      <c r="A164" s="57" t="s">
        <v>2214</v>
      </c>
      <c r="B164" s="57" t="s">
        <v>2213</v>
      </c>
      <c r="C164" s="57" t="s">
        <v>108</v>
      </c>
      <c r="D164" s="57" t="s">
        <v>2310</v>
      </c>
      <c r="E164" s="75" t="s">
        <v>108</v>
      </c>
      <c r="F164" s="75" t="s">
        <v>1915</v>
      </c>
      <c r="G164" s="57" t="s">
        <v>2120</v>
      </c>
    </row>
    <row r="165" spans="1:7" ht="17.25">
      <c r="A165" s="76" t="s">
        <v>2327</v>
      </c>
      <c r="B165" s="76"/>
      <c r="C165" s="76"/>
      <c r="D165" s="76"/>
      <c r="E165" s="77"/>
      <c r="F165" s="76"/>
      <c r="G165" s="76"/>
    </row>
    <row r="166" spans="1:7">
      <c r="A166" s="57" t="s">
        <v>2328</v>
      </c>
      <c r="B166" s="57" t="s">
        <v>2217</v>
      </c>
      <c r="C166" s="57" t="s">
        <v>2309</v>
      </c>
      <c r="D166" s="57" t="s">
        <v>2310</v>
      </c>
      <c r="E166" s="75" t="s">
        <v>2311</v>
      </c>
      <c r="F166" s="57" t="s">
        <v>1908</v>
      </c>
      <c r="G166" s="57" t="s">
        <v>2329</v>
      </c>
    </row>
    <row r="167" spans="1:7">
      <c r="A167" s="57" t="s">
        <v>2330</v>
      </c>
      <c r="B167" s="57" t="s">
        <v>2331</v>
      </c>
      <c r="C167" s="57" t="s">
        <v>2309</v>
      </c>
      <c r="D167" s="57" t="s">
        <v>2310</v>
      </c>
      <c r="E167" s="75" t="s">
        <v>2311</v>
      </c>
      <c r="F167" s="57" t="s">
        <v>1908</v>
      </c>
      <c r="G167" s="57" t="s">
        <v>2332</v>
      </c>
    </row>
    <row r="168" spans="1:7">
      <c r="A168" s="57" t="s">
        <v>2216</v>
      </c>
      <c r="B168" s="57" t="s">
        <v>2217</v>
      </c>
      <c r="C168" s="57" t="s">
        <v>2193</v>
      </c>
      <c r="D168" s="57" t="s">
        <v>2310</v>
      </c>
      <c r="E168" s="75" t="s">
        <v>2193</v>
      </c>
      <c r="F168" s="75" t="s">
        <v>1915</v>
      </c>
      <c r="G168" s="57" t="s">
        <v>2218</v>
      </c>
    </row>
    <row r="169" spans="1:7">
      <c r="A169" s="57" t="s">
        <v>2219</v>
      </c>
      <c r="B169" s="57" t="s">
        <v>2220</v>
      </c>
      <c r="C169" s="57" t="s">
        <v>108</v>
      </c>
      <c r="D169" s="57" t="s">
        <v>2310</v>
      </c>
      <c r="E169" s="75" t="s">
        <v>108</v>
      </c>
      <c r="F169" s="75" t="s">
        <v>1915</v>
      </c>
      <c r="G169" s="57" t="s">
        <v>2221</v>
      </c>
    </row>
    <row r="170" spans="1:7">
      <c r="A170" s="57" t="s">
        <v>2222</v>
      </c>
      <c r="B170" s="57" t="s">
        <v>2223</v>
      </c>
      <c r="C170" s="57" t="s">
        <v>108</v>
      </c>
      <c r="D170" s="57" t="s">
        <v>2310</v>
      </c>
      <c r="E170" s="75" t="s">
        <v>108</v>
      </c>
      <c r="F170" s="75" t="s">
        <v>1915</v>
      </c>
      <c r="G170" s="57" t="s">
        <v>2224</v>
      </c>
    </row>
    <row r="171" spans="1:7">
      <c r="A171" s="57" t="s">
        <v>2225</v>
      </c>
      <c r="B171" s="57" t="s">
        <v>2226</v>
      </c>
      <c r="C171" s="57" t="s">
        <v>108</v>
      </c>
      <c r="D171" s="57" t="s">
        <v>2310</v>
      </c>
      <c r="E171" s="75" t="s">
        <v>108</v>
      </c>
      <c r="F171" s="75" t="s">
        <v>1915</v>
      </c>
      <c r="G171" s="57" t="s">
        <v>2227</v>
      </c>
    </row>
    <row r="172" spans="1:7">
      <c r="A172" s="57" t="s">
        <v>2228</v>
      </c>
      <c r="B172" s="57"/>
      <c r="C172" s="57" t="s">
        <v>2135</v>
      </c>
      <c r="D172" s="57" t="s">
        <v>2310</v>
      </c>
      <c r="E172" s="75" t="s">
        <v>2318</v>
      </c>
      <c r="F172" s="57" t="s">
        <v>1908</v>
      </c>
      <c r="G172" s="57" t="s">
        <v>2120</v>
      </c>
    </row>
    <row r="173" spans="1:7" ht="17.25">
      <c r="A173" s="76" t="s">
        <v>2333</v>
      </c>
      <c r="B173" s="76"/>
      <c r="C173" s="76"/>
      <c r="D173" s="76"/>
      <c r="E173" s="77"/>
      <c r="F173" s="76"/>
      <c r="G173" s="76"/>
    </row>
    <row r="174" spans="1:7">
      <c r="A174" s="57" t="s">
        <v>2230</v>
      </c>
      <c r="B174" s="57" t="s">
        <v>2220</v>
      </c>
      <c r="C174" s="57" t="s">
        <v>108</v>
      </c>
      <c r="D174" s="57" t="s">
        <v>2310</v>
      </c>
      <c r="E174" s="75" t="s">
        <v>108</v>
      </c>
      <c r="F174" s="75" t="s">
        <v>1915</v>
      </c>
      <c r="G174" s="57" t="s">
        <v>2231</v>
      </c>
    </row>
    <row r="175" spans="1:7">
      <c r="A175" s="57" t="s">
        <v>2232</v>
      </c>
      <c r="B175" s="57" t="s">
        <v>2220</v>
      </c>
      <c r="C175" s="57" t="s">
        <v>108</v>
      </c>
      <c r="D175" s="57" t="s">
        <v>2310</v>
      </c>
      <c r="E175" s="75" t="s">
        <v>108</v>
      </c>
      <c r="F175" s="75" t="s">
        <v>1915</v>
      </c>
      <c r="G175" s="57" t="s">
        <v>2120</v>
      </c>
    </row>
    <row r="176" spans="1:7">
      <c r="A176" s="57" t="s">
        <v>2233</v>
      </c>
      <c r="B176" s="57" t="s">
        <v>2234</v>
      </c>
      <c r="C176" s="57" t="s">
        <v>108</v>
      </c>
      <c r="D176" s="57" t="s">
        <v>2310</v>
      </c>
      <c r="E176" s="75" t="s">
        <v>108</v>
      </c>
      <c r="F176" s="75" t="s">
        <v>1915</v>
      </c>
      <c r="G176" s="57" t="s">
        <v>2235</v>
      </c>
    </row>
    <row r="177" spans="1:7">
      <c r="A177" s="57" t="s">
        <v>2236</v>
      </c>
      <c r="B177" s="57" t="s">
        <v>2237</v>
      </c>
      <c r="C177" s="57" t="s">
        <v>108</v>
      </c>
      <c r="D177" s="57" t="s">
        <v>2310</v>
      </c>
      <c r="E177" s="75" t="s">
        <v>108</v>
      </c>
      <c r="F177" s="75" t="s">
        <v>1915</v>
      </c>
      <c r="G177" s="57" t="s">
        <v>2231</v>
      </c>
    </row>
    <row r="178" spans="1:7">
      <c r="A178" s="57" t="s">
        <v>2238</v>
      </c>
      <c r="B178" s="57" t="s">
        <v>2237</v>
      </c>
      <c r="C178" s="57" t="s">
        <v>108</v>
      </c>
      <c r="D178" s="57" t="s">
        <v>2310</v>
      </c>
      <c r="E178" s="75" t="s">
        <v>108</v>
      </c>
      <c r="F178" s="75" t="s">
        <v>1915</v>
      </c>
      <c r="G178" s="57" t="s">
        <v>2239</v>
      </c>
    </row>
    <row r="179" spans="1:7">
      <c r="A179" s="57" t="s">
        <v>2240</v>
      </c>
      <c r="B179" s="57" t="s">
        <v>2241</v>
      </c>
      <c r="C179" s="57" t="s">
        <v>2193</v>
      </c>
      <c r="D179" s="57" t="s">
        <v>2310</v>
      </c>
      <c r="E179" s="75" t="s">
        <v>2193</v>
      </c>
      <c r="F179" s="75" t="s">
        <v>1915</v>
      </c>
      <c r="G179" s="57" t="s">
        <v>2120</v>
      </c>
    </row>
    <row r="180" spans="1:7">
      <c r="A180" s="57" t="s">
        <v>2242</v>
      </c>
      <c r="B180" s="57" t="s">
        <v>2220</v>
      </c>
      <c r="C180" s="57" t="s">
        <v>2243</v>
      </c>
      <c r="D180" s="57" t="s">
        <v>2310</v>
      </c>
      <c r="E180" s="75" t="s">
        <v>2334</v>
      </c>
      <c r="F180" s="75" t="s">
        <v>1915</v>
      </c>
      <c r="G180" s="57" t="s">
        <v>2244</v>
      </c>
    </row>
    <row r="181" spans="1:7">
      <c r="A181" s="57" t="s">
        <v>2245</v>
      </c>
      <c r="B181" s="57" t="s">
        <v>2241</v>
      </c>
      <c r="C181" s="57" t="s">
        <v>2246</v>
      </c>
      <c r="D181" s="57" t="s">
        <v>2310</v>
      </c>
      <c r="E181" s="75" t="s">
        <v>108</v>
      </c>
      <c r="F181" s="75" t="s">
        <v>1915</v>
      </c>
      <c r="G181" s="57" t="s">
        <v>2120</v>
      </c>
    </row>
    <row r="182" spans="1:7">
      <c r="A182" s="57" t="s">
        <v>2335</v>
      </c>
      <c r="B182" s="57"/>
      <c r="C182" s="57" t="s">
        <v>2309</v>
      </c>
      <c r="D182" s="57" t="s">
        <v>2310</v>
      </c>
      <c r="E182" s="75" t="s">
        <v>2311</v>
      </c>
      <c r="F182" s="57" t="s">
        <v>1908</v>
      </c>
      <c r="G182" s="57" t="s">
        <v>2336</v>
      </c>
    </row>
    <row r="183" spans="1:7">
      <c r="A183" s="57" t="s">
        <v>2247</v>
      </c>
      <c r="B183" s="57" t="s">
        <v>2248</v>
      </c>
      <c r="C183" s="57" t="s">
        <v>108</v>
      </c>
      <c r="D183" s="57" t="s">
        <v>2310</v>
      </c>
      <c r="E183" s="75" t="s">
        <v>108</v>
      </c>
      <c r="F183" s="75" t="s">
        <v>1915</v>
      </c>
      <c r="G183" s="57" t="s">
        <v>2249</v>
      </c>
    </row>
    <row r="184" spans="1:7">
      <c r="A184" s="57" t="s">
        <v>2337</v>
      </c>
      <c r="B184" s="57" t="s">
        <v>2248</v>
      </c>
      <c r="C184" s="57" t="s">
        <v>2338</v>
      </c>
      <c r="D184" s="57" t="s">
        <v>2310</v>
      </c>
      <c r="E184" s="75" t="s">
        <v>2339</v>
      </c>
      <c r="F184" s="57" t="s">
        <v>1908</v>
      </c>
      <c r="G184" s="57" t="s">
        <v>2120</v>
      </c>
    </row>
    <row r="185" spans="1:7" ht="17.25">
      <c r="A185" s="76" t="s">
        <v>2340</v>
      </c>
      <c r="B185" s="76"/>
      <c r="C185" s="76"/>
      <c r="D185" s="76"/>
      <c r="E185" s="77"/>
      <c r="F185" s="76"/>
      <c r="G185" s="76"/>
    </row>
    <row r="186" spans="1:7">
      <c r="A186" s="57" t="s">
        <v>2251</v>
      </c>
      <c r="B186" s="57" t="s">
        <v>2252</v>
      </c>
      <c r="C186" s="57" t="s">
        <v>108</v>
      </c>
      <c r="D186" s="57" t="s">
        <v>2310</v>
      </c>
      <c r="E186" s="75" t="s">
        <v>108</v>
      </c>
      <c r="F186" s="75" t="s">
        <v>1915</v>
      </c>
      <c r="G186" s="57" t="s">
        <v>2120</v>
      </c>
    </row>
    <row r="187" spans="1:7">
      <c r="A187" s="57" t="s">
        <v>2253</v>
      </c>
      <c r="B187" s="57" t="s">
        <v>2252</v>
      </c>
      <c r="C187" s="57" t="s">
        <v>2193</v>
      </c>
      <c r="D187" s="57" t="s">
        <v>2310</v>
      </c>
      <c r="E187" s="75" t="s">
        <v>2193</v>
      </c>
      <c r="F187" s="75" t="s">
        <v>1915</v>
      </c>
      <c r="G187" s="57" t="s">
        <v>2254</v>
      </c>
    </row>
    <row r="188" spans="1:7">
      <c r="A188" s="57" t="s">
        <v>2255</v>
      </c>
      <c r="B188" s="57" t="s">
        <v>2256</v>
      </c>
      <c r="C188" s="57" t="s">
        <v>2257</v>
      </c>
      <c r="D188" s="57" t="s">
        <v>2310</v>
      </c>
      <c r="E188" s="75" t="s">
        <v>108</v>
      </c>
      <c r="F188" s="75" t="s">
        <v>1915</v>
      </c>
      <c r="G188" s="57" t="s">
        <v>2120</v>
      </c>
    </row>
    <row r="189" spans="1:7">
      <c r="A189" s="57" t="s">
        <v>2258</v>
      </c>
      <c r="B189" s="57" t="s">
        <v>2259</v>
      </c>
      <c r="C189" s="57" t="s">
        <v>2260</v>
      </c>
      <c r="D189" s="57" t="s">
        <v>2310</v>
      </c>
      <c r="E189" s="75" t="s">
        <v>108</v>
      </c>
      <c r="F189" s="75" t="s">
        <v>1915</v>
      </c>
      <c r="G189" s="57" t="s">
        <v>2261</v>
      </c>
    </row>
    <row r="190" spans="1:7">
      <c r="A190" s="57" t="s">
        <v>2262</v>
      </c>
      <c r="B190" s="57" t="s">
        <v>2259</v>
      </c>
      <c r="C190" s="57" t="s">
        <v>2147</v>
      </c>
      <c r="D190" s="57" t="s">
        <v>2310</v>
      </c>
      <c r="E190" s="75" t="s">
        <v>108</v>
      </c>
      <c r="F190" s="75" t="s">
        <v>1915</v>
      </c>
      <c r="G190" s="57" t="s">
        <v>2263</v>
      </c>
    </row>
    <row r="191" spans="1:7">
      <c r="A191" s="57" t="s">
        <v>2264</v>
      </c>
      <c r="B191" s="57" t="s">
        <v>2252</v>
      </c>
      <c r="C191" s="57" t="s">
        <v>2265</v>
      </c>
      <c r="D191" s="57" t="s">
        <v>2310</v>
      </c>
      <c r="E191" s="75" t="s">
        <v>108</v>
      </c>
      <c r="F191" s="75" t="s">
        <v>1915</v>
      </c>
      <c r="G191" s="57" t="s">
        <v>2120</v>
      </c>
    </row>
    <row r="192" spans="1:7">
      <c r="A192" s="57" t="s">
        <v>2266</v>
      </c>
      <c r="B192" s="57" t="s">
        <v>2252</v>
      </c>
      <c r="C192" s="57" t="s">
        <v>2267</v>
      </c>
      <c r="D192" s="57" t="s">
        <v>2310</v>
      </c>
      <c r="E192" s="75" t="s">
        <v>108</v>
      </c>
      <c r="F192" s="75" t="s">
        <v>1915</v>
      </c>
      <c r="G192" s="57" t="s">
        <v>2268</v>
      </c>
    </row>
    <row r="193" spans="1:7">
      <c r="A193" s="57" t="s">
        <v>2269</v>
      </c>
      <c r="B193" s="57" t="s">
        <v>2252</v>
      </c>
      <c r="C193" s="57" t="s">
        <v>2270</v>
      </c>
      <c r="D193" s="57" t="s">
        <v>2310</v>
      </c>
      <c r="E193" s="75" t="s">
        <v>108</v>
      </c>
      <c r="F193" s="75" t="s">
        <v>1915</v>
      </c>
      <c r="G193" s="57" t="s">
        <v>2120</v>
      </c>
    </row>
    <row r="194" spans="1:7" ht="17.25">
      <c r="A194" s="76" t="s">
        <v>2341</v>
      </c>
      <c r="B194" s="76"/>
      <c r="C194" s="76"/>
      <c r="D194" s="76"/>
      <c r="E194" s="77"/>
      <c r="F194" s="76"/>
      <c r="G194" s="76"/>
    </row>
    <row r="195" spans="1:7">
      <c r="A195" s="57" t="s">
        <v>2342</v>
      </c>
      <c r="B195" s="57"/>
      <c r="C195" s="57" t="s">
        <v>2309</v>
      </c>
      <c r="D195" s="57" t="s">
        <v>2310</v>
      </c>
      <c r="E195" s="75" t="s">
        <v>2311</v>
      </c>
      <c r="F195" s="57" t="s">
        <v>1908</v>
      </c>
      <c r="G195" s="57" t="s">
        <v>2343</v>
      </c>
    </row>
    <row r="196" spans="1:7">
      <c r="A196" s="57" t="s">
        <v>2272</v>
      </c>
      <c r="B196" s="57" t="s">
        <v>2273</v>
      </c>
      <c r="C196" s="57" t="s">
        <v>2274</v>
      </c>
      <c r="D196" s="57" t="s">
        <v>2310</v>
      </c>
      <c r="E196" s="75" t="s">
        <v>108</v>
      </c>
      <c r="F196" s="75" t="s">
        <v>1915</v>
      </c>
      <c r="G196" s="57" t="s">
        <v>2275</v>
      </c>
    </row>
    <row r="197" spans="1:7">
      <c r="A197" s="57" t="s">
        <v>2276</v>
      </c>
      <c r="B197" s="57" t="s">
        <v>2248</v>
      </c>
      <c r="C197" s="57" t="s">
        <v>2277</v>
      </c>
      <c r="D197" s="57" t="s">
        <v>2310</v>
      </c>
      <c r="E197" s="75" t="s">
        <v>108</v>
      </c>
      <c r="F197" s="75" t="s">
        <v>1915</v>
      </c>
      <c r="G197" s="57" t="s">
        <v>2278</v>
      </c>
    </row>
    <row r="198" spans="1:7">
      <c r="A198" s="57" t="s">
        <v>2279</v>
      </c>
      <c r="B198" s="57" t="s">
        <v>2280</v>
      </c>
      <c r="C198" s="57" t="s">
        <v>2281</v>
      </c>
      <c r="D198" s="57" t="s">
        <v>2310</v>
      </c>
      <c r="E198" s="75" t="s">
        <v>108</v>
      </c>
      <c r="F198" s="75" t="s">
        <v>1915</v>
      </c>
      <c r="G198" s="57" t="s">
        <v>2282</v>
      </c>
    </row>
    <row r="199" spans="1:7">
      <c r="A199" s="57" t="s">
        <v>2283</v>
      </c>
      <c r="B199" s="57" t="s">
        <v>2273</v>
      </c>
      <c r="C199" s="57" t="s">
        <v>108</v>
      </c>
      <c r="D199" s="57" t="s">
        <v>2310</v>
      </c>
      <c r="E199" s="75" t="s">
        <v>108</v>
      </c>
      <c r="F199" s="75" t="s">
        <v>1915</v>
      </c>
      <c r="G199" s="57" t="s">
        <v>2284</v>
      </c>
    </row>
    <row r="200" spans="1:7">
      <c r="A200" s="57" t="s">
        <v>2344</v>
      </c>
      <c r="B200" s="57" t="s">
        <v>2273</v>
      </c>
      <c r="C200" s="57" t="s">
        <v>2309</v>
      </c>
      <c r="D200" s="57" t="s">
        <v>2310</v>
      </c>
      <c r="E200" s="75" t="s">
        <v>2311</v>
      </c>
      <c r="F200" s="57" t="s">
        <v>1908</v>
      </c>
      <c r="G200" s="57" t="s">
        <v>2345</v>
      </c>
    </row>
    <row r="201" spans="1:7">
      <c r="A201" s="57" t="s">
        <v>2285</v>
      </c>
      <c r="B201" s="57"/>
      <c r="C201" s="57" t="s">
        <v>2135</v>
      </c>
      <c r="D201" s="57" t="s">
        <v>2310</v>
      </c>
      <c r="E201" s="75" t="s">
        <v>2318</v>
      </c>
      <c r="F201" s="57" t="s">
        <v>1908</v>
      </c>
      <c r="G201" s="57" t="s">
        <v>2120</v>
      </c>
    </row>
    <row r="202" spans="1:7">
      <c r="A202" s="57" t="s">
        <v>2286</v>
      </c>
      <c r="B202" s="57"/>
      <c r="C202" s="57" t="s">
        <v>108</v>
      </c>
      <c r="D202" s="57" t="s">
        <v>2310</v>
      </c>
      <c r="E202" s="75" t="s">
        <v>108</v>
      </c>
      <c r="F202" s="75" t="s">
        <v>1915</v>
      </c>
      <c r="G202" s="57" t="s">
        <v>2120</v>
      </c>
    </row>
    <row r="203" spans="1:7">
      <c r="A203" s="57" t="s">
        <v>2287</v>
      </c>
      <c r="B203" s="57" t="s">
        <v>2273</v>
      </c>
      <c r="C203" s="57" t="s">
        <v>2288</v>
      </c>
      <c r="D203" s="57" t="s">
        <v>2310</v>
      </c>
      <c r="E203" s="75" t="s">
        <v>2288</v>
      </c>
      <c r="F203" s="75" t="s">
        <v>1915</v>
      </c>
      <c r="G203" s="57" t="s">
        <v>2289</v>
      </c>
    </row>
    <row r="204" spans="1:7" ht="17.25">
      <c r="A204" s="76" t="s">
        <v>2346</v>
      </c>
      <c r="B204" s="76"/>
      <c r="C204" s="76"/>
      <c r="D204" s="76"/>
      <c r="E204" s="77"/>
      <c r="F204" s="76"/>
      <c r="G204" s="76"/>
    </row>
    <row r="205" spans="1:7">
      <c r="A205" s="57" t="s">
        <v>2291</v>
      </c>
      <c r="B205" s="57"/>
      <c r="C205" s="57" t="s">
        <v>2135</v>
      </c>
      <c r="D205" s="57" t="s">
        <v>2310</v>
      </c>
      <c r="E205" s="75" t="s">
        <v>2318</v>
      </c>
      <c r="F205" s="57" t="s">
        <v>1908</v>
      </c>
      <c r="G205" s="57" t="s">
        <v>2292</v>
      </c>
    </row>
    <row r="206" spans="1:7">
      <c r="A206" s="57" t="s">
        <v>2293</v>
      </c>
      <c r="B206" s="57" t="s">
        <v>2294</v>
      </c>
      <c r="C206" s="57" t="s">
        <v>2295</v>
      </c>
      <c r="D206" s="57" t="s">
        <v>2310</v>
      </c>
      <c r="E206" s="75" t="s">
        <v>108</v>
      </c>
      <c r="F206" s="75" t="s">
        <v>1915</v>
      </c>
      <c r="G206" s="57" t="s">
        <v>2296</v>
      </c>
    </row>
    <row r="207" spans="1:7">
      <c r="A207" s="57" t="s">
        <v>2297</v>
      </c>
      <c r="B207" s="57" t="s">
        <v>2298</v>
      </c>
      <c r="C207" s="57" t="s">
        <v>108</v>
      </c>
      <c r="D207" s="57" t="s">
        <v>2310</v>
      </c>
      <c r="E207" s="75" t="s">
        <v>108</v>
      </c>
      <c r="F207" s="75" t="s">
        <v>1915</v>
      </c>
      <c r="G207" s="57" t="s">
        <v>2299</v>
      </c>
    </row>
    <row r="208" spans="1:7">
      <c r="A208" s="57" t="s">
        <v>2300</v>
      </c>
      <c r="B208" s="57" t="s">
        <v>2294</v>
      </c>
      <c r="C208" s="57" t="s">
        <v>108</v>
      </c>
      <c r="D208" s="57" t="s">
        <v>2310</v>
      </c>
      <c r="E208" s="75" t="s">
        <v>108</v>
      </c>
      <c r="F208" s="75" t="s">
        <v>1915</v>
      </c>
      <c r="G208" s="57" t="s">
        <v>2299</v>
      </c>
    </row>
    <row r="209" spans="1:7">
      <c r="A209" s="57" t="s">
        <v>2301</v>
      </c>
      <c r="B209" s="57" t="s">
        <v>2302</v>
      </c>
      <c r="C209" s="57" t="s">
        <v>2193</v>
      </c>
      <c r="D209" s="57" t="s">
        <v>2310</v>
      </c>
      <c r="E209" s="75" t="s">
        <v>2193</v>
      </c>
      <c r="F209" s="75" t="s">
        <v>1915</v>
      </c>
      <c r="G209" s="57" t="s">
        <v>2303</v>
      </c>
    </row>
    <row r="210" spans="1:7">
      <c r="A210" s="57" t="s">
        <v>2304</v>
      </c>
      <c r="B210" s="57" t="s">
        <v>2305</v>
      </c>
      <c r="C210" s="57" t="s">
        <v>2257</v>
      </c>
      <c r="D210" s="57" t="s">
        <v>2310</v>
      </c>
      <c r="E210" s="75" t="s">
        <v>108</v>
      </c>
      <c r="F210" s="75" t="s">
        <v>1915</v>
      </c>
      <c r="G210" s="57" t="s">
        <v>2306</v>
      </c>
    </row>
    <row r="211" spans="1:7">
      <c r="A211" s="58" t="s">
        <v>2347</v>
      </c>
      <c r="B211" s="58" t="s">
        <v>2213</v>
      </c>
      <c r="C211" s="58" t="s">
        <v>2348</v>
      </c>
      <c r="D211" s="58" t="s">
        <v>2310</v>
      </c>
      <c r="E211" s="59" t="s">
        <v>2348</v>
      </c>
      <c r="F211" s="59" t="s">
        <v>2349</v>
      </c>
      <c r="G211" s="58" t="s">
        <v>2296</v>
      </c>
    </row>
    <row r="212" spans="1:7" ht="17.25">
      <c r="A212" s="76" t="s">
        <v>2350</v>
      </c>
      <c r="B212" s="76"/>
      <c r="C212" s="76"/>
      <c r="D212" s="76"/>
      <c r="E212" s="77"/>
      <c r="F212" s="76"/>
      <c r="G212" s="76"/>
    </row>
    <row r="213" spans="1:7">
      <c r="A213" s="58" t="s">
        <v>2114</v>
      </c>
      <c r="B213" s="58" t="s">
        <v>2115</v>
      </c>
      <c r="C213" s="58" t="s">
        <v>1559</v>
      </c>
      <c r="D213" s="58" t="s">
        <v>2351</v>
      </c>
      <c r="E213" s="59" t="s">
        <v>1559</v>
      </c>
      <c r="F213" s="59" t="s">
        <v>2349</v>
      </c>
      <c r="G213" s="58" t="s">
        <v>2117</v>
      </c>
    </row>
    <row r="214" spans="1:7">
      <c r="A214" s="58" t="s">
        <v>2352</v>
      </c>
      <c r="B214" s="58"/>
      <c r="C214" s="58" t="s">
        <v>1201</v>
      </c>
      <c r="D214" s="58" t="s">
        <v>2351</v>
      </c>
      <c r="E214" s="59" t="s">
        <v>1201</v>
      </c>
      <c r="F214" s="59" t="s">
        <v>2349</v>
      </c>
      <c r="G214" s="58" t="s">
        <v>2120</v>
      </c>
    </row>
    <row r="215" spans="1:7">
      <c r="A215" s="58" t="s">
        <v>2118</v>
      </c>
      <c r="B215" s="58"/>
      <c r="C215" s="58" t="s">
        <v>2119</v>
      </c>
      <c r="D215" s="58" t="s">
        <v>2351</v>
      </c>
      <c r="E215" s="59" t="s">
        <v>2353</v>
      </c>
      <c r="F215" s="59" t="s">
        <v>2349</v>
      </c>
      <c r="G215" s="58" t="s">
        <v>2120</v>
      </c>
    </row>
    <row r="216" spans="1:7">
      <c r="A216" s="58" t="s">
        <v>2121</v>
      </c>
      <c r="B216" s="58" t="s">
        <v>2122</v>
      </c>
      <c r="C216" s="58" t="s">
        <v>108</v>
      </c>
      <c r="D216" s="58" t="s">
        <v>2351</v>
      </c>
      <c r="E216" s="59" t="s">
        <v>108</v>
      </c>
      <c r="F216" s="59" t="s">
        <v>2349</v>
      </c>
      <c r="G216" s="58" t="s">
        <v>2120</v>
      </c>
    </row>
    <row r="217" spans="1:7">
      <c r="A217" s="58" t="s">
        <v>2123</v>
      </c>
      <c r="B217" s="58" t="s">
        <v>2124</v>
      </c>
      <c r="C217" s="58" t="s">
        <v>108</v>
      </c>
      <c r="D217" s="58" t="s">
        <v>2351</v>
      </c>
      <c r="E217" s="59" t="s">
        <v>108</v>
      </c>
      <c r="F217" s="59" t="s">
        <v>2349</v>
      </c>
      <c r="G217" s="58" t="s">
        <v>2125</v>
      </c>
    </row>
    <row r="218" spans="1:7">
      <c r="A218" s="58" t="s">
        <v>2126</v>
      </c>
      <c r="B218" s="58"/>
      <c r="C218" s="58" t="s">
        <v>108</v>
      </c>
      <c r="D218" s="58" t="s">
        <v>2351</v>
      </c>
      <c r="E218" s="59" t="s">
        <v>108</v>
      </c>
      <c r="F218" s="59" t="s">
        <v>2349</v>
      </c>
      <c r="G218" s="58" t="s">
        <v>2120</v>
      </c>
    </row>
    <row r="219" spans="1:7" ht="17.25">
      <c r="A219" s="76" t="s">
        <v>2354</v>
      </c>
      <c r="B219" s="76"/>
      <c r="C219" s="76"/>
      <c r="D219" s="76"/>
      <c r="E219" s="77"/>
      <c r="F219" s="76"/>
      <c r="G219" s="76"/>
    </row>
    <row r="220" spans="1:7">
      <c r="A220" s="58" t="s">
        <v>2128</v>
      </c>
      <c r="B220" s="58" t="s">
        <v>2129</v>
      </c>
      <c r="C220" s="58" t="s">
        <v>108</v>
      </c>
      <c r="D220" s="58" t="s">
        <v>2351</v>
      </c>
      <c r="E220" s="59" t="s">
        <v>108</v>
      </c>
      <c r="F220" s="59" t="s">
        <v>2349</v>
      </c>
      <c r="G220" s="58" t="s">
        <v>2120</v>
      </c>
    </row>
    <row r="221" spans="1:7">
      <c r="A221" s="58" t="s">
        <v>2130</v>
      </c>
      <c r="B221" s="58" t="s">
        <v>2131</v>
      </c>
      <c r="C221" s="58" t="s">
        <v>108</v>
      </c>
      <c r="D221" s="58" t="s">
        <v>2351</v>
      </c>
      <c r="E221" s="59" t="s">
        <v>108</v>
      </c>
      <c r="F221" s="59" t="s">
        <v>2349</v>
      </c>
      <c r="G221" s="58" t="s">
        <v>2132</v>
      </c>
    </row>
    <row r="222" spans="1:7">
      <c r="A222" s="58" t="s">
        <v>2133</v>
      </c>
      <c r="B222" s="58" t="s">
        <v>2131</v>
      </c>
      <c r="C222" s="58" t="s">
        <v>108</v>
      </c>
      <c r="D222" s="58" t="s">
        <v>2351</v>
      </c>
      <c r="E222" s="59" t="s">
        <v>108</v>
      </c>
      <c r="F222" s="59" t="s">
        <v>2349</v>
      </c>
      <c r="G222" s="58" t="s">
        <v>2120</v>
      </c>
    </row>
    <row r="223" spans="1:7">
      <c r="A223" s="57" t="s">
        <v>2134</v>
      </c>
      <c r="B223" s="57"/>
      <c r="C223" s="57" t="s">
        <v>2135</v>
      </c>
      <c r="D223" s="57" t="s">
        <v>2351</v>
      </c>
      <c r="E223" s="75" t="s">
        <v>2355</v>
      </c>
      <c r="F223" s="57" t="s">
        <v>1933</v>
      </c>
      <c r="G223" s="57" t="s">
        <v>2137</v>
      </c>
    </row>
    <row r="224" spans="1:7">
      <c r="A224" s="58" t="s">
        <v>2138</v>
      </c>
      <c r="B224" s="58" t="s">
        <v>2139</v>
      </c>
      <c r="C224" s="58" t="s">
        <v>108</v>
      </c>
      <c r="D224" s="58" t="s">
        <v>2351</v>
      </c>
      <c r="E224" s="59" t="s">
        <v>108</v>
      </c>
      <c r="F224" s="59" t="s">
        <v>2349</v>
      </c>
      <c r="G224" s="58" t="s">
        <v>2140</v>
      </c>
    </row>
    <row r="225" spans="1:7" ht="17.25">
      <c r="A225" s="76" t="s">
        <v>2356</v>
      </c>
      <c r="B225" s="76"/>
      <c r="C225" s="76"/>
      <c r="D225" s="76"/>
      <c r="E225" s="77"/>
      <c r="F225" s="76"/>
      <c r="G225" s="76"/>
    </row>
    <row r="226" spans="1:7">
      <c r="A226" s="58" t="s">
        <v>2142</v>
      </c>
      <c r="B226" s="58" t="s">
        <v>2143</v>
      </c>
      <c r="C226" s="58" t="s">
        <v>108</v>
      </c>
      <c r="D226" s="58" t="s">
        <v>2351</v>
      </c>
      <c r="E226" s="59" t="s">
        <v>108</v>
      </c>
      <c r="F226" s="59" t="s">
        <v>2349</v>
      </c>
      <c r="G226" s="58" t="s">
        <v>2120</v>
      </c>
    </row>
    <row r="227" spans="1:7">
      <c r="A227" s="58" t="s">
        <v>2144</v>
      </c>
      <c r="B227" s="58" t="s">
        <v>2143</v>
      </c>
      <c r="C227" s="58" t="s">
        <v>2145</v>
      </c>
      <c r="D227" s="58" t="s">
        <v>2351</v>
      </c>
      <c r="E227" s="59" t="s">
        <v>108</v>
      </c>
      <c r="F227" s="59" t="s">
        <v>2349</v>
      </c>
      <c r="G227" s="58" t="s">
        <v>2120</v>
      </c>
    </row>
    <row r="228" spans="1:7">
      <c r="A228" s="58" t="s">
        <v>2146</v>
      </c>
      <c r="B228" s="58" t="s">
        <v>2143</v>
      </c>
      <c r="C228" s="58" t="s">
        <v>2147</v>
      </c>
      <c r="D228" s="58" t="s">
        <v>2351</v>
      </c>
      <c r="E228" s="59" t="s">
        <v>108</v>
      </c>
      <c r="F228" s="59" t="s">
        <v>2349</v>
      </c>
      <c r="G228" s="58" t="s">
        <v>2148</v>
      </c>
    </row>
    <row r="229" spans="1:7">
      <c r="A229" s="58" t="s">
        <v>2149</v>
      </c>
      <c r="B229" s="58" t="s">
        <v>2143</v>
      </c>
      <c r="C229" s="58" t="s">
        <v>108</v>
      </c>
      <c r="D229" s="58" t="s">
        <v>2351</v>
      </c>
      <c r="E229" s="59" t="s">
        <v>108</v>
      </c>
      <c r="F229" s="59" t="s">
        <v>2349</v>
      </c>
      <c r="G229" s="58" t="s">
        <v>2120</v>
      </c>
    </row>
    <row r="230" spans="1:7" ht="17.25">
      <c r="A230" s="76" t="s">
        <v>2357</v>
      </c>
      <c r="B230" s="76"/>
      <c r="C230" s="76"/>
      <c r="D230" s="76"/>
      <c r="E230" s="77"/>
      <c r="F230" s="76"/>
      <c r="G230" s="76"/>
    </row>
    <row r="231" spans="1:7">
      <c r="A231" s="58" t="s">
        <v>2151</v>
      </c>
      <c r="B231" s="58" t="s">
        <v>2152</v>
      </c>
      <c r="C231" s="58" t="s">
        <v>2153</v>
      </c>
      <c r="D231" s="58" t="s">
        <v>2351</v>
      </c>
      <c r="E231" s="59" t="s">
        <v>108</v>
      </c>
      <c r="F231" s="59" t="s">
        <v>2349</v>
      </c>
      <c r="G231" s="58" t="s">
        <v>2120</v>
      </c>
    </row>
    <row r="232" spans="1:7">
      <c r="A232" s="58" t="s">
        <v>2358</v>
      </c>
      <c r="B232" s="58"/>
      <c r="C232" s="58" t="s">
        <v>543</v>
      </c>
      <c r="D232" s="58" t="s">
        <v>2351</v>
      </c>
      <c r="E232" s="59" t="s">
        <v>543</v>
      </c>
      <c r="F232" s="59" t="s">
        <v>2349</v>
      </c>
      <c r="G232" s="58" t="s">
        <v>2359</v>
      </c>
    </row>
    <row r="233" spans="1:7">
      <c r="A233" s="58" t="s">
        <v>2360</v>
      </c>
      <c r="B233" s="58" t="s">
        <v>2155</v>
      </c>
      <c r="C233" s="58" t="s">
        <v>543</v>
      </c>
      <c r="D233" s="58" t="s">
        <v>2351</v>
      </c>
      <c r="E233" s="59" t="s">
        <v>543</v>
      </c>
      <c r="F233" s="59" t="s">
        <v>2349</v>
      </c>
      <c r="G233" s="58" t="s">
        <v>2361</v>
      </c>
    </row>
    <row r="234" spans="1:7">
      <c r="A234" s="58" t="s">
        <v>2154</v>
      </c>
      <c r="B234" s="58" t="s">
        <v>2155</v>
      </c>
      <c r="C234" s="58" t="s">
        <v>108</v>
      </c>
      <c r="D234" s="58" t="s">
        <v>2351</v>
      </c>
      <c r="E234" s="59" t="s">
        <v>108</v>
      </c>
      <c r="F234" s="59" t="s">
        <v>2349</v>
      </c>
      <c r="G234" s="58" t="s">
        <v>2120</v>
      </c>
    </row>
    <row r="235" spans="1:7">
      <c r="A235" s="58" t="s">
        <v>2156</v>
      </c>
      <c r="B235" s="58" t="s">
        <v>2152</v>
      </c>
      <c r="C235" s="58" t="s">
        <v>2157</v>
      </c>
      <c r="D235" s="58" t="s">
        <v>2351</v>
      </c>
      <c r="E235" s="59" t="s">
        <v>108</v>
      </c>
      <c r="F235" s="59" t="s">
        <v>2349</v>
      </c>
      <c r="G235" s="58" t="s">
        <v>2120</v>
      </c>
    </row>
    <row r="236" spans="1:7">
      <c r="A236" s="58" t="s">
        <v>2158</v>
      </c>
      <c r="B236" s="58" t="s">
        <v>2155</v>
      </c>
      <c r="C236" s="58" t="s">
        <v>2159</v>
      </c>
      <c r="D236" s="58" t="s">
        <v>2351</v>
      </c>
      <c r="E236" s="59" t="s">
        <v>1559</v>
      </c>
      <c r="F236" s="59" t="s">
        <v>2349</v>
      </c>
      <c r="G236" s="58" t="s">
        <v>2160</v>
      </c>
    </row>
    <row r="237" spans="1:7">
      <c r="A237" s="58" t="s">
        <v>2161</v>
      </c>
      <c r="B237" s="58" t="s">
        <v>2162</v>
      </c>
      <c r="C237" s="58" t="s">
        <v>108</v>
      </c>
      <c r="D237" s="58" t="s">
        <v>2351</v>
      </c>
      <c r="E237" s="59" t="s">
        <v>108</v>
      </c>
      <c r="F237" s="59" t="s">
        <v>2349</v>
      </c>
      <c r="G237" s="58" t="s">
        <v>2163</v>
      </c>
    </row>
    <row r="238" spans="1:7">
      <c r="A238" s="58" t="s">
        <v>2164</v>
      </c>
      <c r="B238" s="58" t="s">
        <v>2162</v>
      </c>
      <c r="C238" s="58" t="s">
        <v>108</v>
      </c>
      <c r="D238" s="58" t="s">
        <v>2351</v>
      </c>
      <c r="E238" s="59" t="s">
        <v>108</v>
      </c>
      <c r="F238" s="59" t="s">
        <v>2349</v>
      </c>
      <c r="G238" s="58" t="s">
        <v>2120</v>
      </c>
    </row>
    <row r="239" spans="1:7" ht="17.25">
      <c r="A239" s="76" t="s">
        <v>2362</v>
      </c>
      <c r="B239" s="76"/>
      <c r="C239" s="76"/>
      <c r="D239" s="76"/>
      <c r="E239" s="77"/>
      <c r="F239" s="76"/>
      <c r="G239" s="76"/>
    </row>
    <row r="240" spans="1:7">
      <c r="A240" s="58" t="s">
        <v>2166</v>
      </c>
      <c r="B240" s="58" t="s">
        <v>2167</v>
      </c>
      <c r="C240" s="58" t="s">
        <v>108</v>
      </c>
      <c r="D240" s="58" t="s">
        <v>2351</v>
      </c>
      <c r="E240" s="59" t="s">
        <v>108</v>
      </c>
      <c r="F240" s="59" t="s">
        <v>2349</v>
      </c>
      <c r="G240" s="58" t="s">
        <v>2168</v>
      </c>
    </row>
    <row r="241" spans="1:7">
      <c r="A241" s="57" t="s">
        <v>2169</v>
      </c>
      <c r="B241" s="57" t="s">
        <v>2129</v>
      </c>
      <c r="C241" s="57" t="s">
        <v>2170</v>
      </c>
      <c r="D241" s="57" t="s">
        <v>2351</v>
      </c>
      <c r="E241" s="75" t="s">
        <v>2355</v>
      </c>
      <c r="F241" s="57" t="s">
        <v>1933</v>
      </c>
      <c r="G241" s="57" t="s">
        <v>2120</v>
      </c>
    </row>
    <row r="242" spans="1:7">
      <c r="A242" s="57" t="s">
        <v>2171</v>
      </c>
      <c r="B242" s="57" t="s">
        <v>2129</v>
      </c>
      <c r="C242" s="57" t="s">
        <v>2135</v>
      </c>
      <c r="D242" s="57" t="s">
        <v>2351</v>
      </c>
      <c r="E242" s="75" t="s">
        <v>2355</v>
      </c>
      <c r="F242" s="57" t="s">
        <v>1933</v>
      </c>
      <c r="G242" s="57" t="s">
        <v>2120</v>
      </c>
    </row>
    <row r="243" spans="1:7">
      <c r="A243" s="57" t="s">
        <v>2172</v>
      </c>
      <c r="B243" s="57" t="s">
        <v>2129</v>
      </c>
      <c r="C243" s="57" t="s">
        <v>2135</v>
      </c>
      <c r="D243" s="57" t="s">
        <v>2351</v>
      </c>
      <c r="E243" s="75" t="s">
        <v>2355</v>
      </c>
      <c r="F243" s="57" t="s">
        <v>1933</v>
      </c>
      <c r="G243" s="57" t="s">
        <v>2120</v>
      </c>
    </row>
    <row r="244" spans="1:7">
      <c r="A244" s="57" t="s">
        <v>2173</v>
      </c>
      <c r="B244" s="57" t="s">
        <v>2174</v>
      </c>
      <c r="C244" s="57" t="s">
        <v>2135</v>
      </c>
      <c r="D244" s="57" t="s">
        <v>2351</v>
      </c>
      <c r="E244" s="75" t="s">
        <v>2355</v>
      </c>
      <c r="F244" s="57" t="s">
        <v>1933</v>
      </c>
      <c r="G244" s="57" t="s">
        <v>2120</v>
      </c>
    </row>
    <row r="245" spans="1:7">
      <c r="A245" s="57" t="s">
        <v>2175</v>
      </c>
      <c r="B245" s="57"/>
      <c r="C245" s="57" t="s">
        <v>2135</v>
      </c>
      <c r="D245" s="57" t="s">
        <v>2351</v>
      </c>
      <c r="E245" s="75" t="s">
        <v>2355</v>
      </c>
      <c r="F245" s="57" t="s">
        <v>1933</v>
      </c>
      <c r="G245" s="57" t="s">
        <v>2120</v>
      </c>
    </row>
    <row r="246" spans="1:7">
      <c r="A246" s="57" t="s">
        <v>2176</v>
      </c>
      <c r="B246" s="57"/>
      <c r="C246" s="57" t="s">
        <v>2135</v>
      </c>
      <c r="D246" s="57" t="s">
        <v>2351</v>
      </c>
      <c r="E246" s="75" t="s">
        <v>2355</v>
      </c>
      <c r="F246" s="57" t="s">
        <v>1933</v>
      </c>
      <c r="G246" s="57" t="s">
        <v>2120</v>
      </c>
    </row>
    <row r="247" spans="1:7">
      <c r="A247" s="57" t="s">
        <v>2177</v>
      </c>
      <c r="B247" s="57"/>
      <c r="C247" s="57" t="s">
        <v>2135</v>
      </c>
      <c r="D247" s="57" t="s">
        <v>2351</v>
      </c>
      <c r="E247" s="75" t="s">
        <v>2355</v>
      </c>
      <c r="F247" s="57" t="s">
        <v>1933</v>
      </c>
      <c r="G247" s="57" t="s">
        <v>2120</v>
      </c>
    </row>
    <row r="248" spans="1:7" ht="17.25">
      <c r="A248" s="76" t="s">
        <v>2363</v>
      </c>
      <c r="B248" s="76"/>
      <c r="C248" s="76"/>
      <c r="D248" s="76"/>
      <c r="E248" s="77"/>
      <c r="F248" s="76"/>
      <c r="G248" s="76"/>
    </row>
    <row r="249" spans="1:7">
      <c r="A249" s="58" t="s">
        <v>2179</v>
      </c>
      <c r="B249" s="58" t="s">
        <v>2180</v>
      </c>
      <c r="C249" s="58" t="s">
        <v>108</v>
      </c>
      <c r="D249" s="58" t="s">
        <v>2351</v>
      </c>
      <c r="E249" s="59" t="s">
        <v>108</v>
      </c>
      <c r="F249" s="59" t="s">
        <v>2349</v>
      </c>
      <c r="G249" s="58" t="s">
        <v>2120</v>
      </c>
    </row>
    <row r="250" spans="1:7">
      <c r="A250" s="58" t="s">
        <v>2181</v>
      </c>
      <c r="B250" s="58" t="s">
        <v>2182</v>
      </c>
      <c r="C250" s="58" t="s">
        <v>108</v>
      </c>
      <c r="D250" s="58" t="s">
        <v>2351</v>
      </c>
      <c r="E250" s="59" t="s">
        <v>108</v>
      </c>
      <c r="F250" s="59" t="s">
        <v>2349</v>
      </c>
      <c r="G250" s="58" t="s">
        <v>2120</v>
      </c>
    </row>
    <row r="251" spans="1:7">
      <c r="A251" s="58" t="s">
        <v>2183</v>
      </c>
      <c r="B251" s="58" t="s">
        <v>2182</v>
      </c>
      <c r="C251" s="58" t="s">
        <v>2184</v>
      </c>
      <c r="D251" s="58" t="s">
        <v>2351</v>
      </c>
      <c r="E251" s="59" t="s">
        <v>108</v>
      </c>
      <c r="F251" s="59" t="s">
        <v>2349</v>
      </c>
      <c r="G251" s="58" t="s">
        <v>2185</v>
      </c>
    </row>
    <row r="252" spans="1:7">
      <c r="A252" s="58" t="s">
        <v>2186</v>
      </c>
      <c r="B252" s="58" t="s">
        <v>2187</v>
      </c>
      <c r="C252" s="58" t="s">
        <v>108</v>
      </c>
      <c r="D252" s="58" t="s">
        <v>2351</v>
      </c>
      <c r="E252" s="59" t="s">
        <v>108</v>
      </c>
      <c r="F252" s="59" t="s">
        <v>2349</v>
      </c>
      <c r="G252" s="58" t="s">
        <v>2120</v>
      </c>
    </row>
    <row r="253" spans="1:7">
      <c r="A253" s="58" t="s">
        <v>2188</v>
      </c>
      <c r="B253" s="58"/>
      <c r="C253" s="58" t="s">
        <v>2189</v>
      </c>
      <c r="D253" s="58" t="s">
        <v>2351</v>
      </c>
      <c r="E253" s="59" t="s">
        <v>108</v>
      </c>
      <c r="F253" s="59" t="s">
        <v>2349</v>
      </c>
      <c r="G253" s="58" t="s">
        <v>2120</v>
      </c>
    </row>
    <row r="254" spans="1:7">
      <c r="A254" s="57" t="s">
        <v>2190</v>
      </c>
      <c r="B254" s="57"/>
      <c r="C254" s="57" t="s">
        <v>2135</v>
      </c>
      <c r="D254" s="57" t="s">
        <v>2351</v>
      </c>
      <c r="E254" s="75" t="s">
        <v>2355</v>
      </c>
      <c r="F254" s="57" t="s">
        <v>1933</v>
      </c>
      <c r="G254" s="57" t="s">
        <v>2120</v>
      </c>
    </row>
    <row r="255" spans="1:7">
      <c r="A255" s="57" t="s">
        <v>2191</v>
      </c>
      <c r="B255" s="57"/>
      <c r="C255" s="57" t="s">
        <v>2135</v>
      </c>
      <c r="D255" s="57" t="s">
        <v>2351</v>
      </c>
      <c r="E255" s="75" t="s">
        <v>2355</v>
      </c>
      <c r="F255" s="57" t="s">
        <v>1933</v>
      </c>
      <c r="G255" s="57" t="s">
        <v>2120</v>
      </c>
    </row>
    <row r="256" spans="1:7">
      <c r="A256" s="58" t="s">
        <v>2192</v>
      </c>
      <c r="B256" s="58" t="s">
        <v>2182</v>
      </c>
      <c r="C256" s="58" t="s">
        <v>2193</v>
      </c>
      <c r="D256" s="58" t="s">
        <v>2351</v>
      </c>
      <c r="E256" s="59" t="s">
        <v>2193</v>
      </c>
      <c r="F256" s="59" t="s">
        <v>2349</v>
      </c>
      <c r="G256" s="58" t="s">
        <v>2120</v>
      </c>
    </row>
    <row r="257" spans="1:7">
      <c r="A257" s="58" t="s">
        <v>2194</v>
      </c>
      <c r="B257" s="58" t="s">
        <v>2187</v>
      </c>
      <c r="C257" s="58" t="s">
        <v>108</v>
      </c>
      <c r="D257" s="58" t="s">
        <v>2351</v>
      </c>
      <c r="E257" s="59" t="s">
        <v>108</v>
      </c>
      <c r="F257" s="59" t="s">
        <v>2349</v>
      </c>
      <c r="G257" s="58" t="s">
        <v>2120</v>
      </c>
    </row>
    <row r="258" spans="1:7">
      <c r="A258" s="58" t="s">
        <v>2364</v>
      </c>
      <c r="B258" s="58"/>
      <c r="C258" s="58" t="s">
        <v>543</v>
      </c>
      <c r="D258" s="58" t="s">
        <v>2351</v>
      </c>
      <c r="E258" s="59" t="s">
        <v>543</v>
      </c>
      <c r="F258" s="59" t="s">
        <v>2349</v>
      </c>
      <c r="G258" s="58" t="s">
        <v>2365</v>
      </c>
    </row>
    <row r="259" spans="1:7" ht="17.25">
      <c r="A259" s="76" t="s">
        <v>2366</v>
      </c>
      <c r="B259" s="76"/>
      <c r="C259" s="76"/>
      <c r="D259" s="76"/>
      <c r="E259" s="77"/>
      <c r="F259" s="76"/>
      <c r="G259" s="76"/>
    </row>
    <row r="260" spans="1:7">
      <c r="A260" s="58" t="s">
        <v>2196</v>
      </c>
      <c r="B260" s="58"/>
      <c r="C260" s="58" t="s">
        <v>2193</v>
      </c>
      <c r="D260" s="58" t="s">
        <v>2351</v>
      </c>
      <c r="E260" s="59" t="s">
        <v>2193</v>
      </c>
      <c r="F260" s="59" t="s">
        <v>2349</v>
      </c>
      <c r="G260" s="58" t="s">
        <v>2120</v>
      </c>
    </row>
    <row r="261" spans="1:7">
      <c r="A261" s="58" t="s">
        <v>2197</v>
      </c>
      <c r="B261" s="58"/>
      <c r="C261" s="58" t="s">
        <v>2193</v>
      </c>
      <c r="D261" s="58" t="s">
        <v>2351</v>
      </c>
      <c r="E261" s="59" t="s">
        <v>2193</v>
      </c>
      <c r="F261" s="59" t="s">
        <v>2349</v>
      </c>
      <c r="G261" s="58" t="s">
        <v>2120</v>
      </c>
    </row>
    <row r="262" spans="1:7">
      <c r="A262" s="58" t="s">
        <v>2198</v>
      </c>
      <c r="B262" s="58"/>
      <c r="C262" s="58" t="s">
        <v>2199</v>
      </c>
      <c r="D262" s="58" t="s">
        <v>2351</v>
      </c>
      <c r="E262" s="59" t="s">
        <v>2367</v>
      </c>
      <c r="F262" s="59" t="s">
        <v>2349</v>
      </c>
      <c r="G262" s="58" t="s">
        <v>2120</v>
      </c>
    </row>
    <row r="263" spans="1:7">
      <c r="A263" s="58" t="s">
        <v>2200</v>
      </c>
      <c r="B263" s="58" t="s">
        <v>2182</v>
      </c>
      <c r="C263" s="58" t="s">
        <v>108</v>
      </c>
      <c r="D263" s="58" t="s">
        <v>2351</v>
      </c>
      <c r="E263" s="59" t="s">
        <v>108</v>
      </c>
      <c r="F263" s="59" t="s">
        <v>2349</v>
      </c>
      <c r="G263" s="58" t="s">
        <v>2120</v>
      </c>
    </row>
    <row r="264" spans="1:7">
      <c r="A264" s="58" t="s">
        <v>2201</v>
      </c>
      <c r="B264" s="58" t="s">
        <v>2182</v>
      </c>
      <c r="C264" s="58" t="s">
        <v>108</v>
      </c>
      <c r="D264" s="58" t="s">
        <v>2351</v>
      </c>
      <c r="E264" s="59" t="s">
        <v>108</v>
      </c>
      <c r="F264" s="59" t="s">
        <v>2349</v>
      </c>
      <c r="G264" s="58" t="s">
        <v>2120</v>
      </c>
    </row>
    <row r="265" spans="1:7">
      <c r="A265" s="58" t="s">
        <v>2202</v>
      </c>
      <c r="B265" s="58" t="s">
        <v>2174</v>
      </c>
      <c r="C265" s="58" t="s">
        <v>108</v>
      </c>
      <c r="D265" s="58" t="s">
        <v>2351</v>
      </c>
      <c r="E265" s="59" t="s">
        <v>108</v>
      </c>
      <c r="F265" s="59" t="s">
        <v>2349</v>
      </c>
      <c r="G265" s="58" t="s">
        <v>2120</v>
      </c>
    </row>
    <row r="266" spans="1:7">
      <c r="A266" s="58" t="s">
        <v>2203</v>
      </c>
      <c r="B266" s="58" t="s">
        <v>2204</v>
      </c>
      <c r="C266" s="58" t="s">
        <v>2193</v>
      </c>
      <c r="D266" s="58" t="s">
        <v>2351</v>
      </c>
      <c r="E266" s="59" t="s">
        <v>2193</v>
      </c>
      <c r="F266" s="59" t="s">
        <v>2349</v>
      </c>
      <c r="G266" s="58" t="s">
        <v>2120</v>
      </c>
    </row>
    <row r="267" spans="1:7">
      <c r="A267" s="58" t="s">
        <v>2205</v>
      </c>
      <c r="B267" s="58" t="s">
        <v>2204</v>
      </c>
      <c r="C267" s="58" t="s">
        <v>2193</v>
      </c>
      <c r="D267" s="58" t="s">
        <v>2351</v>
      </c>
      <c r="E267" s="59" t="s">
        <v>2193</v>
      </c>
      <c r="F267" s="59" t="s">
        <v>2349</v>
      </c>
      <c r="G267" s="58" t="s">
        <v>2120</v>
      </c>
    </row>
    <row r="268" spans="1:7">
      <c r="A268" s="57" t="s">
        <v>2206</v>
      </c>
      <c r="B268" s="57"/>
      <c r="C268" s="57" t="s">
        <v>2135</v>
      </c>
      <c r="D268" s="57" t="s">
        <v>2351</v>
      </c>
      <c r="E268" s="75" t="s">
        <v>2355</v>
      </c>
      <c r="F268" s="57" t="s">
        <v>1933</v>
      </c>
      <c r="G268" s="57" t="s">
        <v>2120</v>
      </c>
    </row>
    <row r="269" spans="1:7">
      <c r="A269" s="58" t="s">
        <v>2207</v>
      </c>
      <c r="B269" s="58" t="s">
        <v>2204</v>
      </c>
      <c r="C269" s="58" t="s">
        <v>108</v>
      </c>
      <c r="D269" s="58" t="s">
        <v>2351</v>
      </c>
      <c r="E269" s="59" t="s">
        <v>108</v>
      </c>
      <c r="F269" s="59" t="s">
        <v>2349</v>
      </c>
      <c r="G269" s="58" t="s">
        <v>2208</v>
      </c>
    </row>
    <row r="270" spans="1:7" ht="17.25">
      <c r="A270" s="76" t="s">
        <v>2368</v>
      </c>
      <c r="B270" s="76"/>
      <c r="C270" s="76"/>
      <c r="D270" s="76"/>
      <c r="E270" s="77"/>
      <c r="F270" s="76"/>
      <c r="G270" s="76"/>
    </row>
    <row r="271" spans="1:7">
      <c r="A271" s="58" t="s">
        <v>2210</v>
      </c>
      <c r="B271" s="58" t="s">
        <v>2211</v>
      </c>
      <c r="C271" s="58" t="s">
        <v>108</v>
      </c>
      <c r="D271" s="58" t="s">
        <v>2351</v>
      </c>
      <c r="E271" s="59" t="s">
        <v>108</v>
      </c>
      <c r="F271" s="59" t="s">
        <v>2349</v>
      </c>
      <c r="G271" s="58" t="s">
        <v>2120</v>
      </c>
    </row>
    <row r="272" spans="1:7">
      <c r="A272" s="58" t="s">
        <v>2212</v>
      </c>
      <c r="B272" s="58" t="s">
        <v>2213</v>
      </c>
      <c r="C272" s="58" t="s">
        <v>108</v>
      </c>
      <c r="D272" s="58" t="s">
        <v>2351</v>
      </c>
      <c r="E272" s="59" t="s">
        <v>108</v>
      </c>
      <c r="F272" s="59" t="s">
        <v>2349</v>
      </c>
      <c r="G272" s="58" t="s">
        <v>2120</v>
      </c>
    </row>
    <row r="273" spans="1:7">
      <c r="A273" s="58" t="s">
        <v>2214</v>
      </c>
      <c r="B273" s="58" t="s">
        <v>2213</v>
      </c>
      <c r="C273" s="58" t="s">
        <v>108</v>
      </c>
      <c r="D273" s="58" t="s">
        <v>2351</v>
      </c>
      <c r="E273" s="59" t="s">
        <v>108</v>
      </c>
      <c r="F273" s="59" t="s">
        <v>2349</v>
      </c>
      <c r="G273" s="58" t="s">
        <v>2120</v>
      </c>
    </row>
    <row r="274" spans="1:7" ht="17.25">
      <c r="A274" s="76" t="s">
        <v>2369</v>
      </c>
      <c r="B274" s="76"/>
      <c r="C274" s="76"/>
      <c r="D274" s="76"/>
      <c r="E274" s="77"/>
      <c r="F274" s="76"/>
      <c r="G274" s="76"/>
    </row>
    <row r="275" spans="1:7">
      <c r="A275" s="58" t="s">
        <v>2370</v>
      </c>
      <c r="B275" s="58" t="s">
        <v>2223</v>
      </c>
      <c r="C275" s="58" t="s">
        <v>543</v>
      </c>
      <c r="D275" s="58" t="s">
        <v>2351</v>
      </c>
      <c r="E275" s="59" t="s">
        <v>543</v>
      </c>
      <c r="F275" s="59" t="s">
        <v>2349</v>
      </c>
      <c r="G275" s="58" t="s">
        <v>2371</v>
      </c>
    </row>
    <row r="276" spans="1:7">
      <c r="A276" s="58" t="s">
        <v>2372</v>
      </c>
      <c r="B276" s="58" t="s">
        <v>2220</v>
      </c>
      <c r="C276" s="58" t="s">
        <v>2373</v>
      </c>
      <c r="D276" s="58" t="s">
        <v>2351</v>
      </c>
      <c r="E276" s="59" t="s">
        <v>543</v>
      </c>
      <c r="F276" s="59" t="s">
        <v>2349</v>
      </c>
      <c r="G276" s="58" t="s">
        <v>2374</v>
      </c>
    </row>
    <row r="277" spans="1:7">
      <c r="A277" s="58" t="s">
        <v>2216</v>
      </c>
      <c r="B277" s="58" t="s">
        <v>2217</v>
      </c>
      <c r="C277" s="58" t="s">
        <v>2193</v>
      </c>
      <c r="D277" s="58" t="s">
        <v>2351</v>
      </c>
      <c r="E277" s="59" t="s">
        <v>2193</v>
      </c>
      <c r="F277" s="59" t="s">
        <v>2349</v>
      </c>
      <c r="G277" s="58" t="s">
        <v>2218</v>
      </c>
    </row>
    <row r="278" spans="1:7">
      <c r="A278" s="58" t="s">
        <v>2219</v>
      </c>
      <c r="B278" s="58" t="s">
        <v>2220</v>
      </c>
      <c r="C278" s="58" t="s">
        <v>108</v>
      </c>
      <c r="D278" s="58" t="s">
        <v>2351</v>
      </c>
      <c r="E278" s="59" t="s">
        <v>108</v>
      </c>
      <c r="F278" s="59" t="s">
        <v>2349</v>
      </c>
      <c r="G278" s="58" t="s">
        <v>2221</v>
      </c>
    </row>
    <row r="279" spans="1:7">
      <c r="A279" s="58" t="s">
        <v>2222</v>
      </c>
      <c r="B279" s="58" t="s">
        <v>2223</v>
      </c>
      <c r="C279" s="58" t="s">
        <v>108</v>
      </c>
      <c r="D279" s="58" t="s">
        <v>2351</v>
      </c>
      <c r="E279" s="59" t="s">
        <v>108</v>
      </c>
      <c r="F279" s="59" t="s">
        <v>2349</v>
      </c>
      <c r="G279" s="58" t="s">
        <v>2224</v>
      </c>
    </row>
    <row r="280" spans="1:7">
      <c r="A280" s="58" t="s">
        <v>2225</v>
      </c>
      <c r="B280" s="58" t="s">
        <v>2226</v>
      </c>
      <c r="C280" s="58" t="s">
        <v>108</v>
      </c>
      <c r="D280" s="58" t="s">
        <v>2351</v>
      </c>
      <c r="E280" s="59" t="s">
        <v>108</v>
      </c>
      <c r="F280" s="59" t="s">
        <v>2349</v>
      </c>
      <c r="G280" s="58" t="s">
        <v>2227</v>
      </c>
    </row>
    <row r="281" spans="1:7">
      <c r="A281" s="57" t="s">
        <v>2228</v>
      </c>
      <c r="B281" s="57"/>
      <c r="C281" s="57" t="s">
        <v>2135</v>
      </c>
      <c r="D281" s="57" t="s">
        <v>2351</v>
      </c>
      <c r="E281" s="75" t="s">
        <v>2355</v>
      </c>
      <c r="F281" s="57" t="s">
        <v>1933</v>
      </c>
      <c r="G281" s="57" t="s">
        <v>2120</v>
      </c>
    </row>
    <row r="282" spans="1:7" ht="17.25">
      <c r="A282" s="76" t="s">
        <v>2375</v>
      </c>
      <c r="B282" s="76"/>
      <c r="C282" s="76"/>
      <c r="D282" s="76"/>
      <c r="E282" s="77"/>
      <c r="F282" s="76"/>
      <c r="G282" s="76"/>
    </row>
    <row r="283" spans="1:7">
      <c r="A283" s="58" t="s">
        <v>2376</v>
      </c>
      <c r="B283" s="58" t="s">
        <v>2237</v>
      </c>
      <c r="C283" s="58" t="s">
        <v>543</v>
      </c>
      <c r="D283" s="58" t="s">
        <v>2351</v>
      </c>
      <c r="E283" s="59" t="s">
        <v>543</v>
      </c>
      <c r="F283" s="59" t="s">
        <v>2349</v>
      </c>
      <c r="G283" s="58" t="s">
        <v>2120</v>
      </c>
    </row>
    <row r="284" spans="1:7">
      <c r="A284" s="58" t="s">
        <v>2230</v>
      </c>
      <c r="B284" s="58" t="s">
        <v>2220</v>
      </c>
      <c r="C284" s="58" t="s">
        <v>108</v>
      </c>
      <c r="D284" s="58" t="s">
        <v>2351</v>
      </c>
      <c r="E284" s="59" t="s">
        <v>108</v>
      </c>
      <c r="F284" s="59" t="s">
        <v>2349</v>
      </c>
      <c r="G284" s="58" t="s">
        <v>2231</v>
      </c>
    </row>
    <row r="285" spans="1:7">
      <c r="A285" s="58" t="s">
        <v>2232</v>
      </c>
      <c r="B285" s="58" t="s">
        <v>2220</v>
      </c>
      <c r="C285" s="58" t="s">
        <v>108</v>
      </c>
      <c r="D285" s="58" t="s">
        <v>2351</v>
      </c>
      <c r="E285" s="59" t="s">
        <v>108</v>
      </c>
      <c r="F285" s="59" t="s">
        <v>2349</v>
      </c>
      <c r="G285" s="58" t="s">
        <v>2120</v>
      </c>
    </row>
    <row r="286" spans="1:7">
      <c r="A286" s="58" t="s">
        <v>2233</v>
      </c>
      <c r="B286" s="58" t="s">
        <v>2234</v>
      </c>
      <c r="C286" s="58" t="s">
        <v>108</v>
      </c>
      <c r="D286" s="58" t="s">
        <v>2351</v>
      </c>
      <c r="E286" s="59" t="s">
        <v>108</v>
      </c>
      <c r="F286" s="59" t="s">
        <v>2349</v>
      </c>
      <c r="G286" s="58" t="s">
        <v>2235</v>
      </c>
    </row>
    <row r="287" spans="1:7">
      <c r="A287" s="58" t="s">
        <v>2236</v>
      </c>
      <c r="B287" s="58" t="s">
        <v>2237</v>
      </c>
      <c r="C287" s="58" t="s">
        <v>108</v>
      </c>
      <c r="D287" s="58" t="s">
        <v>2351</v>
      </c>
      <c r="E287" s="59" t="s">
        <v>108</v>
      </c>
      <c r="F287" s="59" t="s">
        <v>2349</v>
      </c>
      <c r="G287" s="58" t="s">
        <v>2231</v>
      </c>
    </row>
    <row r="288" spans="1:7">
      <c r="A288" s="58" t="s">
        <v>2238</v>
      </c>
      <c r="B288" s="58" t="s">
        <v>2237</v>
      </c>
      <c r="C288" s="58" t="s">
        <v>108</v>
      </c>
      <c r="D288" s="58" t="s">
        <v>2351</v>
      </c>
      <c r="E288" s="59" t="s">
        <v>108</v>
      </c>
      <c r="F288" s="59" t="s">
        <v>2349</v>
      </c>
      <c r="G288" s="58" t="s">
        <v>2239</v>
      </c>
    </row>
    <row r="289" spans="1:7">
      <c r="A289" s="58" t="s">
        <v>2240</v>
      </c>
      <c r="B289" s="58" t="s">
        <v>2241</v>
      </c>
      <c r="C289" s="58" t="s">
        <v>2193</v>
      </c>
      <c r="D289" s="58" t="s">
        <v>2351</v>
      </c>
      <c r="E289" s="59" t="s">
        <v>2193</v>
      </c>
      <c r="F289" s="59" t="s">
        <v>2349</v>
      </c>
      <c r="G289" s="58" t="s">
        <v>2120</v>
      </c>
    </row>
    <row r="290" spans="1:7">
      <c r="A290" s="58" t="s">
        <v>2242</v>
      </c>
      <c r="B290" s="58" t="s">
        <v>2220</v>
      </c>
      <c r="C290" s="58" t="s">
        <v>2243</v>
      </c>
      <c r="D290" s="58" t="s">
        <v>2351</v>
      </c>
      <c r="E290" s="59" t="s">
        <v>2377</v>
      </c>
      <c r="F290" s="59" t="s">
        <v>2349</v>
      </c>
      <c r="G290" s="58" t="s">
        <v>2244</v>
      </c>
    </row>
    <row r="291" spans="1:7">
      <c r="A291" s="58" t="s">
        <v>2245</v>
      </c>
      <c r="B291" s="58" t="s">
        <v>2241</v>
      </c>
      <c r="C291" s="58" t="s">
        <v>2246</v>
      </c>
      <c r="D291" s="58" t="s">
        <v>2351</v>
      </c>
      <c r="E291" s="59" t="s">
        <v>108</v>
      </c>
      <c r="F291" s="59" t="s">
        <v>2349</v>
      </c>
      <c r="G291" s="58" t="s">
        <v>2120</v>
      </c>
    </row>
    <row r="292" spans="1:7">
      <c r="A292" s="58" t="s">
        <v>2378</v>
      </c>
      <c r="B292" s="58"/>
      <c r="C292" s="58" t="s">
        <v>543</v>
      </c>
      <c r="D292" s="58" t="s">
        <v>2351</v>
      </c>
      <c r="E292" s="59" t="s">
        <v>543</v>
      </c>
      <c r="F292" s="59" t="s">
        <v>2349</v>
      </c>
      <c r="G292" s="58" t="s">
        <v>2336</v>
      </c>
    </row>
    <row r="293" spans="1:7">
      <c r="A293" s="58" t="s">
        <v>2247</v>
      </c>
      <c r="B293" s="58" t="s">
        <v>2248</v>
      </c>
      <c r="C293" s="58" t="s">
        <v>108</v>
      </c>
      <c r="D293" s="58" t="s">
        <v>2351</v>
      </c>
      <c r="E293" s="59" t="s">
        <v>108</v>
      </c>
      <c r="F293" s="59" t="s">
        <v>2349</v>
      </c>
      <c r="G293" s="58" t="s">
        <v>2249</v>
      </c>
    </row>
    <row r="294" spans="1:7">
      <c r="A294" s="57" t="s">
        <v>2337</v>
      </c>
      <c r="B294" s="57" t="s">
        <v>2248</v>
      </c>
      <c r="C294" s="57" t="s">
        <v>2338</v>
      </c>
      <c r="D294" s="57" t="s">
        <v>2351</v>
      </c>
      <c r="E294" s="75" t="s">
        <v>2379</v>
      </c>
      <c r="F294" s="57" t="s">
        <v>1933</v>
      </c>
      <c r="G294" s="57" t="s">
        <v>2120</v>
      </c>
    </row>
    <row r="295" spans="1:7" ht="17.25">
      <c r="A295" s="76" t="s">
        <v>2380</v>
      </c>
      <c r="B295" s="76"/>
      <c r="C295" s="76"/>
      <c r="D295" s="76"/>
      <c r="E295" s="77"/>
      <c r="F295" s="76"/>
      <c r="G295" s="76"/>
    </row>
    <row r="296" spans="1:7">
      <c r="A296" s="58" t="s">
        <v>2381</v>
      </c>
      <c r="B296" s="58"/>
      <c r="C296" s="58" t="s">
        <v>543</v>
      </c>
      <c r="D296" s="58" t="s">
        <v>2351</v>
      </c>
      <c r="E296" s="59" t="s">
        <v>543</v>
      </c>
      <c r="F296" s="59" t="s">
        <v>2349</v>
      </c>
      <c r="G296" s="58" t="s">
        <v>2120</v>
      </c>
    </row>
    <row r="297" spans="1:7">
      <c r="A297" s="58" t="s">
        <v>2251</v>
      </c>
      <c r="B297" s="58" t="s">
        <v>2252</v>
      </c>
      <c r="C297" s="58" t="s">
        <v>108</v>
      </c>
      <c r="D297" s="58" t="s">
        <v>2351</v>
      </c>
      <c r="E297" s="59" t="s">
        <v>108</v>
      </c>
      <c r="F297" s="59" t="s">
        <v>2349</v>
      </c>
      <c r="G297" s="58" t="s">
        <v>2120</v>
      </c>
    </row>
    <row r="298" spans="1:7">
      <c r="A298" s="58" t="s">
        <v>2253</v>
      </c>
      <c r="B298" s="58" t="s">
        <v>2252</v>
      </c>
      <c r="C298" s="58" t="s">
        <v>2193</v>
      </c>
      <c r="D298" s="58" t="s">
        <v>2351</v>
      </c>
      <c r="E298" s="59" t="s">
        <v>2193</v>
      </c>
      <c r="F298" s="59" t="s">
        <v>2349</v>
      </c>
      <c r="G298" s="58" t="s">
        <v>2254</v>
      </c>
    </row>
    <row r="299" spans="1:7">
      <c r="A299" s="58" t="s">
        <v>2255</v>
      </c>
      <c r="B299" s="58" t="s">
        <v>2256</v>
      </c>
      <c r="C299" s="58" t="s">
        <v>2257</v>
      </c>
      <c r="D299" s="58" t="s">
        <v>2351</v>
      </c>
      <c r="E299" s="59" t="s">
        <v>108</v>
      </c>
      <c r="F299" s="59" t="s">
        <v>2349</v>
      </c>
      <c r="G299" s="58" t="s">
        <v>2120</v>
      </c>
    </row>
    <row r="300" spans="1:7">
      <c r="A300" s="58" t="s">
        <v>2258</v>
      </c>
      <c r="B300" s="58" t="s">
        <v>2259</v>
      </c>
      <c r="C300" s="58" t="s">
        <v>2260</v>
      </c>
      <c r="D300" s="58" t="s">
        <v>2351</v>
      </c>
      <c r="E300" s="59" t="s">
        <v>2382</v>
      </c>
      <c r="F300" s="59" t="s">
        <v>2349</v>
      </c>
      <c r="G300" s="58" t="s">
        <v>2261</v>
      </c>
    </row>
    <row r="301" spans="1:7">
      <c r="A301" s="58" t="s">
        <v>2262</v>
      </c>
      <c r="B301" s="58" t="s">
        <v>2259</v>
      </c>
      <c r="C301" s="58" t="s">
        <v>2147</v>
      </c>
      <c r="D301" s="58" t="s">
        <v>2351</v>
      </c>
      <c r="E301" s="59" t="s">
        <v>108</v>
      </c>
      <c r="F301" s="59" t="s">
        <v>2349</v>
      </c>
      <c r="G301" s="58" t="s">
        <v>2263</v>
      </c>
    </row>
    <row r="302" spans="1:7">
      <c r="A302" s="58" t="s">
        <v>2264</v>
      </c>
      <c r="B302" s="58" t="s">
        <v>2252</v>
      </c>
      <c r="C302" s="58" t="s">
        <v>2265</v>
      </c>
      <c r="D302" s="58" t="s">
        <v>2351</v>
      </c>
      <c r="E302" s="59" t="s">
        <v>108</v>
      </c>
      <c r="F302" s="59" t="s">
        <v>2349</v>
      </c>
      <c r="G302" s="58" t="s">
        <v>2120</v>
      </c>
    </row>
    <row r="303" spans="1:7">
      <c r="A303" s="58" t="s">
        <v>2266</v>
      </c>
      <c r="B303" s="58" t="s">
        <v>2252</v>
      </c>
      <c r="C303" s="58" t="s">
        <v>2267</v>
      </c>
      <c r="D303" s="58" t="s">
        <v>2351</v>
      </c>
      <c r="E303" s="59" t="s">
        <v>108</v>
      </c>
      <c r="F303" s="59" t="s">
        <v>2349</v>
      </c>
      <c r="G303" s="58" t="s">
        <v>2268</v>
      </c>
    </row>
    <row r="304" spans="1:7">
      <c r="A304" s="58" t="s">
        <v>2269</v>
      </c>
      <c r="B304" s="58" t="s">
        <v>2252</v>
      </c>
      <c r="C304" s="58" t="s">
        <v>2270</v>
      </c>
      <c r="D304" s="58" t="s">
        <v>2351</v>
      </c>
      <c r="E304" s="59" t="s">
        <v>108</v>
      </c>
      <c r="F304" s="59" t="s">
        <v>2349</v>
      </c>
      <c r="G304" s="58" t="s">
        <v>2120</v>
      </c>
    </row>
    <row r="305" spans="1:7" ht="17.25">
      <c r="A305" s="76" t="s">
        <v>2383</v>
      </c>
      <c r="B305" s="76"/>
      <c r="C305" s="76"/>
      <c r="D305" s="76"/>
      <c r="E305" s="77"/>
      <c r="F305" s="76"/>
      <c r="G305" s="76"/>
    </row>
    <row r="306" spans="1:7">
      <c r="A306" s="58" t="s">
        <v>2272</v>
      </c>
      <c r="B306" s="58" t="s">
        <v>2273</v>
      </c>
      <c r="C306" s="58" t="s">
        <v>2274</v>
      </c>
      <c r="D306" s="58" t="s">
        <v>2351</v>
      </c>
      <c r="E306" s="59" t="s">
        <v>1559</v>
      </c>
      <c r="F306" s="59" t="s">
        <v>2349</v>
      </c>
      <c r="G306" s="58" t="s">
        <v>2275</v>
      </c>
    </row>
    <row r="307" spans="1:7">
      <c r="A307" s="58" t="s">
        <v>2276</v>
      </c>
      <c r="B307" s="58" t="s">
        <v>2248</v>
      </c>
      <c r="C307" s="58" t="s">
        <v>2277</v>
      </c>
      <c r="D307" s="58" t="s">
        <v>2351</v>
      </c>
      <c r="E307" s="59" t="s">
        <v>108</v>
      </c>
      <c r="F307" s="59" t="s">
        <v>2349</v>
      </c>
      <c r="G307" s="58" t="s">
        <v>2278</v>
      </c>
    </row>
    <row r="308" spans="1:7">
      <c r="A308" s="58" t="s">
        <v>2279</v>
      </c>
      <c r="B308" s="58" t="s">
        <v>2280</v>
      </c>
      <c r="C308" s="58" t="s">
        <v>2281</v>
      </c>
      <c r="D308" s="58" t="s">
        <v>2351</v>
      </c>
      <c r="E308" s="59" t="s">
        <v>108</v>
      </c>
      <c r="F308" s="59" t="s">
        <v>2349</v>
      </c>
      <c r="G308" s="58" t="s">
        <v>2282</v>
      </c>
    </row>
    <row r="309" spans="1:7">
      <c r="A309" s="58" t="s">
        <v>2283</v>
      </c>
      <c r="B309" s="58" t="s">
        <v>2273</v>
      </c>
      <c r="C309" s="58" t="s">
        <v>108</v>
      </c>
      <c r="D309" s="58" t="s">
        <v>2351</v>
      </c>
      <c r="E309" s="59" t="s">
        <v>108</v>
      </c>
      <c r="F309" s="59" t="s">
        <v>2349</v>
      </c>
      <c r="G309" s="58" t="s">
        <v>2284</v>
      </c>
    </row>
    <row r="310" spans="1:7">
      <c r="A310" s="57" t="s">
        <v>2285</v>
      </c>
      <c r="B310" s="57"/>
      <c r="C310" s="57" t="s">
        <v>2135</v>
      </c>
      <c r="D310" s="57" t="s">
        <v>2351</v>
      </c>
      <c r="E310" s="75" t="s">
        <v>2355</v>
      </c>
      <c r="F310" s="57" t="s">
        <v>1933</v>
      </c>
      <c r="G310" s="57" t="s">
        <v>2120</v>
      </c>
    </row>
    <row r="311" spans="1:7">
      <c r="A311" s="58" t="s">
        <v>2286</v>
      </c>
      <c r="B311" s="58"/>
      <c r="C311" s="58" t="s">
        <v>108</v>
      </c>
      <c r="D311" s="58" t="s">
        <v>2351</v>
      </c>
      <c r="E311" s="59" t="s">
        <v>108</v>
      </c>
      <c r="F311" s="59" t="s">
        <v>2349</v>
      </c>
      <c r="G311" s="58" t="s">
        <v>2120</v>
      </c>
    </row>
    <row r="312" spans="1:7">
      <c r="A312" s="58" t="s">
        <v>2287</v>
      </c>
      <c r="B312" s="58" t="s">
        <v>2273</v>
      </c>
      <c r="C312" s="58" t="s">
        <v>2288</v>
      </c>
      <c r="D312" s="58" t="s">
        <v>2351</v>
      </c>
      <c r="E312" s="59" t="s">
        <v>2288</v>
      </c>
      <c r="F312" s="59" t="s">
        <v>2349</v>
      </c>
      <c r="G312" s="58" t="s">
        <v>2289</v>
      </c>
    </row>
    <row r="313" spans="1:7" ht="17.25">
      <c r="A313" s="76" t="s">
        <v>2384</v>
      </c>
      <c r="B313" s="76"/>
      <c r="C313" s="76"/>
      <c r="D313" s="76"/>
      <c r="E313" s="77"/>
      <c r="F313" s="76"/>
      <c r="G313" s="76"/>
    </row>
    <row r="314" spans="1:7">
      <c r="A314" s="57" t="s">
        <v>2291</v>
      </c>
      <c r="B314" s="57"/>
      <c r="C314" s="57" t="s">
        <v>2135</v>
      </c>
      <c r="D314" s="57" t="s">
        <v>2351</v>
      </c>
      <c r="E314" s="75" t="s">
        <v>2355</v>
      </c>
      <c r="F314" s="57" t="s">
        <v>1933</v>
      </c>
      <c r="G314" s="57" t="s">
        <v>2292</v>
      </c>
    </row>
    <row r="315" spans="1:7">
      <c r="A315" s="58" t="s">
        <v>2293</v>
      </c>
      <c r="B315" s="58" t="s">
        <v>2294</v>
      </c>
      <c r="C315" s="58" t="s">
        <v>2295</v>
      </c>
      <c r="D315" s="58" t="s">
        <v>2351</v>
      </c>
      <c r="E315" s="59" t="s">
        <v>108</v>
      </c>
      <c r="F315" s="59" t="s">
        <v>2349</v>
      </c>
      <c r="G315" s="58" t="s">
        <v>2296</v>
      </c>
    </row>
    <row r="316" spans="1:7">
      <c r="A316" s="58" t="s">
        <v>2385</v>
      </c>
      <c r="B316" s="58" t="s">
        <v>2298</v>
      </c>
      <c r="C316" s="58" t="s">
        <v>543</v>
      </c>
      <c r="D316" s="58" t="s">
        <v>2351</v>
      </c>
      <c r="E316" s="59" t="s">
        <v>543</v>
      </c>
      <c r="F316" s="59" t="s">
        <v>2349</v>
      </c>
      <c r="G316" s="58" t="s">
        <v>2386</v>
      </c>
    </row>
    <row r="317" spans="1:7">
      <c r="A317" s="58" t="s">
        <v>2297</v>
      </c>
      <c r="B317" s="58" t="s">
        <v>2298</v>
      </c>
      <c r="C317" s="58" t="s">
        <v>108</v>
      </c>
      <c r="D317" s="58" t="s">
        <v>2351</v>
      </c>
      <c r="E317" s="59" t="s">
        <v>108</v>
      </c>
      <c r="F317" s="59" t="s">
        <v>2349</v>
      </c>
      <c r="G317" s="58" t="s">
        <v>2299</v>
      </c>
    </row>
    <row r="318" spans="1:7">
      <c r="A318" s="58" t="s">
        <v>2300</v>
      </c>
      <c r="B318" s="58" t="s">
        <v>2294</v>
      </c>
      <c r="C318" s="58" t="s">
        <v>108</v>
      </c>
      <c r="D318" s="58" t="s">
        <v>2351</v>
      </c>
      <c r="E318" s="59" t="s">
        <v>108</v>
      </c>
      <c r="F318" s="59" t="s">
        <v>2349</v>
      </c>
      <c r="G318" s="58" t="s">
        <v>2299</v>
      </c>
    </row>
    <row r="319" spans="1:7">
      <c r="A319" s="58" t="s">
        <v>2301</v>
      </c>
      <c r="B319" s="58" t="s">
        <v>2302</v>
      </c>
      <c r="C319" s="58" t="s">
        <v>2193</v>
      </c>
      <c r="D319" s="58" t="s">
        <v>2351</v>
      </c>
      <c r="E319" s="59" t="s">
        <v>2193</v>
      </c>
      <c r="F319" s="59" t="s">
        <v>2349</v>
      </c>
      <c r="G319" s="58" t="s">
        <v>2303</v>
      </c>
    </row>
    <row r="320" spans="1:7">
      <c r="A320" s="58" t="s">
        <v>2304</v>
      </c>
      <c r="B320" s="58" t="s">
        <v>2305</v>
      </c>
      <c r="C320" s="58" t="s">
        <v>2257</v>
      </c>
      <c r="D320" s="58" t="s">
        <v>2351</v>
      </c>
      <c r="E320" s="59" t="s">
        <v>108</v>
      </c>
      <c r="F320" s="59" t="s">
        <v>2349</v>
      </c>
      <c r="G320" s="58" t="s">
        <v>2306</v>
      </c>
    </row>
    <row r="321" spans="1:7">
      <c r="A321" s="58" t="s">
        <v>2347</v>
      </c>
      <c r="B321" s="58" t="s">
        <v>2213</v>
      </c>
      <c r="C321" s="58" t="s">
        <v>2348</v>
      </c>
      <c r="D321" s="58" t="s">
        <v>2351</v>
      </c>
      <c r="E321" s="59" t="s">
        <v>2348</v>
      </c>
      <c r="F321" s="59" t="s">
        <v>2349</v>
      </c>
      <c r="G321" s="58" t="s">
        <v>2296</v>
      </c>
    </row>
    <row r="322" spans="1:7" ht="17.25">
      <c r="A322" s="76" t="s">
        <v>2387</v>
      </c>
      <c r="B322" s="76"/>
      <c r="C322" s="76"/>
      <c r="D322" s="76"/>
      <c r="E322" s="77"/>
      <c r="F322" s="76"/>
      <c r="G322" s="76"/>
    </row>
    <row r="323" spans="1:7">
      <c r="A323" s="58" t="s">
        <v>2352</v>
      </c>
      <c r="B323" s="58"/>
      <c r="C323" s="58" t="s">
        <v>1201</v>
      </c>
      <c r="D323" s="58" t="s">
        <v>2388</v>
      </c>
      <c r="E323" s="59" t="s">
        <v>1201</v>
      </c>
      <c r="F323" s="59" t="s">
        <v>2349</v>
      </c>
      <c r="G323" s="58" t="s">
        <v>2120</v>
      </c>
    </row>
    <row r="324" spans="1:7">
      <c r="A324" s="58" t="s">
        <v>2118</v>
      </c>
      <c r="B324" s="58"/>
      <c r="C324" s="58" t="s">
        <v>2119</v>
      </c>
      <c r="D324" s="58" t="s">
        <v>2388</v>
      </c>
      <c r="E324" s="59" t="s">
        <v>1201</v>
      </c>
      <c r="F324" s="59" t="s">
        <v>2349</v>
      </c>
      <c r="G324" s="58" t="s">
        <v>2120</v>
      </c>
    </row>
    <row r="325" spans="1:7" ht="17.25">
      <c r="A325" s="76" t="s">
        <v>2389</v>
      </c>
      <c r="B325" s="76"/>
      <c r="C325" s="76"/>
      <c r="D325" s="76"/>
      <c r="E325" s="77"/>
      <c r="F325" s="76"/>
      <c r="G325" s="76"/>
    </row>
    <row r="326" spans="1:7">
      <c r="A326" s="58" t="s">
        <v>2242</v>
      </c>
      <c r="B326" s="58" t="s">
        <v>2220</v>
      </c>
      <c r="C326" s="58" t="s">
        <v>2243</v>
      </c>
      <c r="D326" s="58" t="s">
        <v>2388</v>
      </c>
      <c r="E326" s="59" t="s">
        <v>2390</v>
      </c>
      <c r="F326" s="59" t="s">
        <v>2349</v>
      </c>
      <c r="G326" s="58" t="s">
        <v>2244</v>
      </c>
    </row>
    <row r="327" spans="1:7" ht="17.25">
      <c r="A327" s="76" t="s">
        <v>2391</v>
      </c>
      <c r="B327" s="76"/>
      <c r="C327" s="76"/>
      <c r="D327" s="76"/>
      <c r="E327" s="77"/>
      <c r="F327" s="76"/>
      <c r="G327" s="76"/>
    </row>
    <row r="328" spans="1:7">
      <c r="A328" s="58" t="s">
        <v>2258</v>
      </c>
      <c r="B328" s="58" t="s">
        <v>2259</v>
      </c>
      <c r="C328" s="58" t="s">
        <v>2260</v>
      </c>
      <c r="D328" s="58" t="s">
        <v>2388</v>
      </c>
      <c r="E328" s="59" t="s">
        <v>2392</v>
      </c>
      <c r="F328" s="59" t="s">
        <v>2349</v>
      </c>
      <c r="G328" s="58" t="s">
        <v>2261</v>
      </c>
    </row>
    <row r="329" spans="1:7" ht="17.25">
      <c r="A329" s="76" t="s">
        <v>2393</v>
      </c>
      <c r="B329" s="76"/>
      <c r="C329" s="76"/>
      <c r="D329" s="76"/>
      <c r="E329" s="77"/>
      <c r="F329" s="76"/>
      <c r="G329" s="76"/>
    </row>
    <row r="330" spans="1:7">
      <c r="A330" s="58" t="s">
        <v>2347</v>
      </c>
      <c r="B330" s="58" t="s">
        <v>2213</v>
      </c>
      <c r="C330" s="58" t="s">
        <v>2348</v>
      </c>
      <c r="D330" s="58" t="s">
        <v>2388</v>
      </c>
      <c r="E330" s="59" t="s">
        <v>2394</v>
      </c>
      <c r="F330" s="59" t="s">
        <v>2349</v>
      </c>
      <c r="G330" s="58" t="s">
        <v>2296</v>
      </c>
    </row>
    <row r="331" spans="1:7" ht="17.25">
      <c r="A331" s="76" t="s">
        <v>2395</v>
      </c>
      <c r="B331" s="76"/>
      <c r="C331" s="76"/>
      <c r="D331" s="76"/>
      <c r="E331" s="77"/>
      <c r="F331" s="76"/>
      <c r="G331" s="76"/>
    </row>
    <row r="332" spans="1:7">
      <c r="A332" s="57" t="s">
        <v>2308</v>
      </c>
      <c r="B332" s="57" t="s">
        <v>2122</v>
      </c>
      <c r="C332" s="57" t="s">
        <v>2309</v>
      </c>
      <c r="D332" s="57" t="s">
        <v>2396</v>
      </c>
      <c r="E332" s="75" t="s">
        <v>2311</v>
      </c>
      <c r="F332" s="57" t="s">
        <v>1968</v>
      </c>
      <c r="G332" s="57" t="s">
        <v>2312</v>
      </c>
    </row>
    <row r="333" spans="1:7">
      <c r="A333" s="57" t="s">
        <v>2313</v>
      </c>
      <c r="B333" s="57" t="s">
        <v>2314</v>
      </c>
      <c r="C333" s="57" t="s">
        <v>2309</v>
      </c>
      <c r="D333" s="57" t="s">
        <v>2396</v>
      </c>
      <c r="E333" s="75" t="s">
        <v>2311</v>
      </c>
      <c r="F333" s="57" t="s">
        <v>1968</v>
      </c>
      <c r="G333" s="57" t="s">
        <v>2120</v>
      </c>
    </row>
    <row r="334" spans="1:7">
      <c r="A334" s="57" t="s">
        <v>2315</v>
      </c>
      <c r="B334" s="57" t="s">
        <v>2314</v>
      </c>
      <c r="C334" s="57" t="s">
        <v>2309</v>
      </c>
      <c r="D334" s="57" t="s">
        <v>2396</v>
      </c>
      <c r="E334" s="75" t="s">
        <v>2311</v>
      </c>
      <c r="F334" s="57" t="s">
        <v>1968</v>
      </c>
      <c r="G334" s="57" t="s">
        <v>2120</v>
      </c>
    </row>
    <row r="335" spans="1:7">
      <c r="A335" s="57" t="s">
        <v>2316</v>
      </c>
      <c r="B335" s="57" t="s">
        <v>2124</v>
      </c>
      <c r="C335" s="57" t="s">
        <v>2309</v>
      </c>
      <c r="D335" s="57" t="s">
        <v>2396</v>
      </c>
      <c r="E335" s="75" t="s">
        <v>2311</v>
      </c>
      <c r="F335" s="57" t="s">
        <v>1968</v>
      </c>
      <c r="G335" s="57" t="s">
        <v>2120</v>
      </c>
    </row>
    <row r="336" spans="1:7" ht="17.25">
      <c r="A336" s="76" t="s">
        <v>2397</v>
      </c>
      <c r="B336" s="76"/>
      <c r="C336" s="76"/>
      <c r="D336" s="76"/>
      <c r="E336" s="77"/>
      <c r="F336" s="76"/>
      <c r="G336" s="76"/>
    </row>
    <row r="337" spans="1:7">
      <c r="A337" s="57" t="s">
        <v>2134</v>
      </c>
      <c r="B337" s="57"/>
      <c r="C337" s="57" t="s">
        <v>2135</v>
      </c>
      <c r="D337" s="57" t="s">
        <v>2396</v>
      </c>
      <c r="E337" s="75" t="s">
        <v>2318</v>
      </c>
      <c r="F337" s="57" t="s">
        <v>1968</v>
      </c>
      <c r="G337" s="57" t="s">
        <v>2137</v>
      </c>
    </row>
    <row r="338" spans="1:7" ht="17.25">
      <c r="A338" s="76" t="s">
        <v>2398</v>
      </c>
      <c r="B338" s="76"/>
      <c r="C338" s="76"/>
      <c r="D338" s="76"/>
      <c r="E338" s="77"/>
      <c r="F338" s="76"/>
      <c r="G338" s="76"/>
    </row>
    <row r="339" spans="1:7">
      <c r="A339" s="57" t="s">
        <v>2169</v>
      </c>
      <c r="B339" s="57" t="s">
        <v>2129</v>
      </c>
      <c r="C339" s="57" t="s">
        <v>2170</v>
      </c>
      <c r="D339" s="57" t="s">
        <v>2396</v>
      </c>
      <c r="E339" s="75" t="s">
        <v>2318</v>
      </c>
      <c r="F339" s="57" t="s">
        <v>1968</v>
      </c>
      <c r="G339" s="57" t="s">
        <v>2120</v>
      </c>
    </row>
    <row r="340" spans="1:7">
      <c r="A340" s="57" t="s">
        <v>2171</v>
      </c>
      <c r="B340" s="57" t="s">
        <v>2129</v>
      </c>
      <c r="C340" s="57" t="s">
        <v>2135</v>
      </c>
      <c r="D340" s="57" t="s">
        <v>2396</v>
      </c>
      <c r="E340" s="75" t="s">
        <v>2318</v>
      </c>
      <c r="F340" s="57" t="s">
        <v>1968</v>
      </c>
      <c r="G340" s="57" t="s">
        <v>2120</v>
      </c>
    </row>
    <row r="341" spans="1:7">
      <c r="A341" s="57" t="s">
        <v>2172</v>
      </c>
      <c r="B341" s="57" t="s">
        <v>2129</v>
      </c>
      <c r="C341" s="57" t="s">
        <v>2135</v>
      </c>
      <c r="D341" s="57" t="s">
        <v>2396</v>
      </c>
      <c r="E341" s="75" t="s">
        <v>2318</v>
      </c>
      <c r="F341" s="57" t="s">
        <v>1968</v>
      </c>
      <c r="G341" s="57" t="s">
        <v>2120</v>
      </c>
    </row>
    <row r="342" spans="1:7">
      <c r="A342" s="57" t="s">
        <v>2173</v>
      </c>
      <c r="B342" s="57" t="s">
        <v>2174</v>
      </c>
      <c r="C342" s="57" t="s">
        <v>2135</v>
      </c>
      <c r="D342" s="57" t="s">
        <v>2396</v>
      </c>
      <c r="E342" s="75" t="s">
        <v>2318</v>
      </c>
      <c r="F342" s="57" t="s">
        <v>1968</v>
      </c>
      <c r="G342" s="57" t="s">
        <v>2120</v>
      </c>
    </row>
    <row r="343" spans="1:7">
      <c r="A343" s="57" t="s">
        <v>2175</v>
      </c>
      <c r="B343" s="57"/>
      <c r="C343" s="57" t="s">
        <v>2135</v>
      </c>
      <c r="D343" s="57" t="s">
        <v>2396</v>
      </c>
      <c r="E343" s="75" t="s">
        <v>2318</v>
      </c>
      <c r="F343" s="57" t="s">
        <v>1968</v>
      </c>
      <c r="G343" s="57" t="s">
        <v>2120</v>
      </c>
    </row>
    <row r="344" spans="1:7">
      <c r="A344" s="57" t="s">
        <v>2176</v>
      </c>
      <c r="B344" s="57"/>
      <c r="C344" s="57" t="s">
        <v>2135</v>
      </c>
      <c r="D344" s="57" t="s">
        <v>2396</v>
      </c>
      <c r="E344" s="75" t="s">
        <v>2318</v>
      </c>
      <c r="F344" s="57" t="s">
        <v>1968</v>
      </c>
      <c r="G344" s="57" t="s">
        <v>2120</v>
      </c>
    </row>
    <row r="345" spans="1:7">
      <c r="A345" s="57" t="s">
        <v>2177</v>
      </c>
      <c r="B345" s="57"/>
      <c r="C345" s="57" t="s">
        <v>2135</v>
      </c>
      <c r="D345" s="57" t="s">
        <v>2396</v>
      </c>
      <c r="E345" s="75" t="s">
        <v>2318</v>
      </c>
      <c r="F345" s="57" t="s">
        <v>1968</v>
      </c>
      <c r="G345" s="57" t="s">
        <v>2120</v>
      </c>
    </row>
    <row r="346" spans="1:7" ht="17.25">
      <c r="A346" s="76" t="s">
        <v>2399</v>
      </c>
      <c r="B346" s="76"/>
      <c r="C346" s="76"/>
      <c r="D346" s="76"/>
      <c r="E346" s="77"/>
      <c r="F346" s="76"/>
      <c r="G346" s="76"/>
    </row>
    <row r="347" spans="1:7">
      <c r="A347" s="58" t="s">
        <v>2188</v>
      </c>
      <c r="B347" s="58"/>
      <c r="C347" s="58" t="s">
        <v>2189</v>
      </c>
      <c r="D347" s="58" t="s">
        <v>2396</v>
      </c>
      <c r="E347" s="59" t="s">
        <v>2400</v>
      </c>
      <c r="F347" s="59" t="s">
        <v>2349</v>
      </c>
      <c r="G347" s="58" t="s">
        <v>2120</v>
      </c>
    </row>
    <row r="348" spans="1:7">
      <c r="A348" s="57" t="s">
        <v>2190</v>
      </c>
      <c r="B348" s="57"/>
      <c r="C348" s="57" t="s">
        <v>2135</v>
      </c>
      <c r="D348" s="57" t="s">
        <v>2396</v>
      </c>
      <c r="E348" s="75" t="s">
        <v>2318</v>
      </c>
      <c r="F348" s="57" t="s">
        <v>1968</v>
      </c>
      <c r="G348" s="57" t="s">
        <v>2120</v>
      </c>
    </row>
    <row r="349" spans="1:7">
      <c r="A349" s="57" t="s">
        <v>2191</v>
      </c>
      <c r="B349" s="57"/>
      <c r="C349" s="57" t="s">
        <v>2135</v>
      </c>
      <c r="D349" s="57" t="s">
        <v>2396</v>
      </c>
      <c r="E349" s="75" t="s">
        <v>2318</v>
      </c>
      <c r="F349" s="57" t="s">
        <v>1968</v>
      </c>
      <c r="G349" s="57" t="s">
        <v>2120</v>
      </c>
    </row>
    <row r="350" spans="1:7" ht="17.25">
      <c r="A350" s="76" t="s">
        <v>2401</v>
      </c>
      <c r="B350" s="76"/>
      <c r="C350" s="76"/>
      <c r="D350" s="76"/>
      <c r="E350" s="77"/>
      <c r="F350" s="76"/>
      <c r="G350" s="76"/>
    </row>
    <row r="351" spans="1:7">
      <c r="A351" s="57" t="s">
        <v>2206</v>
      </c>
      <c r="B351" s="57"/>
      <c r="C351" s="57" t="s">
        <v>2135</v>
      </c>
      <c r="D351" s="57" t="s">
        <v>2396</v>
      </c>
      <c r="E351" s="75" t="s">
        <v>2318</v>
      </c>
      <c r="F351" s="57" t="s">
        <v>1968</v>
      </c>
      <c r="G351" s="57" t="s">
        <v>2120</v>
      </c>
    </row>
    <row r="352" spans="1:7" ht="17.25">
      <c r="A352" s="76" t="s">
        <v>2402</v>
      </c>
      <c r="B352" s="76"/>
      <c r="C352" s="76"/>
      <c r="D352" s="76"/>
      <c r="E352" s="77"/>
      <c r="F352" s="76"/>
      <c r="G352" s="76"/>
    </row>
    <row r="353" spans="1:7">
      <c r="A353" s="57" t="s">
        <v>2328</v>
      </c>
      <c r="B353" s="57" t="s">
        <v>2217</v>
      </c>
      <c r="C353" s="57" t="s">
        <v>2309</v>
      </c>
      <c r="D353" s="57" t="s">
        <v>2396</v>
      </c>
      <c r="E353" s="75" t="s">
        <v>2311</v>
      </c>
      <c r="F353" s="57" t="s">
        <v>1968</v>
      </c>
      <c r="G353" s="57" t="s">
        <v>2329</v>
      </c>
    </row>
    <row r="354" spans="1:7">
      <c r="A354" s="57" t="s">
        <v>2330</v>
      </c>
      <c r="B354" s="57" t="s">
        <v>2331</v>
      </c>
      <c r="C354" s="57" t="s">
        <v>2309</v>
      </c>
      <c r="D354" s="57" t="s">
        <v>2396</v>
      </c>
      <c r="E354" s="75" t="s">
        <v>2311</v>
      </c>
      <c r="F354" s="57" t="s">
        <v>1968</v>
      </c>
      <c r="G354" s="57" t="s">
        <v>2332</v>
      </c>
    </row>
    <row r="355" spans="1:7">
      <c r="A355" s="57" t="s">
        <v>2228</v>
      </c>
      <c r="B355" s="57"/>
      <c r="C355" s="57" t="s">
        <v>2135</v>
      </c>
      <c r="D355" s="57" t="s">
        <v>2396</v>
      </c>
      <c r="E355" s="75" t="s">
        <v>2318</v>
      </c>
      <c r="F355" s="57" t="s">
        <v>1968</v>
      </c>
      <c r="G355" s="57" t="s">
        <v>2120</v>
      </c>
    </row>
    <row r="356" spans="1:7" ht="17.25">
      <c r="A356" s="76" t="s">
        <v>2403</v>
      </c>
      <c r="B356" s="76"/>
      <c r="C356" s="76"/>
      <c r="D356" s="76"/>
      <c r="E356" s="77"/>
      <c r="F356" s="76"/>
      <c r="G356" s="76"/>
    </row>
    <row r="357" spans="1:7">
      <c r="A357" s="57" t="s">
        <v>2335</v>
      </c>
      <c r="B357" s="57"/>
      <c r="C357" s="57" t="s">
        <v>2309</v>
      </c>
      <c r="D357" s="57" t="s">
        <v>2396</v>
      </c>
      <c r="E357" s="75" t="s">
        <v>2311</v>
      </c>
      <c r="F357" s="57" t="s">
        <v>1968</v>
      </c>
      <c r="G357" s="57" t="s">
        <v>2336</v>
      </c>
    </row>
    <row r="358" spans="1:7">
      <c r="A358" s="57" t="s">
        <v>2337</v>
      </c>
      <c r="B358" s="57" t="s">
        <v>2248</v>
      </c>
      <c r="C358" s="57" t="s">
        <v>2338</v>
      </c>
      <c r="D358" s="57" t="s">
        <v>2396</v>
      </c>
      <c r="E358" s="75" t="s">
        <v>2339</v>
      </c>
      <c r="F358" s="57" t="s">
        <v>1968</v>
      </c>
      <c r="G358" s="57" t="s">
        <v>2120</v>
      </c>
    </row>
    <row r="359" spans="1:7" ht="17.25">
      <c r="A359" s="76" t="s">
        <v>2404</v>
      </c>
      <c r="B359" s="76"/>
      <c r="C359" s="76"/>
      <c r="D359" s="76"/>
      <c r="E359" s="77"/>
      <c r="F359" s="76"/>
      <c r="G359" s="76"/>
    </row>
    <row r="360" spans="1:7">
      <c r="A360" s="57" t="s">
        <v>2342</v>
      </c>
      <c r="B360" s="57"/>
      <c r="C360" s="57" t="s">
        <v>2309</v>
      </c>
      <c r="D360" s="57" t="s">
        <v>2396</v>
      </c>
      <c r="E360" s="75" t="s">
        <v>2311</v>
      </c>
      <c r="F360" s="57" t="s">
        <v>1968</v>
      </c>
      <c r="G360" s="57" t="s">
        <v>2343</v>
      </c>
    </row>
    <row r="361" spans="1:7">
      <c r="A361" s="57" t="s">
        <v>2344</v>
      </c>
      <c r="B361" s="57" t="s">
        <v>2273</v>
      </c>
      <c r="C361" s="57" t="s">
        <v>2309</v>
      </c>
      <c r="D361" s="57" t="s">
        <v>2396</v>
      </c>
      <c r="E361" s="75" t="s">
        <v>2311</v>
      </c>
      <c r="F361" s="57" t="s">
        <v>1968</v>
      </c>
      <c r="G361" s="57" t="s">
        <v>2345</v>
      </c>
    </row>
    <row r="362" spans="1:7">
      <c r="A362" s="57" t="s">
        <v>2285</v>
      </c>
      <c r="B362" s="57"/>
      <c r="C362" s="57" t="s">
        <v>2135</v>
      </c>
      <c r="D362" s="57" t="s">
        <v>2396</v>
      </c>
      <c r="E362" s="75" t="s">
        <v>2318</v>
      </c>
      <c r="F362" s="57" t="s">
        <v>1968</v>
      </c>
      <c r="G362" s="57" t="s">
        <v>2120</v>
      </c>
    </row>
    <row r="363" spans="1:7" ht="17.25">
      <c r="A363" s="76" t="s">
        <v>2405</v>
      </c>
      <c r="B363" s="76"/>
      <c r="C363" s="76"/>
      <c r="D363" s="76"/>
      <c r="E363" s="77"/>
      <c r="F363" s="76"/>
      <c r="G363" s="76"/>
    </row>
    <row r="364" spans="1:7">
      <c r="A364" s="57" t="s">
        <v>2291</v>
      </c>
      <c r="B364" s="57"/>
      <c r="C364" s="57" t="s">
        <v>2135</v>
      </c>
      <c r="D364" s="57" t="s">
        <v>2396</v>
      </c>
      <c r="E364" s="75" t="s">
        <v>2318</v>
      </c>
      <c r="F364" s="57" t="s">
        <v>1968</v>
      </c>
      <c r="G364" s="57" t="s">
        <v>2292</v>
      </c>
    </row>
    <row r="365" spans="1:7" ht="17.25">
      <c r="A365" s="76" t="s">
        <v>2406</v>
      </c>
      <c r="B365" s="76"/>
      <c r="C365" s="76"/>
      <c r="D365" s="76"/>
      <c r="E365" s="77"/>
      <c r="F365" s="76"/>
      <c r="G365" s="76"/>
    </row>
    <row r="366" spans="1:7">
      <c r="A366" s="58" t="s">
        <v>2114</v>
      </c>
      <c r="B366" s="58" t="s">
        <v>2115</v>
      </c>
      <c r="C366" s="58" t="s">
        <v>1559</v>
      </c>
      <c r="D366" s="58" t="s">
        <v>2116</v>
      </c>
      <c r="E366" s="59" t="s">
        <v>108</v>
      </c>
      <c r="F366" s="59" t="s">
        <v>2349</v>
      </c>
      <c r="G366" s="58" t="s">
        <v>2117</v>
      </c>
    </row>
    <row r="367" spans="1:7">
      <c r="A367" s="58" t="s">
        <v>2118</v>
      </c>
      <c r="B367" s="58"/>
      <c r="C367" s="58" t="s">
        <v>2119</v>
      </c>
      <c r="D367" s="58" t="s">
        <v>2116</v>
      </c>
      <c r="E367" s="59" t="s">
        <v>108</v>
      </c>
      <c r="F367" s="59" t="s">
        <v>2349</v>
      </c>
      <c r="G367" s="58" t="s">
        <v>2120</v>
      </c>
    </row>
    <row r="368" spans="1:7">
      <c r="A368" s="58" t="s">
        <v>2121</v>
      </c>
      <c r="B368" s="58" t="s">
        <v>2122</v>
      </c>
      <c r="C368" s="58" t="s">
        <v>108</v>
      </c>
      <c r="D368" s="58" t="s">
        <v>2116</v>
      </c>
      <c r="E368" s="59" t="s">
        <v>108</v>
      </c>
      <c r="F368" s="59" t="s">
        <v>2349</v>
      </c>
      <c r="G368" s="58" t="s">
        <v>2120</v>
      </c>
    </row>
    <row r="369" spans="1:7">
      <c r="A369" s="58" t="s">
        <v>2123</v>
      </c>
      <c r="B369" s="58" t="s">
        <v>2124</v>
      </c>
      <c r="C369" s="58" t="s">
        <v>108</v>
      </c>
      <c r="D369" s="58" t="s">
        <v>2116</v>
      </c>
      <c r="E369" s="59" t="s">
        <v>108</v>
      </c>
      <c r="F369" s="59" t="s">
        <v>2349</v>
      </c>
      <c r="G369" s="58" t="s">
        <v>2125</v>
      </c>
    </row>
    <row r="370" spans="1:7">
      <c r="A370" s="58" t="s">
        <v>2126</v>
      </c>
      <c r="B370" s="58"/>
      <c r="C370" s="58" t="s">
        <v>108</v>
      </c>
      <c r="D370" s="58" t="s">
        <v>2116</v>
      </c>
      <c r="E370" s="59" t="s">
        <v>108</v>
      </c>
      <c r="F370" s="59" t="s">
        <v>2349</v>
      </c>
      <c r="G370" s="58" t="s">
        <v>2120</v>
      </c>
    </row>
    <row r="371" spans="1:7" ht="17.25">
      <c r="A371" s="76" t="s">
        <v>2407</v>
      </c>
      <c r="B371" s="76"/>
      <c r="C371" s="76"/>
      <c r="D371" s="76"/>
      <c r="E371" s="77"/>
      <c r="F371" s="76"/>
      <c r="G371" s="76"/>
    </row>
    <row r="372" spans="1:7">
      <c r="A372" s="58" t="s">
        <v>2128</v>
      </c>
      <c r="B372" s="58" t="s">
        <v>2129</v>
      </c>
      <c r="C372" s="58" t="s">
        <v>108</v>
      </c>
      <c r="D372" s="58" t="s">
        <v>2116</v>
      </c>
      <c r="E372" s="59" t="s">
        <v>108</v>
      </c>
      <c r="F372" s="59" t="s">
        <v>2349</v>
      </c>
      <c r="G372" s="58" t="s">
        <v>2120</v>
      </c>
    </row>
    <row r="373" spans="1:7">
      <c r="A373" s="58" t="s">
        <v>2130</v>
      </c>
      <c r="B373" s="58" t="s">
        <v>2131</v>
      </c>
      <c r="C373" s="58" t="s">
        <v>108</v>
      </c>
      <c r="D373" s="58" t="s">
        <v>2116</v>
      </c>
      <c r="E373" s="59" t="s">
        <v>108</v>
      </c>
      <c r="F373" s="59" t="s">
        <v>2349</v>
      </c>
      <c r="G373" s="58" t="s">
        <v>2132</v>
      </c>
    </row>
    <row r="374" spans="1:7">
      <c r="A374" s="58" t="s">
        <v>2133</v>
      </c>
      <c r="B374" s="58" t="s">
        <v>2131</v>
      </c>
      <c r="C374" s="58" t="s">
        <v>108</v>
      </c>
      <c r="D374" s="58" t="s">
        <v>2116</v>
      </c>
      <c r="E374" s="59" t="s">
        <v>108</v>
      </c>
      <c r="F374" s="59" t="s">
        <v>2349</v>
      </c>
      <c r="G374" s="58" t="s">
        <v>2120</v>
      </c>
    </row>
    <row r="375" spans="1:7">
      <c r="A375" s="57" t="s">
        <v>2134</v>
      </c>
      <c r="B375" s="57"/>
      <c r="C375" s="57" t="s">
        <v>2135</v>
      </c>
      <c r="D375" s="57" t="s">
        <v>2116</v>
      </c>
      <c r="E375" s="75" t="s">
        <v>2136</v>
      </c>
      <c r="F375" s="57" t="s">
        <v>1868</v>
      </c>
      <c r="G375" s="57" t="s">
        <v>2137</v>
      </c>
    </row>
    <row r="376" spans="1:7">
      <c r="A376" s="58" t="s">
        <v>2138</v>
      </c>
      <c r="B376" s="58" t="s">
        <v>2139</v>
      </c>
      <c r="C376" s="58" t="s">
        <v>108</v>
      </c>
      <c r="D376" s="58" t="s">
        <v>2116</v>
      </c>
      <c r="E376" s="59" t="s">
        <v>108</v>
      </c>
      <c r="F376" s="59" t="s">
        <v>2349</v>
      </c>
      <c r="G376" s="58" t="s">
        <v>2140</v>
      </c>
    </row>
    <row r="377" spans="1:7" ht="17.25">
      <c r="A377" s="76" t="s">
        <v>2408</v>
      </c>
      <c r="B377" s="76"/>
      <c r="C377" s="76"/>
      <c r="D377" s="76"/>
      <c r="E377" s="77"/>
      <c r="F377" s="76"/>
      <c r="G377" s="76"/>
    </row>
    <row r="378" spans="1:7">
      <c r="A378" s="58" t="s">
        <v>2142</v>
      </c>
      <c r="B378" s="58" t="s">
        <v>2143</v>
      </c>
      <c r="C378" s="58" t="s">
        <v>108</v>
      </c>
      <c r="D378" s="58" t="s">
        <v>2116</v>
      </c>
      <c r="E378" s="59" t="s">
        <v>108</v>
      </c>
      <c r="F378" s="59" t="s">
        <v>2349</v>
      </c>
      <c r="G378" s="58" t="s">
        <v>2120</v>
      </c>
    </row>
    <row r="379" spans="1:7">
      <c r="A379" s="58" t="s">
        <v>2144</v>
      </c>
      <c r="B379" s="58" t="s">
        <v>2143</v>
      </c>
      <c r="C379" s="58" t="s">
        <v>2145</v>
      </c>
      <c r="D379" s="58" t="s">
        <v>2116</v>
      </c>
      <c r="E379" s="59" t="s">
        <v>108</v>
      </c>
      <c r="F379" s="59" t="s">
        <v>2349</v>
      </c>
      <c r="G379" s="58" t="s">
        <v>2120</v>
      </c>
    </row>
    <row r="380" spans="1:7">
      <c r="A380" s="58" t="s">
        <v>2146</v>
      </c>
      <c r="B380" s="58" t="s">
        <v>2143</v>
      </c>
      <c r="C380" s="58" t="s">
        <v>2147</v>
      </c>
      <c r="D380" s="58" t="s">
        <v>2116</v>
      </c>
      <c r="E380" s="59" t="s">
        <v>108</v>
      </c>
      <c r="F380" s="59" t="s">
        <v>2349</v>
      </c>
      <c r="G380" s="58" t="s">
        <v>2148</v>
      </c>
    </row>
    <row r="381" spans="1:7">
      <c r="A381" s="58" t="s">
        <v>2149</v>
      </c>
      <c r="B381" s="58" t="s">
        <v>2143</v>
      </c>
      <c r="C381" s="58" t="s">
        <v>108</v>
      </c>
      <c r="D381" s="58" t="s">
        <v>2116</v>
      </c>
      <c r="E381" s="59" t="s">
        <v>108</v>
      </c>
      <c r="F381" s="59" t="s">
        <v>2349</v>
      </c>
      <c r="G381" s="58" t="s">
        <v>2120</v>
      </c>
    </row>
    <row r="382" spans="1:7" ht="17.25">
      <c r="A382" s="76" t="s">
        <v>2409</v>
      </c>
      <c r="B382" s="76"/>
      <c r="C382" s="76"/>
      <c r="D382" s="76"/>
      <c r="E382" s="77"/>
      <c r="F382" s="76"/>
      <c r="G382" s="76"/>
    </row>
    <row r="383" spans="1:7">
      <c r="A383" s="58" t="s">
        <v>2151</v>
      </c>
      <c r="B383" s="58" t="s">
        <v>2152</v>
      </c>
      <c r="C383" s="58" t="s">
        <v>2153</v>
      </c>
      <c r="D383" s="58" t="s">
        <v>2116</v>
      </c>
      <c r="E383" s="59" t="s">
        <v>108</v>
      </c>
      <c r="F383" s="59" t="s">
        <v>2349</v>
      </c>
      <c r="G383" s="58" t="s">
        <v>2120</v>
      </c>
    </row>
    <row r="384" spans="1:7">
      <c r="A384" s="58" t="s">
        <v>2154</v>
      </c>
      <c r="B384" s="58" t="s">
        <v>2155</v>
      </c>
      <c r="C384" s="58" t="s">
        <v>108</v>
      </c>
      <c r="D384" s="58" t="s">
        <v>2116</v>
      </c>
      <c r="E384" s="59" t="s">
        <v>108</v>
      </c>
      <c r="F384" s="59" t="s">
        <v>2349</v>
      </c>
      <c r="G384" s="58" t="s">
        <v>2120</v>
      </c>
    </row>
    <row r="385" spans="1:7">
      <c r="A385" s="58" t="s">
        <v>2156</v>
      </c>
      <c r="B385" s="58" t="s">
        <v>2152</v>
      </c>
      <c r="C385" s="58" t="s">
        <v>2157</v>
      </c>
      <c r="D385" s="58" t="s">
        <v>2116</v>
      </c>
      <c r="E385" s="59" t="s">
        <v>108</v>
      </c>
      <c r="F385" s="59" t="s">
        <v>2349</v>
      </c>
      <c r="G385" s="58" t="s">
        <v>2120</v>
      </c>
    </row>
    <row r="386" spans="1:7">
      <c r="A386" s="58" t="s">
        <v>2158</v>
      </c>
      <c r="B386" s="58" t="s">
        <v>2155</v>
      </c>
      <c r="C386" s="58" t="s">
        <v>2159</v>
      </c>
      <c r="D386" s="58" t="s">
        <v>2116</v>
      </c>
      <c r="E386" s="59" t="s">
        <v>108</v>
      </c>
      <c r="F386" s="59" t="s">
        <v>2349</v>
      </c>
      <c r="G386" s="58" t="s">
        <v>2160</v>
      </c>
    </row>
    <row r="387" spans="1:7">
      <c r="A387" s="58" t="s">
        <v>2161</v>
      </c>
      <c r="B387" s="58" t="s">
        <v>2162</v>
      </c>
      <c r="C387" s="58" t="s">
        <v>108</v>
      </c>
      <c r="D387" s="58" t="s">
        <v>2116</v>
      </c>
      <c r="E387" s="59" t="s">
        <v>108</v>
      </c>
      <c r="F387" s="59" t="s">
        <v>2349</v>
      </c>
      <c r="G387" s="58" t="s">
        <v>2163</v>
      </c>
    </row>
    <row r="388" spans="1:7">
      <c r="A388" s="58" t="s">
        <v>2164</v>
      </c>
      <c r="B388" s="58" t="s">
        <v>2162</v>
      </c>
      <c r="C388" s="58" t="s">
        <v>108</v>
      </c>
      <c r="D388" s="58" t="s">
        <v>2116</v>
      </c>
      <c r="E388" s="59" t="s">
        <v>108</v>
      </c>
      <c r="F388" s="59" t="s">
        <v>2349</v>
      </c>
      <c r="G388" s="58" t="s">
        <v>2120</v>
      </c>
    </row>
    <row r="389" spans="1:7" ht="17.25">
      <c r="A389" s="76" t="s">
        <v>2410</v>
      </c>
      <c r="B389" s="76"/>
      <c r="C389" s="76"/>
      <c r="D389" s="76"/>
      <c r="E389" s="77"/>
      <c r="F389" s="76"/>
      <c r="G389" s="76"/>
    </row>
    <row r="390" spans="1:7">
      <c r="A390" s="58" t="s">
        <v>2166</v>
      </c>
      <c r="B390" s="58" t="s">
        <v>2167</v>
      </c>
      <c r="C390" s="58" t="s">
        <v>108</v>
      </c>
      <c r="D390" s="58" t="s">
        <v>2116</v>
      </c>
      <c r="E390" s="59" t="s">
        <v>108</v>
      </c>
      <c r="F390" s="59" t="s">
        <v>2349</v>
      </c>
      <c r="G390" s="58" t="s">
        <v>2168</v>
      </c>
    </row>
    <row r="391" spans="1:7">
      <c r="A391" s="57" t="s">
        <v>2169</v>
      </c>
      <c r="B391" s="57" t="s">
        <v>2129</v>
      </c>
      <c r="C391" s="57" t="s">
        <v>2170</v>
      </c>
      <c r="D391" s="57" t="s">
        <v>2116</v>
      </c>
      <c r="E391" s="75" t="s">
        <v>2136</v>
      </c>
      <c r="F391" s="57" t="s">
        <v>1868</v>
      </c>
      <c r="G391" s="57" t="s">
        <v>2120</v>
      </c>
    </row>
    <row r="392" spans="1:7">
      <c r="A392" s="57" t="s">
        <v>2171</v>
      </c>
      <c r="B392" s="57" t="s">
        <v>2129</v>
      </c>
      <c r="C392" s="57" t="s">
        <v>2135</v>
      </c>
      <c r="D392" s="57" t="s">
        <v>2116</v>
      </c>
      <c r="E392" s="75" t="s">
        <v>2136</v>
      </c>
      <c r="F392" s="57" t="s">
        <v>1868</v>
      </c>
      <c r="G392" s="57" t="s">
        <v>2120</v>
      </c>
    </row>
    <row r="393" spans="1:7">
      <c r="A393" s="57" t="s">
        <v>2172</v>
      </c>
      <c r="B393" s="57" t="s">
        <v>2129</v>
      </c>
      <c r="C393" s="57" t="s">
        <v>2135</v>
      </c>
      <c r="D393" s="57" t="s">
        <v>2116</v>
      </c>
      <c r="E393" s="75" t="s">
        <v>2136</v>
      </c>
      <c r="F393" s="57" t="s">
        <v>1868</v>
      </c>
      <c r="G393" s="57" t="s">
        <v>2120</v>
      </c>
    </row>
    <row r="394" spans="1:7">
      <c r="A394" s="57" t="s">
        <v>2173</v>
      </c>
      <c r="B394" s="57" t="s">
        <v>2174</v>
      </c>
      <c r="C394" s="57" t="s">
        <v>2135</v>
      </c>
      <c r="D394" s="57" t="s">
        <v>2116</v>
      </c>
      <c r="E394" s="75" t="s">
        <v>2136</v>
      </c>
      <c r="F394" s="57" t="s">
        <v>1868</v>
      </c>
      <c r="G394" s="57" t="s">
        <v>2120</v>
      </c>
    </row>
    <row r="395" spans="1:7">
      <c r="A395" s="57" t="s">
        <v>2175</v>
      </c>
      <c r="B395" s="57"/>
      <c r="C395" s="57" t="s">
        <v>2135</v>
      </c>
      <c r="D395" s="57" t="s">
        <v>2116</v>
      </c>
      <c r="E395" s="75" t="s">
        <v>2136</v>
      </c>
      <c r="F395" s="57" t="s">
        <v>1868</v>
      </c>
      <c r="G395" s="57" t="s">
        <v>2120</v>
      </c>
    </row>
    <row r="396" spans="1:7">
      <c r="A396" s="57" t="s">
        <v>2176</v>
      </c>
      <c r="B396" s="57"/>
      <c r="C396" s="57" t="s">
        <v>2135</v>
      </c>
      <c r="D396" s="57" t="s">
        <v>2116</v>
      </c>
      <c r="E396" s="75" t="s">
        <v>2136</v>
      </c>
      <c r="F396" s="57" t="s">
        <v>1868</v>
      </c>
      <c r="G396" s="57" t="s">
        <v>2120</v>
      </c>
    </row>
    <row r="397" spans="1:7">
      <c r="A397" s="57" t="s">
        <v>2177</v>
      </c>
      <c r="B397" s="57"/>
      <c r="C397" s="57" t="s">
        <v>2135</v>
      </c>
      <c r="D397" s="57" t="s">
        <v>2116</v>
      </c>
      <c r="E397" s="75" t="s">
        <v>2136</v>
      </c>
      <c r="F397" s="57" t="s">
        <v>1868</v>
      </c>
      <c r="G397" s="57" t="s">
        <v>2120</v>
      </c>
    </row>
    <row r="398" spans="1:7" ht="17.25">
      <c r="A398" s="76" t="s">
        <v>2411</v>
      </c>
      <c r="B398" s="76"/>
      <c r="C398" s="76"/>
      <c r="D398" s="76"/>
      <c r="E398" s="77"/>
      <c r="F398" s="76"/>
      <c r="G398" s="76"/>
    </row>
    <row r="399" spans="1:7">
      <c r="A399" s="58" t="s">
        <v>2179</v>
      </c>
      <c r="B399" s="58" t="s">
        <v>2180</v>
      </c>
      <c r="C399" s="58" t="s">
        <v>108</v>
      </c>
      <c r="D399" s="58" t="s">
        <v>2116</v>
      </c>
      <c r="E399" s="59" t="s">
        <v>108</v>
      </c>
      <c r="F399" s="59" t="s">
        <v>2349</v>
      </c>
      <c r="G399" s="58" t="s">
        <v>2120</v>
      </c>
    </row>
    <row r="400" spans="1:7">
      <c r="A400" s="58" t="s">
        <v>2181</v>
      </c>
      <c r="B400" s="58" t="s">
        <v>2182</v>
      </c>
      <c r="C400" s="58" t="s">
        <v>108</v>
      </c>
      <c r="D400" s="58" t="s">
        <v>2116</v>
      </c>
      <c r="E400" s="59" t="s">
        <v>108</v>
      </c>
      <c r="F400" s="59" t="s">
        <v>2349</v>
      </c>
      <c r="G400" s="58" t="s">
        <v>2120</v>
      </c>
    </row>
    <row r="401" spans="1:7">
      <c r="A401" s="58" t="s">
        <v>2183</v>
      </c>
      <c r="B401" s="58" t="s">
        <v>2182</v>
      </c>
      <c r="C401" s="58" t="s">
        <v>2184</v>
      </c>
      <c r="D401" s="58" t="s">
        <v>2116</v>
      </c>
      <c r="E401" s="59" t="s">
        <v>108</v>
      </c>
      <c r="F401" s="59" t="s">
        <v>2349</v>
      </c>
      <c r="G401" s="58" t="s">
        <v>2185</v>
      </c>
    </row>
    <row r="402" spans="1:7">
      <c r="A402" s="58" t="s">
        <v>2186</v>
      </c>
      <c r="B402" s="58" t="s">
        <v>2187</v>
      </c>
      <c r="C402" s="58" t="s">
        <v>108</v>
      </c>
      <c r="D402" s="58" t="s">
        <v>2116</v>
      </c>
      <c r="E402" s="59" t="s">
        <v>108</v>
      </c>
      <c r="F402" s="59" t="s">
        <v>2349</v>
      </c>
      <c r="G402" s="58" t="s">
        <v>2120</v>
      </c>
    </row>
    <row r="403" spans="1:7">
      <c r="A403" s="58" t="s">
        <v>2188</v>
      </c>
      <c r="B403" s="58"/>
      <c r="C403" s="58" t="s">
        <v>2189</v>
      </c>
      <c r="D403" s="58" t="s">
        <v>2116</v>
      </c>
      <c r="E403" s="59" t="s">
        <v>108</v>
      </c>
      <c r="F403" s="59" t="s">
        <v>2349</v>
      </c>
      <c r="G403" s="58" t="s">
        <v>2120</v>
      </c>
    </row>
    <row r="404" spans="1:7">
      <c r="A404" s="57" t="s">
        <v>2190</v>
      </c>
      <c r="B404" s="57"/>
      <c r="C404" s="57" t="s">
        <v>2135</v>
      </c>
      <c r="D404" s="57" t="s">
        <v>2116</v>
      </c>
      <c r="E404" s="75" t="s">
        <v>2136</v>
      </c>
      <c r="F404" s="57" t="s">
        <v>1868</v>
      </c>
      <c r="G404" s="57" t="s">
        <v>2120</v>
      </c>
    </row>
    <row r="405" spans="1:7">
      <c r="A405" s="57" t="s">
        <v>2191</v>
      </c>
      <c r="B405" s="57"/>
      <c r="C405" s="57" t="s">
        <v>2135</v>
      </c>
      <c r="D405" s="57" t="s">
        <v>2116</v>
      </c>
      <c r="E405" s="75" t="s">
        <v>2136</v>
      </c>
      <c r="F405" s="57" t="s">
        <v>1868</v>
      </c>
      <c r="G405" s="57" t="s">
        <v>2120</v>
      </c>
    </row>
    <row r="406" spans="1:7">
      <c r="A406" s="58" t="s">
        <v>2192</v>
      </c>
      <c r="B406" s="58" t="s">
        <v>2182</v>
      </c>
      <c r="C406" s="58" t="s">
        <v>2193</v>
      </c>
      <c r="D406" s="58" t="s">
        <v>2116</v>
      </c>
      <c r="E406" s="59" t="s">
        <v>2193</v>
      </c>
      <c r="F406" s="59" t="s">
        <v>2349</v>
      </c>
      <c r="G406" s="58" t="s">
        <v>2120</v>
      </c>
    </row>
    <row r="407" spans="1:7">
      <c r="A407" s="58" t="s">
        <v>2194</v>
      </c>
      <c r="B407" s="58" t="s">
        <v>2187</v>
      </c>
      <c r="C407" s="58" t="s">
        <v>108</v>
      </c>
      <c r="D407" s="58" t="s">
        <v>2116</v>
      </c>
      <c r="E407" s="59" t="s">
        <v>108</v>
      </c>
      <c r="F407" s="59" t="s">
        <v>2349</v>
      </c>
      <c r="G407" s="58" t="s">
        <v>2120</v>
      </c>
    </row>
    <row r="408" spans="1:7" ht="17.25">
      <c r="A408" s="76" t="s">
        <v>2412</v>
      </c>
      <c r="B408" s="76"/>
      <c r="C408" s="76"/>
      <c r="D408" s="76"/>
      <c r="E408" s="77"/>
      <c r="F408" s="76"/>
      <c r="G408" s="76"/>
    </row>
    <row r="409" spans="1:7">
      <c r="A409" s="58" t="s">
        <v>2196</v>
      </c>
      <c r="B409" s="58"/>
      <c r="C409" s="58" t="s">
        <v>2193</v>
      </c>
      <c r="D409" s="58" t="s">
        <v>2116</v>
      </c>
      <c r="E409" s="59" t="s">
        <v>2193</v>
      </c>
      <c r="F409" s="59" t="s">
        <v>2349</v>
      </c>
      <c r="G409" s="58" t="s">
        <v>2120</v>
      </c>
    </row>
    <row r="410" spans="1:7">
      <c r="A410" s="58" t="s">
        <v>2197</v>
      </c>
      <c r="B410" s="58"/>
      <c r="C410" s="58" t="s">
        <v>2193</v>
      </c>
      <c r="D410" s="58" t="s">
        <v>2116</v>
      </c>
      <c r="E410" s="59" t="s">
        <v>2193</v>
      </c>
      <c r="F410" s="59" t="s">
        <v>2349</v>
      </c>
      <c r="G410" s="58" t="s">
        <v>2120</v>
      </c>
    </row>
    <row r="411" spans="1:7">
      <c r="A411" s="58" t="s">
        <v>2198</v>
      </c>
      <c r="B411" s="58"/>
      <c r="C411" s="58" t="s">
        <v>2199</v>
      </c>
      <c r="D411" s="58" t="s">
        <v>2116</v>
      </c>
      <c r="E411" s="59" t="s">
        <v>2193</v>
      </c>
      <c r="F411" s="59" t="s">
        <v>2349</v>
      </c>
      <c r="G411" s="58" t="s">
        <v>2120</v>
      </c>
    </row>
    <row r="412" spans="1:7">
      <c r="A412" s="58" t="s">
        <v>2200</v>
      </c>
      <c r="B412" s="58" t="s">
        <v>2182</v>
      </c>
      <c r="C412" s="58" t="s">
        <v>108</v>
      </c>
      <c r="D412" s="58" t="s">
        <v>2116</v>
      </c>
      <c r="E412" s="59" t="s">
        <v>108</v>
      </c>
      <c r="F412" s="59" t="s">
        <v>2349</v>
      </c>
      <c r="G412" s="58" t="s">
        <v>2120</v>
      </c>
    </row>
    <row r="413" spans="1:7">
      <c r="A413" s="58" t="s">
        <v>2201</v>
      </c>
      <c r="B413" s="58" t="s">
        <v>2182</v>
      </c>
      <c r="C413" s="58" t="s">
        <v>108</v>
      </c>
      <c r="D413" s="58" t="s">
        <v>2116</v>
      </c>
      <c r="E413" s="59" t="s">
        <v>108</v>
      </c>
      <c r="F413" s="59" t="s">
        <v>2349</v>
      </c>
      <c r="G413" s="58" t="s">
        <v>2120</v>
      </c>
    </row>
    <row r="414" spans="1:7">
      <c r="A414" s="58" t="s">
        <v>2202</v>
      </c>
      <c r="B414" s="58" t="s">
        <v>2174</v>
      </c>
      <c r="C414" s="58" t="s">
        <v>108</v>
      </c>
      <c r="D414" s="58" t="s">
        <v>2116</v>
      </c>
      <c r="E414" s="59" t="s">
        <v>108</v>
      </c>
      <c r="F414" s="59" t="s">
        <v>2349</v>
      </c>
      <c r="G414" s="58" t="s">
        <v>2120</v>
      </c>
    </row>
    <row r="415" spans="1:7">
      <c r="A415" s="58" t="s">
        <v>2203</v>
      </c>
      <c r="B415" s="58" t="s">
        <v>2204</v>
      </c>
      <c r="C415" s="58" t="s">
        <v>2193</v>
      </c>
      <c r="D415" s="58" t="s">
        <v>2116</v>
      </c>
      <c r="E415" s="59" t="s">
        <v>2193</v>
      </c>
      <c r="F415" s="59" t="s">
        <v>2349</v>
      </c>
      <c r="G415" s="58" t="s">
        <v>2120</v>
      </c>
    </row>
    <row r="416" spans="1:7">
      <c r="A416" s="58" t="s">
        <v>2205</v>
      </c>
      <c r="B416" s="58" t="s">
        <v>2204</v>
      </c>
      <c r="C416" s="58" t="s">
        <v>2193</v>
      </c>
      <c r="D416" s="58" t="s">
        <v>2116</v>
      </c>
      <c r="E416" s="59" t="s">
        <v>2193</v>
      </c>
      <c r="F416" s="59" t="s">
        <v>2349</v>
      </c>
      <c r="G416" s="58" t="s">
        <v>2120</v>
      </c>
    </row>
    <row r="417" spans="1:7">
      <c r="A417" s="57" t="s">
        <v>2206</v>
      </c>
      <c r="B417" s="57"/>
      <c r="C417" s="57" t="s">
        <v>2135</v>
      </c>
      <c r="D417" s="57" t="s">
        <v>2116</v>
      </c>
      <c r="E417" s="75" t="s">
        <v>2136</v>
      </c>
      <c r="F417" s="57" t="s">
        <v>1868</v>
      </c>
      <c r="G417" s="57" t="s">
        <v>2120</v>
      </c>
    </row>
    <row r="418" spans="1:7">
      <c r="A418" s="58" t="s">
        <v>2207</v>
      </c>
      <c r="B418" s="58" t="s">
        <v>2204</v>
      </c>
      <c r="C418" s="58" t="s">
        <v>108</v>
      </c>
      <c r="D418" s="58" t="s">
        <v>2116</v>
      </c>
      <c r="E418" s="59" t="s">
        <v>108</v>
      </c>
      <c r="F418" s="59" t="s">
        <v>2349</v>
      </c>
      <c r="G418" s="58" t="s">
        <v>2208</v>
      </c>
    </row>
    <row r="419" spans="1:7" ht="17.25">
      <c r="A419" s="76" t="s">
        <v>2413</v>
      </c>
      <c r="B419" s="76"/>
      <c r="C419" s="76"/>
      <c r="D419" s="76"/>
      <c r="E419" s="77"/>
      <c r="F419" s="76"/>
      <c r="G419" s="76"/>
    </row>
    <row r="420" spans="1:7">
      <c r="A420" s="58" t="s">
        <v>2210</v>
      </c>
      <c r="B420" s="58" t="s">
        <v>2211</v>
      </c>
      <c r="C420" s="58" t="s">
        <v>108</v>
      </c>
      <c r="D420" s="58" t="s">
        <v>2116</v>
      </c>
      <c r="E420" s="59" t="s">
        <v>108</v>
      </c>
      <c r="F420" s="59" t="s">
        <v>2349</v>
      </c>
      <c r="G420" s="58" t="s">
        <v>2120</v>
      </c>
    </row>
    <row r="421" spans="1:7">
      <c r="A421" s="58" t="s">
        <v>2212</v>
      </c>
      <c r="B421" s="58" t="s">
        <v>2213</v>
      </c>
      <c r="C421" s="58" t="s">
        <v>108</v>
      </c>
      <c r="D421" s="58" t="s">
        <v>2116</v>
      </c>
      <c r="E421" s="59" t="s">
        <v>108</v>
      </c>
      <c r="F421" s="59" t="s">
        <v>2349</v>
      </c>
      <c r="G421" s="58" t="s">
        <v>2120</v>
      </c>
    </row>
    <row r="422" spans="1:7">
      <c r="A422" s="58" t="s">
        <v>2214</v>
      </c>
      <c r="B422" s="58" t="s">
        <v>2213</v>
      </c>
      <c r="C422" s="58" t="s">
        <v>108</v>
      </c>
      <c r="D422" s="58" t="s">
        <v>2116</v>
      </c>
      <c r="E422" s="59" t="s">
        <v>108</v>
      </c>
      <c r="F422" s="59" t="s">
        <v>2349</v>
      </c>
      <c r="G422" s="58" t="s">
        <v>2120</v>
      </c>
    </row>
    <row r="423" spans="1:7" ht="17.25">
      <c r="A423" s="76" t="s">
        <v>2414</v>
      </c>
      <c r="B423" s="76"/>
      <c r="C423" s="76"/>
      <c r="D423" s="76"/>
      <c r="E423" s="77"/>
      <c r="F423" s="76"/>
      <c r="G423" s="76"/>
    </row>
    <row r="424" spans="1:7">
      <c r="A424" s="58" t="s">
        <v>2216</v>
      </c>
      <c r="B424" s="58" t="s">
        <v>2217</v>
      </c>
      <c r="C424" s="58" t="s">
        <v>2193</v>
      </c>
      <c r="D424" s="58" t="s">
        <v>2116</v>
      </c>
      <c r="E424" s="59" t="s">
        <v>2193</v>
      </c>
      <c r="F424" s="59" t="s">
        <v>2349</v>
      </c>
      <c r="G424" s="58" t="s">
        <v>2218</v>
      </c>
    </row>
    <row r="425" spans="1:7">
      <c r="A425" s="58" t="s">
        <v>2219</v>
      </c>
      <c r="B425" s="58" t="s">
        <v>2220</v>
      </c>
      <c r="C425" s="58" t="s">
        <v>108</v>
      </c>
      <c r="D425" s="58" t="s">
        <v>2116</v>
      </c>
      <c r="E425" s="59" t="s">
        <v>108</v>
      </c>
      <c r="F425" s="59" t="s">
        <v>2349</v>
      </c>
      <c r="G425" s="58" t="s">
        <v>2221</v>
      </c>
    </row>
    <row r="426" spans="1:7">
      <c r="A426" s="58" t="s">
        <v>2222</v>
      </c>
      <c r="B426" s="58" t="s">
        <v>2223</v>
      </c>
      <c r="C426" s="58" t="s">
        <v>108</v>
      </c>
      <c r="D426" s="58" t="s">
        <v>2116</v>
      </c>
      <c r="E426" s="59" t="s">
        <v>108</v>
      </c>
      <c r="F426" s="59" t="s">
        <v>2349</v>
      </c>
      <c r="G426" s="58" t="s">
        <v>2224</v>
      </c>
    </row>
    <row r="427" spans="1:7">
      <c r="A427" s="58" t="s">
        <v>2225</v>
      </c>
      <c r="B427" s="58" t="s">
        <v>2226</v>
      </c>
      <c r="C427" s="58" t="s">
        <v>108</v>
      </c>
      <c r="D427" s="58" t="s">
        <v>2116</v>
      </c>
      <c r="E427" s="59" t="s">
        <v>108</v>
      </c>
      <c r="F427" s="59" t="s">
        <v>2349</v>
      </c>
      <c r="G427" s="58" t="s">
        <v>2227</v>
      </c>
    </row>
    <row r="428" spans="1:7">
      <c r="A428" s="57" t="s">
        <v>2228</v>
      </c>
      <c r="B428" s="57"/>
      <c r="C428" s="57" t="s">
        <v>2135</v>
      </c>
      <c r="D428" s="57" t="s">
        <v>2116</v>
      </c>
      <c r="E428" s="75" t="s">
        <v>2136</v>
      </c>
      <c r="F428" s="57" t="s">
        <v>1868</v>
      </c>
      <c r="G428" s="57" t="s">
        <v>2120</v>
      </c>
    </row>
    <row r="429" spans="1:7" ht="17.25">
      <c r="A429" s="76" t="s">
        <v>2415</v>
      </c>
      <c r="B429" s="76"/>
      <c r="C429" s="76"/>
      <c r="D429" s="76"/>
      <c r="E429" s="77"/>
      <c r="F429" s="76"/>
      <c r="G429" s="76"/>
    </row>
    <row r="430" spans="1:7">
      <c r="A430" s="58" t="s">
        <v>2230</v>
      </c>
      <c r="B430" s="58" t="s">
        <v>2220</v>
      </c>
      <c r="C430" s="58" t="s">
        <v>108</v>
      </c>
      <c r="D430" s="58" t="s">
        <v>2116</v>
      </c>
      <c r="E430" s="59" t="s">
        <v>108</v>
      </c>
      <c r="F430" s="59" t="s">
        <v>2349</v>
      </c>
      <c r="G430" s="58" t="s">
        <v>2231</v>
      </c>
    </row>
    <row r="431" spans="1:7">
      <c r="A431" s="58" t="s">
        <v>2232</v>
      </c>
      <c r="B431" s="58" t="s">
        <v>2220</v>
      </c>
      <c r="C431" s="58" t="s">
        <v>108</v>
      </c>
      <c r="D431" s="58" t="s">
        <v>2116</v>
      </c>
      <c r="E431" s="59" t="s">
        <v>108</v>
      </c>
      <c r="F431" s="59" t="s">
        <v>2349</v>
      </c>
      <c r="G431" s="58" t="s">
        <v>2120</v>
      </c>
    </row>
    <row r="432" spans="1:7">
      <c r="A432" s="58" t="s">
        <v>2233</v>
      </c>
      <c r="B432" s="58" t="s">
        <v>2234</v>
      </c>
      <c r="C432" s="58" t="s">
        <v>108</v>
      </c>
      <c r="D432" s="58" t="s">
        <v>2116</v>
      </c>
      <c r="E432" s="59" t="s">
        <v>108</v>
      </c>
      <c r="F432" s="59" t="s">
        <v>2349</v>
      </c>
      <c r="G432" s="58" t="s">
        <v>2235</v>
      </c>
    </row>
    <row r="433" spans="1:7">
      <c r="A433" s="58" t="s">
        <v>2236</v>
      </c>
      <c r="B433" s="58" t="s">
        <v>2237</v>
      </c>
      <c r="C433" s="58" t="s">
        <v>108</v>
      </c>
      <c r="D433" s="58" t="s">
        <v>2116</v>
      </c>
      <c r="E433" s="59" t="s">
        <v>108</v>
      </c>
      <c r="F433" s="59" t="s">
        <v>2349</v>
      </c>
      <c r="G433" s="58" t="s">
        <v>2231</v>
      </c>
    </row>
    <row r="434" spans="1:7">
      <c r="A434" s="58" t="s">
        <v>2238</v>
      </c>
      <c r="B434" s="58" t="s">
        <v>2237</v>
      </c>
      <c r="C434" s="58" t="s">
        <v>108</v>
      </c>
      <c r="D434" s="58" t="s">
        <v>2116</v>
      </c>
      <c r="E434" s="59" t="s">
        <v>108</v>
      </c>
      <c r="F434" s="59" t="s">
        <v>2349</v>
      </c>
      <c r="G434" s="58" t="s">
        <v>2239</v>
      </c>
    </row>
    <row r="435" spans="1:7">
      <c r="A435" s="58" t="s">
        <v>2240</v>
      </c>
      <c r="B435" s="58" t="s">
        <v>2241</v>
      </c>
      <c r="C435" s="58" t="s">
        <v>2193</v>
      </c>
      <c r="D435" s="58" t="s">
        <v>2116</v>
      </c>
      <c r="E435" s="59" t="s">
        <v>2193</v>
      </c>
      <c r="F435" s="59" t="s">
        <v>2349</v>
      </c>
      <c r="G435" s="58" t="s">
        <v>2120</v>
      </c>
    </row>
    <row r="436" spans="1:7">
      <c r="A436" s="58" t="s">
        <v>2242</v>
      </c>
      <c r="B436" s="58" t="s">
        <v>2220</v>
      </c>
      <c r="C436" s="58" t="s">
        <v>2243</v>
      </c>
      <c r="D436" s="58" t="s">
        <v>2116</v>
      </c>
      <c r="E436" s="59" t="s">
        <v>108</v>
      </c>
      <c r="F436" s="59" t="s">
        <v>2349</v>
      </c>
      <c r="G436" s="58" t="s">
        <v>2244</v>
      </c>
    </row>
    <row r="437" spans="1:7">
      <c r="A437" s="58" t="s">
        <v>2245</v>
      </c>
      <c r="B437" s="58" t="s">
        <v>2241</v>
      </c>
      <c r="C437" s="58" t="s">
        <v>2246</v>
      </c>
      <c r="D437" s="58" t="s">
        <v>2116</v>
      </c>
      <c r="E437" s="59" t="s">
        <v>108</v>
      </c>
      <c r="F437" s="59" t="s">
        <v>2349</v>
      </c>
      <c r="G437" s="58" t="s">
        <v>2120</v>
      </c>
    </row>
    <row r="438" spans="1:7">
      <c r="A438" s="58" t="s">
        <v>2247</v>
      </c>
      <c r="B438" s="58" t="s">
        <v>2248</v>
      </c>
      <c r="C438" s="58" t="s">
        <v>108</v>
      </c>
      <c r="D438" s="58" t="s">
        <v>2116</v>
      </c>
      <c r="E438" s="59" t="s">
        <v>108</v>
      </c>
      <c r="F438" s="59" t="s">
        <v>2349</v>
      </c>
      <c r="G438" s="58" t="s">
        <v>2249</v>
      </c>
    </row>
    <row r="439" spans="1:7" ht="17.25">
      <c r="A439" s="76" t="s">
        <v>2416</v>
      </c>
      <c r="B439" s="76"/>
      <c r="C439" s="76"/>
      <c r="D439" s="76"/>
      <c r="E439" s="77"/>
      <c r="F439" s="76"/>
      <c r="G439" s="76"/>
    </row>
    <row r="440" spans="1:7">
      <c r="A440" s="58" t="s">
        <v>2251</v>
      </c>
      <c r="B440" s="58" t="s">
        <v>2252</v>
      </c>
      <c r="C440" s="58" t="s">
        <v>108</v>
      </c>
      <c r="D440" s="58" t="s">
        <v>2116</v>
      </c>
      <c r="E440" s="59" t="s">
        <v>108</v>
      </c>
      <c r="F440" s="59" t="s">
        <v>2349</v>
      </c>
      <c r="G440" s="58" t="s">
        <v>2120</v>
      </c>
    </row>
    <row r="441" spans="1:7">
      <c r="A441" s="58" t="s">
        <v>2253</v>
      </c>
      <c r="B441" s="58" t="s">
        <v>2252</v>
      </c>
      <c r="C441" s="58" t="s">
        <v>2193</v>
      </c>
      <c r="D441" s="58" t="s">
        <v>2116</v>
      </c>
      <c r="E441" s="59" t="s">
        <v>2193</v>
      </c>
      <c r="F441" s="59" t="s">
        <v>2349</v>
      </c>
      <c r="G441" s="58" t="s">
        <v>2254</v>
      </c>
    </row>
    <row r="442" spans="1:7">
      <c r="A442" s="58" t="s">
        <v>2255</v>
      </c>
      <c r="B442" s="58" t="s">
        <v>2256</v>
      </c>
      <c r="C442" s="58" t="s">
        <v>2257</v>
      </c>
      <c r="D442" s="58" t="s">
        <v>2116</v>
      </c>
      <c r="E442" s="59" t="s">
        <v>108</v>
      </c>
      <c r="F442" s="59" t="s">
        <v>2349</v>
      </c>
      <c r="G442" s="58" t="s">
        <v>2120</v>
      </c>
    </row>
    <row r="443" spans="1:7">
      <c r="A443" s="58" t="s">
        <v>2258</v>
      </c>
      <c r="B443" s="58" t="s">
        <v>2259</v>
      </c>
      <c r="C443" s="58" t="s">
        <v>2260</v>
      </c>
      <c r="D443" s="58" t="s">
        <v>2116</v>
      </c>
      <c r="E443" s="59" t="s">
        <v>108</v>
      </c>
      <c r="F443" s="59" t="s">
        <v>2349</v>
      </c>
      <c r="G443" s="58" t="s">
        <v>2261</v>
      </c>
    </row>
    <row r="444" spans="1:7">
      <c r="A444" s="58" t="s">
        <v>2262</v>
      </c>
      <c r="B444" s="58" t="s">
        <v>2259</v>
      </c>
      <c r="C444" s="58" t="s">
        <v>2147</v>
      </c>
      <c r="D444" s="58" t="s">
        <v>2116</v>
      </c>
      <c r="E444" s="59" t="s">
        <v>108</v>
      </c>
      <c r="F444" s="59" t="s">
        <v>2349</v>
      </c>
      <c r="G444" s="58" t="s">
        <v>2263</v>
      </c>
    </row>
    <row r="445" spans="1:7">
      <c r="A445" s="58" t="s">
        <v>2264</v>
      </c>
      <c r="B445" s="58" t="s">
        <v>2252</v>
      </c>
      <c r="C445" s="58" t="s">
        <v>2265</v>
      </c>
      <c r="D445" s="58" t="s">
        <v>2116</v>
      </c>
      <c r="E445" s="59" t="s">
        <v>108</v>
      </c>
      <c r="F445" s="59" t="s">
        <v>2349</v>
      </c>
      <c r="G445" s="58" t="s">
        <v>2120</v>
      </c>
    </row>
    <row r="446" spans="1:7">
      <c r="A446" s="58" t="s">
        <v>2266</v>
      </c>
      <c r="B446" s="58" t="s">
        <v>2252</v>
      </c>
      <c r="C446" s="58" t="s">
        <v>2267</v>
      </c>
      <c r="D446" s="58" t="s">
        <v>2116</v>
      </c>
      <c r="E446" s="59" t="s">
        <v>108</v>
      </c>
      <c r="F446" s="59" t="s">
        <v>2349</v>
      </c>
      <c r="G446" s="58" t="s">
        <v>2268</v>
      </c>
    </row>
    <row r="447" spans="1:7">
      <c r="A447" s="58" t="s">
        <v>2269</v>
      </c>
      <c r="B447" s="58" t="s">
        <v>2252</v>
      </c>
      <c r="C447" s="58" t="s">
        <v>2270</v>
      </c>
      <c r="D447" s="58" t="s">
        <v>2116</v>
      </c>
      <c r="E447" s="59" t="s">
        <v>108</v>
      </c>
      <c r="F447" s="59" t="s">
        <v>2349</v>
      </c>
      <c r="G447" s="58" t="s">
        <v>2120</v>
      </c>
    </row>
    <row r="448" spans="1:7" ht="17.25">
      <c r="A448" s="76" t="s">
        <v>2417</v>
      </c>
      <c r="B448" s="76"/>
      <c r="C448" s="76"/>
      <c r="D448" s="76"/>
      <c r="E448" s="77"/>
      <c r="F448" s="76"/>
      <c r="G448" s="76"/>
    </row>
    <row r="449" spans="1:7">
      <c r="A449" s="58" t="s">
        <v>2272</v>
      </c>
      <c r="B449" s="58" t="s">
        <v>2273</v>
      </c>
      <c r="C449" s="58" t="s">
        <v>2274</v>
      </c>
      <c r="D449" s="58" t="s">
        <v>2116</v>
      </c>
      <c r="E449" s="59" t="s">
        <v>108</v>
      </c>
      <c r="F449" s="59" t="s">
        <v>2349</v>
      </c>
      <c r="G449" s="58" t="s">
        <v>2275</v>
      </c>
    </row>
    <row r="450" spans="1:7">
      <c r="A450" s="58" t="s">
        <v>2276</v>
      </c>
      <c r="B450" s="58" t="s">
        <v>2248</v>
      </c>
      <c r="C450" s="58" t="s">
        <v>2277</v>
      </c>
      <c r="D450" s="58" t="s">
        <v>2116</v>
      </c>
      <c r="E450" s="59" t="s">
        <v>108</v>
      </c>
      <c r="F450" s="59" t="s">
        <v>2349</v>
      </c>
      <c r="G450" s="58" t="s">
        <v>2278</v>
      </c>
    </row>
    <row r="451" spans="1:7">
      <c r="A451" s="58" t="s">
        <v>2279</v>
      </c>
      <c r="B451" s="58" t="s">
        <v>2280</v>
      </c>
      <c r="C451" s="58" t="s">
        <v>2281</v>
      </c>
      <c r="D451" s="58" t="s">
        <v>2116</v>
      </c>
      <c r="E451" s="59" t="s">
        <v>108</v>
      </c>
      <c r="F451" s="59" t="s">
        <v>2349</v>
      </c>
      <c r="G451" s="58" t="s">
        <v>2282</v>
      </c>
    </row>
    <row r="452" spans="1:7">
      <c r="A452" s="58" t="s">
        <v>2283</v>
      </c>
      <c r="B452" s="58" t="s">
        <v>2273</v>
      </c>
      <c r="C452" s="58" t="s">
        <v>108</v>
      </c>
      <c r="D452" s="58" t="s">
        <v>2116</v>
      </c>
      <c r="E452" s="59" t="s">
        <v>108</v>
      </c>
      <c r="F452" s="59" t="s">
        <v>2349</v>
      </c>
      <c r="G452" s="58" t="s">
        <v>2284</v>
      </c>
    </row>
    <row r="453" spans="1:7">
      <c r="A453" s="57" t="s">
        <v>2285</v>
      </c>
      <c r="B453" s="57"/>
      <c r="C453" s="57" t="s">
        <v>2135</v>
      </c>
      <c r="D453" s="57" t="s">
        <v>2116</v>
      </c>
      <c r="E453" s="75" t="s">
        <v>2136</v>
      </c>
      <c r="F453" s="57" t="s">
        <v>1868</v>
      </c>
      <c r="G453" s="57" t="s">
        <v>2120</v>
      </c>
    </row>
    <row r="454" spans="1:7">
      <c r="A454" s="58" t="s">
        <v>2286</v>
      </c>
      <c r="B454" s="58"/>
      <c r="C454" s="58" t="s">
        <v>108</v>
      </c>
      <c r="D454" s="58" t="s">
        <v>2116</v>
      </c>
      <c r="E454" s="59" t="s">
        <v>108</v>
      </c>
      <c r="F454" s="59" t="s">
        <v>2349</v>
      </c>
      <c r="G454" s="58" t="s">
        <v>2120</v>
      </c>
    </row>
    <row r="455" spans="1:7">
      <c r="A455" s="58" t="s">
        <v>2287</v>
      </c>
      <c r="B455" s="58" t="s">
        <v>2273</v>
      </c>
      <c r="C455" s="58" t="s">
        <v>2288</v>
      </c>
      <c r="D455" s="58" t="s">
        <v>2116</v>
      </c>
      <c r="E455" s="59" t="s">
        <v>2288</v>
      </c>
      <c r="F455" s="59" t="s">
        <v>2349</v>
      </c>
      <c r="G455" s="58" t="s">
        <v>2289</v>
      </c>
    </row>
    <row r="456" spans="1:7" ht="17.25">
      <c r="A456" s="76" t="s">
        <v>2418</v>
      </c>
      <c r="B456" s="76"/>
      <c r="C456" s="76"/>
      <c r="D456" s="76"/>
      <c r="E456" s="77"/>
      <c r="F456" s="76"/>
      <c r="G456" s="76"/>
    </row>
    <row r="457" spans="1:7">
      <c r="A457" s="57" t="s">
        <v>2291</v>
      </c>
      <c r="B457" s="57"/>
      <c r="C457" s="57" t="s">
        <v>2135</v>
      </c>
      <c r="D457" s="57" t="s">
        <v>2116</v>
      </c>
      <c r="E457" s="75" t="s">
        <v>2136</v>
      </c>
      <c r="F457" s="57" t="s">
        <v>1868</v>
      </c>
      <c r="G457" s="57" t="s">
        <v>2292</v>
      </c>
    </row>
    <row r="458" spans="1:7">
      <c r="A458" s="58" t="s">
        <v>2293</v>
      </c>
      <c r="B458" s="58" t="s">
        <v>2294</v>
      </c>
      <c r="C458" s="58" t="s">
        <v>2295</v>
      </c>
      <c r="D458" s="58" t="s">
        <v>2116</v>
      </c>
      <c r="E458" s="59" t="s">
        <v>108</v>
      </c>
      <c r="F458" s="59" t="s">
        <v>2349</v>
      </c>
      <c r="G458" s="58" t="s">
        <v>2296</v>
      </c>
    </row>
    <row r="459" spans="1:7">
      <c r="A459" s="58" t="s">
        <v>2297</v>
      </c>
      <c r="B459" s="58" t="s">
        <v>2298</v>
      </c>
      <c r="C459" s="58" t="s">
        <v>108</v>
      </c>
      <c r="D459" s="58" t="s">
        <v>2116</v>
      </c>
      <c r="E459" s="59" t="s">
        <v>108</v>
      </c>
      <c r="F459" s="59" t="s">
        <v>2349</v>
      </c>
      <c r="G459" s="58" t="s">
        <v>2299</v>
      </c>
    </row>
    <row r="460" spans="1:7">
      <c r="A460" s="58" t="s">
        <v>2300</v>
      </c>
      <c r="B460" s="58" t="s">
        <v>2294</v>
      </c>
      <c r="C460" s="58" t="s">
        <v>108</v>
      </c>
      <c r="D460" s="58" t="s">
        <v>2116</v>
      </c>
      <c r="E460" s="59" t="s">
        <v>108</v>
      </c>
      <c r="F460" s="59" t="s">
        <v>2349</v>
      </c>
      <c r="G460" s="58" t="s">
        <v>2299</v>
      </c>
    </row>
    <row r="461" spans="1:7">
      <c r="A461" s="58" t="s">
        <v>2301</v>
      </c>
      <c r="B461" s="58" t="s">
        <v>2302</v>
      </c>
      <c r="C461" s="58" t="s">
        <v>2193</v>
      </c>
      <c r="D461" s="58" t="s">
        <v>2116</v>
      </c>
      <c r="E461" s="59" t="s">
        <v>2193</v>
      </c>
      <c r="F461" s="59" t="s">
        <v>2349</v>
      </c>
      <c r="G461" s="58" t="s">
        <v>2303</v>
      </c>
    </row>
    <row r="462" spans="1:7">
      <c r="A462" s="58" t="s">
        <v>2304</v>
      </c>
      <c r="B462" s="58" t="s">
        <v>2305</v>
      </c>
      <c r="C462" s="58" t="s">
        <v>2257</v>
      </c>
      <c r="D462" s="58" t="s">
        <v>2116</v>
      </c>
      <c r="E462" s="59" t="s">
        <v>108</v>
      </c>
      <c r="F462" s="59" t="s">
        <v>2349</v>
      </c>
      <c r="G462" s="58" t="s">
        <v>2306</v>
      </c>
    </row>
    <row r="463" spans="1:7" ht="17.25">
      <c r="A463" s="76" t="s">
        <v>2419</v>
      </c>
      <c r="B463" s="76"/>
      <c r="C463" s="76"/>
      <c r="D463" s="76"/>
      <c r="E463" s="77"/>
      <c r="F463" s="76"/>
      <c r="G463" s="76"/>
    </row>
    <row r="464" spans="1:7">
      <c r="A464" s="57" t="s">
        <v>2308</v>
      </c>
      <c r="B464" s="57" t="s">
        <v>2122</v>
      </c>
      <c r="C464" s="57" t="s">
        <v>2309</v>
      </c>
      <c r="D464" s="57" t="s">
        <v>2310</v>
      </c>
      <c r="E464" s="75" t="s">
        <v>2311</v>
      </c>
      <c r="F464" s="57" t="s">
        <v>1908</v>
      </c>
      <c r="G464" s="57" t="s">
        <v>2312</v>
      </c>
    </row>
    <row r="465" spans="1:7">
      <c r="A465" s="58" t="s">
        <v>2114</v>
      </c>
      <c r="B465" s="58" t="s">
        <v>2115</v>
      </c>
      <c r="C465" s="58" t="s">
        <v>1559</v>
      </c>
      <c r="D465" s="58" t="s">
        <v>2310</v>
      </c>
      <c r="E465" s="59" t="s">
        <v>108</v>
      </c>
      <c r="F465" s="59" t="s">
        <v>2349</v>
      </c>
      <c r="G465" s="58" t="s">
        <v>2117</v>
      </c>
    </row>
    <row r="466" spans="1:7">
      <c r="A466" s="58" t="s">
        <v>2118</v>
      </c>
      <c r="B466" s="58"/>
      <c r="C466" s="58" t="s">
        <v>2119</v>
      </c>
      <c r="D466" s="58" t="s">
        <v>2310</v>
      </c>
      <c r="E466" s="59" t="s">
        <v>108</v>
      </c>
      <c r="F466" s="59" t="s">
        <v>2349</v>
      </c>
      <c r="G466" s="58" t="s">
        <v>2120</v>
      </c>
    </row>
    <row r="467" spans="1:7">
      <c r="A467" s="58" t="s">
        <v>2121</v>
      </c>
      <c r="B467" s="58" t="s">
        <v>2122</v>
      </c>
      <c r="C467" s="58" t="s">
        <v>108</v>
      </c>
      <c r="D467" s="58" t="s">
        <v>2310</v>
      </c>
      <c r="E467" s="59" t="s">
        <v>108</v>
      </c>
      <c r="F467" s="59" t="s">
        <v>2349</v>
      </c>
      <c r="G467" s="58" t="s">
        <v>2120</v>
      </c>
    </row>
    <row r="468" spans="1:7">
      <c r="A468" s="58" t="s">
        <v>2123</v>
      </c>
      <c r="B468" s="58" t="s">
        <v>2124</v>
      </c>
      <c r="C468" s="58" t="s">
        <v>108</v>
      </c>
      <c r="D468" s="58" t="s">
        <v>2310</v>
      </c>
      <c r="E468" s="59" t="s">
        <v>108</v>
      </c>
      <c r="F468" s="59" t="s">
        <v>2349</v>
      </c>
      <c r="G468" s="58" t="s">
        <v>2125</v>
      </c>
    </row>
    <row r="469" spans="1:7">
      <c r="A469" s="58" t="s">
        <v>2126</v>
      </c>
      <c r="B469" s="58"/>
      <c r="C469" s="58" t="s">
        <v>108</v>
      </c>
      <c r="D469" s="58" t="s">
        <v>2310</v>
      </c>
      <c r="E469" s="59" t="s">
        <v>108</v>
      </c>
      <c r="F469" s="59" t="s">
        <v>2349</v>
      </c>
      <c r="G469" s="58" t="s">
        <v>2120</v>
      </c>
    </row>
    <row r="470" spans="1:7">
      <c r="A470" s="57" t="s">
        <v>2313</v>
      </c>
      <c r="B470" s="57" t="s">
        <v>2314</v>
      </c>
      <c r="C470" s="57" t="s">
        <v>2309</v>
      </c>
      <c r="D470" s="57" t="s">
        <v>2310</v>
      </c>
      <c r="E470" s="75" t="s">
        <v>2311</v>
      </c>
      <c r="F470" s="57" t="s">
        <v>1908</v>
      </c>
      <c r="G470" s="57" t="s">
        <v>2120</v>
      </c>
    </row>
    <row r="471" spans="1:7">
      <c r="A471" s="57" t="s">
        <v>2315</v>
      </c>
      <c r="B471" s="57" t="s">
        <v>2314</v>
      </c>
      <c r="C471" s="57" t="s">
        <v>2309</v>
      </c>
      <c r="D471" s="57" t="s">
        <v>2310</v>
      </c>
      <c r="E471" s="75" t="s">
        <v>2311</v>
      </c>
      <c r="F471" s="57" t="s">
        <v>1908</v>
      </c>
      <c r="G471" s="57" t="s">
        <v>2120</v>
      </c>
    </row>
    <row r="472" spans="1:7">
      <c r="A472" s="57" t="s">
        <v>2316</v>
      </c>
      <c r="B472" s="57" t="s">
        <v>2124</v>
      </c>
      <c r="C472" s="57" t="s">
        <v>2309</v>
      </c>
      <c r="D472" s="57" t="s">
        <v>2310</v>
      </c>
      <c r="E472" s="75" t="s">
        <v>2311</v>
      </c>
      <c r="F472" s="57" t="s">
        <v>1908</v>
      </c>
      <c r="G472" s="57" t="s">
        <v>2120</v>
      </c>
    </row>
    <row r="473" spans="1:7" ht="17.25">
      <c r="A473" s="76" t="s">
        <v>2420</v>
      </c>
      <c r="B473" s="76"/>
      <c r="C473" s="76"/>
      <c r="D473" s="76"/>
      <c r="E473" s="77"/>
      <c r="F473" s="76"/>
      <c r="G473" s="76"/>
    </row>
    <row r="474" spans="1:7">
      <c r="A474" s="58" t="s">
        <v>2128</v>
      </c>
      <c r="B474" s="58" t="s">
        <v>2129</v>
      </c>
      <c r="C474" s="58" t="s">
        <v>108</v>
      </c>
      <c r="D474" s="58" t="s">
        <v>2310</v>
      </c>
      <c r="E474" s="59" t="s">
        <v>108</v>
      </c>
      <c r="F474" s="59" t="s">
        <v>2349</v>
      </c>
      <c r="G474" s="58" t="s">
        <v>2120</v>
      </c>
    </row>
    <row r="475" spans="1:7">
      <c r="A475" s="58" t="s">
        <v>2130</v>
      </c>
      <c r="B475" s="58" t="s">
        <v>2131</v>
      </c>
      <c r="C475" s="58" t="s">
        <v>108</v>
      </c>
      <c r="D475" s="58" t="s">
        <v>2310</v>
      </c>
      <c r="E475" s="59" t="s">
        <v>108</v>
      </c>
      <c r="F475" s="59" t="s">
        <v>2349</v>
      </c>
      <c r="G475" s="58" t="s">
        <v>2132</v>
      </c>
    </row>
    <row r="476" spans="1:7">
      <c r="A476" s="58" t="s">
        <v>2133</v>
      </c>
      <c r="B476" s="58" t="s">
        <v>2131</v>
      </c>
      <c r="C476" s="58" t="s">
        <v>108</v>
      </c>
      <c r="D476" s="58" t="s">
        <v>2310</v>
      </c>
      <c r="E476" s="59" t="s">
        <v>108</v>
      </c>
      <c r="F476" s="59" t="s">
        <v>2349</v>
      </c>
      <c r="G476" s="58" t="s">
        <v>2120</v>
      </c>
    </row>
    <row r="477" spans="1:7">
      <c r="A477" s="57" t="s">
        <v>2134</v>
      </c>
      <c r="B477" s="57"/>
      <c r="C477" s="57" t="s">
        <v>2135</v>
      </c>
      <c r="D477" s="57" t="s">
        <v>2310</v>
      </c>
      <c r="E477" s="75" t="s">
        <v>2318</v>
      </c>
      <c r="F477" s="57" t="s">
        <v>1908</v>
      </c>
      <c r="G477" s="57" t="s">
        <v>2137</v>
      </c>
    </row>
    <row r="478" spans="1:7">
      <c r="A478" s="58" t="s">
        <v>2138</v>
      </c>
      <c r="B478" s="58" t="s">
        <v>2139</v>
      </c>
      <c r="C478" s="58" t="s">
        <v>108</v>
      </c>
      <c r="D478" s="58" t="s">
        <v>2310</v>
      </c>
      <c r="E478" s="59" t="s">
        <v>108</v>
      </c>
      <c r="F478" s="59" t="s">
        <v>2349</v>
      </c>
      <c r="G478" s="58" t="s">
        <v>2140</v>
      </c>
    </row>
    <row r="479" spans="1:7" ht="17.25">
      <c r="A479" s="76" t="s">
        <v>2421</v>
      </c>
      <c r="B479" s="76"/>
      <c r="C479" s="76"/>
      <c r="D479" s="76"/>
      <c r="E479" s="77"/>
      <c r="F479" s="76"/>
      <c r="G479" s="76"/>
    </row>
    <row r="480" spans="1:7">
      <c r="A480" s="58" t="s">
        <v>2142</v>
      </c>
      <c r="B480" s="58" t="s">
        <v>2143</v>
      </c>
      <c r="C480" s="58" t="s">
        <v>108</v>
      </c>
      <c r="D480" s="58" t="s">
        <v>2310</v>
      </c>
      <c r="E480" s="59" t="s">
        <v>108</v>
      </c>
      <c r="F480" s="59" t="s">
        <v>2349</v>
      </c>
      <c r="G480" s="58" t="s">
        <v>2120</v>
      </c>
    </row>
    <row r="481" spans="1:7">
      <c r="A481" s="58" t="s">
        <v>2144</v>
      </c>
      <c r="B481" s="58" t="s">
        <v>2143</v>
      </c>
      <c r="C481" s="58" t="s">
        <v>2145</v>
      </c>
      <c r="D481" s="58" t="s">
        <v>2310</v>
      </c>
      <c r="E481" s="59" t="s">
        <v>108</v>
      </c>
      <c r="F481" s="59" t="s">
        <v>2349</v>
      </c>
      <c r="G481" s="58" t="s">
        <v>2120</v>
      </c>
    </row>
    <row r="482" spans="1:7">
      <c r="A482" s="58" t="s">
        <v>2146</v>
      </c>
      <c r="B482" s="58" t="s">
        <v>2143</v>
      </c>
      <c r="C482" s="58" t="s">
        <v>2147</v>
      </c>
      <c r="D482" s="58" t="s">
        <v>2310</v>
      </c>
      <c r="E482" s="59" t="s">
        <v>108</v>
      </c>
      <c r="F482" s="59" t="s">
        <v>2349</v>
      </c>
      <c r="G482" s="58" t="s">
        <v>2148</v>
      </c>
    </row>
    <row r="483" spans="1:7">
      <c r="A483" s="58" t="s">
        <v>2149</v>
      </c>
      <c r="B483" s="58" t="s">
        <v>2143</v>
      </c>
      <c r="C483" s="58" t="s">
        <v>108</v>
      </c>
      <c r="D483" s="58" t="s">
        <v>2310</v>
      </c>
      <c r="E483" s="59" t="s">
        <v>108</v>
      </c>
      <c r="F483" s="59" t="s">
        <v>2349</v>
      </c>
      <c r="G483" s="58" t="s">
        <v>2120</v>
      </c>
    </row>
    <row r="484" spans="1:7" ht="17.25">
      <c r="A484" s="76" t="s">
        <v>2422</v>
      </c>
      <c r="B484" s="76"/>
      <c r="C484" s="76"/>
      <c r="D484" s="76"/>
      <c r="E484" s="77"/>
      <c r="F484" s="76"/>
      <c r="G484" s="76"/>
    </row>
    <row r="485" spans="1:7">
      <c r="A485" s="58" t="s">
        <v>2151</v>
      </c>
      <c r="B485" s="58" t="s">
        <v>2152</v>
      </c>
      <c r="C485" s="58" t="s">
        <v>2153</v>
      </c>
      <c r="D485" s="58" t="s">
        <v>2310</v>
      </c>
      <c r="E485" s="59" t="s">
        <v>108</v>
      </c>
      <c r="F485" s="59" t="s">
        <v>2349</v>
      </c>
      <c r="G485" s="58" t="s">
        <v>2120</v>
      </c>
    </row>
    <row r="486" spans="1:7">
      <c r="A486" s="58" t="s">
        <v>2154</v>
      </c>
      <c r="B486" s="58" t="s">
        <v>2155</v>
      </c>
      <c r="C486" s="58" t="s">
        <v>108</v>
      </c>
      <c r="D486" s="58" t="s">
        <v>2310</v>
      </c>
      <c r="E486" s="59" t="s">
        <v>108</v>
      </c>
      <c r="F486" s="59" t="s">
        <v>2349</v>
      </c>
      <c r="G486" s="58" t="s">
        <v>2120</v>
      </c>
    </row>
    <row r="487" spans="1:7">
      <c r="A487" s="58" t="s">
        <v>2156</v>
      </c>
      <c r="B487" s="58" t="s">
        <v>2152</v>
      </c>
      <c r="C487" s="58" t="s">
        <v>2157</v>
      </c>
      <c r="D487" s="58" t="s">
        <v>2310</v>
      </c>
      <c r="E487" s="59" t="s">
        <v>108</v>
      </c>
      <c r="F487" s="59" t="s">
        <v>2349</v>
      </c>
      <c r="G487" s="58" t="s">
        <v>2120</v>
      </c>
    </row>
    <row r="488" spans="1:7">
      <c r="A488" s="58" t="s">
        <v>2158</v>
      </c>
      <c r="B488" s="58" t="s">
        <v>2155</v>
      </c>
      <c r="C488" s="58" t="s">
        <v>2159</v>
      </c>
      <c r="D488" s="58" t="s">
        <v>2310</v>
      </c>
      <c r="E488" s="59" t="s">
        <v>108</v>
      </c>
      <c r="F488" s="59" t="s">
        <v>2349</v>
      </c>
      <c r="G488" s="58" t="s">
        <v>2160</v>
      </c>
    </row>
    <row r="489" spans="1:7">
      <c r="A489" s="58" t="s">
        <v>2161</v>
      </c>
      <c r="B489" s="58" t="s">
        <v>2162</v>
      </c>
      <c r="C489" s="58" t="s">
        <v>108</v>
      </c>
      <c r="D489" s="58" t="s">
        <v>2310</v>
      </c>
      <c r="E489" s="59" t="s">
        <v>108</v>
      </c>
      <c r="F489" s="59" t="s">
        <v>2349</v>
      </c>
      <c r="G489" s="58" t="s">
        <v>2163</v>
      </c>
    </row>
    <row r="490" spans="1:7">
      <c r="A490" s="58" t="s">
        <v>2164</v>
      </c>
      <c r="B490" s="58" t="s">
        <v>2162</v>
      </c>
      <c r="C490" s="58" t="s">
        <v>108</v>
      </c>
      <c r="D490" s="58" t="s">
        <v>2310</v>
      </c>
      <c r="E490" s="59" t="s">
        <v>108</v>
      </c>
      <c r="F490" s="59" t="s">
        <v>2349</v>
      </c>
      <c r="G490" s="58" t="s">
        <v>2120</v>
      </c>
    </row>
    <row r="491" spans="1:7" ht="17.25">
      <c r="A491" s="76" t="s">
        <v>2423</v>
      </c>
      <c r="B491" s="76"/>
      <c r="C491" s="76"/>
      <c r="D491" s="76"/>
      <c r="E491" s="77"/>
      <c r="F491" s="76"/>
      <c r="G491" s="76"/>
    </row>
    <row r="492" spans="1:7">
      <c r="A492" s="58" t="s">
        <v>2166</v>
      </c>
      <c r="B492" s="58" t="s">
        <v>2167</v>
      </c>
      <c r="C492" s="58" t="s">
        <v>108</v>
      </c>
      <c r="D492" s="58" t="s">
        <v>2310</v>
      </c>
      <c r="E492" s="59" t="s">
        <v>108</v>
      </c>
      <c r="F492" s="59" t="s">
        <v>2349</v>
      </c>
      <c r="G492" s="58" t="s">
        <v>2168</v>
      </c>
    </row>
    <row r="493" spans="1:7">
      <c r="A493" s="57" t="s">
        <v>2169</v>
      </c>
      <c r="B493" s="57" t="s">
        <v>2129</v>
      </c>
      <c r="C493" s="57" t="s">
        <v>2170</v>
      </c>
      <c r="D493" s="57" t="s">
        <v>2310</v>
      </c>
      <c r="E493" s="75" t="s">
        <v>2318</v>
      </c>
      <c r="F493" s="57" t="s">
        <v>1908</v>
      </c>
      <c r="G493" s="57" t="s">
        <v>2120</v>
      </c>
    </row>
    <row r="494" spans="1:7">
      <c r="A494" s="57" t="s">
        <v>2171</v>
      </c>
      <c r="B494" s="57" t="s">
        <v>2129</v>
      </c>
      <c r="C494" s="57" t="s">
        <v>2135</v>
      </c>
      <c r="D494" s="57" t="s">
        <v>2310</v>
      </c>
      <c r="E494" s="75" t="s">
        <v>2318</v>
      </c>
      <c r="F494" s="57" t="s">
        <v>1908</v>
      </c>
      <c r="G494" s="57" t="s">
        <v>2120</v>
      </c>
    </row>
    <row r="495" spans="1:7">
      <c r="A495" s="57" t="s">
        <v>2172</v>
      </c>
      <c r="B495" s="57" t="s">
        <v>2129</v>
      </c>
      <c r="C495" s="57" t="s">
        <v>2135</v>
      </c>
      <c r="D495" s="57" t="s">
        <v>2310</v>
      </c>
      <c r="E495" s="75" t="s">
        <v>2318</v>
      </c>
      <c r="F495" s="57" t="s">
        <v>1908</v>
      </c>
      <c r="G495" s="57" t="s">
        <v>2120</v>
      </c>
    </row>
    <row r="496" spans="1:7">
      <c r="A496" s="57" t="s">
        <v>2173</v>
      </c>
      <c r="B496" s="57" t="s">
        <v>2174</v>
      </c>
      <c r="C496" s="57" t="s">
        <v>2135</v>
      </c>
      <c r="D496" s="57" t="s">
        <v>2310</v>
      </c>
      <c r="E496" s="75" t="s">
        <v>2318</v>
      </c>
      <c r="F496" s="57" t="s">
        <v>1908</v>
      </c>
      <c r="G496" s="57" t="s">
        <v>2120</v>
      </c>
    </row>
    <row r="497" spans="1:7">
      <c r="A497" s="57" t="s">
        <v>2175</v>
      </c>
      <c r="B497" s="57"/>
      <c r="C497" s="57" t="s">
        <v>2135</v>
      </c>
      <c r="D497" s="57" t="s">
        <v>2310</v>
      </c>
      <c r="E497" s="75" t="s">
        <v>2318</v>
      </c>
      <c r="F497" s="57" t="s">
        <v>1908</v>
      </c>
      <c r="G497" s="57" t="s">
        <v>2120</v>
      </c>
    </row>
    <row r="498" spans="1:7">
      <c r="A498" s="57" t="s">
        <v>2176</v>
      </c>
      <c r="B498" s="57"/>
      <c r="C498" s="57" t="s">
        <v>2135</v>
      </c>
      <c r="D498" s="57" t="s">
        <v>2310</v>
      </c>
      <c r="E498" s="75" t="s">
        <v>2318</v>
      </c>
      <c r="F498" s="57" t="s">
        <v>1908</v>
      </c>
      <c r="G498" s="57" t="s">
        <v>2120</v>
      </c>
    </row>
    <row r="499" spans="1:7">
      <c r="A499" s="57" t="s">
        <v>2177</v>
      </c>
      <c r="B499" s="57"/>
      <c r="C499" s="57" t="s">
        <v>2135</v>
      </c>
      <c r="D499" s="57" t="s">
        <v>2310</v>
      </c>
      <c r="E499" s="75" t="s">
        <v>2318</v>
      </c>
      <c r="F499" s="57" t="s">
        <v>1908</v>
      </c>
      <c r="G499" s="57" t="s">
        <v>2120</v>
      </c>
    </row>
    <row r="500" spans="1:7" ht="17.25">
      <c r="A500" s="76" t="s">
        <v>2424</v>
      </c>
      <c r="B500" s="76"/>
      <c r="C500" s="76"/>
      <c r="D500" s="76"/>
      <c r="E500" s="77"/>
      <c r="F500" s="76"/>
      <c r="G500" s="76"/>
    </row>
    <row r="501" spans="1:7">
      <c r="A501" s="58" t="s">
        <v>2179</v>
      </c>
      <c r="B501" s="58" t="s">
        <v>2180</v>
      </c>
      <c r="C501" s="58" t="s">
        <v>108</v>
      </c>
      <c r="D501" s="58" t="s">
        <v>2310</v>
      </c>
      <c r="E501" s="59" t="s">
        <v>108</v>
      </c>
      <c r="F501" s="59" t="s">
        <v>2349</v>
      </c>
      <c r="G501" s="58" t="s">
        <v>2120</v>
      </c>
    </row>
    <row r="502" spans="1:7">
      <c r="A502" s="58" t="s">
        <v>2181</v>
      </c>
      <c r="B502" s="58" t="s">
        <v>2182</v>
      </c>
      <c r="C502" s="58" t="s">
        <v>108</v>
      </c>
      <c r="D502" s="58" t="s">
        <v>2310</v>
      </c>
      <c r="E502" s="59" t="s">
        <v>108</v>
      </c>
      <c r="F502" s="59" t="s">
        <v>2349</v>
      </c>
      <c r="G502" s="58" t="s">
        <v>2120</v>
      </c>
    </row>
    <row r="503" spans="1:7">
      <c r="A503" s="58" t="s">
        <v>2183</v>
      </c>
      <c r="B503" s="58" t="s">
        <v>2182</v>
      </c>
      <c r="C503" s="58" t="s">
        <v>2184</v>
      </c>
      <c r="D503" s="58" t="s">
        <v>2310</v>
      </c>
      <c r="E503" s="59" t="s">
        <v>108</v>
      </c>
      <c r="F503" s="59" t="s">
        <v>2349</v>
      </c>
      <c r="G503" s="58" t="s">
        <v>2185</v>
      </c>
    </row>
    <row r="504" spans="1:7">
      <c r="A504" s="58" t="s">
        <v>2186</v>
      </c>
      <c r="B504" s="58" t="s">
        <v>2187</v>
      </c>
      <c r="C504" s="58" t="s">
        <v>108</v>
      </c>
      <c r="D504" s="58" t="s">
        <v>2310</v>
      </c>
      <c r="E504" s="59" t="s">
        <v>108</v>
      </c>
      <c r="F504" s="59" t="s">
        <v>2349</v>
      </c>
      <c r="G504" s="58" t="s">
        <v>2120</v>
      </c>
    </row>
    <row r="505" spans="1:7">
      <c r="A505" s="58" t="s">
        <v>2188</v>
      </c>
      <c r="B505" s="58"/>
      <c r="C505" s="58" t="s">
        <v>2189</v>
      </c>
      <c r="D505" s="58" t="s">
        <v>2310</v>
      </c>
      <c r="E505" s="59" t="s">
        <v>108</v>
      </c>
      <c r="F505" s="59" t="s">
        <v>2349</v>
      </c>
      <c r="G505" s="58" t="s">
        <v>2120</v>
      </c>
    </row>
    <row r="506" spans="1:7">
      <c r="A506" s="58" t="s">
        <v>2323</v>
      </c>
      <c r="B506" s="58" t="s">
        <v>2180</v>
      </c>
      <c r="C506" s="58" t="s">
        <v>2324</v>
      </c>
      <c r="D506" s="58" t="s">
        <v>2310</v>
      </c>
      <c r="E506" s="59" t="s">
        <v>2324</v>
      </c>
      <c r="F506" s="59" t="s">
        <v>2349</v>
      </c>
      <c r="G506" s="58" t="s">
        <v>2120</v>
      </c>
    </row>
    <row r="507" spans="1:7">
      <c r="A507" s="57" t="s">
        <v>2190</v>
      </c>
      <c r="B507" s="57"/>
      <c r="C507" s="57" t="s">
        <v>2135</v>
      </c>
      <c r="D507" s="57" t="s">
        <v>2310</v>
      </c>
      <c r="E507" s="75" t="s">
        <v>2318</v>
      </c>
      <c r="F507" s="57" t="s">
        <v>1908</v>
      </c>
      <c r="G507" s="57" t="s">
        <v>2120</v>
      </c>
    </row>
    <row r="508" spans="1:7">
      <c r="A508" s="57" t="s">
        <v>2191</v>
      </c>
      <c r="B508" s="57"/>
      <c r="C508" s="57" t="s">
        <v>2135</v>
      </c>
      <c r="D508" s="57" t="s">
        <v>2310</v>
      </c>
      <c r="E508" s="75" t="s">
        <v>2318</v>
      </c>
      <c r="F508" s="57" t="s">
        <v>1908</v>
      </c>
      <c r="G508" s="57" t="s">
        <v>2120</v>
      </c>
    </row>
    <row r="509" spans="1:7">
      <c r="A509" s="58" t="s">
        <v>2192</v>
      </c>
      <c r="B509" s="58" t="s">
        <v>2182</v>
      </c>
      <c r="C509" s="58" t="s">
        <v>2193</v>
      </c>
      <c r="D509" s="58" t="s">
        <v>2310</v>
      </c>
      <c r="E509" s="59" t="s">
        <v>2193</v>
      </c>
      <c r="F509" s="59" t="s">
        <v>2349</v>
      </c>
      <c r="G509" s="58" t="s">
        <v>2120</v>
      </c>
    </row>
    <row r="510" spans="1:7">
      <c r="A510" s="58" t="s">
        <v>2194</v>
      </c>
      <c r="B510" s="58" t="s">
        <v>2187</v>
      </c>
      <c r="C510" s="58" t="s">
        <v>108</v>
      </c>
      <c r="D510" s="58" t="s">
        <v>2310</v>
      </c>
      <c r="E510" s="59" t="s">
        <v>108</v>
      </c>
      <c r="F510" s="59" t="s">
        <v>2349</v>
      </c>
      <c r="G510" s="58" t="s">
        <v>2120</v>
      </c>
    </row>
    <row r="511" spans="1:7" ht="17.25">
      <c r="A511" s="76" t="s">
        <v>2425</v>
      </c>
      <c r="B511" s="76"/>
      <c r="C511" s="76"/>
      <c r="D511" s="76"/>
      <c r="E511" s="77"/>
      <c r="F511" s="76"/>
      <c r="G511" s="76"/>
    </row>
    <row r="512" spans="1:7">
      <c r="A512" s="58" t="s">
        <v>2196</v>
      </c>
      <c r="B512" s="58"/>
      <c r="C512" s="58" t="s">
        <v>2193</v>
      </c>
      <c r="D512" s="58" t="s">
        <v>2310</v>
      </c>
      <c r="E512" s="59" t="s">
        <v>2193</v>
      </c>
      <c r="F512" s="59" t="s">
        <v>2349</v>
      </c>
      <c r="G512" s="58" t="s">
        <v>2120</v>
      </c>
    </row>
    <row r="513" spans="1:7">
      <c r="A513" s="58" t="s">
        <v>2197</v>
      </c>
      <c r="B513" s="58"/>
      <c r="C513" s="58" t="s">
        <v>2193</v>
      </c>
      <c r="D513" s="58" t="s">
        <v>2310</v>
      </c>
      <c r="E513" s="59" t="s">
        <v>2193</v>
      </c>
      <c r="F513" s="59" t="s">
        <v>2349</v>
      </c>
      <c r="G513" s="58" t="s">
        <v>2120</v>
      </c>
    </row>
    <row r="514" spans="1:7">
      <c r="A514" s="58" t="s">
        <v>2198</v>
      </c>
      <c r="B514" s="58"/>
      <c r="C514" s="58" t="s">
        <v>2199</v>
      </c>
      <c r="D514" s="58" t="s">
        <v>2310</v>
      </c>
      <c r="E514" s="59" t="s">
        <v>2193</v>
      </c>
      <c r="F514" s="59" t="s">
        <v>2349</v>
      </c>
      <c r="G514" s="58" t="s">
        <v>2120</v>
      </c>
    </row>
    <row r="515" spans="1:7">
      <c r="A515" s="58" t="s">
        <v>2200</v>
      </c>
      <c r="B515" s="58" t="s">
        <v>2182</v>
      </c>
      <c r="C515" s="58" t="s">
        <v>108</v>
      </c>
      <c r="D515" s="58" t="s">
        <v>2310</v>
      </c>
      <c r="E515" s="59" t="s">
        <v>108</v>
      </c>
      <c r="F515" s="59" t="s">
        <v>2349</v>
      </c>
      <c r="G515" s="58" t="s">
        <v>2120</v>
      </c>
    </row>
    <row r="516" spans="1:7">
      <c r="A516" s="58" t="s">
        <v>2201</v>
      </c>
      <c r="B516" s="58" t="s">
        <v>2182</v>
      </c>
      <c r="C516" s="58" t="s">
        <v>108</v>
      </c>
      <c r="D516" s="58" t="s">
        <v>2310</v>
      </c>
      <c r="E516" s="59" t="s">
        <v>108</v>
      </c>
      <c r="F516" s="59" t="s">
        <v>2349</v>
      </c>
      <c r="G516" s="58" t="s">
        <v>2120</v>
      </c>
    </row>
    <row r="517" spans="1:7">
      <c r="A517" s="58" t="s">
        <v>2202</v>
      </c>
      <c r="B517" s="58" t="s">
        <v>2174</v>
      </c>
      <c r="C517" s="58" t="s">
        <v>108</v>
      </c>
      <c r="D517" s="58" t="s">
        <v>2310</v>
      </c>
      <c r="E517" s="59" t="s">
        <v>108</v>
      </c>
      <c r="F517" s="59" t="s">
        <v>2349</v>
      </c>
      <c r="G517" s="58" t="s">
        <v>2120</v>
      </c>
    </row>
    <row r="518" spans="1:7">
      <c r="A518" s="58" t="s">
        <v>2203</v>
      </c>
      <c r="B518" s="58" t="s">
        <v>2204</v>
      </c>
      <c r="C518" s="58" t="s">
        <v>2193</v>
      </c>
      <c r="D518" s="58" t="s">
        <v>2310</v>
      </c>
      <c r="E518" s="59" t="s">
        <v>2193</v>
      </c>
      <c r="F518" s="59" t="s">
        <v>2349</v>
      </c>
      <c r="G518" s="58" t="s">
        <v>2120</v>
      </c>
    </row>
    <row r="519" spans="1:7">
      <c r="A519" s="58" t="s">
        <v>2205</v>
      </c>
      <c r="B519" s="58" t="s">
        <v>2204</v>
      </c>
      <c r="C519" s="58" t="s">
        <v>2193</v>
      </c>
      <c r="D519" s="58" t="s">
        <v>2310</v>
      </c>
      <c r="E519" s="59" t="s">
        <v>2193</v>
      </c>
      <c r="F519" s="59" t="s">
        <v>2349</v>
      </c>
      <c r="G519" s="58" t="s">
        <v>2120</v>
      </c>
    </row>
    <row r="520" spans="1:7">
      <c r="A520" s="57" t="s">
        <v>2206</v>
      </c>
      <c r="B520" s="57"/>
      <c r="C520" s="57" t="s">
        <v>2135</v>
      </c>
      <c r="D520" s="57" t="s">
        <v>2310</v>
      </c>
      <c r="E520" s="75" t="s">
        <v>2318</v>
      </c>
      <c r="F520" s="57" t="s">
        <v>1908</v>
      </c>
      <c r="G520" s="57" t="s">
        <v>2120</v>
      </c>
    </row>
    <row r="521" spans="1:7">
      <c r="A521" s="58" t="s">
        <v>2207</v>
      </c>
      <c r="B521" s="58" t="s">
        <v>2204</v>
      </c>
      <c r="C521" s="58" t="s">
        <v>108</v>
      </c>
      <c r="D521" s="58" t="s">
        <v>2310</v>
      </c>
      <c r="E521" s="59" t="s">
        <v>108</v>
      </c>
      <c r="F521" s="59" t="s">
        <v>2349</v>
      </c>
      <c r="G521" s="58" t="s">
        <v>2208</v>
      </c>
    </row>
    <row r="522" spans="1:7" ht="17.25">
      <c r="A522" s="76" t="s">
        <v>2426</v>
      </c>
      <c r="B522" s="76"/>
      <c r="C522" s="76"/>
      <c r="D522" s="76"/>
      <c r="E522" s="77"/>
      <c r="F522" s="76"/>
      <c r="G522" s="76"/>
    </row>
    <row r="523" spans="1:7">
      <c r="A523" s="58" t="s">
        <v>2210</v>
      </c>
      <c r="B523" s="58" t="s">
        <v>2211</v>
      </c>
      <c r="C523" s="58" t="s">
        <v>108</v>
      </c>
      <c r="D523" s="58" t="s">
        <v>2310</v>
      </c>
      <c r="E523" s="59" t="s">
        <v>108</v>
      </c>
      <c r="F523" s="59" t="s">
        <v>2349</v>
      </c>
      <c r="G523" s="58" t="s">
        <v>2120</v>
      </c>
    </row>
    <row r="524" spans="1:7">
      <c r="A524" s="58" t="s">
        <v>2212</v>
      </c>
      <c r="B524" s="58" t="s">
        <v>2213</v>
      </c>
      <c r="C524" s="58" t="s">
        <v>108</v>
      </c>
      <c r="D524" s="58" t="s">
        <v>2310</v>
      </c>
      <c r="E524" s="59" t="s">
        <v>108</v>
      </c>
      <c r="F524" s="59" t="s">
        <v>2349</v>
      </c>
      <c r="G524" s="58" t="s">
        <v>2120</v>
      </c>
    </row>
    <row r="525" spans="1:7">
      <c r="A525" s="58" t="s">
        <v>2214</v>
      </c>
      <c r="B525" s="58" t="s">
        <v>2213</v>
      </c>
      <c r="C525" s="58" t="s">
        <v>108</v>
      </c>
      <c r="D525" s="58" t="s">
        <v>2310</v>
      </c>
      <c r="E525" s="59" t="s">
        <v>108</v>
      </c>
      <c r="F525" s="59" t="s">
        <v>2349</v>
      </c>
      <c r="G525" s="58" t="s">
        <v>2120</v>
      </c>
    </row>
    <row r="526" spans="1:7" ht="17.25">
      <c r="A526" s="76" t="s">
        <v>2427</v>
      </c>
      <c r="B526" s="76"/>
      <c r="C526" s="76"/>
      <c r="D526" s="76"/>
      <c r="E526" s="77"/>
      <c r="F526" s="76"/>
      <c r="G526" s="76"/>
    </row>
    <row r="527" spans="1:7">
      <c r="A527" s="57" t="s">
        <v>2328</v>
      </c>
      <c r="B527" s="57" t="s">
        <v>2217</v>
      </c>
      <c r="C527" s="57" t="s">
        <v>2309</v>
      </c>
      <c r="D527" s="57" t="s">
        <v>2310</v>
      </c>
      <c r="E527" s="75" t="s">
        <v>2311</v>
      </c>
      <c r="F527" s="57" t="s">
        <v>1908</v>
      </c>
      <c r="G527" s="57" t="s">
        <v>2329</v>
      </c>
    </row>
    <row r="528" spans="1:7">
      <c r="A528" s="57" t="s">
        <v>2330</v>
      </c>
      <c r="B528" s="57" t="s">
        <v>2331</v>
      </c>
      <c r="C528" s="57" t="s">
        <v>2309</v>
      </c>
      <c r="D528" s="57" t="s">
        <v>2310</v>
      </c>
      <c r="E528" s="75" t="s">
        <v>2311</v>
      </c>
      <c r="F528" s="57" t="s">
        <v>1908</v>
      </c>
      <c r="G528" s="57" t="s">
        <v>2332</v>
      </c>
    </row>
    <row r="529" spans="1:7">
      <c r="A529" s="58" t="s">
        <v>2216</v>
      </c>
      <c r="B529" s="58" t="s">
        <v>2217</v>
      </c>
      <c r="C529" s="58" t="s">
        <v>2193</v>
      </c>
      <c r="D529" s="58" t="s">
        <v>2310</v>
      </c>
      <c r="E529" s="59" t="s">
        <v>2193</v>
      </c>
      <c r="F529" s="59" t="s">
        <v>2349</v>
      </c>
      <c r="G529" s="58" t="s">
        <v>2218</v>
      </c>
    </row>
    <row r="530" spans="1:7">
      <c r="A530" s="58" t="s">
        <v>2219</v>
      </c>
      <c r="B530" s="58" t="s">
        <v>2220</v>
      </c>
      <c r="C530" s="58" t="s">
        <v>108</v>
      </c>
      <c r="D530" s="58" t="s">
        <v>2310</v>
      </c>
      <c r="E530" s="59" t="s">
        <v>108</v>
      </c>
      <c r="F530" s="59" t="s">
        <v>2349</v>
      </c>
      <c r="G530" s="58" t="s">
        <v>2221</v>
      </c>
    </row>
    <row r="531" spans="1:7">
      <c r="A531" s="58" t="s">
        <v>2222</v>
      </c>
      <c r="B531" s="58" t="s">
        <v>2223</v>
      </c>
      <c r="C531" s="58" t="s">
        <v>108</v>
      </c>
      <c r="D531" s="58" t="s">
        <v>2310</v>
      </c>
      <c r="E531" s="59" t="s">
        <v>108</v>
      </c>
      <c r="F531" s="59" t="s">
        <v>2349</v>
      </c>
      <c r="G531" s="58" t="s">
        <v>2224</v>
      </c>
    </row>
    <row r="532" spans="1:7">
      <c r="A532" s="58" t="s">
        <v>2225</v>
      </c>
      <c r="B532" s="58" t="s">
        <v>2226</v>
      </c>
      <c r="C532" s="58" t="s">
        <v>108</v>
      </c>
      <c r="D532" s="58" t="s">
        <v>2310</v>
      </c>
      <c r="E532" s="59" t="s">
        <v>108</v>
      </c>
      <c r="F532" s="59" t="s">
        <v>2349</v>
      </c>
      <c r="G532" s="58" t="s">
        <v>2227</v>
      </c>
    </row>
    <row r="533" spans="1:7">
      <c r="A533" s="57" t="s">
        <v>2228</v>
      </c>
      <c r="B533" s="57"/>
      <c r="C533" s="57" t="s">
        <v>2135</v>
      </c>
      <c r="D533" s="57" t="s">
        <v>2310</v>
      </c>
      <c r="E533" s="75" t="s">
        <v>2318</v>
      </c>
      <c r="F533" s="57" t="s">
        <v>1908</v>
      </c>
      <c r="G533" s="57" t="s">
        <v>2120</v>
      </c>
    </row>
    <row r="534" spans="1:7" ht="17.25">
      <c r="A534" s="76" t="s">
        <v>2428</v>
      </c>
      <c r="B534" s="76"/>
      <c r="C534" s="76"/>
      <c r="D534" s="76"/>
      <c r="E534" s="77"/>
      <c r="F534" s="76"/>
      <c r="G534" s="76"/>
    </row>
    <row r="535" spans="1:7">
      <c r="A535" s="58" t="s">
        <v>2230</v>
      </c>
      <c r="B535" s="58" t="s">
        <v>2220</v>
      </c>
      <c r="C535" s="58" t="s">
        <v>108</v>
      </c>
      <c r="D535" s="58" t="s">
        <v>2310</v>
      </c>
      <c r="E535" s="59" t="s">
        <v>108</v>
      </c>
      <c r="F535" s="59" t="s">
        <v>2349</v>
      </c>
      <c r="G535" s="58" t="s">
        <v>2231</v>
      </c>
    </row>
    <row r="536" spans="1:7">
      <c r="A536" s="58" t="s">
        <v>2232</v>
      </c>
      <c r="B536" s="58" t="s">
        <v>2220</v>
      </c>
      <c r="C536" s="58" t="s">
        <v>108</v>
      </c>
      <c r="D536" s="58" t="s">
        <v>2310</v>
      </c>
      <c r="E536" s="59" t="s">
        <v>108</v>
      </c>
      <c r="F536" s="59" t="s">
        <v>2349</v>
      </c>
      <c r="G536" s="58" t="s">
        <v>2120</v>
      </c>
    </row>
    <row r="537" spans="1:7">
      <c r="A537" s="58" t="s">
        <v>2233</v>
      </c>
      <c r="B537" s="58" t="s">
        <v>2234</v>
      </c>
      <c r="C537" s="58" t="s">
        <v>108</v>
      </c>
      <c r="D537" s="58" t="s">
        <v>2310</v>
      </c>
      <c r="E537" s="59" t="s">
        <v>108</v>
      </c>
      <c r="F537" s="59" t="s">
        <v>2349</v>
      </c>
      <c r="G537" s="58" t="s">
        <v>2235</v>
      </c>
    </row>
    <row r="538" spans="1:7">
      <c r="A538" s="58" t="s">
        <v>2236</v>
      </c>
      <c r="B538" s="58" t="s">
        <v>2237</v>
      </c>
      <c r="C538" s="58" t="s">
        <v>108</v>
      </c>
      <c r="D538" s="58" t="s">
        <v>2310</v>
      </c>
      <c r="E538" s="59" t="s">
        <v>108</v>
      </c>
      <c r="F538" s="59" t="s">
        <v>2349</v>
      </c>
      <c r="G538" s="58" t="s">
        <v>2231</v>
      </c>
    </row>
    <row r="539" spans="1:7">
      <c r="A539" s="58" t="s">
        <v>2238</v>
      </c>
      <c r="B539" s="58" t="s">
        <v>2237</v>
      </c>
      <c r="C539" s="58" t="s">
        <v>108</v>
      </c>
      <c r="D539" s="58" t="s">
        <v>2310</v>
      </c>
      <c r="E539" s="59" t="s">
        <v>108</v>
      </c>
      <c r="F539" s="59" t="s">
        <v>2349</v>
      </c>
      <c r="G539" s="58" t="s">
        <v>2239</v>
      </c>
    </row>
    <row r="540" spans="1:7">
      <c r="A540" s="58" t="s">
        <v>2240</v>
      </c>
      <c r="B540" s="58" t="s">
        <v>2241</v>
      </c>
      <c r="C540" s="58" t="s">
        <v>2193</v>
      </c>
      <c r="D540" s="58" t="s">
        <v>2310</v>
      </c>
      <c r="E540" s="59" t="s">
        <v>2193</v>
      </c>
      <c r="F540" s="59" t="s">
        <v>2349</v>
      </c>
      <c r="G540" s="58" t="s">
        <v>2120</v>
      </c>
    </row>
    <row r="541" spans="1:7">
      <c r="A541" s="58" t="s">
        <v>2242</v>
      </c>
      <c r="B541" s="58" t="s">
        <v>2220</v>
      </c>
      <c r="C541" s="58" t="s">
        <v>2243</v>
      </c>
      <c r="D541" s="58" t="s">
        <v>2310</v>
      </c>
      <c r="E541" s="59" t="s">
        <v>2334</v>
      </c>
      <c r="F541" s="59" t="s">
        <v>2349</v>
      </c>
      <c r="G541" s="58" t="s">
        <v>2244</v>
      </c>
    </row>
    <row r="542" spans="1:7">
      <c r="A542" s="58" t="s">
        <v>2245</v>
      </c>
      <c r="B542" s="58" t="s">
        <v>2241</v>
      </c>
      <c r="C542" s="58" t="s">
        <v>2246</v>
      </c>
      <c r="D542" s="58" t="s">
        <v>2310</v>
      </c>
      <c r="E542" s="59" t="s">
        <v>108</v>
      </c>
      <c r="F542" s="59" t="s">
        <v>2349</v>
      </c>
      <c r="G542" s="58" t="s">
        <v>2120</v>
      </c>
    </row>
    <row r="543" spans="1:7">
      <c r="A543" s="57" t="s">
        <v>2335</v>
      </c>
      <c r="B543" s="57"/>
      <c r="C543" s="57" t="s">
        <v>2309</v>
      </c>
      <c r="D543" s="57" t="s">
        <v>2310</v>
      </c>
      <c r="E543" s="75" t="s">
        <v>2311</v>
      </c>
      <c r="F543" s="57" t="s">
        <v>1908</v>
      </c>
      <c r="G543" s="57" t="s">
        <v>2336</v>
      </c>
    </row>
    <row r="544" spans="1:7">
      <c r="A544" s="58" t="s">
        <v>2247</v>
      </c>
      <c r="B544" s="58" t="s">
        <v>2248</v>
      </c>
      <c r="C544" s="58" t="s">
        <v>108</v>
      </c>
      <c r="D544" s="58" t="s">
        <v>2310</v>
      </c>
      <c r="E544" s="59" t="s">
        <v>108</v>
      </c>
      <c r="F544" s="59" t="s">
        <v>2349</v>
      </c>
      <c r="G544" s="58" t="s">
        <v>2249</v>
      </c>
    </row>
    <row r="545" spans="1:7">
      <c r="A545" s="57" t="s">
        <v>2337</v>
      </c>
      <c r="B545" s="57" t="s">
        <v>2248</v>
      </c>
      <c r="C545" s="57" t="s">
        <v>2338</v>
      </c>
      <c r="D545" s="57" t="s">
        <v>2310</v>
      </c>
      <c r="E545" s="75" t="s">
        <v>2339</v>
      </c>
      <c r="F545" s="57" t="s">
        <v>1908</v>
      </c>
      <c r="G545" s="57" t="s">
        <v>2120</v>
      </c>
    </row>
    <row r="546" spans="1:7" ht="17.25">
      <c r="A546" s="76" t="s">
        <v>2429</v>
      </c>
      <c r="B546" s="76"/>
      <c r="C546" s="76"/>
      <c r="D546" s="76"/>
      <c r="E546" s="77"/>
      <c r="F546" s="76"/>
      <c r="G546" s="76"/>
    </row>
    <row r="547" spans="1:7">
      <c r="A547" s="58" t="s">
        <v>2251</v>
      </c>
      <c r="B547" s="58" t="s">
        <v>2252</v>
      </c>
      <c r="C547" s="58" t="s">
        <v>108</v>
      </c>
      <c r="D547" s="58" t="s">
        <v>2310</v>
      </c>
      <c r="E547" s="59" t="s">
        <v>108</v>
      </c>
      <c r="F547" s="59" t="s">
        <v>2349</v>
      </c>
      <c r="G547" s="58" t="s">
        <v>2120</v>
      </c>
    </row>
    <row r="548" spans="1:7">
      <c r="A548" s="58" t="s">
        <v>2253</v>
      </c>
      <c r="B548" s="58" t="s">
        <v>2252</v>
      </c>
      <c r="C548" s="58" t="s">
        <v>2193</v>
      </c>
      <c r="D548" s="58" t="s">
        <v>2310</v>
      </c>
      <c r="E548" s="59" t="s">
        <v>2193</v>
      </c>
      <c r="F548" s="59" t="s">
        <v>2349</v>
      </c>
      <c r="G548" s="58" t="s">
        <v>2254</v>
      </c>
    </row>
    <row r="549" spans="1:7">
      <c r="A549" s="58" t="s">
        <v>2255</v>
      </c>
      <c r="B549" s="58" t="s">
        <v>2256</v>
      </c>
      <c r="C549" s="58" t="s">
        <v>2257</v>
      </c>
      <c r="D549" s="58" t="s">
        <v>2310</v>
      </c>
      <c r="E549" s="59" t="s">
        <v>108</v>
      </c>
      <c r="F549" s="59" t="s">
        <v>2349</v>
      </c>
      <c r="G549" s="58" t="s">
        <v>2120</v>
      </c>
    </row>
    <row r="550" spans="1:7">
      <c r="A550" s="58" t="s">
        <v>2258</v>
      </c>
      <c r="B550" s="58" t="s">
        <v>2259</v>
      </c>
      <c r="C550" s="58" t="s">
        <v>2260</v>
      </c>
      <c r="D550" s="58" t="s">
        <v>2310</v>
      </c>
      <c r="E550" s="59" t="s">
        <v>108</v>
      </c>
      <c r="F550" s="59" t="s">
        <v>2349</v>
      </c>
      <c r="G550" s="58" t="s">
        <v>2261</v>
      </c>
    </row>
    <row r="551" spans="1:7">
      <c r="A551" s="58" t="s">
        <v>2262</v>
      </c>
      <c r="B551" s="58" t="s">
        <v>2259</v>
      </c>
      <c r="C551" s="58" t="s">
        <v>2147</v>
      </c>
      <c r="D551" s="58" t="s">
        <v>2310</v>
      </c>
      <c r="E551" s="59" t="s">
        <v>108</v>
      </c>
      <c r="F551" s="59" t="s">
        <v>2349</v>
      </c>
      <c r="G551" s="58" t="s">
        <v>2263</v>
      </c>
    </row>
    <row r="552" spans="1:7">
      <c r="A552" s="58" t="s">
        <v>2264</v>
      </c>
      <c r="B552" s="58" t="s">
        <v>2252</v>
      </c>
      <c r="C552" s="58" t="s">
        <v>2265</v>
      </c>
      <c r="D552" s="58" t="s">
        <v>2310</v>
      </c>
      <c r="E552" s="59" t="s">
        <v>108</v>
      </c>
      <c r="F552" s="59" t="s">
        <v>2349</v>
      </c>
      <c r="G552" s="58" t="s">
        <v>2120</v>
      </c>
    </row>
    <row r="553" spans="1:7">
      <c r="A553" s="58" t="s">
        <v>2266</v>
      </c>
      <c r="B553" s="58" t="s">
        <v>2252</v>
      </c>
      <c r="C553" s="58" t="s">
        <v>2267</v>
      </c>
      <c r="D553" s="58" t="s">
        <v>2310</v>
      </c>
      <c r="E553" s="59" t="s">
        <v>108</v>
      </c>
      <c r="F553" s="59" t="s">
        <v>2349</v>
      </c>
      <c r="G553" s="58" t="s">
        <v>2268</v>
      </c>
    </row>
    <row r="554" spans="1:7">
      <c r="A554" s="58" t="s">
        <v>2269</v>
      </c>
      <c r="B554" s="58" t="s">
        <v>2252</v>
      </c>
      <c r="C554" s="58" t="s">
        <v>2270</v>
      </c>
      <c r="D554" s="58" t="s">
        <v>2310</v>
      </c>
      <c r="E554" s="59" t="s">
        <v>108</v>
      </c>
      <c r="F554" s="59" t="s">
        <v>2349</v>
      </c>
      <c r="G554" s="58" t="s">
        <v>2120</v>
      </c>
    </row>
    <row r="555" spans="1:7" ht="17.25">
      <c r="A555" s="76" t="s">
        <v>2430</v>
      </c>
      <c r="B555" s="76"/>
      <c r="C555" s="76"/>
      <c r="D555" s="76"/>
      <c r="E555" s="77"/>
      <c r="F555" s="76"/>
      <c r="G555" s="76"/>
    </row>
    <row r="556" spans="1:7">
      <c r="A556" s="57" t="s">
        <v>2342</v>
      </c>
      <c r="B556" s="57"/>
      <c r="C556" s="57" t="s">
        <v>2309</v>
      </c>
      <c r="D556" s="57" t="s">
        <v>2310</v>
      </c>
      <c r="E556" s="75" t="s">
        <v>2311</v>
      </c>
      <c r="F556" s="57" t="s">
        <v>1908</v>
      </c>
      <c r="G556" s="57" t="s">
        <v>2343</v>
      </c>
    </row>
    <row r="557" spans="1:7">
      <c r="A557" s="58" t="s">
        <v>2272</v>
      </c>
      <c r="B557" s="58" t="s">
        <v>2273</v>
      </c>
      <c r="C557" s="58" t="s">
        <v>2274</v>
      </c>
      <c r="D557" s="58" t="s">
        <v>2310</v>
      </c>
      <c r="E557" s="59" t="s">
        <v>108</v>
      </c>
      <c r="F557" s="59" t="s">
        <v>2349</v>
      </c>
      <c r="G557" s="58" t="s">
        <v>2275</v>
      </c>
    </row>
    <row r="558" spans="1:7">
      <c r="A558" s="58" t="s">
        <v>2276</v>
      </c>
      <c r="B558" s="58" t="s">
        <v>2248</v>
      </c>
      <c r="C558" s="58" t="s">
        <v>2277</v>
      </c>
      <c r="D558" s="58" t="s">
        <v>2310</v>
      </c>
      <c r="E558" s="59" t="s">
        <v>108</v>
      </c>
      <c r="F558" s="59" t="s">
        <v>2349</v>
      </c>
      <c r="G558" s="58" t="s">
        <v>2278</v>
      </c>
    </row>
    <row r="559" spans="1:7">
      <c r="A559" s="58" t="s">
        <v>2279</v>
      </c>
      <c r="B559" s="58" t="s">
        <v>2280</v>
      </c>
      <c r="C559" s="58" t="s">
        <v>2281</v>
      </c>
      <c r="D559" s="58" t="s">
        <v>2310</v>
      </c>
      <c r="E559" s="59" t="s">
        <v>108</v>
      </c>
      <c r="F559" s="59" t="s">
        <v>2349</v>
      </c>
      <c r="G559" s="58" t="s">
        <v>2282</v>
      </c>
    </row>
    <row r="560" spans="1:7">
      <c r="A560" s="58" t="s">
        <v>2283</v>
      </c>
      <c r="B560" s="58" t="s">
        <v>2273</v>
      </c>
      <c r="C560" s="58" t="s">
        <v>108</v>
      </c>
      <c r="D560" s="58" t="s">
        <v>2310</v>
      </c>
      <c r="E560" s="59" t="s">
        <v>108</v>
      </c>
      <c r="F560" s="59" t="s">
        <v>2349</v>
      </c>
      <c r="G560" s="58" t="s">
        <v>2284</v>
      </c>
    </row>
    <row r="561" spans="1:7">
      <c r="A561" s="57" t="s">
        <v>2344</v>
      </c>
      <c r="B561" s="57" t="s">
        <v>2273</v>
      </c>
      <c r="C561" s="57" t="s">
        <v>2309</v>
      </c>
      <c r="D561" s="57" t="s">
        <v>2310</v>
      </c>
      <c r="E561" s="75" t="s">
        <v>2311</v>
      </c>
      <c r="F561" s="57" t="s">
        <v>1908</v>
      </c>
      <c r="G561" s="57" t="s">
        <v>2345</v>
      </c>
    </row>
    <row r="562" spans="1:7">
      <c r="A562" s="57" t="s">
        <v>2285</v>
      </c>
      <c r="B562" s="57"/>
      <c r="C562" s="57" t="s">
        <v>2135</v>
      </c>
      <c r="D562" s="57" t="s">
        <v>2310</v>
      </c>
      <c r="E562" s="75" t="s">
        <v>2318</v>
      </c>
      <c r="F562" s="57" t="s">
        <v>1908</v>
      </c>
      <c r="G562" s="57" t="s">
        <v>2120</v>
      </c>
    </row>
    <row r="563" spans="1:7">
      <c r="A563" s="58" t="s">
        <v>2286</v>
      </c>
      <c r="B563" s="58"/>
      <c r="C563" s="58" t="s">
        <v>108</v>
      </c>
      <c r="D563" s="58" t="s">
        <v>2310</v>
      </c>
      <c r="E563" s="59" t="s">
        <v>108</v>
      </c>
      <c r="F563" s="59" t="s">
        <v>2349</v>
      </c>
      <c r="G563" s="58" t="s">
        <v>2120</v>
      </c>
    </row>
    <row r="564" spans="1:7">
      <c r="A564" s="58" t="s">
        <v>2287</v>
      </c>
      <c r="B564" s="58" t="s">
        <v>2273</v>
      </c>
      <c r="C564" s="58" t="s">
        <v>2288</v>
      </c>
      <c r="D564" s="58" t="s">
        <v>2310</v>
      </c>
      <c r="E564" s="59" t="s">
        <v>2288</v>
      </c>
      <c r="F564" s="59" t="s">
        <v>2349</v>
      </c>
      <c r="G564" s="58" t="s">
        <v>2289</v>
      </c>
    </row>
    <row r="565" spans="1:7" ht="17.25">
      <c r="A565" s="76" t="s">
        <v>2431</v>
      </c>
      <c r="B565" s="76"/>
      <c r="C565" s="76"/>
      <c r="D565" s="76"/>
      <c r="E565" s="77"/>
      <c r="F565" s="76"/>
      <c r="G565" s="76"/>
    </row>
    <row r="566" spans="1:7">
      <c r="A566" s="57" t="s">
        <v>2291</v>
      </c>
      <c r="B566" s="57"/>
      <c r="C566" s="57" t="s">
        <v>2135</v>
      </c>
      <c r="D566" s="57" t="s">
        <v>2310</v>
      </c>
      <c r="E566" s="75" t="s">
        <v>2318</v>
      </c>
      <c r="F566" s="57" t="s">
        <v>1908</v>
      </c>
      <c r="G566" s="57" t="s">
        <v>2292</v>
      </c>
    </row>
    <row r="567" spans="1:7">
      <c r="A567" s="58" t="s">
        <v>2293</v>
      </c>
      <c r="B567" s="58" t="s">
        <v>2294</v>
      </c>
      <c r="C567" s="58" t="s">
        <v>2295</v>
      </c>
      <c r="D567" s="58" t="s">
        <v>2310</v>
      </c>
      <c r="E567" s="59" t="s">
        <v>108</v>
      </c>
      <c r="F567" s="59" t="s">
        <v>2349</v>
      </c>
      <c r="G567" s="58" t="s">
        <v>2296</v>
      </c>
    </row>
    <row r="568" spans="1:7">
      <c r="A568" s="58" t="s">
        <v>2297</v>
      </c>
      <c r="B568" s="58" t="s">
        <v>2298</v>
      </c>
      <c r="C568" s="58" t="s">
        <v>108</v>
      </c>
      <c r="D568" s="58" t="s">
        <v>2310</v>
      </c>
      <c r="E568" s="59" t="s">
        <v>108</v>
      </c>
      <c r="F568" s="59" t="s">
        <v>2349</v>
      </c>
      <c r="G568" s="58" t="s">
        <v>2299</v>
      </c>
    </row>
    <row r="569" spans="1:7">
      <c r="A569" s="58" t="s">
        <v>2300</v>
      </c>
      <c r="B569" s="58" t="s">
        <v>2294</v>
      </c>
      <c r="C569" s="58" t="s">
        <v>108</v>
      </c>
      <c r="D569" s="58" t="s">
        <v>2310</v>
      </c>
      <c r="E569" s="59" t="s">
        <v>108</v>
      </c>
      <c r="F569" s="59" t="s">
        <v>2349</v>
      </c>
      <c r="G569" s="58" t="s">
        <v>2299</v>
      </c>
    </row>
    <row r="570" spans="1:7">
      <c r="A570" s="58" t="s">
        <v>2301</v>
      </c>
      <c r="B570" s="58" t="s">
        <v>2302</v>
      </c>
      <c r="C570" s="58" t="s">
        <v>2193</v>
      </c>
      <c r="D570" s="58" t="s">
        <v>2310</v>
      </c>
      <c r="E570" s="59" t="s">
        <v>2193</v>
      </c>
      <c r="F570" s="59" t="s">
        <v>2349</v>
      </c>
      <c r="G570" s="58" t="s">
        <v>2303</v>
      </c>
    </row>
    <row r="571" spans="1:7">
      <c r="A571" s="58" t="s">
        <v>2304</v>
      </c>
      <c r="B571" s="58" t="s">
        <v>2305</v>
      </c>
      <c r="C571" s="58" t="s">
        <v>2257</v>
      </c>
      <c r="D571" s="58" t="s">
        <v>2310</v>
      </c>
      <c r="E571" s="59" t="s">
        <v>108</v>
      </c>
      <c r="F571" s="59" t="s">
        <v>2349</v>
      </c>
      <c r="G571" s="58" t="s">
        <v>2306</v>
      </c>
    </row>
    <row r="572" spans="1:7">
      <c r="A572" s="58" t="s">
        <v>2347</v>
      </c>
      <c r="B572" s="58" t="s">
        <v>2213</v>
      </c>
      <c r="C572" s="58" t="s">
        <v>2348</v>
      </c>
      <c r="D572" s="58" t="s">
        <v>2310</v>
      </c>
      <c r="E572" s="59" t="s">
        <v>2348</v>
      </c>
      <c r="F572" s="59" t="s">
        <v>2349</v>
      </c>
      <c r="G572" s="58" t="s">
        <v>2296</v>
      </c>
    </row>
    <row r="573" spans="1:7" ht="17.25">
      <c r="A573" s="76" t="s">
        <v>2432</v>
      </c>
      <c r="B573" s="76"/>
      <c r="C573" s="76"/>
      <c r="D573" s="76"/>
      <c r="E573" s="77"/>
      <c r="F573" s="76"/>
      <c r="G573" s="76"/>
    </row>
    <row r="574" spans="1:7">
      <c r="A574" s="58" t="s">
        <v>2114</v>
      </c>
      <c r="B574" s="58" t="s">
        <v>2115</v>
      </c>
      <c r="C574" s="58" t="s">
        <v>1559</v>
      </c>
      <c r="D574" s="58" t="s">
        <v>2351</v>
      </c>
      <c r="E574" s="59" t="s">
        <v>1559</v>
      </c>
      <c r="F574" s="59" t="s">
        <v>2349</v>
      </c>
      <c r="G574" s="58" t="s">
        <v>2117</v>
      </c>
    </row>
    <row r="575" spans="1:7">
      <c r="A575" s="58" t="s">
        <v>2352</v>
      </c>
      <c r="B575" s="58"/>
      <c r="C575" s="58" t="s">
        <v>1201</v>
      </c>
      <c r="D575" s="58" t="s">
        <v>2351</v>
      </c>
      <c r="E575" s="59" t="s">
        <v>1201</v>
      </c>
      <c r="F575" s="59" t="s">
        <v>2349</v>
      </c>
      <c r="G575" s="58" t="s">
        <v>2120</v>
      </c>
    </row>
    <row r="576" spans="1:7">
      <c r="A576" s="58" t="s">
        <v>2118</v>
      </c>
      <c r="B576" s="58"/>
      <c r="C576" s="58" t="s">
        <v>2119</v>
      </c>
      <c r="D576" s="58" t="s">
        <v>2351</v>
      </c>
      <c r="E576" s="59" t="s">
        <v>2353</v>
      </c>
      <c r="F576" s="59" t="s">
        <v>2349</v>
      </c>
      <c r="G576" s="58" t="s">
        <v>2120</v>
      </c>
    </row>
    <row r="577" spans="1:7">
      <c r="A577" s="58" t="s">
        <v>2121</v>
      </c>
      <c r="B577" s="58" t="s">
        <v>2122</v>
      </c>
      <c r="C577" s="58" t="s">
        <v>108</v>
      </c>
      <c r="D577" s="58" t="s">
        <v>2351</v>
      </c>
      <c r="E577" s="59" t="s">
        <v>108</v>
      </c>
      <c r="F577" s="59" t="s">
        <v>2349</v>
      </c>
      <c r="G577" s="58" t="s">
        <v>2120</v>
      </c>
    </row>
    <row r="578" spans="1:7">
      <c r="A578" s="58" t="s">
        <v>2123</v>
      </c>
      <c r="B578" s="58" t="s">
        <v>2124</v>
      </c>
      <c r="C578" s="58" t="s">
        <v>108</v>
      </c>
      <c r="D578" s="58" t="s">
        <v>2351</v>
      </c>
      <c r="E578" s="59" t="s">
        <v>108</v>
      </c>
      <c r="F578" s="59" t="s">
        <v>2349</v>
      </c>
      <c r="G578" s="58" t="s">
        <v>2125</v>
      </c>
    </row>
    <row r="579" spans="1:7">
      <c r="A579" s="58" t="s">
        <v>2126</v>
      </c>
      <c r="B579" s="58"/>
      <c r="C579" s="58" t="s">
        <v>108</v>
      </c>
      <c r="D579" s="58" t="s">
        <v>2351</v>
      </c>
      <c r="E579" s="59" t="s">
        <v>108</v>
      </c>
      <c r="F579" s="59" t="s">
        <v>2349</v>
      </c>
      <c r="G579" s="58" t="s">
        <v>2120</v>
      </c>
    </row>
    <row r="580" spans="1:7" ht="17.25">
      <c r="A580" s="76" t="s">
        <v>2433</v>
      </c>
      <c r="B580" s="76"/>
      <c r="C580" s="76"/>
      <c r="D580" s="76"/>
      <c r="E580" s="77"/>
      <c r="F580" s="76"/>
      <c r="G580" s="76"/>
    </row>
    <row r="581" spans="1:7">
      <c r="A581" s="58" t="s">
        <v>2128</v>
      </c>
      <c r="B581" s="58" t="s">
        <v>2129</v>
      </c>
      <c r="C581" s="58" t="s">
        <v>108</v>
      </c>
      <c r="D581" s="58" t="s">
        <v>2351</v>
      </c>
      <c r="E581" s="59" t="s">
        <v>108</v>
      </c>
      <c r="F581" s="59" t="s">
        <v>2349</v>
      </c>
      <c r="G581" s="58" t="s">
        <v>2120</v>
      </c>
    </row>
    <row r="582" spans="1:7">
      <c r="A582" s="58" t="s">
        <v>2130</v>
      </c>
      <c r="B582" s="58" t="s">
        <v>2131</v>
      </c>
      <c r="C582" s="58" t="s">
        <v>108</v>
      </c>
      <c r="D582" s="58" t="s">
        <v>2351</v>
      </c>
      <c r="E582" s="59" t="s">
        <v>108</v>
      </c>
      <c r="F582" s="59" t="s">
        <v>2349</v>
      </c>
      <c r="G582" s="58" t="s">
        <v>2132</v>
      </c>
    </row>
    <row r="583" spans="1:7">
      <c r="A583" s="58" t="s">
        <v>2133</v>
      </c>
      <c r="B583" s="58" t="s">
        <v>2131</v>
      </c>
      <c r="C583" s="58" t="s">
        <v>108</v>
      </c>
      <c r="D583" s="58" t="s">
        <v>2351</v>
      </c>
      <c r="E583" s="59" t="s">
        <v>108</v>
      </c>
      <c r="F583" s="59" t="s">
        <v>2349</v>
      </c>
      <c r="G583" s="58" t="s">
        <v>2120</v>
      </c>
    </row>
    <row r="584" spans="1:7">
      <c r="A584" s="57" t="s">
        <v>2134</v>
      </c>
      <c r="B584" s="57"/>
      <c r="C584" s="57" t="s">
        <v>2135</v>
      </c>
      <c r="D584" s="57" t="s">
        <v>2351</v>
      </c>
      <c r="E584" s="75" t="s">
        <v>2355</v>
      </c>
      <c r="F584" s="57" t="s">
        <v>1933</v>
      </c>
      <c r="G584" s="57" t="s">
        <v>2137</v>
      </c>
    </row>
    <row r="585" spans="1:7">
      <c r="A585" s="58" t="s">
        <v>2138</v>
      </c>
      <c r="B585" s="58" t="s">
        <v>2139</v>
      </c>
      <c r="C585" s="58" t="s">
        <v>108</v>
      </c>
      <c r="D585" s="58" t="s">
        <v>2351</v>
      </c>
      <c r="E585" s="59" t="s">
        <v>108</v>
      </c>
      <c r="F585" s="59" t="s">
        <v>2349</v>
      </c>
      <c r="G585" s="58" t="s">
        <v>2140</v>
      </c>
    </row>
    <row r="586" spans="1:7" ht="17.25">
      <c r="A586" s="76" t="s">
        <v>2434</v>
      </c>
      <c r="B586" s="76"/>
      <c r="C586" s="76"/>
      <c r="D586" s="76"/>
      <c r="E586" s="77"/>
      <c r="F586" s="76"/>
      <c r="G586" s="76"/>
    </row>
    <row r="587" spans="1:7">
      <c r="A587" s="58" t="s">
        <v>2142</v>
      </c>
      <c r="B587" s="58" t="s">
        <v>2143</v>
      </c>
      <c r="C587" s="58" t="s">
        <v>108</v>
      </c>
      <c r="D587" s="58" t="s">
        <v>2351</v>
      </c>
      <c r="E587" s="59" t="s">
        <v>108</v>
      </c>
      <c r="F587" s="59" t="s">
        <v>2349</v>
      </c>
      <c r="G587" s="58" t="s">
        <v>2120</v>
      </c>
    </row>
    <row r="588" spans="1:7">
      <c r="A588" s="58" t="s">
        <v>2144</v>
      </c>
      <c r="B588" s="58" t="s">
        <v>2143</v>
      </c>
      <c r="C588" s="58" t="s">
        <v>2145</v>
      </c>
      <c r="D588" s="58" t="s">
        <v>2351</v>
      </c>
      <c r="E588" s="59" t="s">
        <v>108</v>
      </c>
      <c r="F588" s="59" t="s">
        <v>2349</v>
      </c>
      <c r="G588" s="58" t="s">
        <v>2120</v>
      </c>
    </row>
    <row r="589" spans="1:7">
      <c r="A589" s="58" t="s">
        <v>2146</v>
      </c>
      <c r="B589" s="58" t="s">
        <v>2143</v>
      </c>
      <c r="C589" s="58" t="s">
        <v>2147</v>
      </c>
      <c r="D589" s="58" t="s">
        <v>2351</v>
      </c>
      <c r="E589" s="59" t="s">
        <v>108</v>
      </c>
      <c r="F589" s="59" t="s">
        <v>2349</v>
      </c>
      <c r="G589" s="58" t="s">
        <v>2148</v>
      </c>
    </row>
    <row r="590" spans="1:7">
      <c r="A590" s="58" t="s">
        <v>2149</v>
      </c>
      <c r="B590" s="58" t="s">
        <v>2143</v>
      </c>
      <c r="C590" s="58" t="s">
        <v>108</v>
      </c>
      <c r="D590" s="58" t="s">
        <v>2351</v>
      </c>
      <c r="E590" s="59" t="s">
        <v>108</v>
      </c>
      <c r="F590" s="59" t="s">
        <v>2349</v>
      </c>
      <c r="G590" s="58" t="s">
        <v>2120</v>
      </c>
    </row>
    <row r="591" spans="1:7" ht="17.25">
      <c r="A591" s="76" t="s">
        <v>2435</v>
      </c>
      <c r="B591" s="76"/>
      <c r="C591" s="76"/>
      <c r="D591" s="76"/>
      <c r="E591" s="77"/>
      <c r="F591" s="76"/>
      <c r="G591" s="76"/>
    </row>
    <row r="592" spans="1:7">
      <c r="A592" s="58" t="s">
        <v>2151</v>
      </c>
      <c r="B592" s="58" t="s">
        <v>2152</v>
      </c>
      <c r="C592" s="58" t="s">
        <v>2153</v>
      </c>
      <c r="D592" s="58" t="s">
        <v>2351</v>
      </c>
      <c r="E592" s="59" t="s">
        <v>108</v>
      </c>
      <c r="F592" s="59" t="s">
        <v>2349</v>
      </c>
      <c r="G592" s="58" t="s">
        <v>2120</v>
      </c>
    </row>
    <row r="593" spans="1:7">
      <c r="A593" s="58" t="s">
        <v>2358</v>
      </c>
      <c r="B593" s="58"/>
      <c r="C593" s="58" t="s">
        <v>543</v>
      </c>
      <c r="D593" s="58" t="s">
        <v>2351</v>
      </c>
      <c r="E593" s="59" t="s">
        <v>543</v>
      </c>
      <c r="F593" s="59" t="s">
        <v>2349</v>
      </c>
      <c r="G593" s="58" t="s">
        <v>2359</v>
      </c>
    </row>
    <row r="594" spans="1:7">
      <c r="A594" s="58" t="s">
        <v>2360</v>
      </c>
      <c r="B594" s="58" t="s">
        <v>2155</v>
      </c>
      <c r="C594" s="58" t="s">
        <v>543</v>
      </c>
      <c r="D594" s="58" t="s">
        <v>2351</v>
      </c>
      <c r="E594" s="59" t="s">
        <v>543</v>
      </c>
      <c r="F594" s="59" t="s">
        <v>2349</v>
      </c>
      <c r="G594" s="58" t="s">
        <v>2361</v>
      </c>
    </row>
    <row r="595" spans="1:7">
      <c r="A595" s="58" t="s">
        <v>2154</v>
      </c>
      <c r="B595" s="58" t="s">
        <v>2155</v>
      </c>
      <c r="C595" s="58" t="s">
        <v>108</v>
      </c>
      <c r="D595" s="58" t="s">
        <v>2351</v>
      </c>
      <c r="E595" s="59" t="s">
        <v>108</v>
      </c>
      <c r="F595" s="59" t="s">
        <v>2349</v>
      </c>
      <c r="G595" s="58" t="s">
        <v>2120</v>
      </c>
    </row>
    <row r="596" spans="1:7">
      <c r="A596" s="58" t="s">
        <v>2156</v>
      </c>
      <c r="B596" s="58" t="s">
        <v>2152</v>
      </c>
      <c r="C596" s="58" t="s">
        <v>2157</v>
      </c>
      <c r="D596" s="58" t="s">
        <v>2351</v>
      </c>
      <c r="E596" s="59" t="s">
        <v>108</v>
      </c>
      <c r="F596" s="59" t="s">
        <v>2349</v>
      </c>
      <c r="G596" s="58" t="s">
        <v>2120</v>
      </c>
    </row>
    <row r="597" spans="1:7">
      <c r="A597" s="58" t="s">
        <v>2158</v>
      </c>
      <c r="B597" s="58" t="s">
        <v>2155</v>
      </c>
      <c r="C597" s="58" t="s">
        <v>2159</v>
      </c>
      <c r="D597" s="58" t="s">
        <v>2351</v>
      </c>
      <c r="E597" s="59" t="s">
        <v>1559</v>
      </c>
      <c r="F597" s="59" t="s">
        <v>2349</v>
      </c>
      <c r="G597" s="58" t="s">
        <v>2160</v>
      </c>
    </row>
    <row r="598" spans="1:7">
      <c r="A598" s="58" t="s">
        <v>2161</v>
      </c>
      <c r="B598" s="58" t="s">
        <v>2162</v>
      </c>
      <c r="C598" s="58" t="s">
        <v>108</v>
      </c>
      <c r="D598" s="58" t="s">
        <v>2351</v>
      </c>
      <c r="E598" s="59" t="s">
        <v>108</v>
      </c>
      <c r="F598" s="59" t="s">
        <v>2349</v>
      </c>
      <c r="G598" s="58" t="s">
        <v>2163</v>
      </c>
    </row>
    <row r="599" spans="1:7">
      <c r="A599" s="58" t="s">
        <v>2164</v>
      </c>
      <c r="B599" s="58" t="s">
        <v>2162</v>
      </c>
      <c r="C599" s="58" t="s">
        <v>108</v>
      </c>
      <c r="D599" s="58" t="s">
        <v>2351</v>
      </c>
      <c r="E599" s="59" t="s">
        <v>108</v>
      </c>
      <c r="F599" s="59" t="s">
        <v>2349</v>
      </c>
      <c r="G599" s="58" t="s">
        <v>2120</v>
      </c>
    </row>
    <row r="600" spans="1:7" ht="17.25">
      <c r="A600" s="76" t="s">
        <v>2436</v>
      </c>
      <c r="B600" s="76"/>
      <c r="C600" s="76"/>
      <c r="D600" s="76"/>
      <c r="E600" s="77"/>
      <c r="F600" s="76"/>
      <c r="G600" s="76"/>
    </row>
    <row r="601" spans="1:7">
      <c r="A601" s="58" t="s">
        <v>2166</v>
      </c>
      <c r="B601" s="58" t="s">
        <v>2167</v>
      </c>
      <c r="C601" s="58" t="s">
        <v>108</v>
      </c>
      <c r="D601" s="58" t="s">
        <v>2351</v>
      </c>
      <c r="E601" s="59" t="s">
        <v>108</v>
      </c>
      <c r="F601" s="59" t="s">
        <v>2349</v>
      </c>
      <c r="G601" s="58" t="s">
        <v>2168</v>
      </c>
    </row>
    <row r="602" spans="1:7">
      <c r="A602" s="57" t="s">
        <v>2169</v>
      </c>
      <c r="B602" s="57" t="s">
        <v>2129</v>
      </c>
      <c r="C602" s="57" t="s">
        <v>2170</v>
      </c>
      <c r="D602" s="57" t="s">
        <v>2351</v>
      </c>
      <c r="E602" s="75" t="s">
        <v>2355</v>
      </c>
      <c r="F602" s="57" t="s">
        <v>1933</v>
      </c>
      <c r="G602" s="57" t="s">
        <v>2120</v>
      </c>
    </row>
    <row r="603" spans="1:7">
      <c r="A603" s="57" t="s">
        <v>2171</v>
      </c>
      <c r="B603" s="57" t="s">
        <v>2129</v>
      </c>
      <c r="C603" s="57" t="s">
        <v>2135</v>
      </c>
      <c r="D603" s="57" t="s">
        <v>2351</v>
      </c>
      <c r="E603" s="75" t="s">
        <v>2355</v>
      </c>
      <c r="F603" s="57" t="s">
        <v>1933</v>
      </c>
      <c r="G603" s="57" t="s">
        <v>2120</v>
      </c>
    </row>
    <row r="604" spans="1:7">
      <c r="A604" s="57" t="s">
        <v>2172</v>
      </c>
      <c r="B604" s="57" t="s">
        <v>2129</v>
      </c>
      <c r="C604" s="57" t="s">
        <v>2135</v>
      </c>
      <c r="D604" s="57" t="s">
        <v>2351</v>
      </c>
      <c r="E604" s="75" t="s">
        <v>2355</v>
      </c>
      <c r="F604" s="57" t="s">
        <v>1933</v>
      </c>
      <c r="G604" s="57" t="s">
        <v>2120</v>
      </c>
    </row>
    <row r="605" spans="1:7">
      <c r="A605" s="57" t="s">
        <v>2173</v>
      </c>
      <c r="B605" s="57" t="s">
        <v>2174</v>
      </c>
      <c r="C605" s="57" t="s">
        <v>2135</v>
      </c>
      <c r="D605" s="57" t="s">
        <v>2351</v>
      </c>
      <c r="E605" s="75" t="s">
        <v>2355</v>
      </c>
      <c r="F605" s="57" t="s">
        <v>1933</v>
      </c>
      <c r="G605" s="57" t="s">
        <v>2120</v>
      </c>
    </row>
    <row r="606" spans="1:7">
      <c r="A606" s="57" t="s">
        <v>2175</v>
      </c>
      <c r="B606" s="57"/>
      <c r="C606" s="57" t="s">
        <v>2135</v>
      </c>
      <c r="D606" s="57" t="s">
        <v>2351</v>
      </c>
      <c r="E606" s="75" t="s">
        <v>2355</v>
      </c>
      <c r="F606" s="57" t="s">
        <v>1933</v>
      </c>
      <c r="G606" s="57" t="s">
        <v>2120</v>
      </c>
    </row>
    <row r="607" spans="1:7">
      <c r="A607" s="57" t="s">
        <v>2176</v>
      </c>
      <c r="B607" s="57"/>
      <c r="C607" s="57" t="s">
        <v>2135</v>
      </c>
      <c r="D607" s="57" t="s">
        <v>2351</v>
      </c>
      <c r="E607" s="75" t="s">
        <v>2355</v>
      </c>
      <c r="F607" s="57" t="s">
        <v>1933</v>
      </c>
      <c r="G607" s="57" t="s">
        <v>2120</v>
      </c>
    </row>
    <row r="608" spans="1:7">
      <c r="A608" s="57" t="s">
        <v>2177</v>
      </c>
      <c r="B608" s="57"/>
      <c r="C608" s="57" t="s">
        <v>2135</v>
      </c>
      <c r="D608" s="57" t="s">
        <v>2351</v>
      </c>
      <c r="E608" s="75" t="s">
        <v>2355</v>
      </c>
      <c r="F608" s="57" t="s">
        <v>1933</v>
      </c>
      <c r="G608" s="57" t="s">
        <v>2120</v>
      </c>
    </row>
    <row r="609" spans="1:7" ht="17.25">
      <c r="A609" s="76" t="s">
        <v>2437</v>
      </c>
      <c r="B609" s="76"/>
      <c r="C609" s="76"/>
      <c r="D609" s="76"/>
      <c r="E609" s="77"/>
      <c r="F609" s="76"/>
      <c r="G609" s="76"/>
    </row>
    <row r="610" spans="1:7">
      <c r="A610" s="58" t="s">
        <v>2179</v>
      </c>
      <c r="B610" s="58" t="s">
        <v>2180</v>
      </c>
      <c r="C610" s="58" t="s">
        <v>108</v>
      </c>
      <c r="D610" s="58" t="s">
        <v>2351</v>
      </c>
      <c r="E610" s="59" t="s">
        <v>108</v>
      </c>
      <c r="F610" s="59" t="s">
        <v>2349</v>
      </c>
      <c r="G610" s="58" t="s">
        <v>2120</v>
      </c>
    </row>
    <row r="611" spans="1:7">
      <c r="A611" s="58" t="s">
        <v>2181</v>
      </c>
      <c r="B611" s="58" t="s">
        <v>2182</v>
      </c>
      <c r="C611" s="58" t="s">
        <v>108</v>
      </c>
      <c r="D611" s="58" t="s">
        <v>2351</v>
      </c>
      <c r="E611" s="59" t="s">
        <v>108</v>
      </c>
      <c r="F611" s="59" t="s">
        <v>2349</v>
      </c>
      <c r="G611" s="58" t="s">
        <v>2120</v>
      </c>
    </row>
    <row r="612" spans="1:7">
      <c r="A612" s="58" t="s">
        <v>2183</v>
      </c>
      <c r="B612" s="58" t="s">
        <v>2182</v>
      </c>
      <c r="C612" s="58" t="s">
        <v>2184</v>
      </c>
      <c r="D612" s="58" t="s">
        <v>2351</v>
      </c>
      <c r="E612" s="59" t="s">
        <v>108</v>
      </c>
      <c r="F612" s="59" t="s">
        <v>2349</v>
      </c>
      <c r="G612" s="58" t="s">
        <v>2185</v>
      </c>
    </row>
    <row r="613" spans="1:7">
      <c r="A613" s="58" t="s">
        <v>2186</v>
      </c>
      <c r="B613" s="58" t="s">
        <v>2187</v>
      </c>
      <c r="C613" s="58" t="s">
        <v>108</v>
      </c>
      <c r="D613" s="58" t="s">
        <v>2351</v>
      </c>
      <c r="E613" s="59" t="s">
        <v>108</v>
      </c>
      <c r="F613" s="59" t="s">
        <v>2349</v>
      </c>
      <c r="G613" s="58" t="s">
        <v>2120</v>
      </c>
    </row>
    <row r="614" spans="1:7">
      <c r="A614" s="58" t="s">
        <v>2188</v>
      </c>
      <c r="B614" s="58"/>
      <c r="C614" s="58" t="s">
        <v>2189</v>
      </c>
      <c r="D614" s="58" t="s">
        <v>2351</v>
      </c>
      <c r="E614" s="59" t="s">
        <v>108</v>
      </c>
      <c r="F614" s="59" t="s">
        <v>2349</v>
      </c>
      <c r="G614" s="58" t="s">
        <v>2120</v>
      </c>
    </row>
    <row r="615" spans="1:7">
      <c r="A615" s="57" t="s">
        <v>2190</v>
      </c>
      <c r="B615" s="57"/>
      <c r="C615" s="57" t="s">
        <v>2135</v>
      </c>
      <c r="D615" s="57" t="s">
        <v>2351</v>
      </c>
      <c r="E615" s="75" t="s">
        <v>2355</v>
      </c>
      <c r="F615" s="57" t="s">
        <v>1933</v>
      </c>
      <c r="G615" s="57" t="s">
        <v>2120</v>
      </c>
    </row>
    <row r="616" spans="1:7">
      <c r="A616" s="57" t="s">
        <v>2191</v>
      </c>
      <c r="B616" s="57"/>
      <c r="C616" s="57" t="s">
        <v>2135</v>
      </c>
      <c r="D616" s="57" t="s">
        <v>2351</v>
      </c>
      <c r="E616" s="75" t="s">
        <v>2355</v>
      </c>
      <c r="F616" s="57" t="s">
        <v>1933</v>
      </c>
      <c r="G616" s="57" t="s">
        <v>2120</v>
      </c>
    </row>
    <row r="617" spans="1:7">
      <c r="A617" s="58" t="s">
        <v>2192</v>
      </c>
      <c r="B617" s="58" t="s">
        <v>2182</v>
      </c>
      <c r="C617" s="58" t="s">
        <v>2193</v>
      </c>
      <c r="D617" s="58" t="s">
        <v>2351</v>
      </c>
      <c r="E617" s="59" t="s">
        <v>2193</v>
      </c>
      <c r="F617" s="59" t="s">
        <v>2349</v>
      </c>
      <c r="G617" s="58" t="s">
        <v>2120</v>
      </c>
    </row>
    <row r="618" spans="1:7">
      <c r="A618" s="58" t="s">
        <v>2194</v>
      </c>
      <c r="B618" s="58" t="s">
        <v>2187</v>
      </c>
      <c r="C618" s="58" t="s">
        <v>108</v>
      </c>
      <c r="D618" s="58" t="s">
        <v>2351</v>
      </c>
      <c r="E618" s="59" t="s">
        <v>108</v>
      </c>
      <c r="F618" s="59" t="s">
        <v>2349</v>
      </c>
      <c r="G618" s="58" t="s">
        <v>2120</v>
      </c>
    </row>
    <row r="619" spans="1:7">
      <c r="A619" s="58" t="s">
        <v>2364</v>
      </c>
      <c r="B619" s="58"/>
      <c r="C619" s="58" t="s">
        <v>543</v>
      </c>
      <c r="D619" s="58" t="s">
        <v>2351</v>
      </c>
      <c r="E619" s="59" t="s">
        <v>543</v>
      </c>
      <c r="F619" s="59" t="s">
        <v>2349</v>
      </c>
      <c r="G619" s="58" t="s">
        <v>2365</v>
      </c>
    </row>
    <row r="620" spans="1:7" ht="17.25">
      <c r="A620" s="76" t="s">
        <v>2438</v>
      </c>
      <c r="B620" s="76"/>
      <c r="C620" s="76"/>
      <c r="D620" s="76"/>
      <c r="E620" s="77"/>
      <c r="F620" s="76"/>
      <c r="G620" s="76"/>
    </row>
    <row r="621" spans="1:7">
      <c r="A621" s="58" t="s">
        <v>2196</v>
      </c>
      <c r="B621" s="58"/>
      <c r="C621" s="58" t="s">
        <v>2193</v>
      </c>
      <c r="D621" s="58" t="s">
        <v>2351</v>
      </c>
      <c r="E621" s="59" t="s">
        <v>2193</v>
      </c>
      <c r="F621" s="59" t="s">
        <v>2349</v>
      </c>
      <c r="G621" s="58" t="s">
        <v>2120</v>
      </c>
    </row>
    <row r="622" spans="1:7">
      <c r="A622" s="58" t="s">
        <v>2197</v>
      </c>
      <c r="B622" s="58"/>
      <c r="C622" s="58" t="s">
        <v>2193</v>
      </c>
      <c r="D622" s="58" t="s">
        <v>2351</v>
      </c>
      <c r="E622" s="59" t="s">
        <v>2193</v>
      </c>
      <c r="F622" s="59" t="s">
        <v>2349</v>
      </c>
      <c r="G622" s="58" t="s">
        <v>2120</v>
      </c>
    </row>
    <row r="623" spans="1:7">
      <c r="A623" s="58" t="s">
        <v>2198</v>
      </c>
      <c r="B623" s="58"/>
      <c r="C623" s="58" t="s">
        <v>2199</v>
      </c>
      <c r="D623" s="58" t="s">
        <v>2351</v>
      </c>
      <c r="E623" s="59" t="s">
        <v>2367</v>
      </c>
      <c r="F623" s="59" t="s">
        <v>2349</v>
      </c>
      <c r="G623" s="58" t="s">
        <v>2120</v>
      </c>
    </row>
    <row r="624" spans="1:7">
      <c r="A624" s="58" t="s">
        <v>2200</v>
      </c>
      <c r="B624" s="58" t="s">
        <v>2182</v>
      </c>
      <c r="C624" s="58" t="s">
        <v>108</v>
      </c>
      <c r="D624" s="58" t="s">
        <v>2351</v>
      </c>
      <c r="E624" s="59" t="s">
        <v>108</v>
      </c>
      <c r="F624" s="59" t="s">
        <v>2349</v>
      </c>
      <c r="G624" s="58" t="s">
        <v>2120</v>
      </c>
    </row>
    <row r="625" spans="1:7">
      <c r="A625" s="58" t="s">
        <v>2201</v>
      </c>
      <c r="B625" s="58" t="s">
        <v>2182</v>
      </c>
      <c r="C625" s="58" t="s">
        <v>108</v>
      </c>
      <c r="D625" s="58" t="s">
        <v>2351</v>
      </c>
      <c r="E625" s="59" t="s">
        <v>108</v>
      </c>
      <c r="F625" s="59" t="s">
        <v>2349</v>
      </c>
      <c r="G625" s="58" t="s">
        <v>2120</v>
      </c>
    </row>
    <row r="626" spans="1:7">
      <c r="A626" s="58" t="s">
        <v>2202</v>
      </c>
      <c r="B626" s="58" t="s">
        <v>2174</v>
      </c>
      <c r="C626" s="58" t="s">
        <v>108</v>
      </c>
      <c r="D626" s="58" t="s">
        <v>2351</v>
      </c>
      <c r="E626" s="59" t="s">
        <v>108</v>
      </c>
      <c r="F626" s="59" t="s">
        <v>2349</v>
      </c>
      <c r="G626" s="58" t="s">
        <v>2120</v>
      </c>
    </row>
    <row r="627" spans="1:7">
      <c r="A627" s="58" t="s">
        <v>2203</v>
      </c>
      <c r="B627" s="58" t="s">
        <v>2204</v>
      </c>
      <c r="C627" s="58" t="s">
        <v>2193</v>
      </c>
      <c r="D627" s="58" t="s">
        <v>2351</v>
      </c>
      <c r="E627" s="59" t="s">
        <v>2193</v>
      </c>
      <c r="F627" s="59" t="s">
        <v>2349</v>
      </c>
      <c r="G627" s="58" t="s">
        <v>2120</v>
      </c>
    </row>
    <row r="628" spans="1:7">
      <c r="A628" s="58" t="s">
        <v>2205</v>
      </c>
      <c r="B628" s="58" t="s">
        <v>2204</v>
      </c>
      <c r="C628" s="58" t="s">
        <v>2193</v>
      </c>
      <c r="D628" s="58" t="s">
        <v>2351</v>
      </c>
      <c r="E628" s="59" t="s">
        <v>2193</v>
      </c>
      <c r="F628" s="59" t="s">
        <v>2349</v>
      </c>
      <c r="G628" s="58" t="s">
        <v>2120</v>
      </c>
    </row>
    <row r="629" spans="1:7">
      <c r="A629" s="57" t="s">
        <v>2206</v>
      </c>
      <c r="B629" s="57"/>
      <c r="C629" s="57" t="s">
        <v>2135</v>
      </c>
      <c r="D629" s="57" t="s">
        <v>2351</v>
      </c>
      <c r="E629" s="75" t="s">
        <v>2355</v>
      </c>
      <c r="F629" s="57" t="s">
        <v>1933</v>
      </c>
      <c r="G629" s="57" t="s">
        <v>2120</v>
      </c>
    </row>
    <row r="630" spans="1:7">
      <c r="A630" s="58" t="s">
        <v>2207</v>
      </c>
      <c r="B630" s="58" t="s">
        <v>2204</v>
      </c>
      <c r="C630" s="58" t="s">
        <v>108</v>
      </c>
      <c r="D630" s="58" t="s">
        <v>2351</v>
      </c>
      <c r="E630" s="59" t="s">
        <v>108</v>
      </c>
      <c r="F630" s="59" t="s">
        <v>2349</v>
      </c>
      <c r="G630" s="58" t="s">
        <v>2208</v>
      </c>
    </row>
    <row r="631" spans="1:7" ht="17.25">
      <c r="A631" s="76" t="s">
        <v>2439</v>
      </c>
      <c r="B631" s="76"/>
      <c r="C631" s="76"/>
      <c r="D631" s="76"/>
      <c r="E631" s="77"/>
      <c r="F631" s="76"/>
      <c r="G631" s="76"/>
    </row>
    <row r="632" spans="1:7">
      <c r="A632" s="58" t="s">
        <v>2210</v>
      </c>
      <c r="B632" s="58" t="s">
        <v>2211</v>
      </c>
      <c r="C632" s="58" t="s">
        <v>108</v>
      </c>
      <c r="D632" s="58" t="s">
        <v>2351</v>
      </c>
      <c r="E632" s="59" t="s">
        <v>108</v>
      </c>
      <c r="F632" s="59" t="s">
        <v>2349</v>
      </c>
      <c r="G632" s="58" t="s">
        <v>2120</v>
      </c>
    </row>
    <row r="633" spans="1:7">
      <c r="A633" s="58" t="s">
        <v>2212</v>
      </c>
      <c r="B633" s="58" t="s">
        <v>2213</v>
      </c>
      <c r="C633" s="58" t="s">
        <v>108</v>
      </c>
      <c r="D633" s="58" t="s">
        <v>2351</v>
      </c>
      <c r="E633" s="59" t="s">
        <v>108</v>
      </c>
      <c r="F633" s="59" t="s">
        <v>2349</v>
      </c>
      <c r="G633" s="58" t="s">
        <v>2120</v>
      </c>
    </row>
    <row r="634" spans="1:7">
      <c r="A634" s="58" t="s">
        <v>2214</v>
      </c>
      <c r="B634" s="58" t="s">
        <v>2213</v>
      </c>
      <c r="C634" s="58" t="s">
        <v>108</v>
      </c>
      <c r="D634" s="58" t="s">
        <v>2351</v>
      </c>
      <c r="E634" s="59" t="s">
        <v>108</v>
      </c>
      <c r="F634" s="59" t="s">
        <v>2349</v>
      </c>
      <c r="G634" s="58" t="s">
        <v>2120</v>
      </c>
    </row>
    <row r="635" spans="1:7" ht="17.25">
      <c r="A635" s="76" t="s">
        <v>2440</v>
      </c>
      <c r="B635" s="76"/>
      <c r="C635" s="76"/>
      <c r="D635" s="76"/>
      <c r="E635" s="77"/>
      <c r="F635" s="76"/>
      <c r="G635" s="76"/>
    </row>
    <row r="636" spans="1:7">
      <c r="A636" s="58" t="s">
        <v>2370</v>
      </c>
      <c r="B636" s="58" t="s">
        <v>2223</v>
      </c>
      <c r="C636" s="58" t="s">
        <v>543</v>
      </c>
      <c r="D636" s="58" t="s">
        <v>2351</v>
      </c>
      <c r="E636" s="59" t="s">
        <v>543</v>
      </c>
      <c r="F636" s="59" t="s">
        <v>2349</v>
      </c>
      <c r="G636" s="58" t="s">
        <v>2371</v>
      </c>
    </row>
    <row r="637" spans="1:7">
      <c r="A637" s="58" t="s">
        <v>2372</v>
      </c>
      <c r="B637" s="58" t="s">
        <v>2220</v>
      </c>
      <c r="C637" s="58" t="s">
        <v>2373</v>
      </c>
      <c r="D637" s="58" t="s">
        <v>2351</v>
      </c>
      <c r="E637" s="59" t="s">
        <v>543</v>
      </c>
      <c r="F637" s="59" t="s">
        <v>2349</v>
      </c>
      <c r="G637" s="58" t="s">
        <v>2374</v>
      </c>
    </row>
    <row r="638" spans="1:7">
      <c r="A638" s="58" t="s">
        <v>2216</v>
      </c>
      <c r="B638" s="58" t="s">
        <v>2217</v>
      </c>
      <c r="C638" s="58" t="s">
        <v>2193</v>
      </c>
      <c r="D638" s="58" t="s">
        <v>2351</v>
      </c>
      <c r="E638" s="59" t="s">
        <v>2193</v>
      </c>
      <c r="F638" s="59" t="s">
        <v>2349</v>
      </c>
      <c r="G638" s="58" t="s">
        <v>2218</v>
      </c>
    </row>
    <row r="639" spans="1:7">
      <c r="A639" s="58" t="s">
        <v>2219</v>
      </c>
      <c r="B639" s="58" t="s">
        <v>2220</v>
      </c>
      <c r="C639" s="58" t="s">
        <v>108</v>
      </c>
      <c r="D639" s="58" t="s">
        <v>2351</v>
      </c>
      <c r="E639" s="59" t="s">
        <v>108</v>
      </c>
      <c r="F639" s="59" t="s">
        <v>2349</v>
      </c>
      <c r="G639" s="58" t="s">
        <v>2221</v>
      </c>
    </row>
    <row r="640" spans="1:7">
      <c r="A640" s="58" t="s">
        <v>2222</v>
      </c>
      <c r="B640" s="58" t="s">
        <v>2223</v>
      </c>
      <c r="C640" s="58" t="s">
        <v>108</v>
      </c>
      <c r="D640" s="58" t="s">
        <v>2351</v>
      </c>
      <c r="E640" s="59" t="s">
        <v>108</v>
      </c>
      <c r="F640" s="59" t="s">
        <v>2349</v>
      </c>
      <c r="G640" s="58" t="s">
        <v>2224</v>
      </c>
    </row>
    <row r="641" spans="1:7">
      <c r="A641" s="58" t="s">
        <v>2225</v>
      </c>
      <c r="B641" s="58" t="s">
        <v>2226</v>
      </c>
      <c r="C641" s="58" t="s">
        <v>108</v>
      </c>
      <c r="D641" s="58" t="s">
        <v>2351</v>
      </c>
      <c r="E641" s="59" t="s">
        <v>108</v>
      </c>
      <c r="F641" s="59" t="s">
        <v>2349</v>
      </c>
      <c r="G641" s="58" t="s">
        <v>2227</v>
      </c>
    </row>
    <row r="642" spans="1:7">
      <c r="A642" s="57" t="s">
        <v>2228</v>
      </c>
      <c r="B642" s="57"/>
      <c r="C642" s="57" t="s">
        <v>2135</v>
      </c>
      <c r="D642" s="57" t="s">
        <v>2351</v>
      </c>
      <c r="E642" s="75" t="s">
        <v>2355</v>
      </c>
      <c r="F642" s="57" t="s">
        <v>1933</v>
      </c>
      <c r="G642" s="57" t="s">
        <v>2120</v>
      </c>
    </row>
    <row r="643" spans="1:7" ht="17.25">
      <c r="A643" s="76" t="s">
        <v>2441</v>
      </c>
      <c r="B643" s="76"/>
      <c r="C643" s="76"/>
      <c r="D643" s="76"/>
      <c r="E643" s="77"/>
      <c r="F643" s="76"/>
      <c r="G643" s="76"/>
    </row>
    <row r="644" spans="1:7">
      <c r="A644" s="58" t="s">
        <v>2376</v>
      </c>
      <c r="B644" s="58" t="s">
        <v>2237</v>
      </c>
      <c r="C644" s="58" t="s">
        <v>543</v>
      </c>
      <c r="D644" s="58" t="s">
        <v>2351</v>
      </c>
      <c r="E644" s="59" t="s">
        <v>543</v>
      </c>
      <c r="F644" s="59" t="s">
        <v>2349</v>
      </c>
      <c r="G644" s="58" t="s">
        <v>2120</v>
      </c>
    </row>
    <row r="645" spans="1:7">
      <c r="A645" s="58" t="s">
        <v>2230</v>
      </c>
      <c r="B645" s="58" t="s">
        <v>2220</v>
      </c>
      <c r="C645" s="58" t="s">
        <v>108</v>
      </c>
      <c r="D645" s="58" t="s">
        <v>2351</v>
      </c>
      <c r="E645" s="59" t="s">
        <v>108</v>
      </c>
      <c r="F645" s="59" t="s">
        <v>2349</v>
      </c>
      <c r="G645" s="58" t="s">
        <v>2231</v>
      </c>
    </row>
    <row r="646" spans="1:7">
      <c r="A646" s="58" t="s">
        <v>2232</v>
      </c>
      <c r="B646" s="58" t="s">
        <v>2220</v>
      </c>
      <c r="C646" s="58" t="s">
        <v>108</v>
      </c>
      <c r="D646" s="58" t="s">
        <v>2351</v>
      </c>
      <c r="E646" s="59" t="s">
        <v>108</v>
      </c>
      <c r="F646" s="59" t="s">
        <v>2349</v>
      </c>
      <c r="G646" s="58" t="s">
        <v>2120</v>
      </c>
    </row>
    <row r="647" spans="1:7">
      <c r="A647" s="58" t="s">
        <v>2233</v>
      </c>
      <c r="B647" s="58" t="s">
        <v>2234</v>
      </c>
      <c r="C647" s="58" t="s">
        <v>108</v>
      </c>
      <c r="D647" s="58" t="s">
        <v>2351</v>
      </c>
      <c r="E647" s="59" t="s">
        <v>108</v>
      </c>
      <c r="F647" s="59" t="s">
        <v>2349</v>
      </c>
      <c r="G647" s="58" t="s">
        <v>2235</v>
      </c>
    </row>
    <row r="648" spans="1:7">
      <c r="A648" s="58" t="s">
        <v>2236</v>
      </c>
      <c r="B648" s="58" t="s">
        <v>2237</v>
      </c>
      <c r="C648" s="58" t="s">
        <v>108</v>
      </c>
      <c r="D648" s="58" t="s">
        <v>2351</v>
      </c>
      <c r="E648" s="59" t="s">
        <v>108</v>
      </c>
      <c r="F648" s="59" t="s">
        <v>2349</v>
      </c>
      <c r="G648" s="58" t="s">
        <v>2231</v>
      </c>
    </row>
    <row r="649" spans="1:7">
      <c r="A649" s="58" t="s">
        <v>2238</v>
      </c>
      <c r="B649" s="58" t="s">
        <v>2237</v>
      </c>
      <c r="C649" s="58" t="s">
        <v>108</v>
      </c>
      <c r="D649" s="58" t="s">
        <v>2351</v>
      </c>
      <c r="E649" s="59" t="s">
        <v>108</v>
      </c>
      <c r="F649" s="59" t="s">
        <v>2349</v>
      </c>
      <c r="G649" s="58" t="s">
        <v>2239</v>
      </c>
    </row>
    <row r="650" spans="1:7">
      <c r="A650" s="58" t="s">
        <v>2240</v>
      </c>
      <c r="B650" s="58" t="s">
        <v>2241</v>
      </c>
      <c r="C650" s="58" t="s">
        <v>2193</v>
      </c>
      <c r="D650" s="58" t="s">
        <v>2351</v>
      </c>
      <c r="E650" s="59" t="s">
        <v>2193</v>
      </c>
      <c r="F650" s="59" t="s">
        <v>2349</v>
      </c>
      <c r="G650" s="58" t="s">
        <v>2120</v>
      </c>
    </row>
    <row r="651" spans="1:7">
      <c r="A651" s="58" t="s">
        <v>2242</v>
      </c>
      <c r="B651" s="58" t="s">
        <v>2220</v>
      </c>
      <c r="C651" s="58" t="s">
        <v>2243</v>
      </c>
      <c r="D651" s="58" t="s">
        <v>2351</v>
      </c>
      <c r="E651" s="59" t="s">
        <v>2377</v>
      </c>
      <c r="F651" s="59" t="s">
        <v>2349</v>
      </c>
      <c r="G651" s="58" t="s">
        <v>2244</v>
      </c>
    </row>
    <row r="652" spans="1:7">
      <c r="A652" s="58" t="s">
        <v>2245</v>
      </c>
      <c r="B652" s="58" t="s">
        <v>2241</v>
      </c>
      <c r="C652" s="58" t="s">
        <v>2246</v>
      </c>
      <c r="D652" s="58" t="s">
        <v>2351</v>
      </c>
      <c r="E652" s="59" t="s">
        <v>108</v>
      </c>
      <c r="F652" s="59" t="s">
        <v>2349</v>
      </c>
      <c r="G652" s="58" t="s">
        <v>2120</v>
      </c>
    </row>
    <row r="653" spans="1:7">
      <c r="A653" s="58" t="s">
        <v>2378</v>
      </c>
      <c r="B653" s="58"/>
      <c r="C653" s="58" t="s">
        <v>543</v>
      </c>
      <c r="D653" s="58" t="s">
        <v>2351</v>
      </c>
      <c r="E653" s="59" t="s">
        <v>543</v>
      </c>
      <c r="F653" s="59" t="s">
        <v>2349</v>
      </c>
      <c r="G653" s="58" t="s">
        <v>2336</v>
      </c>
    </row>
    <row r="654" spans="1:7">
      <c r="A654" s="58" t="s">
        <v>2247</v>
      </c>
      <c r="B654" s="58" t="s">
        <v>2248</v>
      </c>
      <c r="C654" s="58" t="s">
        <v>108</v>
      </c>
      <c r="D654" s="58" t="s">
        <v>2351</v>
      </c>
      <c r="E654" s="59" t="s">
        <v>108</v>
      </c>
      <c r="F654" s="59" t="s">
        <v>2349</v>
      </c>
      <c r="G654" s="58" t="s">
        <v>2249</v>
      </c>
    </row>
    <row r="655" spans="1:7">
      <c r="A655" s="57" t="s">
        <v>2337</v>
      </c>
      <c r="B655" s="57" t="s">
        <v>2248</v>
      </c>
      <c r="C655" s="57" t="s">
        <v>2338</v>
      </c>
      <c r="D655" s="57" t="s">
        <v>2351</v>
      </c>
      <c r="E655" s="75" t="s">
        <v>2379</v>
      </c>
      <c r="F655" s="57" t="s">
        <v>1933</v>
      </c>
      <c r="G655" s="57" t="s">
        <v>2120</v>
      </c>
    </row>
    <row r="656" spans="1:7" ht="17.25">
      <c r="A656" s="76" t="s">
        <v>2442</v>
      </c>
      <c r="B656" s="76"/>
      <c r="C656" s="76"/>
      <c r="D656" s="76"/>
      <c r="E656" s="77"/>
      <c r="F656" s="76"/>
      <c r="G656" s="76"/>
    </row>
    <row r="657" spans="1:7">
      <c r="A657" s="58" t="s">
        <v>2381</v>
      </c>
      <c r="B657" s="58"/>
      <c r="C657" s="58" t="s">
        <v>543</v>
      </c>
      <c r="D657" s="58" t="s">
        <v>2351</v>
      </c>
      <c r="E657" s="59" t="s">
        <v>543</v>
      </c>
      <c r="F657" s="59" t="s">
        <v>2349</v>
      </c>
      <c r="G657" s="58" t="s">
        <v>2120</v>
      </c>
    </row>
    <row r="658" spans="1:7">
      <c r="A658" s="58" t="s">
        <v>2251</v>
      </c>
      <c r="B658" s="58" t="s">
        <v>2252</v>
      </c>
      <c r="C658" s="58" t="s">
        <v>108</v>
      </c>
      <c r="D658" s="58" t="s">
        <v>2351</v>
      </c>
      <c r="E658" s="59" t="s">
        <v>108</v>
      </c>
      <c r="F658" s="59" t="s">
        <v>2349</v>
      </c>
      <c r="G658" s="58" t="s">
        <v>2120</v>
      </c>
    </row>
    <row r="659" spans="1:7">
      <c r="A659" s="58" t="s">
        <v>2253</v>
      </c>
      <c r="B659" s="58" t="s">
        <v>2252</v>
      </c>
      <c r="C659" s="58" t="s">
        <v>2193</v>
      </c>
      <c r="D659" s="58" t="s">
        <v>2351</v>
      </c>
      <c r="E659" s="59" t="s">
        <v>2193</v>
      </c>
      <c r="F659" s="59" t="s">
        <v>2349</v>
      </c>
      <c r="G659" s="58" t="s">
        <v>2254</v>
      </c>
    </row>
    <row r="660" spans="1:7">
      <c r="A660" s="58" t="s">
        <v>2255</v>
      </c>
      <c r="B660" s="58" t="s">
        <v>2256</v>
      </c>
      <c r="C660" s="58" t="s">
        <v>2257</v>
      </c>
      <c r="D660" s="58" t="s">
        <v>2351</v>
      </c>
      <c r="E660" s="59" t="s">
        <v>108</v>
      </c>
      <c r="F660" s="59" t="s">
        <v>2349</v>
      </c>
      <c r="G660" s="58" t="s">
        <v>2120</v>
      </c>
    </row>
    <row r="661" spans="1:7">
      <c r="A661" s="58" t="s">
        <v>2258</v>
      </c>
      <c r="B661" s="58" t="s">
        <v>2259</v>
      </c>
      <c r="C661" s="58" t="s">
        <v>2260</v>
      </c>
      <c r="D661" s="58" t="s">
        <v>2351</v>
      </c>
      <c r="E661" s="59" t="s">
        <v>2382</v>
      </c>
      <c r="F661" s="59" t="s">
        <v>2349</v>
      </c>
      <c r="G661" s="58" t="s">
        <v>2261</v>
      </c>
    </row>
    <row r="662" spans="1:7">
      <c r="A662" s="58" t="s">
        <v>2262</v>
      </c>
      <c r="B662" s="58" t="s">
        <v>2259</v>
      </c>
      <c r="C662" s="58" t="s">
        <v>2147</v>
      </c>
      <c r="D662" s="58" t="s">
        <v>2351</v>
      </c>
      <c r="E662" s="59" t="s">
        <v>108</v>
      </c>
      <c r="F662" s="59" t="s">
        <v>2349</v>
      </c>
      <c r="G662" s="58" t="s">
        <v>2263</v>
      </c>
    </row>
    <row r="663" spans="1:7">
      <c r="A663" s="58" t="s">
        <v>2264</v>
      </c>
      <c r="B663" s="58" t="s">
        <v>2252</v>
      </c>
      <c r="C663" s="58" t="s">
        <v>2265</v>
      </c>
      <c r="D663" s="58" t="s">
        <v>2351</v>
      </c>
      <c r="E663" s="59" t="s">
        <v>108</v>
      </c>
      <c r="F663" s="59" t="s">
        <v>2349</v>
      </c>
      <c r="G663" s="58" t="s">
        <v>2120</v>
      </c>
    </row>
    <row r="664" spans="1:7">
      <c r="A664" s="58" t="s">
        <v>2266</v>
      </c>
      <c r="B664" s="58" t="s">
        <v>2252</v>
      </c>
      <c r="C664" s="58" t="s">
        <v>2267</v>
      </c>
      <c r="D664" s="58" t="s">
        <v>2351</v>
      </c>
      <c r="E664" s="59" t="s">
        <v>108</v>
      </c>
      <c r="F664" s="59" t="s">
        <v>2349</v>
      </c>
      <c r="G664" s="58" t="s">
        <v>2268</v>
      </c>
    </row>
    <row r="665" spans="1:7">
      <c r="A665" s="58" t="s">
        <v>2269</v>
      </c>
      <c r="B665" s="58" t="s">
        <v>2252</v>
      </c>
      <c r="C665" s="58" t="s">
        <v>2270</v>
      </c>
      <c r="D665" s="58" t="s">
        <v>2351</v>
      </c>
      <c r="E665" s="59" t="s">
        <v>108</v>
      </c>
      <c r="F665" s="59" t="s">
        <v>2349</v>
      </c>
      <c r="G665" s="58" t="s">
        <v>2120</v>
      </c>
    </row>
    <row r="666" spans="1:7" ht="17.25">
      <c r="A666" s="76" t="s">
        <v>2443</v>
      </c>
      <c r="B666" s="76"/>
      <c r="C666" s="76"/>
      <c r="D666" s="76"/>
      <c r="E666" s="77"/>
      <c r="F666" s="76"/>
      <c r="G666" s="76"/>
    </row>
    <row r="667" spans="1:7">
      <c r="A667" s="58" t="s">
        <v>2272</v>
      </c>
      <c r="B667" s="58" t="s">
        <v>2273</v>
      </c>
      <c r="C667" s="58" t="s">
        <v>2274</v>
      </c>
      <c r="D667" s="58" t="s">
        <v>2351</v>
      </c>
      <c r="E667" s="59" t="s">
        <v>1559</v>
      </c>
      <c r="F667" s="59" t="s">
        <v>2349</v>
      </c>
      <c r="G667" s="58" t="s">
        <v>2275</v>
      </c>
    </row>
    <row r="668" spans="1:7">
      <c r="A668" s="58" t="s">
        <v>2276</v>
      </c>
      <c r="B668" s="58" t="s">
        <v>2248</v>
      </c>
      <c r="C668" s="58" t="s">
        <v>2277</v>
      </c>
      <c r="D668" s="58" t="s">
        <v>2351</v>
      </c>
      <c r="E668" s="59" t="s">
        <v>108</v>
      </c>
      <c r="F668" s="59" t="s">
        <v>2349</v>
      </c>
      <c r="G668" s="58" t="s">
        <v>2278</v>
      </c>
    </row>
    <row r="669" spans="1:7">
      <c r="A669" s="58" t="s">
        <v>2279</v>
      </c>
      <c r="B669" s="58" t="s">
        <v>2280</v>
      </c>
      <c r="C669" s="58" t="s">
        <v>2281</v>
      </c>
      <c r="D669" s="58" t="s">
        <v>2351</v>
      </c>
      <c r="E669" s="59" t="s">
        <v>108</v>
      </c>
      <c r="F669" s="59" t="s">
        <v>2349</v>
      </c>
      <c r="G669" s="58" t="s">
        <v>2282</v>
      </c>
    </row>
    <row r="670" spans="1:7">
      <c r="A670" s="58" t="s">
        <v>2283</v>
      </c>
      <c r="B670" s="58" t="s">
        <v>2273</v>
      </c>
      <c r="C670" s="58" t="s">
        <v>108</v>
      </c>
      <c r="D670" s="58" t="s">
        <v>2351</v>
      </c>
      <c r="E670" s="59" t="s">
        <v>108</v>
      </c>
      <c r="F670" s="59" t="s">
        <v>2349</v>
      </c>
      <c r="G670" s="58" t="s">
        <v>2284</v>
      </c>
    </row>
    <row r="671" spans="1:7">
      <c r="A671" s="57" t="s">
        <v>2285</v>
      </c>
      <c r="B671" s="57"/>
      <c r="C671" s="57" t="s">
        <v>2135</v>
      </c>
      <c r="D671" s="57" t="s">
        <v>2351</v>
      </c>
      <c r="E671" s="75" t="s">
        <v>2355</v>
      </c>
      <c r="F671" s="57" t="s">
        <v>1933</v>
      </c>
      <c r="G671" s="57" t="s">
        <v>2120</v>
      </c>
    </row>
    <row r="672" spans="1:7">
      <c r="A672" s="58" t="s">
        <v>2286</v>
      </c>
      <c r="B672" s="58"/>
      <c r="C672" s="58" t="s">
        <v>108</v>
      </c>
      <c r="D672" s="58" t="s">
        <v>2351</v>
      </c>
      <c r="E672" s="59" t="s">
        <v>108</v>
      </c>
      <c r="F672" s="59" t="s">
        <v>2349</v>
      </c>
      <c r="G672" s="58" t="s">
        <v>2120</v>
      </c>
    </row>
    <row r="673" spans="1:7">
      <c r="A673" s="58" t="s">
        <v>2287</v>
      </c>
      <c r="B673" s="58" t="s">
        <v>2273</v>
      </c>
      <c r="C673" s="58" t="s">
        <v>2288</v>
      </c>
      <c r="D673" s="58" t="s">
        <v>2351</v>
      </c>
      <c r="E673" s="59" t="s">
        <v>2288</v>
      </c>
      <c r="F673" s="59" t="s">
        <v>2349</v>
      </c>
      <c r="G673" s="58" t="s">
        <v>2289</v>
      </c>
    </row>
    <row r="674" spans="1:7" ht="17.25">
      <c r="A674" s="76" t="s">
        <v>2444</v>
      </c>
      <c r="B674" s="76"/>
      <c r="C674" s="76"/>
      <c r="D674" s="76"/>
      <c r="E674" s="77"/>
      <c r="F674" s="76"/>
      <c r="G674" s="76"/>
    </row>
    <row r="675" spans="1:7">
      <c r="A675" s="57" t="s">
        <v>2291</v>
      </c>
      <c r="B675" s="57"/>
      <c r="C675" s="57" t="s">
        <v>2135</v>
      </c>
      <c r="D675" s="57" t="s">
        <v>2351</v>
      </c>
      <c r="E675" s="75" t="s">
        <v>2355</v>
      </c>
      <c r="F675" s="57" t="s">
        <v>1933</v>
      </c>
      <c r="G675" s="57" t="s">
        <v>2292</v>
      </c>
    </row>
    <row r="676" spans="1:7">
      <c r="A676" s="58" t="s">
        <v>2293</v>
      </c>
      <c r="B676" s="58" t="s">
        <v>2294</v>
      </c>
      <c r="C676" s="58" t="s">
        <v>2295</v>
      </c>
      <c r="D676" s="58" t="s">
        <v>2351</v>
      </c>
      <c r="E676" s="59" t="s">
        <v>108</v>
      </c>
      <c r="F676" s="59" t="s">
        <v>2349</v>
      </c>
      <c r="G676" s="58" t="s">
        <v>2296</v>
      </c>
    </row>
    <row r="677" spans="1:7">
      <c r="A677" s="58" t="s">
        <v>2385</v>
      </c>
      <c r="B677" s="58" t="s">
        <v>2298</v>
      </c>
      <c r="C677" s="58" t="s">
        <v>543</v>
      </c>
      <c r="D677" s="58" t="s">
        <v>2351</v>
      </c>
      <c r="E677" s="59" t="s">
        <v>543</v>
      </c>
      <c r="F677" s="59" t="s">
        <v>2349</v>
      </c>
      <c r="G677" s="58" t="s">
        <v>2386</v>
      </c>
    </row>
    <row r="678" spans="1:7">
      <c r="A678" s="58" t="s">
        <v>2297</v>
      </c>
      <c r="B678" s="58" t="s">
        <v>2298</v>
      </c>
      <c r="C678" s="58" t="s">
        <v>108</v>
      </c>
      <c r="D678" s="58" t="s">
        <v>2351</v>
      </c>
      <c r="E678" s="59" t="s">
        <v>108</v>
      </c>
      <c r="F678" s="59" t="s">
        <v>2349</v>
      </c>
      <c r="G678" s="58" t="s">
        <v>2299</v>
      </c>
    </row>
    <row r="679" spans="1:7">
      <c r="A679" s="58" t="s">
        <v>2300</v>
      </c>
      <c r="B679" s="58" t="s">
        <v>2294</v>
      </c>
      <c r="C679" s="58" t="s">
        <v>108</v>
      </c>
      <c r="D679" s="58" t="s">
        <v>2351</v>
      </c>
      <c r="E679" s="59" t="s">
        <v>108</v>
      </c>
      <c r="F679" s="59" t="s">
        <v>2349</v>
      </c>
      <c r="G679" s="58" t="s">
        <v>2299</v>
      </c>
    </row>
    <row r="680" spans="1:7">
      <c r="A680" s="58" t="s">
        <v>2301</v>
      </c>
      <c r="B680" s="58" t="s">
        <v>2302</v>
      </c>
      <c r="C680" s="58" t="s">
        <v>2193</v>
      </c>
      <c r="D680" s="58" t="s">
        <v>2351</v>
      </c>
      <c r="E680" s="59" t="s">
        <v>2193</v>
      </c>
      <c r="F680" s="59" t="s">
        <v>2349</v>
      </c>
      <c r="G680" s="58" t="s">
        <v>2303</v>
      </c>
    </row>
    <row r="681" spans="1:7">
      <c r="A681" s="58" t="s">
        <v>2304</v>
      </c>
      <c r="B681" s="58" t="s">
        <v>2305</v>
      </c>
      <c r="C681" s="58" t="s">
        <v>2257</v>
      </c>
      <c r="D681" s="58" t="s">
        <v>2351</v>
      </c>
      <c r="E681" s="59" t="s">
        <v>108</v>
      </c>
      <c r="F681" s="59" t="s">
        <v>2349</v>
      </c>
      <c r="G681" s="58" t="s">
        <v>2306</v>
      </c>
    </row>
    <row r="682" spans="1:7">
      <c r="A682" s="58" t="s">
        <v>2347</v>
      </c>
      <c r="B682" s="58" t="s">
        <v>2213</v>
      </c>
      <c r="C682" s="58" t="s">
        <v>2348</v>
      </c>
      <c r="D682" s="58" t="s">
        <v>2351</v>
      </c>
      <c r="E682" s="59" t="s">
        <v>2348</v>
      </c>
      <c r="F682" s="59" t="s">
        <v>2349</v>
      </c>
      <c r="G682" s="58" t="s">
        <v>2296</v>
      </c>
    </row>
    <row r="683" spans="1:7" ht="17.25">
      <c r="A683" s="76" t="s">
        <v>2445</v>
      </c>
      <c r="B683" s="76"/>
      <c r="C683" s="76"/>
      <c r="D683" s="76"/>
      <c r="E683" s="77"/>
      <c r="F683" s="76"/>
      <c r="G683" s="76"/>
    </row>
    <row r="684" spans="1:7">
      <c r="A684" s="58" t="s">
        <v>2352</v>
      </c>
      <c r="B684" s="58"/>
      <c r="C684" s="58" t="s">
        <v>1201</v>
      </c>
      <c r="D684" s="58" t="s">
        <v>2388</v>
      </c>
      <c r="E684" s="59" t="s">
        <v>1201</v>
      </c>
      <c r="F684" s="59" t="s">
        <v>2349</v>
      </c>
      <c r="G684" s="58" t="s">
        <v>2120</v>
      </c>
    </row>
    <row r="685" spans="1:7">
      <c r="A685" s="58" t="s">
        <v>2118</v>
      </c>
      <c r="B685" s="58"/>
      <c r="C685" s="58" t="s">
        <v>2119</v>
      </c>
      <c r="D685" s="58" t="s">
        <v>2388</v>
      </c>
      <c r="E685" s="59" t="s">
        <v>1201</v>
      </c>
      <c r="F685" s="59" t="s">
        <v>2349</v>
      </c>
      <c r="G685" s="58" t="s">
        <v>2120</v>
      </c>
    </row>
    <row r="686" spans="1:7" ht="17.25">
      <c r="A686" s="76" t="s">
        <v>2446</v>
      </c>
      <c r="B686" s="76"/>
      <c r="C686" s="76"/>
      <c r="D686" s="76"/>
      <c r="E686" s="77"/>
      <c r="F686" s="76"/>
      <c r="G686" s="76"/>
    </row>
    <row r="687" spans="1:7">
      <c r="A687" s="58" t="s">
        <v>2242</v>
      </c>
      <c r="B687" s="58" t="s">
        <v>2220</v>
      </c>
      <c r="C687" s="58" t="s">
        <v>2243</v>
      </c>
      <c r="D687" s="58" t="s">
        <v>2388</v>
      </c>
      <c r="E687" s="59" t="s">
        <v>2390</v>
      </c>
      <c r="F687" s="59" t="s">
        <v>2349</v>
      </c>
      <c r="G687" s="58" t="s">
        <v>2244</v>
      </c>
    </row>
    <row r="688" spans="1:7" ht="17.25">
      <c r="A688" s="76" t="s">
        <v>2447</v>
      </c>
      <c r="B688" s="76"/>
      <c r="C688" s="76"/>
      <c r="D688" s="76"/>
      <c r="E688" s="77"/>
      <c r="F688" s="76"/>
      <c r="G688" s="76"/>
    </row>
    <row r="689" spans="1:7">
      <c r="A689" s="58" t="s">
        <v>2258</v>
      </c>
      <c r="B689" s="58" t="s">
        <v>2259</v>
      </c>
      <c r="C689" s="58" t="s">
        <v>2260</v>
      </c>
      <c r="D689" s="58" t="s">
        <v>2388</v>
      </c>
      <c r="E689" s="59" t="s">
        <v>2392</v>
      </c>
      <c r="F689" s="59" t="s">
        <v>2349</v>
      </c>
      <c r="G689" s="58" t="s">
        <v>2261</v>
      </c>
    </row>
    <row r="690" spans="1:7" ht="17.25">
      <c r="A690" s="76" t="s">
        <v>2448</v>
      </c>
      <c r="B690" s="76"/>
      <c r="C690" s="76"/>
      <c r="D690" s="76"/>
      <c r="E690" s="77"/>
      <c r="F690" s="76"/>
      <c r="G690" s="76"/>
    </row>
    <row r="691" spans="1:7">
      <c r="A691" s="58" t="s">
        <v>2347</v>
      </c>
      <c r="B691" s="58" t="s">
        <v>2213</v>
      </c>
      <c r="C691" s="58" t="s">
        <v>2348</v>
      </c>
      <c r="D691" s="58" t="s">
        <v>2388</v>
      </c>
      <c r="E691" s="59" t="s">
        <v>2394</v>
      </c>
      <c r="F691" s="59" t="s">
        <v>2349</v>
      </c>
      <c r="G691" s="58" t="s">
        <v>2296</v>
      </c>
    </row>
    <row r="692" spans="1:7" ht="17.25">
      <c r="A692" s="76" t="s">
        <v>2449</v>
      </c>
      <c r="B692" s="76"/>
      <c r="C692" s="76"/>
      <c r="D692" s="76"/>
      <c r="E692" s="77"/>
      <c r="F692" s="76"/>
      <c r="G692" s="76"/>
    </row>
    <row r="693" spans="1:7">
      <c r="A693" s="57" t="s">
        <v>2308</v>
      </c>
      <c r="B693" s="57" t="s">
        <v>2122</v>
      </c>
      <c r="C693" s="57" t="s">
        <v>2309</v>
      </c>
      <c r="D693" s="57" t="s">
        <v>2396</v>
      </c>
      <c r="E693" s="75" t="s">
        <v>2311</v>
      </c>
      <c r="F693" s="57" t="s">
        <v>1968</v>
      </c>
      <c r="G693" s="57" t="s">
        <v>2312</v>
      </c>
    </row>
    <row r="694" spans="1:7">
      <c r="A694" s="57" t="s">
        <v>2313</v>
      </c>
      <c r="B694" s="57" t="s">
        <v>2314</v>
      </c>
      <c r="C694" s="57" t="s">
        <v>2309</v>
      </c>
      <c r="D694" s="57" t="s">
        <v>2396</v>
      </c>
      <c r="E694" s="75" t="s">
        <v>2311</v>
      </c>
      <c r="F694" s="57" t="s">
        <v>1968</v>
      </c>
      <c r="G694" s="57" t="s">
        <v>2120</v>
      </c>
    </row>
    <row r="695" spans="1:7">
      <c r="A695" s="57" t="s">
        <v>2315</v>
      </c>
      <c r="B695" s="57" t="s">
        <v>2314</v>
      </c>
      <c r="C695" s="57" t="s">
        <v>2309</v>
      </c>
      <c r="D695" s="57" t="s">
        <v>2396</v>
      </c>
      <c r="E695" s="75" t="s">
        <v>2311</v>
      </c>
      <c r="F695" s="57" t="s">
        <v>1968</v>
      </c>
      <c r="G695" s="57" t="s">
        <v>2120</v>
      </c>
    </row>
    <row r="696" spans="1:7">
      <c r="A696" s="57" t="s">
        <v>2316</v>
      </c>
      <c r="B696" s="57" t="s">
        <v>2124</v>
      </c>
      <c r="C696" s="57" t="s">
        <v>2309</v>
      </c>
      <c r="D696" s="57" t="s">
        <v>2396</v>
      </c>
      <c r="E696" s="75" t="s">
        <v>2311</v>
      </c>
      <c r="F696" s="57" t="s">
        <v>1968</v>
      </c>
      <c r="G696" s="57" t="s">
        <v>2120</v>
      </c>
    </row>
    <row r="697" spans="1:7" ht="17.25">
      <c r="A697" s="76" t="s">
        <v>2450</v>
      </c>
      <c r="B697" s="76"/>
      <c r="C697" s="76"/>
      <c r="D697" s="76"/>
      <c r="E697" s="77"/>
      <c r="F697" s="76"/>
      <c r="G697" s="76"/>
    </row>
    <row r="698" spans="1:7">
      <c r="A698" s="57" t="s">
        <v>2134</v>
      </c>
      <c r="B698" s="57"/>
      <c r="C698" s="57" t="s">
        <v>2135</v>
      </c>
      <c r="D698" s="57" t="s">
        <v>2396</v>
      </c>
      <c r="E698" s="75" t="s">
        <v>2318</v>
      </c>
      <c r="F698" s="57" t="s">
        <v>1968</v>
      </c>
      <c r="G698" s="57" t="s">
        <v>2137</v>
      </c>
    </row>
    <row r="699" spans="1:7" ht="17.25">
      <c r="A699" s="76" t="s">
        <v>2451</v>
      </c>
      <c r="B699" s="76"/>
      <c r="C699" s="76"/>
      <c r="D699" s="76"/>
      <c r="E699" s="77"/>
      <c r="F699" s="76"/>
      <c r="G699" s="76"/>
    </row>
    <row r="700" spans="1:7">
      <c r="A700" s="57" t="s">
        <v>2169</v>
      </c>
      <c r="B700" s="57" t="s">
        <v>2129</v>
      </c>
      <c r="C700" s="57" t="s">
        <v>2170</v>
      </c>
      <c r="D700" s="57" t="s">
        <v>2396</v>
      </c>
      <c r="E700" s="75" t="s">
        <v>2318</v>
      </c>
      <c r="F700" s="57" t="s">
        <v>1968</v>
      </c>
      <c r="G700" s="57" t="s">
        <v>2120</v>
      </c>
    </row>
    <row r="701" spans="1:7">
      <c r="A701" s="57" t="s">
        <v>2171</v>
      </c>
      <c r="B701" s="57" t="s">
        <v>2129</v>
      </c>
      <c r="C701" s="57" t="s">
        <v>2135</v>
      </c>
      <c r="D701" s="57" t="s">
        <v>2396</v>
      </c>
      <c r="E701" s="75" t="s">
        <v>2318</v>
      </c>
      <c r="F701" s="57" t="s">
        <v>1968</v>
      </c>
      <c r="G701" s="57" t="s">
        <v>2120</v>
      </c>
    </row>
    <row r="702" spans="1:7">
      <c r="A702" s="57" t="s">
        <v>2172</v>
      </c>
      <c r="B702" s="57" t="s">
        <v>2129</v>
      </c>
      <c r="C702" s="57" t="s">
        <v>2135</v>
      </c>
      <c r="D702" s="57" t="s">
        <v>2396</v>
      </c>
      <c r="E702" s="75" t="s">
        <v>2318</v>
      </c>
      <c r="F702" s="57" t="s">
        <v>1968</v>
      </c>
      <c r="G702" s="57" t="s">
        <v>2120</v>
      </c>
    </row>
    <row r="703" spans="1:7">
      <c r="A703" s="57" t="s">
        <v>2173</v>
      </c>
      <c r="B703" s="57" t="s">
        <v>2174</v>
      </c>
      <c r="C703" s="57" t="s">
        <v>2135</v>
      </c>
      <c r="D703" s="57" t="s">
        <v>2396</v>
      </c>
      <c r="E703" s="75" t="s">
        <v>2318</v>
      </c>
      <c r="F703" s="57" t="s">
        <v>1968</v>
      </c>
      <c r="G703" s="57" t="s">
        <v>2120</v>
      </c>
    </row>
    <row r="704" spans="1:7">
      <c r="A704" s="57" t="s">
        <v>2175</v>
      </c>
      <c r="B704" s="57"/>
      <c r="C704" s="57" t="s">
        <v>2135</v>
      </c>
      <c r="D704" s="57" t="s">
        <v>2396</v>
      </c>
      <c r="E704" s="75" t="s">
        <v>2318</v>
      </c>
      <c r="F704" s="57" t="s">
        <v>1968</v>
      </c>
      <c r="G704" s="57" t="s">
        <v>2120</v>
      </c>
    </row>
    <row r="705" spans="1:7">
      <c r="A705" s="57" t="s">
        <v>2176</v>
      </c>
      <c r="B705" s="57"/>
      <c r="C705" s="57" t="s">
        <v>2135</v>
      </c>
      <c r="D705" s="57" t="s">
        <v>2396</v>
      </c>
      <c r="E705" s="75" t="s">
        <v>2318</v>
      </c>
      <c r="F705" s="57" t="s">
        <v>1968</v>
      </c>
      <c r="G705" s="57" t="s">
        <v>2120</v>
      </c>
    </row>
    <row r="706" spans="1:7">
      <c r="A706" s="57" t="s">
        <v>2177</v>
      </c>
      <c r="B706" s="57"/>
      <c r="C706" s="57" t="s">
        <v>2135</v>
      </c>
      <c r="D706" s="57" t="s">
        <v>2396</v>
      </c>
      <c r="E706" s="75" t="s">
        <v>2318</v>
      </c>
      <c r="F706" s="57" t="s">
        <v>1968</v>
      </c>
      <c r="G706" s="57" t="s">
        <v>2120</v>
      </c>
    </row>
    <row r="707" spans="1:7" ht="17.25">
      <c r="A707" s="76" t="s">
        <v>2452</v>
      </c>
      <c r="B707" s="76"/>
      <c r="C707" s="76"/>
      <c r="D707" s="76"/>
      <c r="E707" s="77"/>
      <c r="F707" s="76"/>
      <c r="G707" s="76"/>
    </row>
    <row r="708" spans="1:7">
      <c r="A708" s="58" t="s">
        <v>2188</v>
      </c>
      <c r="B708" s="58"/>
      <c r="C708" s="58" t="s">
        <v>2189</v>
      </c>
      <c r="D708" s="58" t="s">
        <v>2396</v>
      </c>
      <c r="E708" s="59" t="s">
        <v>2400</v>
      </c>
      <c r="F708" s="59" t="s">
        <v>2349</v>
      </c>
      <c r="G708" s="58" t="s">
        <v>2120</v>
      </c>
    </row>
    <row r="709" spans="1:7">
      <c r="A709" s="57" t="s">
        <v>2190</v>
      </c>
      <c r="B709" s="57"/>
      <c r="C709" s="57" t="s">
        <v>2135</v>
      </c>
      <c r="D709" s="57" t="s">
        <v>2396</v>
      </c>
      <c r="E709" s="75" t="s">
        <v>2318</v>
      </c>
      <c r="F709" s="57" t="s">
        <v>1968</v>
      </c>
      <c r="G709" s="57" t="s">
        <v>2120</v>
      </c>
    </row>
    <row r="710" spans="1:7">
      <c r="A710" s="57" t="s">
        <v>2191</v>
      </c>
      <c r="B710" s="57"/>
      <c r="C710" s="57" t="s">
        <v>2135</v>
      </c>
      <c r="D710" s="57" t="s">
        <v>2396</v>
      </c>
      <c r="E710" s="75" t="s">
        <v>2318</v>
      </c>
      <c r="F710" s="57" t="s">
        <v>1968</v>
      </c>
      <c r="G710" s="57" t="s">
        <v>2120</v>
      </c>
    </row>
    <row r="711" spans="1:7" ht="17.25">
      <c r="A711" s="76" t="s">
        <v>2453</v>
      </c>
      <c r="B711" s="76"/>
      <c r="C711" s="76"/>
      <c r="D711" s="76"/>
      <c r="E711" s="77"/>
      <c r="F711" s="76"/>
      <c r="G711" s="76"/>
    </row>
    <row r="712" spans="1:7">
      <c r="A712" s="57" t="s">
        <v>2206</v>
      </c>
      <c r="B712" s="57"/>
      <c r="C712" s="57" t="s">
        <v>2135</v>
      </c>
      <c r="D712" s="57" t="s">
        <v>2396</v>
      </c>
      <c r="E712" s="75" t="s">
        <v>2318</v>
      </c>
      <c r="F712" s="57" t="s">
        <v>1968</v>
      </c>
      <c r="G712" s="57" t="s">
        <v>2120</v>
      </c>
    </row>
    <row r="713" spans="1:7" ht="17.25">
      <c r="A713" s="76" t="s">
        <v>2454</v>
      </c>
      <c r="B713" s="76"/>
      <c r="C713" s="76"/>
      <c r="D713" s="76"/>
      <c r="E713" s="77"/>
      <c r="F713" s="76"/>
      <c r="G713" s="76"/>
    </row>
    <row r="714" spans="1:7">
      <c r="A714" s="57" t="s">
        <v>2328</v>
      </c>
      <c r="B714" s="57" t="s">
        <v>2217</v>
      </c>
      <c r="C714" s="57" t="s">
        <v>2309</v>
      </c>
      <c r="D714" s="57" t="s">
        <v>2396</v>
      </c>
      <c r="E714" s="75" t="s">
        <v>2311</v>
      </c>
      <c r="F714" s="57" t="s">
        <v>1968</v>
      </c>
      <c r="G714" s="57" t="s">
        <v>2329</v>
      </c>
    </row>
    <row r="715" spans="1:7">
      <c r="A715" s="57" t="s">
        <v>2330</v>
      </c>
      <c r="B715" s="57" t="s">
        <v>2331</v>
      </c>
      <c r="C715" s="57" t="s">
        <v>2309</v>
      </c>
      <c r="D715" s="57" t="s">
        <v>2396</v>
      </c>
      <c r="E715" s="75" t="s">
        <v>2311</v>
      </c>
      <c r="F715" s="57" t="s">
        <v>1968</v>
      </c>
      <c r="G715" s="57" t="s">
        <v>2332</v>
      </c>
    </row>
    <row r="716" spans="1:7">
      <c r="A716" s="57" t="s">
        <v>2228</v>
      </c>
      <c r="B716" s="57"/>
      <c r="C716" s="57" t="s">
        <v>2135</v>
      </c>
      <c r="D716" s="57" t="s">
        <v>2396</v>
      </c>
      <c r="E716" s="75" t="s">
        <v>2318</v>
      </c>
      <c r="F716" s="57" t="s">
        <v>1968</v>
      </c>
      <c r="G716" s="57" t="s">
        <v>2120</v>
      </c>
    </row>
    <row r="717" spans="1:7" ht="17.25">
      <c r="A717" s="76" t="s">
        <v>2455</v>
      </c>
      <c r="B717" s="76"/>
      <c r="C717" s="76"/>
      <c r="D717" s="76"/>
      <c r="E717" s="77"/>
      <c r="F717" s="76"/>
      <c r="G717" s="76"/>
    </row>
    <row r="718" spans="1:7">
      <c r="A718" s="57" t="s">
        <v>2335</v>
      </c>
      <c r="B718" s="57"/>
      <c r="C718" s="57" t="s">
        <v>2309</v>
      </c>
      <c r="D718" s="57" t="s">
        <v>2396</v>
      </c>
      <c r="E718" s="75" t="s">
        <v>2311</v>
      </c>
      <c r="F718" s="57" t="s">
        <v>1968</v>
      </c>
      <c r="G718" s="57" t="s">
        <v>2336</v>
      </c>
    </row>
    <row r="719" spans="1:7">
      <c r="A719" s="57" t="s">
        <v>2337</v>
      </c>
      <c r="B719" s="57" t="s">
        <v>2248</v>
      </c>
      <c r="C719" s="57" t="s">
        <v>2338</v>
      </c>
      <c r="D719" s="57" t="s">
        <v>2396</v>
      </c>
      <c r="E719" s="75" t="s">
        <v>2339</v>
      </c>
      <c r="F719" s="57" t="s">
        <v>1968</v>
      </c>
      <c r="G719" s="57" t="s">
        <v>2120</v>
      </c>
    </row>
    <row r="720" spans="1:7" ht="17.25">
      <c r="A720" s="76" t="s">
        <v>2456</v>
      </c>
      <c r="B720" s="76"/>
      <c r="C720" s="76"/>
      <c r="D720" s="76"/>
      <c r="E720" s="77"/>
      <c r="F720" s="76"/>
      <c r="G720" s="76"/>
    </row>
    <row r="721" spans="1:7">
      <c r="A721" s="57" t="s">
        <v>2342</v>
      </c>
      <c r="B721" s="57"/>
      <c r="C721" s="57" t="s">
        <v>2309</v>
      </c>
      <c r="D721" s="57" t="s">
        <v>2396</v>
      </c>
      <c r="E721" s="75" t="s">
        <v>2311</v>
      </c>
      <c r="F721" s="57" t="s">
        <v>1968</v>
      </c>
      <c r="G721" s="57" t="s">
        <v>2343</v>
      </c>
    </row>
    <row r="722" spans="1:7">
      <c r="A722" s="57" t="s">
        <v>2344</v>
      </c>
      <c r="B722" s="57" t="s">
        <v>2273</v>
      </c>
      <c r="C722" s="57" t="s">
        <v>2309</v>
      </c>
      <c r="D722" s="57" t="s">
        <v>2396</v>
      </c>
      <c r="E722" s="75" t="s">
        <v>2311</v>
      </c>
      <c r="F722" s="57" t="s">
        <v>1968</v>
      </c>
      <c r="G722" s="57" t="s">
        <v>2345</v>
      </c>
    </row>
    <row r="723" spans="1:7">
      <c r="A723" s="57" t="s">
        <v>2285</v>
      </c>
      <c r="B723" s="57"/>
      <c r="C723" s="57" t="s">
        <v>2135</v>
      </c>
      <c r="D723" s="57" t="s">
        <v>2396</v>
      </c>
      <c r="E723" s="75" t="s">
        <v>2318</v>
      </c>
      <c r="F723" s="57" t="s">
        <v>1968</v>
      </c>
      <c r="G723" s="57" t="s">
        <v>2120</v>
      </c>
    </row>
    <row r="724" spans="1:7" ht="17.25">
      <c r="A724" s="76" t="s">
        <v>2457</v>
      </c>
      <c r="B724" s="76"/>
      <c r="C724" s="76"/>
      <c r="D724" s="76"/>
      <c r="E724" s="77"/>
      <c r="F724" s="76"/>
      <c r="G724" s="76"/>
    </row>
    <row r="725" spans="1:7">
      <c r="A725" s="57" t="s">
        <v>2291</v>
      </c>
      <c r="B725" s="57"/>
      <c r="C725" s="57" t="s">
        <v>2135</v>
      </c>
      <c r="D725" s="57" t="s">
        <v>2396</v>
      </c>
      <c r="E725" s="75" t="s">
        <v>2318</v>
      </c>
      <c r="F725" s="57" t="s">
        <v>1968</v>
      </c>
      <c r="G725" s="57" t="s">
        <v>2292</v>
      </c>
    </row>
    <row r="726" spans="1:7" ht="17.25">
      <c r="A726" s="76" t="s">
        <v>2458</v>
      </c>
      <c r="B726" s="76"/>
      <c r="C726" s="76"/>
      <c r="D726" s="76"/>
      <c r="E726" s="77"/>
      <c r="F726" s="76"/>
      <c r="G726" s="76"/>
    </row>
    <row r="727" spans="1:7">
      <c r="A727" s="58" t="s">
        <v>2114</v>
      </c>
      <c r="B727" s="58" t="s">
        <v>2115</v>
      </c>
      <c r="C727" s="58" t="s">
        <v>1559</v>
      </c>
      <c r="D727" s="58" t="s">
        <v>2459</v>
      </c>
      <c r="E727" s="59" t="s">
        <v>543</v>
      </c>
      <c r="F727" s="59" t="s">
        <v>2349</v>
      </c>
      <c r="G727" s="58" t="s">
        <v>2117</v>
      </c>
    </row>
    <row r="728" spans="1:7" ht="17.25">
      <c r="A728" s="76" t="s">
        <v>2460</v>
      </c>
      <c r="B728" s="76"/>
      <c r="C728" s="76"/>
      <c r="D728" s="76"/>
      <c r="E728" s="77"/>
      <c r="F728" s="76"/>
      <c r="G728" s="76"/>
    </row>
    <row r="729" spans="1:7">
      <c r="A729" s="57" t="s">
        <v>2134</v>
      </c>
      <c r="B729" s="57"/>
      <c r="C729" s="57" t="s">
        <v>2135</v>
      </c>
      <c r="D729" s="57" t="s">
        <v>2459</v>
      </c>
      <c r="E729" s="75" t="s">
        <v>2461</v>
      </c>
      <c r="F729" s="57" t="s">
        <v>1985</v>
      </c>
      <c r="G729" s="57" t="s">
        <v>2137</v>
      </c>
    </row>
    <row r="730" spans="1:7" ht="17.25">
      <c r="A730" s="76" t="s">
        <v>2462</v>
      </c>
      <c r="B730" s="76"/>
      <c r="C730" s="76"/>
      <c r="D730" s="76"/>
      <c r="E730" s="77"/>
      <c r="F730" s="76"/>
      <c r="G730" s="76"/>
    </row>
    <row r="731" spans="1:7">
      <c r="A731" s="58" t="s">
        <v>2144</v>
      </c>
      <c r="B731" s="58" t="s">
        <v>2143</v>
      </c>
      <c r="C731" s="58" t="s">
        <v>2145</v>
      </c>
      <c r="D731" s="58" t="s">
        <v>2459</v>
      </c>
      <c r="E731" s="59" t="s">
        <v>2463</v>
      </c>
      <c r="F731" s="59" t="s">
        <v>2349</v>
      </c>
      <c r="G731" s="58" t="s">
        <v>2120</v>
      </c>
    </row>
    <row r="732" spans="1:7" ht="17.25">
      <c r="A732" s="76" t="s">
        <v>2464</v>
      </c>
      <c r="B732" s="76"/>
      <c r="C732" s="76"/>
      <c r="D732" s="76"/>
      <c r="E732" s="77"/>
      <c r="F732" s="76"/>
      <c r="G732" s="76"/>
    </row>
    <row r="733" spans="1:7">
      <c r="A733" s="58" t="s">
        <v>2465</v>
      </c>
      <c r="B733" s="58" t="s">
        <v>2248</v>
      </c>
      <c r="C733" s="58" t="s">
        <v>2466</v>
      </c>
      <c r="D733" s="58" t="s">
        <v>2459</v>
      </c>
      <c r="E733" s="59" t="s">
        <v>2463</v>
      </c>
      <c r="F733" s="59" t="s">
        <v>2349</v>
      </c>
      <c r="G733" s="58" t="s">
        <v>2120</v>
      </c>
    </row>
    <row r="734" spans="1:7">
      <c r="A734" s="58" t="s">
        <v>2358</v>
      </c>
      <c r="B734" s="58"/>
      <c r="C734" s="58" t="s">
        <v>543</v>
      </c>
      <c r="D734" s="58" t="s">
        <v>2459</v>
      </c>
      <c r="E734" s="59" t="s">
        <v>543</v>
      </c>
      <c r="F734" s="59" t="s">
        <v>2349</v>
      </c>
      <c r="G734" s="58" t="s">
        <v>2359</v>
      </c>
    </row>
    <row r="735" spans="1:7">
      <c r="A735" s="58" t="s">
        <v>2360</v>
      </c>
      <c r="B735" s="58" t="s">
        <v>2155</v>
      </c>
      <c r="C735" s="58" t="s">
        <v>543</v>
      </c>
      <c r="D735" s="58" t="s">
        <v>2459</v>
      </c>
      <c r="E735" s="59" t="s">
        <v>543</v>
      </c>
      <c r="F735" s="59" t="s">
        <v>2349</v>
      </c>
      <c r="G735" s="58" t="s">
        <v>2361</v>
      </c>
    </row>
    <row r="736" spans="1:7">
      <c r="A736" s="58" t="s">
        <v>2158</v>
      </c>
      <c r="B736" s="58" t="s">
        <v>2155</v>
      </c>
      <c r="C736" s="58" t="s">
        <v>2159</v>
      </c>
      <c r="D736" s="58" t="s">
        <v>2459</v>
      </c>
      <c r="E736" s="59" t="s">
        <v>2467</v>
      </c>
      <c r="F736" s="59" t="s">
        <v>2349</v>
      </c>
      <c r="G736" s="58" t="s">
        <v>2160</v>
      </c>
    </row>
    <row r="737" spans="1:7" ht="17.25">
      <c r="A737" s="76" t="s">
        <v>2468</v>
      </c>
      <c r="B737" s="76"/>
      <c r="C737" s="76"/>
      <c r="D737" s="76"/>
      <c r="E737" s="77"/>
      <c r="F737" s="76"/>
      <c r="G737" s="76"/>
    </row>
    <row r="738" spans="1:7">
      <c r="A738" s="57" t="s">
        <v>2169</v>
      </c>
      <c r="B738" s="57" t="s">
        <v>2129</v>
      </c>
      <c r="C738" s="57" t="s">
        <v>2170</v>
      </c>
      <c r="D738" s="57" t="s">
        <v>2459</v>
      </c>
      <c r="E738" s="75" t="s">
        <v>2461</v>
      </c>
      <c r="F738" s="57" t="s">
        <v>1985</v>
      </c>
      <c r="G738" s="57" t="s">
        <v>2120</v>
      </c>
    </row>
    <row r="739" spans="1:7">
      <c r="A739" s="57" t="s">
        <v>2171</v>
      </c>
      <c r="B739" s="57" t="s">
        <v>2129</v>
      </c>
      <c r="C739" s="57" t="s">
        <v>2135</v>
      </c>
      <c r="D739" s="57" t="s">
        <v>2459</v>
      </c>
      <c r="E739" s="75" t="s">
        <v>2461</v>
      </c>
      <c r="F739" s="57" t="s">
        <v>1985</v>
      </c>
      <c r="G739" s="57" t="s">
        <v>2120</v>
      </c>
    </row>
    <row r="740" spans="1:7">
      <c r="A740" s="57" t="s">
        <v>2172</v>
      </c>
      <c r="B740" s="57" t="s">
        <v>2129</v>
      </c>
      <c r="C740" s="57" t="s">
        <v>2135</v>
      </c>
      <c r="D740" s="57" t="s">
        <v>2459</v>
      </c>
      <c r="E740" s="75" t="s">
        <v>2461</v>
      </c>
      <c r="F740" s="57" t="s">
        <v>1985</v>
      </c>
      <c r="G740" s="57" t="s">
        <v>2120</v>
      </c>
    </row>
    <row r="741" spans="1:7">
      <c r="A741" s="57" t="s">
        <v>2173</v>
      </c>
      <c r="B741" s="57" t="s">
        <v>2174</v>
      </c>
      <c r="C741" s="57" t="s">
        <v>2135</v>
      </c>
      <c r="D741" s="57" t="s">
        <v>2459</v>
      </c>
      <c r="E741" s="75" t="s">
        <v>2461</v>
      </c>
      <c r="F741" s="57" t="s">
        <v>1985</v>
      </c>
      <c r="G741" s="57" t="s">
        <v>2120</v>
      </c>
    </row>
    <row r="742" spans="1:7">
      <c r="A742" s="57" t="s">
        <v>2175</v>
      </c>
      <c r="B742" s="57"/>
      <c r="C742" s="57" t="s">
        <v>2135</v>
      </c>
      <c r="D742" s="57" t="s">
        <v>2459</v>
      </c>
      <c r="E742" s="75" t="s">
        <v>2461</v>
      </c>
      <c r="F742" s="57" t="s">
        <v>1985</v>
      </c>
      <c r="G742" s="57" t="s">
        <v>2120</v>
      </c>
    </row>
    <row r="743" spans="1:7">
      <c r="A743" s="57" t="s">
        <v>2176</v>
      </c>
      <c r="B743" s="57"/>
      <c r="C743" s="57" t="s">
        <v>2135</v>
      </c>
      <c r="D743" s="57" t="s">
        <v>2459</v>
      </c>
      <c r="E743" s="75" t="s">
        <v>2461</v>
      </c>
      <c r="F743" s="57" t="s">
        <v>1985</v>
      </c>
      <c r="G743" s="57" t="s">
        <v>2120</v>
      </c>
    </row>
    <row r="744" spans="1:7">
      <c r="A744" s="57" t="s">
        <v>2177</v>
      </c>
      <c r="B744" s="57"/>
      <c r="C744" s="57" t="s">
        <v>2135</v>
      </c>
      <c r="D744" s="57" t="s">
        <v>2459</v>
      </c>
      <c r="E744" s="75" t="s">
        <v>2461</v>
      </c>
      <c r="F744" s="57" t="s">
        <v>1985</v>
      </c>
      <c r="G744" s="57" t="s">
        <v>2120</v>
      </c>
    </row>
    <row r="745" spans="1:7" ht="17.25">
      <c r="A745" s="76" t="s">
        <v>2469</v>
      </c>
      <c r="B745" s="76"/>
      <c r="C745" s="76"/>
      <c r="D745" s="76"/>
      <c r="E745" s="77"/>
      <c r="F745" s="76"/>
      <c r="G745" s="76"/>
    </row>
    <row r="746" spans="1:7">
      <c r="A746" s="57" t="s">
        <v>2190</v>
      </c>
      <c r="B746" s="57"/>
      <c r="C746" s="57" t="s">
        <v>2135</v>
      </c>
      <c r="D746" s="57" t="s">
        <v>2459</v>
      </c>
      <c r="E746" s="75" t="s">
        <v>2461</v>
      </c>
      <c r="F746" s="57" t="s">
        <v>1985</v>
      </c>
      <c r="G746" s="57" t="s">
        <v>2120</v>
      </c>
    </row>
    <row r="747" spans="1:7">
      <c r="A747" s="57" t="s">
        <v>2191</v>
      </c>
      <c r="B747" s="57"/>
      <c r="C747" s="57" t="s">
        <v>2135</v>
      </c>
      <c r="D747" s="57" t="s">
        <v>2459</v>
      </c>
      <c r="E747" s="75" t="s">
        <v>2461</v>
      </c>
      <c r="F747" s="57" t="s">
        <v>1985</v>
      </c>
      <c r="G747" s="57" t="s">
        <v>2120</v>
      </c>
    </row>
    <row r="748" spans="1:7">
      <c r="A748" s="58" t="s">
        <v>2364</v>
      </c>
      <c r="B748" s="58"/>
      <c r="C748" s="58" t="s">
        <v>543</v>
      </c>
      <c r="D748" s="58" t="s">
        <v>2459</v>
      </c>
      <c r="E748" s="59" t="s">
        <v>543</v>
      </c>
      <c r="F748" s="59" t="s">
        <v>2349</v>
      </c>
      <c r="G748" s="58" t="s">
        <v>2365</v>
      </c>
    </row>
    <row r="749" spans="1:7" ht="17.25">
      <c r="A749" s="76" t="s">
        <v>2470</v>
      </c>
      <c r="B749" s="76"/>
      <c r="C749" s="76"/>
      <c r="D749" s="76"/>
      <c r="E749" s="77"/>
      <c r="F749" s="76"/>
      <c r="G749" s="76"/>
    </row>
    <row r="750" spans="1:7">
      <c r="A750" s="58" t="s">
        <v>2198</v>
      </c>
      <c r="B750" s="58"/>
      <c r="C750" s="58" t="s">
        <v>2199</v>
      </c>
      <c r="D750" s="58" t="s">
        <v>2459</v>
      </c>
      <c r="E750" s="59" t="s">
        <v>543</v>
      </c>
      <c r="F750" s="59" t="s">
        <v>2349</v>
      </c>
      <c r="G750" s="58" t="s">
        <v>2120</v>
      </c>
    </row>
    <row r="751" spans="1:7">
      <c r="A751" s="57" t="s">
        <v>2206</v>
      </c>
      <c r="B751" s="57"/>
      <c r="C751" s="57" t="s">
        <v>2135</v>
      </c>
      <c r="D751" s="57" t="s">
        <v>2459</v>
      </c>
      <c r="E751" s="75" t="s">
        <v>2461</v>
      </c>
      <c r="F751" s="57" t="s">
        <v>1985</v>
      </c>
      <c r="G751" s="57" t="s">
        <v>2120</v>
      </c>
    </row>
    <row r="752" spans="1:7" ht="17.25">
      <c r="A752" s="76" t="s">
        <v>2471</v>
      </c>
      <c r="B752" s="76"/>
      <c r="C752" s="76"/>
      <c r="D752" s="76"/>
      <c r="E752" s="77"/>
      <c r="F752" s="76"/>
      <c r="G752" s="76"/>
    </row>
    <row r="753" spans="1:7">
      <c r="A753" s="58" t="s">
        <v>2370</v>
      </c>
      <c r="B753" s="58" t="s">
        <v>2223</v>
      </c>
      <c r="C753" s="58" t="s">
        <v>543</v>
      </c>
      <c r="D753" s="58" t="s">
        <v>2459</v>
      </c>
      <c r="E753" s="59" t="s">
        <v>543</v>
      </c>
      <c r="F753" s="59" t="s">
        <v>2349</v>
      </c>
      <c r="G753" s="58" t="s">
        <v>2371</v>
      </c>
    </row>
    <row r="754" spans="1:7">
      <c r="A754" s="58" t="s">
        <v>2372</v>
      </c>
      <c r="B754" s="58" t="s">
        <v>2220</v>
      </c>
      <c r="C754" s="58" t="s">
        <v>2373</v>
      </c>
      <c r="D754" s="58" t="s">
        <v>2459</v>
      </c>
      <c r="E754" s="59" t="s">
        <v>543</v>
      </c>
      <c r="F754" s="59" t="s">
        <v>2349</v>
      </c>
      <c r="G754" s="58" t="s">
        <v>2374</v>
      </c>
    </row>
    <row r="755" spans="1:7">
      <c r="A755" s="57" t="s">
        <v>2228</v>
      </c>
      <c r="B755" s="57"/>
      <c r="C755" s="57" t="s">
        <v>2135</v>
      </c>
      <c r="D755" s="57" t="s">
        <v>2459</v>
      </c>
      <c r="E755" s="75" t="s">
        <v>2461</v>
      </c>
      <c r="F755" s="57" t="s">
        <v>1985</v>
      </c>
      <c r="G755" s="57" t="s">
        <v>2120</v>
      </c>
    </row>
    <row r="756" spans="1:7" ht="17.25">
      <c r="A756" s="76" t="s">
        <v>2472</v>
      </c>
      <c r="B756" s="76"/>
      <c r="C756" s="76"/>
      <c r="D756" s="76"/>
      <c r="E756" s="77"/>
      <c r="F756" s="76"/>
      <c r="G756" s="76"/>
    </row>
    <row r="757" spans="1:7">
      <c r="A757" s="58" t="s">
        <v>2376</v>
      </c>
      <c r="B757" s="58" t="s">
        <v>2237</v>
      </c>
      <c r="C757" s="58" t="s">
        <v>543</v>
      </c>
      <c r="D757" s="58" t="s">
        <v>2459</v>
      </c>
      <c r="E757" s="59" t="s">
        <v>543</v>
      </c>
      <c r="F757" s="59" t="s">
        <v>2349</v>
      </c>
      <c r="G757" s="58" t="s">
        <v>2120</v>
      </c>
    </row>
    <row r="758" spans="1:7">
      <c r="A758" s="58" t="s">
        <v>2242</v>
      </c>
      <c r="B758" s="58" t="s">
        <v>2220</v>
      </c>
      <c r="C758" s="58" t="s">
        <v>2243</v>
      </c>
      <c r="D758" s="58" t="s">
        <v>2459</v>
      </c>
      <c r="E758" s="59" t="s">
        <v>2473</v>
      </c>
      <c r="F758" s="59" t="s">
        <v>2349</v>
      </c>
      <c r="G758" s="58" t="s">
        <v>2244</v>
      </c>
    </row>
    <row r="759" spans="1:7">
      <c r="A759" s="58" t="s">
        <v>2378</v>
      </c>
      <c r="B759" s="58"/>
      <c r="C759" s="58" t="s">
        <v>543</v>
      </c>
      <c r="D759" s="58" t="s">
        <v>2459</v>
      </c>
      <c r="E759" s="59" t="s">
        <v>543</v>
      </c>
      <c r="F759" s="59" t="s">
        <v>2349</v>
      </c>
      <c r="G759" s="58" t="s">
        <v>2336</v>
      </c>
    </row>
    <row r="760" spans="1:7">
      <c r="A760" s="57" t="s">
        <v>2337</v>
      </c>
      <c r="B760" s="57" t="s">
        <v>2248</v>
      </c>
      <c r="C760" s="57" t="s">
        <v>2338</v>
      </c>
      <c r="D760" s="57" t="s">
        <v>2459</v>
      </c>
      <c r="E760" s="75" t="s">
        <v>2379</v>
      </c>
      <c r="F760" s="57" t="s">
        <v>1985</v>
      </c>
      <c r="G760" s="57" t="s">
        <v>2120</v>
      </c>
    </row>
    <row r="761" spans="1:7" ht="17.25">
      <c r="A761" s="76" t="s">
        <v>2474</v>
      </c>
      <c r="B761" s="76"/>
      <c r="C761" s="76"/>
      <c r="D761" s="76"/>
      <c r="E761" s="77"/>
      <c r="F761" s="76"/>
      <c r="G761" s="76"/>
    </row>
    <row r="762" spans="1:7">
      <c r="A762" s="58" t="s">
        <v>2381</v>
      </c>
      <c r="B762" s="58"/>
      <c r="C762" s="58" t="s">
        <v>543</v>
      </c>
      <c r="D762" s="58" t="s">
        <v>2459</v>
      </c>
      <c r="E762" s="59" t="s">
        <v>543</v>
      </c>
      <c r="F762" s="59" t="s">
        <v>2349</v>
      </c>
      <c r="G762" s="58" t="s">
        <v>2120</v>
      </c>
    </row>
    <row r="763" spans="1:7">
      <c r="A763" s="58" t="s">
        <v>2255</v>
      </c>
      <c r="B763" s="58" t="s">
        <v>2256</v>
      </c>
      <c r="C763" s="58" t="s">
        <v>2257</v>
      </c>
      <c r="D763" s="58" t="s">
        <v>2459</v>
      </c>
      <c r="E763" s="59" t="s">
        <v>2463</v>
      </c>
      <c r="F763" s="59" t="s">
        <v>2349</v>
      </c>
      <c r="G763" s="58" t="s">
        <v>2120</v>
      </c>
    </row>
    <row r="764" spans="1:7" ht="17.25">
      <c r="A764" s="76" t="s">
        <v>2475</v>
      </c>
      <c r="B764" s="76"/>
      <c r="C764" s="76"/>
      <c r="D764" s="76"/>
      <c r="E764" s="77"/>
      <c r="F764" s="76"/>
      <c r="G764" s="76"/>
    </row>
    <row r="765" spans="1:7">
      <c r="A765" s="58" t="s">
        <v>2272</v>
      </c>
      <c r="B765" s="58" t="s">
        <v>2273</v>
      </c>
      <c r="C765" s="58" t="s">
        <v>2274</v>
      </c>
      <c r="D765" s="58" t="s">
        <v>2459</v>
      </c>
      <c r="E765" s="59" t="s">
        <v>543</v>
      </c>
      <c r="F765" s="59" t="s">
        <v>2349</v>
      </c>
      <c r="G765" s="58" t="s">
        <v>2275</v>
      </c>
    </row>
    <row r="766" spans="1:7">
      <c r="A766" s="57" t="s">
        <v>2285</v>
      </c>
      <c r="B766" s="57"/>
      <c r="C766" s="57" t="s">
        <v>2135</v>
      </c>
      <c r="D766" s="57" t="s">
        <v>2459</v>
      </c>
      <c r="E766" s="75" t="s">
        <v>2461</v>
      </c>
      <c r="F766" s="57" t="s">
        <v>1985</v>
      </c>
      <c r="G766" s="57" t="s">
        <v>2120</v>
      </c>
    </row>
    <row r="767" spans="1:7" ht="17.25">
      <c r="A767" s="76" t="s">
        <v>2476</v>
      </c>
      <c r="B767" s="76"/>
      <c r="C767" s="76"/>
      <c r="D767" s="76"/>
      <c r="E767" s="77"/>
      <c r="F767" s="76"/>
      <c r="G767" s="76"/>
    </row>
    <row r="768" spans="1:7">
      <c r="A768" s="57" t="s">
        <v>2291</v>
      </c>
      <c r="B768" s="57"/>
      <c r="C768" s="57" t="s">
        <v>2135</v>
      </c>
      <c r="D768" s="57" t="s">
        <v>2459</v>
      </c>
      <c r="E768" s="75" t="s">
        <v>2461</v>
      </c>
      <c r="F768" s="57" t="s">
        <v>1985</v>
      </c>
      <c r="G768" s="57" t="s">
        <v>2292</v>
      </c>
    </row>
    <row r="769" spans="1:7">
      <c r="A769" s="58" t="s">
        <v>2385</v>
      </c>
      <c r="B769" s="58" t="s">
        <v>2298</v>
      </c>
      <c r="C769" s="58" t="s">
        <v>543</v>
      </c>
      <c r="D769" s="58" t="s">
        <v>2459</v>
      </c>
      <c r="E769" s="59" t="s">
        <v>543</v>
      </c>
      <c r="F769" s="59" t="s">
        <v>2349</v>
      </c>
      <c r="G769" s="58" t="s">
        <v>2386</v>
      </c>
    </row>
    <row r="770" spans="1:7">
      <c r="A770" s="58" t="s">
        <v>2304</v>
      </c>
      <c r="B770" s="58" t="s">
        <v>2305</v>
      </c>
      <c r="C770" s="58" t="s">
        <v>2257</v>
      </c>
      <c r="D770" s="58" t="s">
        <v>2459</v>
      </c>
      <c r="E770" s="59" t="s">
        <v>2463</v>
      </c>
      <c r="F770" s="59" t="s">
        <v>2349</v>
      </c>
      <c r="G770" s="58" t="s">
        <v>2306</v>
      </c>
    </row>
    <row r="771" spans="1:7">
      <c r="A771" s="58" t="s">
        <v>2347</v>
      </c>
      <c r="B771" s="58" t="s">
        <v>2213</v>
      </c>
      <c r="C771" s="58" t="s">
        <v>2348</v>
      </c>
      <c r="D771" s="58" t="s">
        <v>2459</v>
      </c>
      <c r="E771" s="59" t="s">
        <v>2348</v>
      </c>
      <c r="F771" s="59" t="s">
        <v>2349</v>
      </c>
      <c r="G771" s="58" t="s">
        <v>2296</v>
      </c>
    </row>
    <row r="772" spans="1:7">
      <c r="A772" s="58" t="s">
        <v>2477</v>
      </c>
      <c r="B772" s="58" t="s">
        <v>2213</v>
      </c>
      <c r="C772" s="58" t="s">
        <v>2463</v>
      </c>
      <c r="D772" s="58" t="s">
        <v>2459</v>
      </c>
      <c r="E772" s="59" t="s">
        <v>2463</v>
      </c>
      <c r="F772" s="59" t="s">
        <v>2349</v>
      </c>
      <c r="G772" s="58" t="s">
        <v>2292</v>
      </c>
    </row>
    <row r="773" spans="1:7" ht="17.25">
      <c r="A773" s="76" t="s">
        <v>2478</v>
      </c>
      <c r="B773" s="76"/>
      <c r="C773" s="76"/>
      <c r="D773" s="76"/>
      <c r="E773" s="77"/>
      <c r="F773" s="76"/>
      <c r="G773" s="76"/>
    </row>
    <row r="774" spans="1:7">
      <c r="A774" s="57" t="s">
        <v>2308</v>
      </c>
      <c r="B774" s="57" t="s">
        <v>2122</v>
      </c>
      <c r="C774" s="57" t="s">
        <v>2309</v>
      </c>
      <c r="D774" s="57" t="s">
        <v>2479</v>
      </c>
      <c r="E774" s="75" t="s">
        <v>2311</v>
      </c>
      <c r="F774" s="57" t="s">
        <v>1998</v>
      </c>
      <c r="G774" s="57" t="s">
        <v>2312</v>
      </c>
    </row>
    <row r="775" spans="1:7">
      <c r="A775" s="58" t="s">
        <v>2114</v>
      </c>
      <c r="B775" s="58" t="s">
        <v>2115</v>
      </c>
      <c r="C775" s="58" t="s">
        <v>1559</v>
      </c>
      <c r="D775" s="58" t="s">
        <v>2479</v>
      </c>
      <c r="E775" s="59" t="s">
        <v>108</v>
      </c>
      <c r="F775" s="59" t="s">
        <v>2349</v>
      </c>
      <c r="G775" s="58" t="s">
        <v>2117</v>
      </c>
    </row>
    <row r="776" spans="1:7">
      <c r="A776" s="58" t="s">
        <v>2352</v>
      </c>
      <c r="B776" s="58"/>
      <c r="C776" s="58" t="s">
        <v>1201</v>
      </c>
      <c r="D776" s="58" t="s">
        <v>2479</v>
      </c>
      <c r="E776" s="59" t="s">
        <v>1201</v>
      </c>
      <c r="F776" s="59" t="s">
        <v>2349</v>
      </c>
      <c r="G776" s="58" t="s">
        <v>2120</v>
      </c>
    </row>
    <row r="777" spans="1:7">
      <c r="A777" s="58" t="s">
        <v>2118</v>
      </c>
      <c r="B777" s="58"/>
      <c r="C777" s="58" t="s">
        <v>2119</v>
      </c>
      <c r="D777" s="58" t="s">
        <v>2479</v>
      </c>
      <c r="E777" s="59" t="s">
        <v>2353</v>
      </c>
      <c r="F777" s="59" t="s">
        <v>2349</v>
      </c>
      <c r="G777" s="58" t="s">
        <v>2120</v>
      </c>
    </row>
    <row r="778" spans="1:7">
      <c r="A778" s="58" t="s">
        <v>2121</v>
      </c>
      <c r="B778" s="58" t="s">
        <v>2122</v>
      </c>
      <c r="C778" s="58" t="s">
        <v>108</v>
      </c>
      <c r="D778" s="58" t="s">
        <v>2479</v>
      </c>
      <c r="E778" s="59" t="s">
        <v>108</v>
      </c>
      <c r="F778" s="59" t="s">
        <v>2349</v>
      </c>
      <c r="G778" s="58" t="s">
        <v>2120</v>
      </c>
    </row>
    <row r="779" spans="1:7">
      <c r="A779" s="58" t="s">
        <v>2123</v>
      </c>
      <c r="B779" s="58" t="s">
        <v>2124</v>
      </c>
      <c r="C779" s="58" t="s">
        <v>108</v>
      </c>
      <c r="D779" s="58" t="s">
        <v>2479</v>
      </c>
      <c r="E779" s="59" t="s">
        <v>108</v>
      </c>
      <c r="F779" s="59" t="s">
        <v>2349</v>
      </c>
      <c r="G779" s="58" t="s">
        <v>2125</v>
      </c>
    </row>
    <row r="780" spans="1:7">
      <c r="A780" s="58" t="s">
        <v>2126</v>
      </c>
      <c r="B780" s="58"/>
      <c r="C780" s="58" t="s">
        <v>108</v>
      </c>
      <c r="D780" s="58" t="s">
        <v>2479</v>
      </c>
      <c r="E780" s="59" t="s">
        <v>108</v>
      </c>
      <c r="F780" s="59" t="s">
        <v>2349</v>
      </c>
      <c r="G780" s="58" t="s">
        <v>2120</v>
      </c>
    </row>
    <row r="781" spans="1:7">
      <c r="A781" s="57" t="s">
        <v>2313</v>
      </c>
      <c r="B781" s="57" t="s">
        <v>2314</v>
      </c>
      <c r="C781" s="57" t="s">
        <v>2309</v>
      </c>
      <c r="D781" s="57" t="s">
        <v>2479</v>
      </c>
      <c r="E781" s="75" t="s">
        <v>2311</v>
      </c>
      <c r="F781" s="57" t="s">
        <v>1998</v>
      </c>
      <c r="G781" s="57" t="s">
        <v>2120</v>
      </c>
    </row>
    <row r="782" spans="1:7">
      <c r="A782" s="57" t="s">
        <v>2315</v>
      </c>
      <c r="B782" s="57" t="s">
        <v>2314</v>
      </c>
      <c r="C782" s="57" t="s">
        <v>2309</v>
      </c>
      <c r="D782" s="57" t="s">
        <v>2479</v>
      </c>
      <c r="E782" s="75" t="s">
        <v>2311</v>
      </c>
      <c r="F782" s="57" t="s">
        <v>1998</v>
      </c>
      <c r="G782" s="57" t="s">
        <v>2120</v>
      </c>
    </row>
    <row r="783" spans="1:7">
      <c r="A783" s="57" t="s">
        <v>2316</v>
      </c>
      <c r="B783" s="57" t="s">
        <v>2124</v>
      </c>
      <c r="C783" s="57" t="s">
        <v>2309</v>
      </c>
      <c r="D783" s="57" t="s">
        <v>2479</v>
      </c>
      <c r="E783" s="75" t="s">
        <v>2311</v>
      </c>
      <c r="F783" s="57" t="s">
        <v>1998</v>
      </c>
      <c r="G783" s="57" t="s">
        <v>2120</v>
      </c>
    </row>
    <row r="784" spans="1:7" ht="17.25">
      <c r="A784" s="76" t="s">
        <v>2480</v>
      </c>
      <c r="B784" s="76"/>
      <c r="C784" s="76"/>
      <c r="D784" s="76"/>
      <c r="E784" s="77"/>
      <c r="F784" s="76"/>
      <c r="G784" s="76"/>
    </row>
    <row r="785" spans="1:7">
      <c r="A785" s="58" t="s">
        <v>2128</v>
      </c>
      <c r="B785" s="58" t="s">
        <v>2129</v>
      </c>
      <c r="C785" s="58" t="s">
        <v>108</v>
      </c>
      <c r="D785" s="58" t="s">
        <v>2479</v>
      </c>
      <c r="E785" s="59" t="s">
        <v>108</v>
      </c>
      <c r="F785" s="59" t="s">
        <v>2349</v>
      </c>
      <c r="G785" s="58" t="s">
        <v>2120</v>
      </c>
    </row>
    <row r="786" spans="1:7">
      <c r="A786" s="58" t="s">
        <v>2130</v>
      </c>
      <c r="B786" s="58" t="s">
        <v>2131</v>
      </c>
      <c r="C786" s="58" t="s">
        <v>108</v>
      </c>
      <c r="D786" s="58" t="s">
        <v>2479</v>
      </c>
      <c r="E786" s="59" t="s">
        <v>108</v>
      </c>
      <c r="F786" s="59" t="s">
        <v>2349</v>
      </c>
      <c r="G786" s="58" t="s">
        <v>2132</v>
      </c>
    </row>
    <row r="787" spans="1:7">
      <c r="A787" s="58" t="s">
        <v>2133</v>
      </c>
      <c r="B787" s="58" t="s">
        <v>2131</v>
      </c>
      <c r="C787" s="58" t="s">
        <v>108</v>
      </c>
      <c r="D787" s="58" t="s">
        <v>2479</v>
      </c>
      <c r="E787" s="59" t="s">
        <v>108</v>
      </c>
      <c r="F787" s="59" t="s">
        <v>2349</v>
      </c>
      <c r="G787" s="58" t="s">
        <v>2120</v>
      </c>
    </row>
    <row r="788" spans="1:7">
      <c r="A788" s="57" t="s">
        <v>2134</v>
      </c>
      <c r="B788" s="57"/>
      <c r="C788" s="57" t="s">
        <v>2135</v>
      </c>
      <c r="D788" s="57" t="s">
        <v>2479</v>
      </c>
      <c r="E788" s="75" t="s">
        <v>2481</v>
      </c>
      <c r="F788" s="57" t="s">
        <v>1998</v>
      </c>
      <c r="G788" s="57" t="s">
        <v>2137</v>
      </c>
    </row>
    <row r="789" spans="1:7">
      <c r="A789" s="58" t="s">
        <v>2138</v>
      </c>
      <c r="B789" s="58" t="s">
        <v>2139</v>
      </c>
      <c r="C789" s="58" t="s">
        <v>108</v>
      </c>
      <c r="D789" s="58" t="s">
        <v>2479</v>
      </c>
      <c r="E789" s="59" t="s">
        <v>108</v>
      </c>
      <c r="F789" s="59" t="s">
        <v>2349</v>
      </c>
      <c r="G789" s="58" t="s">
        <v>2140</v>
      </c>
    </row>
    <row r="790" spans="1:7" ht="17.25">
      <c r="A790" s="76" t="s">
        <v>2482</v>
      </c>
      <c r="B790" s="76"/>
      <c r="C790" s="76"/>
      <c r="D790" s="76"/>
      <c r="E790" s="77"/>
      <c r="F790" s="76"/>
      <c r="G790" s="76"/>
    </row>
    <row r="791" spans="1:7">
      <c r="A791" s="58" t="s">
        <v>2142</v>
      </c>
      <c r="B791" s="58" t="s">
        <v>2143</v>
      </c>
      <c r="C791" s="58" t="s">
        <v>108</v>
      </c>
      <c r="D791" s="58" t="s">
        <v>2479</v>
      </c>
      <c r="E791" s="59" t="s">
        <v>108</v>
      </c>
      <c r="F791" s="59" t="s">
        <v>2349</v>
      </c>
      <c r="G791" s="58" t="s">
        <v>2120</v>
      </c>
    </row>
    <row r="792" spans="1:7">
      <c r="A792" s="58" t="s">
        <v>2144</v>
      </c>
      <c r="B792" s="58" t="s">
        <v>2143</v>
      </c>
      <c r="C792" s="58" t="s">
        <v>2145</v>
      </c>
      <c r="D792" s="58" t="s">
        <v>2479</v>
      </c>
      <c r="E792" s="59" t="s">
        <v>2483</v>
      </c>
      <c r="F792" s="59" t="s">
        <v>2349</v>
      </c>
      <c r="G792" s="58" t="s">
        <v>2120</v>
      </c>
    </row>
    <row r="793" spans="1:7">
      <c r="A793" s="58" t="s">
        <v>2146</v>
      </c>
      <c r="B793" s="58" t="s">
        <v>2143</v>
      </c>
      <c r="C793" s="58" t="s">
        <v>2147</v>
      </c>
      <c r="D793" s="58" t="s">
        <v>2479</v>
      </c>
      <c r="E793" s="59" t="s">
        <v>108</v>
      </c>
      <c r="F793" s="59" t="s">
        <v>2349</v>
      </c>
      <c r="G793" s="58" t="s">
        <v>2148</v>
      </c>
    </row>
    <row r="794" spans="1:7">
      <c r="A794" s="58" t="s">
        <v>2149</v>
      </c>
      <c r="B794" s="58" t="s">
        <v>2143</v>
      </c>
      <c r="C794" s="58" t="s">
        <v>108</v>
      </c>
      <c r="D794" s="58" t="s">
        <v>2479</v>
      </c>
      <c r="E794" s="59" t="s">
        <v>108</v>
      </c>
      <c r="F794" s="59" t="s">
        <v>2349</v>
      </c>
      <c r="G794" s="58" t="s">
        <v>2120</v>
      </c>
    </row>
    <row r="795" spans="1:7" ht="17.25">
      <c r="A795" s="76" t="s">
        <v>2484</v>
      </c>
      <c r="B795" s="76"/>
      <c r="C795" s="76"/>
      <c r="D795" s="76"/>
      <c r="E795" s="77"/>
      <c r="F795" s="76"/>
      <c r="G795" s="76"/>
    </row>
    <row r="796" spans="1:7">
      <c r="A796" s="58" t="s">
        <v>2151</v>
      </c>
      <c r="B796" s="58" t="s">
        <v>2152</v>
      </c>
      <c r="C796" s="58" t="s">
        <v>2153</v>
      </c>
      <c r="D796" s="58" t="s">
        <v>2479</v>
      </c>
      <c r="E796" s="59" t="s">
        <v>108</v>
      </c>
      <c r="F796" s="59" t="s">
        <v>2349</v>
      </c>
      <c r="G796" s="58" t="s">
        <v>2120</v>
      </c>
    </row>
    <row r="797" spans="1:7">
      <c r="A797" s="58" t="s">
        <v>2154</v>
      </c>
      <c r="B797" s="58" t="s">
        <v>2155</v>
      </c>
      <c r="C797" s="58" t="s">
        <v>108</v>
      </c>
      <c r="D797" s="58" t="s">
        <v>2479</v>
      </c>
      <c r="E797" s="59" t="s">
        <v>108</v>
      </c>
      <c r="F797" s="59" t="s">
        <v>2349</v>
      </c>
      <c r="G797" s="58" t="s">
        <v>2120</v>
      </c>
    </row>
    <row r="798" spans="1:7">
      <c r="A798" s="58" t="s">
        <v>2156</v>
      </c>
      <c r="B798" s="58" t="s">
        <v>2152</v>
      </c>
      <c r="C798" s="58" t="s">
        <v>2157</v>
      </c>
      <c r="D798" s="58" t="s">
        <v>2479</v>
      </c>
      <c r="E798" s="59" t="s">
        <v>108</v>
      </c>
      <c r="F798" s="59" t="s">
        <v>2349</v>
      </c>
      <c r="G798" s="58" t="s">
        <v>2120</v>
      </c>
    </row>
    <row r="799" spans="1:7">
      <c r="A799" s="58" t="s">
        <v>2158</v>
      </c>
      <c r="B799" s="58" t="s">
        <v>2155</v>
      </c>
      <c r="C799" s="58" t="s">
        <v>2159</v>
      </c>
      <c r="D799" s="58" t="s">
        <v>2479</v>
      </c>
      <c r="E799" s="59" t="s">
        <v>108</v>
      </c>
      <c r="F799" s="59" t="s">
        <v>2349</v>
      </c>
      <c r="G799" s="58" t="s">
        <v>2160</v>
      </c>
    </row>
    <row r="800" spans="1:7">
      <c r="A800" s="58" t="s">
        <v>2161</v>
      </c>
      <c r="B800" s="58" t="s">
        <v>2162</v>
      </c>
      <c r="C800" s="58" t="s">
        <v>108</v>
      </c>
      <c r="D800" s="58" t="s">
        <v>2479</v>
      </c>
      <c r="E800" s="59" t="s">
        <v>108</v>
      </c>
      <c r="F800" s="59" t="s">
        <v>2349</v>
      </c>
      <c r="G800" s="58" t="s">
        <v>2163</v>
      </c>
    </row>
    <row r="801" spans="1:7">
      <c r="A801" s="58" t="s">
        <v>2164</v>
      </c>
      <c r="B801" s="58" t="s">
        <v>2162</v>
      </c>
      <c r="C801" s="58" t="s">
        <v>108</v>
      </c>
      <c r="D801" s="58" t="s">
        <v>2479</v>
      </c>
      <c r="E801" s="59" t="s">
        <v>108</v>
      </c>
      <c r="F801" s="59" t="s">
        <v>2349</v>
      </c>
      <c r="G801" s="58" t="s">
        <v>2120</v>
      </c>
    </row>
    <row r="802" spans="1:7" ht="17.25">
      <c r="A802" s="76" t="s">
        <v>2485</v>
      </c>
      <c r="B802" s="76"/>
      <c r="C802" s="76"/>
      <c r="D802" s="76"/>
      <c r="E802" s="77"/>
      <c r="F802" s="76"/>
      <c r="G802" s="76"/>
    </row>
    <row r="803" spans="1:7">
      <c r="A803" s="58" t="s">
        <v>2166</v>
      </c>
      <c r="B803" s="58" t="s">
        <v>2167</v>
      </c>
      <c r="C803" s="58" t="s">
        <v>108</v>
      </c>
      <c r="D803" s="58" t="s">
        <v>2479</v>
      </c>
      <c r="E803" s="59" t="s">
        <v>108</v>
      </c>
      <c r="F803" s="59" t="s">
        <v>2349</v>
      </c>
      <c r="G803" s="58" t="s">
        <v>2168</v>
      </c>
    </row>
    <row r="804" spans="1:7">
      <c r="A804" s="57" t="s">
        <v>2169</v>
      </c>
      <c r="B804" s="57" t="s">
        <v>2129</v>
      </c>
      <c r="C804" s="57" t="s">
        <v>2170</v>
      </c>
      <c r="D804" s="57" t="s">
        <v>2479</v>
      </c>
      <c r="E804" s="75" t="s">
        <v>2481</v>
      </c>
      <c r="F804" s="57" t="s">
        <v>1998</v>
      </c>
      <c r="G804" s="57" t="s">
        <v>2120</v>
      </c>
    </row>
    <row r="805" spans="1:7">
      <c r="A805" s="57" t="s">
        <v>2171</v>
      </c>
      <c r="B805" s="57" t="s">
        <v>2129</v>
      </c>
      <c r="C805" s="57" t="s">
        <v>2135</v>
      </c>
      <c r="D805" s="57" t="s">
        <v>2479</v>
      </c>
      <c r="E805" s="75" t="s">
        <v>2481</v>
      </c>
      <c r="F805" s="57" t="s">
        <v>1998</v>
      </c>
      <c r="G805" s="57" t="s">
        <v>2120</v>
      </c>
    </row>
    <row r="806" spans="1:7">
      <c r="A806" s="57" t="s">
        <v>2172</v>
      </c>
      <c r="B806" s="57" t="s">
        <v>2129</v>
      </c>
      <c r="C806" s="57" t="s">
        <v>2135</v>
      </c>
      <c r="D806" s="57" t="s">
        <v>2479</v>
      </c>
      <c r="E806" s="75" t="s">
        <v>2481</v>
      </c>
      <c r="F806" s="57" t="s">
        <v>1998</v>
      </c>
      <c r="G806" s="57" t="s">
        <v>2120</v>
      </c>
    </row>
    <row r="807" spans="1:7">
      <c r="A807" s="57" t="s">
        <v>2173</v>
      </c>
      <c r="B807" s="57" t="s">
        <v>2174</v>
      </c>
      <c r="C807" s="57" t="s">
        <v>2135</v>
      </c>
      <c r="D807" s="57" t="s">
        <v>2479</v>
      </c>
      <c r="E807" s="75" t="s">
        <v>2481</v>
      </c>
      <c r="F807" s="57" t="s">
        <v>1998</v>
      </c>
      <c r="G807" s="57" t="s">
        <v>2120</v>
      </c>
    </row>
    <row r="808" spans="1:7">
      <c r="A808" s="57" t="s">
        <v>2175</v>
      </c>
      <c r="B808" s="57"/>
      <c r="C808" s="57" t="s">
        <v>2135</v>
      </c>
      <c r="D808" s="57" t="s">
        <v>2479</v>
      </c>
      <c r="E808" s="75" t="s">
        <v>2481</v>
      </c>
      <c r="F808" s="57" t="s">
        <v>1998</v>
      </c>
      <c r="G808" s="57" t="s">
        <v>2120</v>
      </c>
    </row>
    <row r="809" spans="1:7">
      <c r="A809" s="57" t="s">
        <v>2176</v>
      </c>
      <c r="B809" s="57"/>
      <c r="C809" s="57" t="s">
        <v>2135</v>
      </c>
      <c r="D809" s="57" t="s">
        <v>2479</v>
      </c>
      <c r="E809" s="75" t="s">
        <v>2481</v>
      </c>
      <c r="F809" s="57" t="s">
        <v>1998</v>
      </c>
      <c r="G809" s="57" t="s">
        <v>2120</v>
      </c>
    </row>
    <row r="810" spans="1:7">
      <c r="A810" s="57" t="s">
        <v>2177</v>
      </c>
      <c r="B810" s="57"/>
      <c r="C810" s="57" t="s">
        <v>2135</v>
      </c>
      <c r="D810" s="57" t="s">
        <v>2479</v>
      </c>
      <c r="E810" s="75" t="s">
        <v>2481</v>
      </c>
      <c r="F810" s="57" t="s">
        <v>1998</v>
      </c>
      <c r="G810" s="57" t="s">
        <v>2120</v>
      </c>
    </row>
    <row r="811" spans="1:7" ht="17.25">
      <c r="A811" s="76" t="s">
        <v>2486</v>
      </c>
      <c r="B811" s="76"/>
      <c r="C811" s="76"/>
      <c r="D811" s="76"/>
      <c r="E811" s="77"/>
      <c r="F811" s="76"/>
      <c r="G811" s="76"/>
    </row>
    <row r="812" spans="1:7">
      <c r="A812" s="58" t="s">
        <v>2179</v>
      </c>
      <c r="B812" s="58" t="s">
        <v>2180</v>
      </c>
      <c r="C812" s="58" t="s">
        <v>108</v>
      </c>
      <c r="D812" s="58" t="s">
        <v>2479</v>
      </c>
      <c r="E812" s="59" t="s">
        <v>108</v>
      </c>
      <c r="F812" s="59" t="s">
        <v>2349</v>
      </c>
      <c r="G812" s="58" t="s">
        <v>2120</v>
      </c>
    </row>
    <row r="813" spans="1:7">
      <c r="A813" s="58" t="s">
        <v>2181</v>
      </c>
      <c r="B813" s="58" t="s">
        <v>2182</v>
      </c>
      <c r="C813" s="58" t="s">
        <v>108</v>
      </c>
      <c r="D813" s="58" t="s">
        <v>2479</v>
      </c>
      <c r="E813" s="59" t="s">
        <v>108</v>
      </c>
      <c r="F813" s="59" t="s">
        <v>2349</v>
      </c>
      <c r="G813" s="58" t="s">
        <v>2120</v>
      </c>
    </row>
    <row r="814" spans="1:7">
      <c r="A814" s="58" t="s">
        <v>2183</v>
      </c>
      <c r="B814" s="58" t="s">
        <v>2182</v>
      </c>
      <c r="C814" s="58" t="s">
        <v>2184</v>
      </c>
      <c r="D814" s="58" t="s">
        <v>2479</v>
      </c>
      <c r="E814" s="59" t="s">
        <v>108</v>
      </c>
      <c r="F814" s="59" t="s">
        <v>2349</v>
      </c>
      <c r="G814" s="58" t="s">
        <v>2185</v>
      </c>
    </row>
    <row r="815" spans="1:7">
      <c r="A815" s="58" t="s">
        <v>2186</v>
      </c>
      <c r="B815" s="58" t="s">
        <v>2187</v>
      </c>
      <c r="C815" s="58" t="s">
        <v>108</v>
      </c>
      <c r="D815" s="58" t="s">
        <v>2479</v>
      </c>
      <c r="E815" s="59" t="s">
        <v>108</v>
      </c>
      <c r="F815" s="59" t="s">
        <v>2349</v>
      </c>
      <c r="G815" s="58" t="s">
        <v>2120</v>
      </c>
    </row>
    <row r="816" spans="1:7">
      <c r="A816" s="58" t="s">
        <v>2188</v>
      </c>
      <c r="B816" s="58"/>
      <c r="C816" s="58" t="s">
        <v>2189</v>
      </c>
      <c r="D816" s="58" t="s">
        <v>2479</v>
      </c>
      <c r="E816" s="59" t="s">
        <v>108</v>
      </c>
      <c r="F816" s="59" t="s">
        <v>2349</v>
      </c>
      <c r="G816" s="58" t="s">
        <v>2120</v>
      </c>
    </row>
    <row r="817" spans="1:7">
      <c r="A817" s="57" t="s">
        <v>2190</v>
      </c>
      <c r="B817" s="57"/>
      <c r="C817" s="57" t="s">
        <v>2135</v>
      </c>
      <c r="D817" s="57" t="s">
        <v>2479</v>
      </c>
      <c r="E817" s="75" t="s">
        <v>2481</v>
      </c>
      <c r="F817" s="57" t="s">
        <v>1998</v>
      </c>
      <c r="G817" s="57" t="s">
        <v>2120</v>
      </c>
    </row>
    <row r="818" spans="1:7">
      <c r="A818" s="57" t="s">
        <v>2191</v>
      </c>
      <c r="B818" s="57"/>
      <c r="C818" s="57" t="s">
        <v>2135</v>
      </c>
      <c r="D818" s="57" t="s">
        <v>2479</v>
      </c>
      <c r="E818" s="75" t="s">
        <v>2481</v>
      </c>
      <c r="F818" s="57" t="s">
        <v>1998</v>
      </c>
      <c r="G818" s="57" t="s">
        <v>2120</v>
      </c>
    </row>
    <row r="819" spans="1:7">
      <c r="A819" s="58" t="s">
        <v>2192</v>
      </c>
      <c r="B819" s="58" t="s">
        <v>2182</v>
      </c>
      <c r="C819" s="58" t="s">
        <v>2193</v>
      </c>
      <c r="D819" s="58" t="s">
        <v>2479</v>
      </c>
      <c r="E819" s="59" t="s">
        <v>2193</v>
      </c>
      <c r="F819" s="59" t="s">
        <v>2349</v>
      </c>
      <c r="G819" s="58" t="s">
        <v>2120</v>
      </c>
    </row>
    <row r="820" spans="1:7">
      <c r="A820" s="58" t="s">
        <v>2194</v>
      </c>
      <c r="B820" s="58" t="s">
        <v>2187</v>
      </c>
      <c r="C820" s="58" t="s">
        <v>108</v>
      </c>
      <c r="D820" s="58" t="s">
        <v>2479</v>
      </c>
      <c r="E820" s="59" t="s">
        <v>108</v>
      </c>
      <c r="F820" s="59" t="s">
        <v>2349</v>
      </c>
      <c r="G820" s="58" t="s">
        <v>2120</v>
      </c>
    </row>
    <row r="821" spans="1:7" ht="17.25">
      <c r="A821" s="76" t="s">
        <v>2487</v>
      </c>
      <c r="B821" s="76"/>
      <c r="C821" s="76"/>
      <c r="D821" s="76"/>
      <c r="E821" s="77"/>
      <c r="F821" s="76"/>
      <c r="G821" s="76"/>
    </row>
    <row r="822" spans="1:7">
      <c r="A822" s="58" t="s">
        <v>2488</v>
      </c>
      <c r="B822" s="58" t="s">
        <v>2182</v>
      </c>
      <c r="C822" s="58" t="s">
        <v>2489</v>
      </c>
      <c r="D822" s="58" t="s">
        <v>2479</v>
      </c>
      <c r="E822" s="59" t="s">
        <v>1997</v>
      </c>
      <c r="F822" s="59" t="s">
        <v>2349</v>
      </c>
      <c r="G822" s="58" t="s">
        <v>2120</v>
      </c>
    </row>
    <row r="823" spans="1:7">
      <c r="A823" s="58" t="s">
        <v>2490</v>
      </c>
      <c r="B823" s="58" t="s">
        <v>2174</v>
      </c>
      <c r="C823" s="58" t="s">
        <v>2489</v>
      </c>
      <c r="D823" s="58" t="s">
        <v>2479</v>
      </c>
      <c r="E823" s="59" t="s">
        <v>1997</v>
      </c>
      <c r="F823" s="59" t="s">
        <v>2349</v>
      </c>
      <c r="G823" s="58" t="s">
        <v>2120</v>
      </c>
    </row>
    <row r="824" spans="1:7">
      <c r="A824" s="58" t="s">
        <v>2196</v>
      </c>
      <c r="B824" s="58"/>
      <c r="C824" s="58" t="s">
        <v>2193</v>
      </c>
      <c r="D824" s="58" t="s">
        <v>2479</v>
      </c>
      <c r="E824" s="59" t="s">
        <v>2193</v>
      </c>
      <c r="F824" s="59" t="s">
        <v>2349</v>
      </c>
      <c r="G824" s="58" t="s">
        <v>2120</v>
      </c>
    </row>
    <row r="825" spans="1:7">
      <c r="A825" s="58" t="s">
        <v>2197</v>
      </c>
      <c r="B825" s="58"/>
      <c r="C825" s="58" t="s">
        <v>2193</v>
      </c>
      <c r="D825" s="58" t="s">
        <v>2479</v>
      </c>
      <c r="E825" s="59" t="s">
        <v>2193</v>
      </c>
      <c r="F825" s="59" t="s">
        <v>2349</v>
      </c>
      <c r="G825" s="58" t="s">
        <v>2120</v>
      </c>
    </row>
    <row r="826" spans="1:7">
      <c r="A826" s="58" t="s">
        <v>2198</v>
      </c>
      <c r="B826" s="58"/>
      <c r="C826" s="58" t="s">
        <v>2199</v>
      </c>
      <c r="D826" s="58" t="s">
        <v>2479</v>
      </c>
      <c r="E826" s="59" t="s">
        <v>2193</v>
      </c>
      <c r="F826" s="59" t="s">
        <v>2349</v>
      </c>
      <c r="G826" s="58" t="s">
        <v>2120</v>
      </c>
    </row>
    <row r="827" spans="1:7">
      <c r="A827" s="58" t="s">
        <v>2200</v>
      </c>
      <c r="B827" s="58" t="s">
        <v>2182</v>
      </c>
      <c r="C827" s="58" t="s">
        <v>108</v>
      </c>
      <c r="D827" s="58" t="s">
        <v>2479</v>
      </c>
      <c r="E827" s="59" t="s">
        <v>108</v>
      </c>
      <c r="F827" s="59" t="s">
        <v>2349</v>
      </c>
      <c r="G827" s="58" t="s">
        <v>2120</v>
      </c>
    </row>
    <row r="828" spans="1:7">
      <c r="A828" s="58" t="s">
        <v>2201</v>
      </c>
      <c r="B828" s="58" t="s">
        <v>2182</v>
      </c>
      <c r="C828" s="58" t="s">
        <v>108</v>
      </c>
      <c r="D828" s="58" t="s">
        <v>2479</v>
      </c>
      <c r="E828" s="59" t="s">
        <v>108</v>
      </c>
      <c r="F828" s="59" t="s">
        <v>2349</v>
      </c>
      <c r="G828" s="58" t="s">
        <v>2120</v>
      </c>
    </row>
    <row r="829" spans="1:7">
      <c r="A829" s="58" t="s">
        <v>2202</v>
      </c>
      <c r="B829" s="58" t="s">
        <v>2174</v>
      </c>
      <c r="C829" s="58" t="s">
        <v>108</v>
      </c>
      <c r="D829" s="58" t="s">
        <v>2479</v>
      </c>
      <c r="E829" s="59" t="s">
        <v>108</v>
      </c>
      <c r="F829" s="59" t="s">
        <v>2349</v>
      </c>
      <c r="G829" s="58" t="s">
        <v>2120</v>
      </c>
    </row>
    <row r="830" spans="1:7">
      <c r="A830" s="58" t="s">
        <v>2203</v>
      </c>
      <c r="B830" s="58" t="s">
        <v>2204</v>
      </c>
      <c r="C830" s="58" t="s">
        <v>2193</v>
      </c>
      <c r="D830" s="58" t="s">
        <v>2479</v>
      </c>
      <c r="E830" s="59" t="s">
        <v>2193</v>
      </c>
      <c r="F830" s="59" t="s">
        <v>2349</v>
      </c>
      <c r="G830" s="58" t="s">
        <v>2120</v>
      </c>
    </row>
    <row r="831" spans="1:7">
      <c r="A831" s="58" t="s">
        <v>2205</v>
      </c>
      <c r="B831" s="58" t="s">
        <v>2204</v>
      </c>
      <c r="C831" s="58" t="s">
        <v>2193</v>
      </c>
      <c r="D831" s="58" t="s">
        <v>2479</v>
      </c>
      <c r="E831" s="59" t="s">
        <v>2193</v>
      </c>
      <c r="F831" s="59" t="s">
        <v>2349</v>
      </c>
      <c r="G831" s="58" t="s">
        <v>2120</v>
      </c>
    </row>
    <row r="832" spans="1:7">
      <c r="A832" s="57" t="s">
        <v>2206</v>
      </c>
      <c r="B832" s="57"/>
      <c r="C832" s="57" t="s">
        <v>2135</v>
      </c>
      <c r="D832" s="57" t="s">
        <v>2479</v>
      </c>
      <c r="E832" s="75" t="s">
        <v>2481</v>
      </c>
      <c r="F832" s="57" t="s">
        <v>1998</v>
      </c>
      <c r="G832" s="57" t="s">
        <v>2120</v>
      </c>
    </row>
    <row r="833" spans="1:7">
      <c r="A833" s="58" t="s">
        <v>2207</v>
      </c>
      <c r="B833" s="58" t="s">
        <v>2204</v>
      </c>
      <c r="C833" s="58" t="s">
        <v>108</v>
      </c>
      <c r="D833" s="58" t="s">
        <v>2479</v>
      </c>
      <c r="E833" s="59" t="s">
        <v>108</v>
      </c>
      <c r="F833" s="59" t="s">
        <v>2349</v>
      </c>
      <c r="G833" s="58" t="s">
        <v>2208</v>
      </c>
    </row>
    <row r="834" spans="1:7" ht="17.25">
      <c r="A834" s="76" t="s">
        <v>2491</v>
      </c>
      <c r="B834" s="76"/>
      <c r="C834" s="76"/>
      <c r="D834" s="76"/>
      <c r="E834" s="77"/>
      <c r="F834" s="76"/>
      <c r="G834" s="76"/>
    </row>
    <row r="835" spans="1:7">
      <c r="A835" s="58" t="s">
        <v>2210</v>
      </c>
      <c r="B835" s="58" t="s">
        <v>2211</v>
      </c>
      <c r="C835" s="58" t="s">
        <v>108</v>
      </c>
      <c r="D835" s="58" t="s">
        <v>2479</v>
      </c>
      <c r="E835" s="59" t="s">
        <v>108</v>
      </c>
      <c r="F835" s="59" t="s">
        <v>2349</v>
      </c>
      <c r="G835" s="58" t="s">
        <v>2120</v>
      </c>
    </row>
    <row r="836" spans="1:7">
      <c r="A836" s="58" t="s">
        <v>2212</v>
      </c>
      <c r="B836" s="58" t="s">
        <v>2213</v>
      </c>
      <c r="C836" s="58" t="s">
        <v>108</v>
      </c>
      <c r="D836" s="58" t="s">
        <v>2479</v>
      </c>
      <c r="E836" s="59" t="s">
        <v>108</v>
      </c>
      <c r="F836" s="59" t="s">
        <v>2349</v>
      </c>
      <c r="G836" s="58" t="s">
        <v>2120</v>
      </c>
    </row>
    <row r="837" spans="1:7">
      <c r="A837" s="58" t="s">
        <v>2214</v>
      </c>
      <c r="B837" s="58" t="s">
        <v>2213</v>
      </c>
      <c r="C837" s="58" t="s">
        <v>108</v>
      </c>
      <c r="D837" s="58" t="s">
        <v>2479</v>
      </c>
      <c r="E837" s="59" t="s">
        <v>108</v>
      </c>
      <c r="F837" s="59" t="s">
        <v>2349</v>
      </c>
      <c r="G837" s="58" t="s">
        <v>2120</v>
      </c>
    </row>
    <row r="838" spans="1:7" ht="17.25">
      <c r="A838" s="76" t="s">
        <v>2492</v>
      </c>
      <c r="B838" s="76"/>
      <c r="C838" s="76"/>
      <c r="D838" s="76"/>
      <c r="E838" s="77"/>
      <c r="F838" s="76"/>
      <c r="G838" s="76"/>
    </row>
    <row r="839" spans="1:7">
      <c r="A839" s="57" t="s">
        <v>2328</v>
      </c>
      <c r="B839" s="57" t="s">
        <v>2217</v>
      </c>
      <c r="C839" s="57" t="s">
        <v>2309</v>
      </c>
      <c r="D839" s="57" t="s">
        <v>2479</v>
      </c>
      <c r="E839" s="75" t="s">
        <v>2311</v>
      </c>
      <c r="F839" s="57" t="s">
        <v>1998</v>
      </c>
      <c r="G839" s="57" t="s">
        <v>2329</v>
      </c>
    </row>
    <row r="840" spans="1:7">
      <c r="A840" s="57" t="s">
        <v>2330</v>
      </c>
      <c r="B840" s="57" t="s">
        <v>2331</v>
      </c>
      <c r="C840" s="57" t="s">
        <v>2309</v>
      </c>
      <c r="D840" s="57" t="s">
        <v>2479</v>
      </c>
      <c r="E840" s="75" t="s">
        <v>2311</v>
      </c>
      <c r="F840" s="57" t="s">
        <v>1998</v>
      </c>
      <c r="G840" s="57" t="s">
        <v>2332</v>
      </c>
    </row>
    <row r="841" spans="1:7">
      <c r="A841" s="58" t="s">
        <v>2216</v>
      </c>
      <c r="B841" s="58" t="s">
        <v>2217</v>
      </c>
      <c r="C841" s="58" t="s">
        <v>2193</v>
      </c>
      <c r="D841" s="58" t="s">
        <v>2479</v>
      </c>
      <c r="E841" s="59" t="s">
        <v>2193</v>
      </c>
      <c r="F841" s="59" t="s">
        <v>2349</v>
      </c>
      <c r="G841" s="58" t="s">
        <v>2218</v>
      </c>
    </row>
    <row r="842" spans="1:7">
      <c r="A842" s="58" t="s">
        <v>2219</v>
      </c>
      <c r="B842" s="58" t="s">
        <v>2220</v>
      </c>
      <c r="C842" s="58" t="s">
        <v>108</v>
      </c>
      <c r="D842" s="58" t="s">
        <v>2479</v>
      </c>
      <c r="E842" s="59" t="s">
        <v>108</v>
      </c>
      <c r="F842" s="59" t="s">
        <v>2349</v>
      </c>
      <c r="G842" s="58" t="s">
        <v>2221</v>
      </c>
    </row>
    <row r="843" spans="1:7">
      <c r="A843" s="58" t="s">
        <v>2222</v>
      </c>
      <c r="B843" s="58" t="s">
        <v>2223</v>
      </c>
      <c r="C843" s="58" t="s">
        <v>108</v>
      </c>
      <c r="D843" s="58" t="s">
        <v>2479</v>
      </c>
      <c r="E843" s="59" t="s">
        <v>108</v>
      </c>
      <c r="F843" s="59" t="s">
        <v>2349</v>
      </c>
      <c r="G843" s="58" t="s">
        <v>2224</v>
      </c>
    </row>
    <row r="844" spans="1:7">
      <c r="A844" s="58" t="s">
        <v>2225</v>
      </c>
      <c r="B844" s="58" t="s">
        <v>2226</v>
      </c>
      <c r="C844" s="58" t="s">
        <v>108</v>
      </c>
      <c r="D844" s="58" t="s">
        <v>2479</v>
      </c>
      <c r="E844" s="59" t="s">
        <v>108</v>
      </c>
      <c r="F844" s="59" t="s">
        <v>2349</v>
      </c>
      <c r="G844" s="58" t="s">
        <v>2227</v>
      </c>
    </row>
    <row r="845" spans="1:7">
      <c r="A845" s="57" t="s">
        <v>2228</v>
      </c>
      <c r="B845" s="57"/>
      <c r="C845" s="57" t="s">
        <v>2135</v>
      </c>
      <c r="D845" s="57" t="s">
        <v>2479</v>
      </c>
      <c r="E845" s="75" t="s">
        <v>2481</v>
      </c>
      <c r="F845" s="57" t="s">
        <v>1998</v>
      </c>
      <c r="G845" s="57" t="s">
        <v>2120</v>
      </c>
    </row>
    <row r="846" spans="1:7" ht="17.25">
      <c r="A846" s="76" t="s">
        <v>2493</v>
      </c>
      <c r="B846" s="76"/>
      <c r="C846" s="76"/>
      <c r="D846" s="76"/>
      <c r="E846" s="77"/>
      <c r="F846" s="76"/>
      <c r="G846" s="76"/>
    </row>
    <row r="847" spans="1:7">
      <c r="A847" s="58" t="s">
        <v>2230</v>
      </c>
      <c r="B847" s="58" t="s">
        <v>2220</v>
      </c>
      <c r="C847" s="58" t="s">
        <v>108</v>
      </c>
      <c r="D847" s="58" t="s">
        <v>2479</v>
      </c>
      <c r="E847" s="59" t="s">
        <v>108</v>
      </c>
      <c r="F847" s="59" t="s">
        <v>2349</v>
      </c>
      <c r="G847" s="58" t="s">
        <v>2231</v>
      </c>
    </row>
    <row r="848" spans="1:7">
      <c r="A848" s="58" t="s">
        <v>2232</v>
      </c>
      <c r="B848" s="58" t="s">
        <v>2220</v>
      </c>
      <c r="C848" s="58" t="s">
        <v>108</v>
      </c>
      <c r="D848" s="58" t="s">
        <v>2479</v>
      </c>
      <c r="E848" s="59" t="s">
        <v>108</v>
      </c>
      <c r="F848" s="59" t="s">
        <v>2349</v>
      </c>
      <c r="G848" s="58" t="s">
        <v>2120</v>
      </c>
    </row>
    <row r="849" spans="1:7">
      <c r="A849" s="58" t="s">
        <v>2233</v>
      </c>
      <c r="B849" s="58" t="s">
        <v>2234</v>
      </c>
      <c r="C849" s="58" t="s">
        <v>108</v>
      </c>
      <c r="D849" s="58" t="s">
        <v>2479</v>
      </c>
      <c r="E849" s="59" t="s">
        <v>108</v>
      </c>
      <c r="F849" s="59" t="s">
        <v>2349</v>
      </c>
      <c r="G849" s="58" t="s">
        <v>2235</v>
      </c>
    </row>
    <row r="850" spans="1:7">
      <c r="A850" s="58" t="s">
        <v>2236</v>
      </c>
      <c r="B850" s="58" t="s">
        <v>2237</v>
      </c>
      <c r="C850" s="58" t="s">
        <v>108</v>
      </c>
      <c r="D850" s="58" t="s">
        <v>2479</v>
      </c>
      <c r="E850" s="59" t="s">
        <v>108</v>
      </c>
      <c r="F850" s="59" t="s">
        <v>2349</v>
      </c>
      <c r="G850" s="58" t="s">
        <v>2231</v>
      </c>
    </row>
    <row r="851" spans="1:7">
      <c r="A851" s="58" t="s">
        <v>2238</v>
      </c>
      <c r="B851" s="58" t="s">
        <v>2237</v>
      </c>
      <c r="C851" s="58" t="s">
        <v>108</v>
      </c>
      <c r="D851" s="58" t="s">
        <v>2479</v>
      </c>
      <c r="E851" s="59" t="s">
        <v>108</v>
      </c>
      <c r="F851" s="59" t="s">
        <v>2349</v>
      </c>
      <c r="G851" s="58" t="s">
        <v>2239</v>
      </c>
    </row>
    <row r="852" spans="1:7">
      <c r="A852" s="58" t="s">
        <v>2240</v>
      </c>
      <c r="B852" s="58" t="s">
        <v>2241</v>
      </c>
      <c r="C852" s="58" t="s">
        <v>2193</v>
      </c>
      <c r="D852" s="58" t="s">
        <v>2479</v>
      </c>
      <c r="E852" s="59" t="s">
        <v>2193</v>
      </c>
      <c r="F852" s="59" t="s">
        <v>2349</v>
      </c>
      <c r="G852" s="58" t="s">
        <v>2120</v>
      </c>
    </row>
    <row r="853" spans="1:7">
      <c r="A853" s="58" t="s">
        <v>2242</v>
      </c>
      <c r="B853" s="58" t="s">
        <v>2220</v>
      </c>
      <c r="C853" s="58" t="s">
        <v>2243</v>
      </c>
      <c r="D853" s="58" t="s">
        <v>2479</v>
      </c>
      <c r="E853" s="59" t="s">
        <v>2494</v>
      </c>
      <c r="F853" s="59" t="s">
        <v>2349</v>
      </c>
      <c r="G853" s="58" t="s">
        <v>2244</v>
      </c>
    </row>
    <row r="854" spans="1:7">
      <c r="A854" s="58" t="s">
        <v>2245</v>
      </c>
      <c r="B854" s="58" t="s">
        <v>2241</v>
      </c>
      <c r="C854" s="58" t="s">
        <v>2246</v>
      </c>
      <c r="D854" s="58" t="s">
        <v>2479</v>
      </c>
      <c r="E854" s="59" t="s">
        <v>108</v>
      </c>
      <c r="F854" s="59" t="s">
        <v>2349</v>
      </c>
      <c r="G854" s="58" t="s">
        <v>2120</v>
      </c>
    </row>
    <row r="855" spans="1:7">
      <c r="A855" s="57" t="s">
        <v>2335</v>
      </c>
      <c r="B855" s="57"/>
      <c r="C855" s="57" t="s">
        <v>2309</v>
      </c>
      <c r="D855" s="57" t="s">
        <v>2479</v>
      </c>
      <c r="E855" s="75" t="s">
        <v>2311</v>
      </c>
      <c r="F855" s="57" t="s">
        <v>1998</v>
      </c>
      <c r="G855" s="57" t="s">
        <v>2336</v>
      </c>
    </row>
    <row r="856" spans="1:7">
      <c r="A856" s="58" t="s">
        <v>2247</v>
      </c>
      <c r="B856" s="58" t="s">
        <v>2248</v>
      </c>
      <c r="C856" s="58" t="s">
        <v>108</v>
      </c>
      <c r="D856" s="58" t="s">
        <v>2479</v>
      </c>
      <c r="E856" s="59" t="s">
        <v>108</v>
      </c>
      <c r="F856" s="59" t="s">
        <v>2349</v>
      </c>
      <c r="G856" s="58" t="s">
        <v>2249</v>
      </c>
    </row>
    <row r="857" spans="1:7">
      <c r="A857" s="57" t="s">
        <v>2337</v>
      </c>
      <c r="B857" s="57" t="s">
        <v>2248</v>
      </c>
      <c r="C857" s="57" t="s">
        <v>2338</v>
      </c>
      <c r="D857" s="57" t="s">
        <v>2479</v>
      </c>
      <c r="E857" s="75" t="s">
        <v>2339</v>
      </c>
      <c r="F857" s="57" t="s">
        <v>1998</v>
      </c>
      <c r="G857" s="57" t="s">
        <v>2120</v>
      </c>
    </row>
    <row r="858" spans="1:7" ht="17.25">
      <c r="A858" s="76" t="s">
        <v>2495</v>
      </c>
      <c r="B858" s="76"/>
      <c r="C858" s="76"/>
      <c r="D858" s="76"/>
      <c r="E858" s="77"/>
      <c r="F858" s="76"/>
      <c r="G858" s="76"/>
    </row>
    <row r="859" spans="1:7">
      <c r="A859" s="58" t="s">
        <v>2251</v>
      </c>
      <c r="B859" s="58" t="s">
        <v>2252</v>
      </c>
      <c r="C859" s="58" t="s">
        <v>108</v>
      </c>
      <c r="D859" s="58" t="s">
        <v>2479</v>
      </c>
      <c r="E859" s="59" t="s">
        <v>108</v>
      </c>
      <c r="F859" s="59" t="s">
        <v>2349</v>
      </c>
      <c r="G859" s="58" t="s">
        <v>2120</v>
      </c>
    </row>
    <row r="860" spans="1:7">
      <c r="A860" s="58" t="s">
        <v>2253</v>
      </c>
      <c r="B860" s="58" t="s">
        <v>2252</v>
      </c>
      <c r="C860" s="58" t="s">
        <v>2193</v>
      </c>
      <c r="D860" s="58" t="s">
        <v>2479</v>
      </c>
      <c r="E860" s="59" t="s">
        <v>2193</v>
      </c>
      <c r="F860" s="59" t="s">
        <v>2349</v>
      </c>
      <c r="G860" s="58" t="s">
        <v>2254</v>
      </c>
    </row>
    <row r="861" spans="1:7">
      <c r="A861" s="58" t="s">
        <v>2255</v>
      </c>
      <c r="B861" s="58" t="s">
        <v>2256</v>
      </c>
      <c r="C861" s="58" t="s">
        <v>2257</v>
      </c>
      <c r="D861" s="58" t="s">
        <v>2479</v>
      </c>
      <c r="E861" s="59" t="s">
        <v>108</v>
      </c>
      <c r="F861" s="59" t="s">
        <v>2349</v>
      </c>
      <c r="G861" s="58" t="s">
        <v>2120</v>
      </c>
    </row>
    <row r="862" spans="1:7">
      <c r="A862" s="58" t="s">
        <v>2258</v>
      </c>
      <c r="B862" s="58" t="s">
        <v>2259</v>
      </c>
      <c r="C862" s="58" t="s">
        <v>2260</v>
      </c>
      <c r="D862" s="58" t="s">
        <v>2479</v>
      </c>
      <c r="E862" s="59" t="s">
        <v>2496</v>
      </c>
      <c r="F862" s="59" t="s">
        <v>2349</v>
      </c>
      <c r="G862" s="58" t="s">
        <v>2261</v>
      </c>
    </row>
    <row r="863" spans="1:7">
      <c r="A863" s="58" t="s">
        <v>2262</v>
      </c>
      <c r="B863" s="58" t="s">
        <v>2259</v>
      </c>
      <c r="C863" s="58" t="s">
        <v>2147</v>
      </c>
      <c r="D863" s="58" t="s">
        <v>2479</v>
      </c>
      <c r="E863" s="59" t="s">
        <v>108</v>
      </c>
      <c r="F863" s="59" t="s">
        <v>2349</v>
      </c>
      <c r="G863" s="58" t="s">
        <v>2263</v>
      </c>
    </row>
    <row r="864" spans="1:7">
      <c r="A864" s="58" t="s">
        <v>2264</v>
      </c>
      <c r="B864" s="58" t="s">
        <v>2252</v>
      </c>
      <c r="C864" s="58" t="s">
        <v>2265</v>
      </c>
      <c r="D864" s="58" t="s">
        <v>2479</v>
      </c>
      <c r="E864" s="59" t="s">
        <v>108</v>
      </c>
      <c r="F864" s="59" t="s">
        <v>2349</v>
      </c>
      <c r="G864" s="58" t="s">
        <v>2120</v>
      </c>
    </row>
    <row r="865" spans="1:7">
      <c r="A865" s="58" t="s">
        <v>2266</v>
      </c>
      <c r="B865" s="58" t="s">
        <v>2252</v>
      </c>
      <c r="C865" s="58" t="s">
        <v>2267</v>
      </c>
      <c r="D865" s="58" t="s">
        <v>2479</v>
      </c>
      <c r="E865" s="59" t="s">
        <v>108</v>
      </c>
      <c r="F865" s="59" t="s">
        <v>2349</v>
      </c>
      <c r="G865" s="58" t="s">
        <v>2268</v>
      </c>
    </row>
    <row r="866" spans="1:7">
      <c r="A866" s="58" t="s">
        <v>2269</v>
      </c>
      <c r="B866" s="58" t="s">
        <v>2252</v>
      </c>
      <c r="C866" s="58" t="s">
        <v>2270</v>
      </c>
      <c r="D866" s="58" t="s">
        <v>2479</v>
      </c>
      <c r="E866" s="59" t="s">
        <v>108</v>
      </c>
      <c r="F866" s="59" t="s">
        <v>2349</v>
      </c>
      <c r="G866" s="58" t="s">
        <v>2120</v>
      </c>
    </row>
    <row r="867" spans="1:7" ht="17.25">
      <c r="A867" s="76" t="s">
        <v>2497</v>
      </c>
      <c r="B867" s="76"/>
      <c r="C867" s="76"/>
      <c r="D867" s="76"/>
      <c r="E867" s="77"/>
      <c r="F867" s="76"/>
      <c r="G867" s="76"/>
    </row>
    <row r="868" spans="1:7">
      <c r="A868" s="57" t="s">
        <v>2342</v>
      </c>
      <c r="B868" s="57"/>
      <c r="C868" s="57" t="s">
        <v>2309</v>
      </c>
      <c r="D868" s="57" t="s">
        <v>2479</v>
      </c>
      <c r="E868" s="75" t="s">
        <v>2311</v>
      </c>
      <c r="F868" s="57" t="s">
        <v>1998</v>
      </c>
      <c r="G868" s="57" t="s">
        <v>2343</v>
      </c>
    </row>
    <row r="869" spans="1:7">
      <c r="A869" s="58" t="s">
        <v>2272</v>
      </c>
      <c r="B869" s="58" t="s">
        <v>2273</v>
      </c>
      <c r="C869" s="58" t="s">
        <v>2274</v>
      </c>
      <c r="D869" s="58" t="s">
        <v>2479</v>
      </c>
      <c r="E869" s="59" t="s">
        <v>108</v>
      </c>
      <c r="F869" s="59" t="s">
        <v>2349</v>
      </c>
      <c r="G869" s="58" t="s">
        <v>2275</v>
      </c>
    </row>
    <row r="870" spans="1:7">
      <c r="A870" s="58" t="s">
        <v>2276</v>
      </c>
      <c r="B870" s="58" t="s">
        <v>2248</v>
      </c>
      <c r="C870" s="58" t="s">
        <v>2277</v>
      </c>
      <c r="D870" s="58" t="s">
        <v>2479</v>
      </c>
      <c r="E870" s="59" t="s">
        <v>108</v>
      </c>
      <c r="F870" s="59" t="s">
        <v>2349</v>
      </c>
      <c r="G870" s="58" t="s">
        <v>2278</v>
      </c>
    </row>
    <row r="871" spans="1:7">
      <c r="A871" s="58" t="s">
        <v>2279</v>
      </c>
      <c r="B871" s="58" t="s">
        <v>2280</v>
      </c>
      <c r="C871" s="58" t="s">
        <v>2281</v>
      </c>
      <c r="D871" s="58" t="s">
        <v>2479</v>
      </c>
      <c r="E871" s="59" t="s">
        <v>108</v>
      </c>
      <c r="F871" s="59" t="s">
        <v>2349</v>
      </c>
      <c r="G871" s="58" t="s">
        <v>2282</v>
      </c>
    </row>
    <row r="872" spans="1:7">
      <c r="A872" s="58" t="s">
        <v>2283</v>
      </c>
      <c r="B872" s="58" t="s">
        <v>2273</v>
      </c>
      <c r="C872" s="58" t="s">
        <v>108</v>
      </c>
      <c r="D872" s="58" t="s">
        <v>2479</v>
      </c>
      <c r="E872" s="59" t="s">
        <v>108</v>
      </c>
      <c r="F872" s="59" t="s">
        <v>2349</v>
      </c>
      <c r="G872" s="58" t="s">
        <v>2284</v>
      </c>
    </row>
    <row r="873" spans="1:7">
      <c r="A873" s="57" t="s">
        <v>2344</v>
      </c>
      <c r="B873" s="57" t="s">
        <v>2273</v>
      </c>
      <c r="C873" s="57" t="s">
        <v>2309</v>
      </c>
      <c r="D873" s="57" t="s">
        <v>2479</v>
      </c>
      <c r="E873" s="75" t="s">
        <v>2311</v>
      </c>
      <c r="F873" s="57" t="s">
        <v>1998</v>
      </c>
      <c r="G873" s="57" t="s">
        <v>2345</v>
      </c>
    </row>
    <row r="874" spans="1:7">
      <c r="A874" s="57" t="s">
        <v>2285</v>
      </c>
      <c r="B874" s="57"/>
      <c r="C874" s="57" t="s">
        <v>2135</v>
      </c>
      <c r="D874" s="57" t="s">
        <v>2479</v>
      </c>
      <c r="E874" s="75" t="s">
        <v>2481</v>
      </c>
      <c r="F874" s="57" t="s">
        <v>1998</v>
      </c>
      <c r="G874" s="57" t="s">
        <v>2120</v>
      </c>
    </row>
    <row r="875" spans="1:7">
      <c r="A875" s="58" t="s">
        <v>2286</v>
      </c>
      <c r="B875" s="58"/>
      <c r="C875" s="58" t="s">
        <v>108</v>
      </c>
      <c r="D875" s="58" t="s">
        <v>2479</v>
      </c>
      <c r="E875" s="59" t="s">
        <v>108</v>
      </c>
      <c r="F875" s="59" t="s">
        <v>2349</v>
      </c>
      <c r="G875" s="58" t="s">
        <v>2120</v>
      </c>
    </row>
    <row r="876" spans="1:7">
      <c r="A876" s="58" t="s">
        <v>2287</v>
      </c>
      <c r="B876" s="58" t="s">
        <v>2273</v>
      </c>
      <c r="C876" s="58" t="s">
        <v>2288</v>
      </c>
      <c r="D876" s="58" t="s">
        <v>2479</v>
      </c>
      <c r="E876" s="59" t="s">
        <v>2288</v>
      </c>
      <c r="F876" s="59" t="s">
        <v>2349</v>
      </c>
      <c r="G876" s="58" t="s">
        <v>2289</v>
      </c>
    </row>
    <row r="877" spans="1:7" ht="17.25">
      <c r="A877" s="76" t="s">
        <v>2498</v>
      </c>
      <c r="B877" s="76"/>
      <c r="C877" s="76"/>
      <c r="D877" s="76"/>
      <c r="E877" s="77"/>
      <c r="F877" s="76"/>
      <c r="G877" s="76"/>
    </row>
    <row r="878" spans="1:7">
      <c r="A878" s="57" t="s">
        <v>2291</v>
      </c>
      <c r="B878" s="57"/>
      <c r="C878" s="57" t="s">
        <v>2135</v>
      </c>
      <c r="D878" s="57" t="s">
        <v>2479</v>
      </c>
      <c r="E878" s="75" t="s">
        <v>2481</v>
      </c>
      <c r="F878" s="57" t="s">
        <v>1998</v>
      </c>
      <c r="G878" s="57" t="s">
        <v>2292</v>
      </c>
    </row>
    <row r="879" spans="1:7">
      <c r="A879" s="58" t="s">
        <v>2293</v>
      </c>
      <c r="B879" s="58" t="s">
        <v>2294</v>
      </c>
      <c r="C879" s="58" t="s">
        <v>2295</v>
      </c>
      <c r="D879" s="58" t="s">
        <v>2479</v>
      </c>
      <c r="E879" s="59" t="s">
        <v>108</v>
      </c>
      <c r="F879" s="59" t="s">
        <v>2349</v>
      </c>
      <c r="G879" s="58" t="s">
        <v>2296</v>
      </c>
    </row>
    <row r="880" spans="1:7">
      <c r="A880" s="58" t="s">
        <v>2297</v>
      </c>
      <c r="B880" s="58" t="s">
        <v>2298</v>
      </c>
      <c r="C880" s="58" t="s">
        <v>108</v>
      </c>
      <c r="D880" s="58" t="s">
        <v>2479</v>
      </c>
      <c r="E880" s="59" t="s">
        <v>108</v>
      </c>
      <c r="F880" s="59" t="s">
        <v>2349</v>
      </c>
      <c r="G880" s="58" t="s">
        <v>2299</v>
      </c>
    </row>
    <row r="881" spans="1:7">
      <c r="A881" s="58" t="s">
        <v>2300</v>
      </c>
      <c r="B881" s="58" t="s">
        <v>2294</v>
      </c>
      <c r="C881" s="58" t="s">
        <v>108</v>
      </c>
      <c r="D881" s="58" t="s">
        <v>2479</v>
      </c>
      <c r="E881" s="59" t="s">
        <v>108</v>
      </c>
      <c r="F881" s="59" t="s">
        <v>2349</v>
      </c>
      <c r="G881" s="58" t="s">
        <v>2299</v>
      </c>
    </row>
    <row r="882" spans="1:7">
      <c r="A882" s="58" t="s">
        <v>2301</v>
      </c>
      <c r="B882" s="58" t="s">
        <v>2302</v>
      </c>
      <c r="C882" s="58" t="s">
        <v>2193</v>
      </c>
      <c r="D882" s="58" t="s">
        <v>2479</v>
      </c>
      <c r="E882" s="59" t="s">
        <v>2193</v>
      </c>
      <c r="F882" s="59" t="s">
        <v>2349</v>
      </c>
      <c r="G882" s="58" t="s">
        <v>2303</v>
      </c>
    </row>
    <row r="883" spans="1:7">
      <c r="A883" s="58" t="s">
        <v>2304</v>
      </c>
      <c r="B883" s="58" t="s">
        <v>2305</v>
      </c>
      <c r="C883" s="58" t="s">
        <v>2257</v>
      </c>
      <c r="D883" s="58" t="s">
        <v>2479</v>
      </c>
      <c r="E883" s="59" t="s">
        <v>108</v>
      </c>
      <c r="F883" s="59" t="s">
        <v>2349</v>
      </c>
      <c r="G883" s="58" t="s">
        <v>2306</v>
      </c>
    </row>
    <row r="884" spans="1:7" ht="17.25">
      <c r="A884" s="76" t="s">
        <v>2499</v>
      </c>
      <c r="B884" s="76"/>
      <c r="C884" s="76"/>
      <c r="D884" s="76"/>
      <c r="E884" s="77"/>
      <c r="F884" s="76"/>
      <c r="G884" s="76"/>
    </row>
    <row r="885" spans="1:7">
      <c r="A885" s="58" t="s">
        <v>2114</v>
      </c>
      <c r="B885" s="58" t="s">
        <v>2115</v>
      </c>
      <c r="C885" s="58" t="s">
        <v>1559</v>
      </c>
      <c r="D885" s="58" t="s">
        <v>2500</v>
      </c>
      <c r="E885" s="59" t="s">
        <v>1559</v>
      </c>
      <c r="F885" s="59" t="s">
        <v>2349</v>
      </c>
      <c r="G885" s="58" t="s">
        <v>2117</v>
      </c>
    </row>
    <row r="886" spans="1:7">
      <c r="A886" s="58" t="s">
        <v>2352</v>
      </c>
      <c r="B886" s="58"/>
      <c r="C886" s="58" t="s">
        <v>1201</v>
      </c>
      <c r="D886" s="58" t="s">
        <v>2500</v>
      </c>
      <c r="E886" s="59" t="s">
        <v>1201</v>
      </c>
      <c r="F886" s="59" t="s">
        <v>2349</v>
      </c>
      <c r="G886" s="58" t="s">
        <v>2120</v>
      </c>
    </row>
    <row r="887" spans="1:7">
      <c r="A887" s="58" t="s">
        <v>2118</v>
      </c>
      <c r="B887" s="58"/>
      <c r="C887" s="58" t="s">
        <v>2119</v>
      </c>
      <c r="D887" s="58" t="s">
        <v>2500</v>
      </c>
      <c r="E887" s="59" t="s">
        <v>2353</v>
      </c>
      <c r="F887" s="59" t="s">
        <v>2349</v>
      </c>
      <c r="G887" s="58" t="s">
        <v>2120</v>
      </c>
    </row>
    <row r="888" spans="1:7">
      <c r="A888" s="58" t="s">
        <v>2121</v>
      </c>
      <c r="B888" s="58" t="s">
        <v>2122</v>
      </c>
      <c r="C888" s="58" t="s">
        <v>108</v>
      </c>
      <c r="D888" s="58" t="s">
        <v>2500</v>
      </c>
      <c r="E888" s="59" t="s">
        <v>108</v>
      </c>
      <c r="F888" s="59" t="s">
        <v>2349</v>
      </c>
      <c r="G888" s="58" t="s">
        <v>2120</v>
      </c>
    </row>
    <row r="889" spans="1:7">
      <c r="A889" s="58" t="s">
        <v>2123</v>
      </c>
      <c r="B889" s="58" t="s">
        <v>2124</v>
      </c>
      <c r="C889" s="58" t="s">
        <v>108</v>
      </c>
      <c r="D889" s="58" t="s">
        <v>2500</v>
      </c>
      <c r="E889" s="59" t="s">
        <v>108</v>
      </c>
      <c r="F889" s="59" t="s">
        <v>2349</v>
      </c>
      <c r="G889" s="58" t="s">
        <v>2125</v>
      </c>
    </row>
    <row r="890" spans="1:7">
      <c r="A890" s="58" t="s">
        <v>2126</v>
      </c>
      <c r="B890" s="58"/>
      <c r="C890" s="58" t="s">
        <v>108</v>
      </c>
      <c r="D890" s="58" t="s">
        <v>2500</v>
      </c>
      <c r="E890" s="59" t="s">
        <v>108</v>
      </c>
      <c r="F890" s="59" t="s">
        <v>2349</v>
      </c>
      <c r="G890" s="58" t="s">
        <v>2120</v>
      </c>
    </row>
    <row r="891" spans="1:7" ht="17.25">
      <c r="A891" s="76" t="s">
        <v>2501</v>
      </c>
      <c r="B891" s="76"/>
      <c r="C891" s="76"/>
      <c r="D891" s="76"/>
      <c r="E891" s="77"/>
      <c r="F891" s="76"/>
      <c r="G891" s="76"/>
    </row>
    <row r="892" spans="1:7">
      <c r="A892" s="58" t="s">
        <v>2128</v>
      </c>
      <c r="B892" s="58" t="s">
        <v>2129</v>
      </c>
      <c r="C892" s="58" t="s">
        <v>108</v>
      </c>
      <c r="D892" s="58" t="s">
        <v>2500</v>
      </c>
      <c r="E892" s="59" t="s">
        <v>108</v>
      </c>
      <c r="F892" s="59" t="s">
        <v>2349</v>
      </c>
      <c r="G892" s="58" t="s">
        <v>2120</v>
      </c>
    </row>
    <row r="893" spans="1:7">
      <c r="A893" s="58" t="s">
        <v>2130</v>
      </c>
      <c r="B893" s="58" t="s">
        <v>2131</v>
      </c>
      <c r="C893" s="58" t="s">
        <v>108</v>
      </c>
      <c r="D893" s="58" t="s">
        <v>2500</v>
      </c>
      <c r="E893" s="59" t="s">
        <v>108</v>
      </c>
      <c r="F893" s="59" t="s">
        <v>2349</v>
      </c>
      <c r="G893" s="58" t="s">
        <v>2132</v>
      </c>
    </row>
    <row r="894" spans="1:7">
      <c r="A894" s="58" t="s">
        <v>2133</v>
      </c>
      <c r="B894" s="58" t="s">
        <v>2131</v>
      </c>
      <c r="C894" s="58" t="s">
        <v>108</v>
      </c>
      <c r="D894" s="58" t="s">
        <v>2500</v>
      </c>
      <c r="E894" s="59" t="s">
        <v>108</v>
      </c>
      <c r="F894" s="59" t="s">
        <v>2349</v>
      </c>
      <c r="G894" s="58" t="s">
        <v>2120</v>
      </c>
    </row>
    <row r="895" spans="1:7">
      <c r="A895" s="57" t="s">
        <v>2134</v>
      </c>
      <c r="B895" s="57"/>
      <c r="C895" s="57" t="s">
        <v>2135</v>
      </c>
      <c r="D895" s="57" t="s">
        <v>2500</v>
      </c>
      <c r="E895" s="75" t="s">
        <v>2355</v>
      </c>
      <c r="F895" s="57" t="s">
        <v>2009</v>
      </c>
      <c r="G895" s="57" t="s">
        <v>2137</v>
      </c>
    </row>
    <row r="896" spans="1:7">
      <c r="A896" s="58" t="s">
        <v>2138</v>
      </c>
      <c r="B896" s="58" t="s">
        <v>2139</v>
      </c>
      <c r="C896" s="58" t="s">
        <v>108</v>
      </c>
      <c r="D896" s="58" t="s">
        <v>2500</v>
      </c>
      <c r="E896" s="59" t="s">
        <v>108</v>
      </c>
      <c r="F896" s="59" t="s">
        <v>2349</v>
      </c>
      <c r="G896" s="58" t="s">
        <v>2140</v>
      </c>
    </row>
    <row r="897" spans="1:7" ht="17.25">
      <c r="A897" s="76" t="s">
        <v>2502</v>
      </c>
      <c r="B897" s="76"/>
      <c r="C897" s="76"/>
      <c r="D897" s="76"/>
      <c r="E897" s="77"/>
      <c r="F897" s="76"/>
      <c r="G897" s="76"/>
    </row>
    <row r="898" spans="1:7">
      <c r="A898" s="58" t="s">
        <v>2142</v>
      </c>
      <c r="B898" s="58" t="s">
        <v>2143</v>
      </c>
      <c r="C898" s="58" t="s">
        <v>108</v>
      </c>
      <c r="D898" s="58" t="s">
        <v>2500</v>
      </c>
      <c r="E898" s="59" t="s">
        <v>108</v>
      </c>
      <c r="F898" s="59" t="s">
        <v>2349</v>
      </c>
      <c r="G898" s="58" t="s">
        <v>2120</v>
      </c>
    </row>
    <row r="899" spans="1:7">
      <c r="A899" s="58" t="s">
        <v>2144</v>
      </c>
      <c r="B899" s="58" t="s">
        <v>2143</v>
      </c>
      <c r="C899" s="58" t="s">
        <v>2145</v>
      </c>
      <c r="D899" s="58" t="s">
        <v>2500</v>
      </c>
      <c r="E899" s="59" t="s">
        <v>108</v>
      </c>
      <c r="F899" s="59" t="s">
        <v>2349</v>
      </c>
      <c r="G899" s="58" t="s">
        <v>2120</v>
      </c>
    </row>
    <row r="900" spans="1:7">
      <c r="A900" s="58" t="s">
        <v>2146</v>
      </c>
      <c r="B900" s="58" t="s">
        <v>2143</v>
      </c>
      <c r="C900" s="58" t="s">
        <v>2147</v>
      </c>
      <c r="D900" s="58" t="s">
        <v>2500</v>
      </c>
      <c r="E900" s="59" t="s">
        <v>108</v>
      </c>
      <c r="F900" s="59" t="s">
        <v>2349</v>
      </c>
      <c r="G900" s="58" t="s">
        <v>2148</v>
      </c>
    </row>
    <row r="901" spans="1:7">
      <c r="A901" s="58" t="s">
        <v>2149</v>
      </c>
      <c r="B901" s="58" t="s">
        <v>2143</v>
      </c>
      <c r="C901" s="58" t="s">
        <v>108</v>
      </c>
      <c r="D901" s="58" t="s">
        <v>2500</v>
      </c>
      <c r="E901" s="59" t="s">
        <v>108</v>
      </c>
      <c r="F901" s="59" t="s">
        <v>2349</v>
      </c>
      <c r="G901" s="58" t="s">
        <v>2120</v>
      </c>
    </row>
    <row r="902" spans="1:7" ht="17.25">
      <c r="A902" s="76" t="s">
        <v>2503</v>
      </c>
      <c r="B902" s="76"/>
      <c r="C902" s="76"/>
      <c r="D902" s="76"/>
      <c r="E902" s="77"/>
      <c r="F902" s="76"/>
      <c r="G902" s="76"/>
    </row>
    <row r="903" spans="1:7">
      <c r="A903" s="58" t="s">
        <v>2151</v>
      </c>
      <c r="B903" s="58" t="s">
        <v>2152</v>
      </c>
      <c r="C903" s="58" t="s">
        <v>2153</v>
      </c>
      <c r="D903" s="58" t="s">
        <v>2500</v>
      </c>
      <c r="E903" s="59" t="s">
        <v>108</v>
      </c>
      <c r="F903" s="59" t="s">
        <v>2349</v>
      </c>
      <c r="G903" s="58" t="s">
        <v>2120</v>
      </c>
    </row>
    <row r="904" spans="1:7">
      <c r="A904" s="58" t="s">
        <v>2358</v>
      </c>
      <c r="B904" s="58"/>
      <c r="C904" s="58" t="s">
        <v>543</v>
      </c>
      <c r="D904" s="58" t="s">
        <v>2500</v>
      </c>
      <c r="E904" s="59" t="s">
        <v>543</v>
      </c>
      <c r="F904" s="59" t="s">
        <v>2349</v>
      </c>
      <c r="G904" s="58" t="s">
        <v>2359</v>
      </c>
    </row>
    <row r="905" spans="1:7">
      <c r="A905" s="58" t="s">
        <v>2360</v>
      </c>
      <c r="B905" s="58" t="s">
        <v>2155</v>
      </c>
      <c r="C905" s="58" t="s">
        <v>543</v>
      </c>
      <c r="D905" s="58" t="s">
        <v>2500</v>
      </c>
      <c r="E905" s="59" t="s">
        <v>543</v>
      </c>
      <c r="F905" s="59" t="s">
        <v>2349</v>
      </c>
      <c r="G905" s="58" t="s">
        <v>2361</v>
      </c>
    </row>
    <row r="906" spans="1:7">
      <c r="A906" s="58" t="s">
        <v>2154</v>
      </c>
      <c r="B906" s="58" t="s">
        <v>2155</v>
      </c>
      <c r="C906" s="58" t="s">
        <v>108</v>
      </c>
      <c r="D906" s="58" t="s">
        <v>2500</v>
      </c>
      <c r="E906" s="59" t="s">
        <v>108</v>
      </c>
      <c r="F906" s="59" t="s">
        <v>2349</v>
      </c>
      <c r="G906" s="58" t="s">
        <v>2120</v>
      </c>
    </row>
    <row r="907" spans="1:7">
      <c r="A907" s="58" t="s">
        <v>2156</v>
      </c>
      <c r="B907" s="58" t="s">
        <v>2152</v>
      </c>
      <c r="C907" s="58" t="s">
        <v>2157</v>
      </c>
      <c r="D907" s="58" t="s">
        <v>2500</v>
      </c>
      <c r="E907" s="59" t="s">
        <v>108</v>
      </c>
      <c r="F907" s="59" t="s">
        <v>2349</v>
      </c>
      <c r="G907" s="58" t="s">
        <v>2120</v>
      </c>
    </row>
    <row r="908" spans="1:7">
      <c r="A908" s="58" t="s">
        <v>2158</v>
      </c>
      <c r="B908" s="58" t="s">
        <v>2155</v>
      </c>
      <c r="C908" s="58" t="s">
        <v>2159</v>
      </c>
      <c r="D908" s="58" t="s">
        <v>2500</v>
      </c>
      <c r="E908" s="59" t="s">
        <v>2504</v>
      </c>
      <c r="F908" s="59" t="s">
        <v>2349</v>
      </c>
      <c r="G908" s="58" t="s">
        <v>2160</v>
      </c>
    </row>
    <row r="909" spans="1:7">
      <c r="A909" s="58" t="s">
        <v>2161</v>
      </c>
      <c r="B909" s="58" t="s">
        <v>2162</v>
      </c>
      <c r="C909" s="58" t="s">
        <v>108</v>
      </c>
      <c r="D909" s="58" t="s">
        <v>2500</v>
      </c>
      <c r="E909" s="59" t="s">
        <v>108</v>
      </c>
      <c r="F909" s="59" t="s">
        <v>2349</v>
      </c>
      <c r="G909" s="58" t="s">
        <v>2163</v>
      </c>
    </row>
    <row r="910" spans="1:7">
      <c r="A910" s="58" t="s">
        <v>2164</v>
      </c>
      <c r="B910" s="58" t="s">
        <v>2162</v>
      </c>
      <c r="C910" s="58" t="s">
        <v>108</v>
      </c>
      <c r="D910" s="58" t="s">
        <v>2500</v>
      </c>
      <c r="E910" s="59" t="s">
        <v>108</v>
      </c>
      <c r="F910" s="59" t="s">
        <v>2349</v>
      </c>
      <c r="G910" s="58" t="s">
        <v>2120</v>
      </c>
    </row>
    <row r="911" spans="1:7" ht="17.25">
      <c r="A911" s="76" t="s">
        <v>2505</v>
      </c>
      <c r="B911" s="76"/>
      <c r="C911" s="76"/>
      <c r="D911" s="76"/>
      <c r="E911" s="77"/>
      <c r="F911" s="76"/>
      <c r="G911" s="76"/>
    </row>
    <row r="912" spans="1:7">
      <c r="A912" s="58" t="s">
        <v>2166</v>
      </c>
      <c r="B912" s="58" t="s">
        <v>2167</v>
      </c>
      <c r="C912" s="58" t="s">
        <v>108</v>
      </c>
      <c r="D912" s="58" t="s">
        <v>2500</v>
      </c>
      <c r="E912" s="59" t="s">
        <v>108</v>
      </c>
      <c r="F912" s="59" t="s">
        <v>2349</v>
      </c>
      <c r="G912" s="58" t="s">
        <v>2168</v>
      </c>
    </row>
    <row r="913" spans="1:7">
      <c r="A913" s="57" t="s">
        <v>2169</v>
      </c>
      <c r="B913" s="57" t="s">
        <v>2129</v>
      </c>
      <c r="C913" s="57" t="s">
        <v>2170</v>
      </c>
      <c r="D913" s="57" t="s">
        <v>2500</v>
      </c>
      <c r="E913" s="75" t="s">
        <v>2355</v>
      </c>
      <c r="F913" s="57" t="s">
        <v>2009</v>
      </c>
      <c r="G913" s="57" t="s">
        <v>2120</v>
      </c>
    </row>
    <row r="914" spans="1:7">
      <c r="A914" s="57" t="s">
        <v>2171</v>
      </c>
      <c r="B914" s="57" t="s">
        <v>2129</v>
      </c>
      <c r="C914" s="57" t="s">
        <v>2135</v>
      </c>
      <c r="D914" s="57" t="s">
        <v>2500</v>
      </c>
      <c r="E914" s="75" t="s">
        <v>2355</v>
      </c>
      <c r="F914" s="57" t="s">
        <v>2009</v>
      </c>
      <c r="G914" s="57" t="s">
        <v>2120</v>
      </c>
    </row>
    <row r="915" spans="1:7">
      <c r="A915" s="57" t="s">
        <v>2172</v>
      </c>
      <c r="B915" s="57" t="s">
        <v>2129</v>
      </c>
      <c r="C915" s="57" t="s">
        <v>2135</v>
      </c>
      <c r="D915" s="57" t="s">
        <v>2500</v>
      </c>
      <c r="E915" s="75" t="s">
        <v>2355</v>
      </c>
      <c r="F915" s="57" t="s">
        <v>2009</v>
      </c>
      <c r="G915" s="57" t="s">
        <v>2120</v>
      </c>
    </row>
    <row r="916" spans="1:7">
      <c r="A916" s="57" t="s">
        <v>2173</v>
      </c>
      <c r="B916" s="57" t="s">
        <v>2174</v>
      </c>
      <c r="C916" s="57" t="s">
        <v>2135</v>
      </c>
      <c r="D916" s="57" t="s">
        <v>2500</v>
      </c>
      <c r="E916" s="75" t="s">
        <v>2355</v>
      </c>
      <c r="F916" s="57" t="s">
        <v>2009</v>
      </c>
      <c r="G916" s="57" t="s">
        <v>2120</v>
      </c>
    </row>
    <row r="917" spans="1:7">
      <c r="A917" s="57" t="s">
        <v>2175</v>
      </c>
      <c r="B917" s="57"/>
      <c r="C917" s="57" t="s">
        <v>2135</v>
      </c>
      <c r="D917" s="57" t="s">
        <v>2500</v>
      </c>
      <c r="E917" s="75" t="s">
        <v>2355</v>
      </c>
      <c r="F917" s="57" t="s">
        <v>2009</v>
      </c>
      <c r="G917" s="57" t="s">
        <v>2120</v>
      </c>
    </row>
    <row r="918" spans="1:7">
      <c r="A918" s="57" t="s">
        <v>2176</v>
      </c>
      <c r="B918" s="57"/>
      <c r="C918" s="57" t="s">
        <v>2135</v>
      </c>
      <c r="D918" s="57" t="s">
        <v>2500</v>
      </c>
      <c r="E918" s="75" t="s">
        <v>2355</v>
      </c>
      <c r="F918" s="57" t="s">
        <v>2009</v>
      </c>
      <c r="G918" s="57" t="s">
        <v>2120</v>
      </c>
    </row>
    <row r="919" spans="1:7">
      <c r="A919" s="57" t="s">
        <v>2177</v>
      </c>
      <c r="B919" s="57"/>
      <c r="C919" s="57" t="s">
        <v>2135</v>
      </c>
      <c r="D919" s="57" t="s">
        <v>2500</v>
      </c>
      <c r="E919" s="75" t="s">
        <v>2355</v>
      </c>
      <c r="F919" s="57" t="s">
        <v>2009</v>
      </c>
      <c r="G919" s="57" t="s">
        <v>2120</v>
      </c>
    </row>
    <row r="920" spans="1:7" ht="17.25">
      <c r="A920" s="76" t="s">
        <v>2506</v>
      </c>
      <c r="B920" s="76"/>
      <c r="C920" s="76"/>
      <c r="D920" s="76"/>
      <c r="E920" s="77"/>
      <c r="F920" s="76"/>
      <c r="G920" s="76"/>
    </row>
    <row r="921" spans="1:7">
      <c r="A921" s="58" t="s">
        <v>2179</v>
      </c>
      <c r="B921" s="58" t="s">
        <v>2180</v>
      </c>
      <c r="C921" s="58" t="s">
        <v>108</v>
      </c>
      <c r="D921" s="58" t="s">
        <v>2500</v>
      </c>
      <c r="E921" s="59" t="s">
        <v>108</v>
      </c>
      <c r="F921" s="59" t="s">
        <v>2349</v>
      </c>
      <c r="G921" s="58" t="s">
        <v>2120</v>
      </c>
    </row>
    <row r="922" spans="1:7">
      <c r="A922" s="58" t="s">
        <v>2181</v>
      </c>
      <c r="B922" s="58" t="s">
        <v>2182</v>
      </c>
      <c r="C922" s="58" t="s">
        <v>108</v>
      </c>
      <c r="D922" s="58" t="s">
        <v>2500</v>
      </c>
      <c r="E922" s="59" t="s">
        <v>108</v>
      </c>
      <c r="F922" s="59" t="s">
        <v>2349</v>
      </c>
      <c r="G922" s="58" t="s">
        <v>2120</v>
      </c>
    </row>
    <row r="923" spans="1:7">
      <c r="A923" s="58" t="s">
        <v>2183</v>
      </c>
      <c r="B923" s="58" t="s">
        <v>2182</v>
      </c>
      <c r="C923" s="58" t="s">
        <v>2184</v>
      </c>
      <c r="D923" s="58" t="s">
        <v>2500</v>
      </c>
      <c r="E923" s="59" t="s">
        <v>108</v>
      </c>
      <c r="F923" s="59" t="s">
        <v>2349</v>
      </c>
      <c r="G923" s="58" t="s">
        <v>2185</v>
      </c>
    </row>
    <row r="924" spans="1:7">
      <c r="A924" s="58" t="s">
        <v>2186</v>
      </c>
      <c r="B924" s="58" t="s">
        <v>2187</v>
      </c>
      <c r="C924" s="58" t="s">
        <v>108</v>
      </c>
      <c r="D924" s="58" t="s">
        <v>2500</v>
      </c>
      <c r="E924" s="59" t="s">
        <v>108</v>
      </c>
      <c r="F924" s="59" t="s">
        <v>2349</v>
      </c>
      <c r="G924" s="58" t="s">
        <v>2120</v>
      </c>
    </row>
    <row r="925" spans="1:7">
      <c r="A925" s="58" t="s">
        <v>2188</v>
      </c>
      <c r="B925" s="58"/>
      <c r="C925" s="58" t="s">
        <v>2189</v>
      </c>
      <c r="D925" s="58" t="s">
        <v>2500</v>
      </c>
      <c r="E925" s="59" t="s">
        <v>108</v>
      </c>
      <c r="F925" s="59" t="s">
        <v>2349</v>
      </c>
      <c r="G925" s="58" t="s">
        <v>2120</v>
      </c>
    </row>
    <row r="926" spans="1:7">
      <c r="A926" s="57" t="s">
        <v>2190</v>
      </c>
      <c r="B926" s="57"/>
      <c r="C926" s="57" t="s">
        <v>2135</v>
      </c>
      <c r="D926" s="57" t="s">
        <v>2500</v>
      </c>
      <c r="E926" s="75" t="s">
        <v>2355</v>
      </c>
      <c r="F926" s="57" t="s">
        <v>2009</v>
      </c>
      <c r="G926" s="57" t="s">
        <v>2120</v>
      </c>
    </row>
    <row r="927" spans="1:7">
      <c r="A927" s="57" t="s">
        <v>2191</v>
      </c>
      <c r="B927" s="57"/>
      <c r="C927" s="57" t="s">
        <v>2135</v>
      </c>
      <c r="D927" s="57" t="s">
        <v>2500</v>
      </c>
      <c r="E927" s="75" t="s">
        <v>2355</v>
      </c>
      <c r="F927" s="57" t="s">
        <v>2009</v>
      </c>
      <c r="G927" s="57" t="s">
        <v>2120</v>
      </c>
    </row>
    <row r="928" spans="1:7">
      <c r="A928" s="58" t="s">
        <v>2192</v>
      </c>
      <c r="B928" s="58" t="s">
        <v>2182</v>
      </c>
      <c r="C928" s="58" t="s">
        <v>2193</v>
      </c>
      <c r="D928" s="58" t="s">
        <v>2500</v>
      </c>
      <c r="E928" s="59" t="s">
        <v>2193</v>
      </c>
      <c r="F928" s="59" t="s">
        <v>2349</v>
      </c>
      <c r="G928" s="58" t="s">
        <v>2120</v>
      </c>
    </row>
    <row r="929" spans="1:7">
      <c r="A929" s="58" t="s">
        <v>2194</v>
      </c>
      <c r="B929" s="58" t="s">
        <v>2187</v>
      </c>
      <c r="C929" s="58" t="s">
        <v>108</v>
      </c>
      <c r="D929" s="58" t="s">
        <v>2500</v>
      </c>
      <c r="E929" s="59" t="s">
        <v>108</v>
      </c>
      <c r="F929" s="59" t="s">
        <v>2349</v>
      </c>
      <c r="G929" s="58" t="s">
        <v>2120</v>
      </c>
    </row>
    <row r="930" spans="1:7">
      <c r="A930" s="58" t="s">
        <v>2364</v>
      </c>
      <c r="B930" s="58"/>
      <c r="C930" s="58" t="s">
        <v>543</v>
      </c>
      <c r="D930" s="58" t="s">
        <v>2500</v>
      </c>
      <c r="E930" s="59" t="s">
        <v>543</v>
      </c>
      <c r="F930" s="59" t="s">
        <v>2349</v>
      </c>
      <c r="G930" s="58" t="s">
        <v>2365</v>
      </c>
    </row>
    <row r="931" spans="1:7" ht="17.25">
      <c r="A931" s="76" t="s">
        <v>2507</v>
      </c>
      <c r="B931" s="76"/>
      <c r="C931" s="76"/>
      <c r="D931" s="76"/>
      <c r="E931" s="77"/>
      <c r="F931" s="76"/>
      <c r="G931" s="76"/>
    </row>
    <row r="932" spans="1:7">
      <c r="A932" s="58" t="s">
        <v>2196</v>
      </c>
      <c r="B932" s="58"/>
      <c r="C932" s="58" t="s">
        <v>2193</v>
      </c>
      <c r="D932" s="58" t="s">
        <v>2500</v>
      </c>
      <c r="E932" s="59" t="s">
        <v>2193</v>
      </c>
      <c r="F932" s="59" t="s">
        <v>2349</v>
      </c>
      <c r="G932" s="58" t="s">
        <v>2120</v>
      </c>
    </row>
    <row r="933" spans="1:7">
      <c r="A933" s="58" t="s">
        <v>2197</v>
      </c>
      <c r="B933" s="58"/>
      <c r="C933" s="58" t="s">
        <v>2193</v>
      </c>
      <c r="D933" s="58" t="s">
        <v>2500</v>
      </c>
      <c r="E933" s="59" t="s">
        <v>2193</v>
      </c>
      <c r="F933" s="59" t="s">
        <v>2349</v>
      </c>
      <c r="G933" s="58" t="s">
        <v>2120</v>
      </c>
    </row>
    <row r="934" spans="1:7">
      <c r="A934" s="58" t="s">
        <v>2198</v>
      </c>
      <c r="B934" s="58"/>
      <c r="C934" s="58" t="s">
        <v>2199</v>
      </c>
      <c r="D934" s="58" t="s">
        <v>2500</v>
      </c>
      <c r="E934" s="59" t="s">
        <v>2199</v>
      </c>
      <c r="F934" s="59" t="s">
        <v>2349</v>
      </c>
      <c r="G934" s="58" t="s">
        <v>2120</v>
      </c>
    </row>
    <row r="935" spans="1:7">
      <c r="A935" s="58" t="s">
        <v>2200</v>
      </c>
      <c r="B935" s="58" t="s">
        <v>2182</v>
      </c>
      <c r="C935" s="58" t="s">
        <v>108</v>
      </c>
      <c r="D935" s="58" t="s">
        <v>2500</v>
      </c>
      <c r="E935" s="59" t="s">
        <v>108</v>
      </c>
      <c r="F935" s="59" t="s">
        <v>2349</v>
      </c>
      <c r="G935" s="58" t="s">
        <v>2120</v>
      </c>
    </row>
    <row r="936" spans="1:7">
      <c r="A936" s="58" t="s">
        <v>2201</v>
      </c>
      <c r="B936" s="58" t="s">
        <v>2182</v>
      </c>
      <c r="C936" s="58" t="s">
        <v>108</v>
      </c>
      <c r="D936" s="58" t="s">
        <v>2500</v>
      </c>
      <c r="E936" s="59" t="s">
        <v>108</v>
      </c>
      <c r="F936" s="59" t="s">
        <v>2349</v>
      </c>
      <c r="G936" s="58" t="s">
        <v>2120</v>
      </c>
    </row>
    <row r="937" spans="1:7">
      <c r="A937" s="58" t="s">
        <v>2202</v>
      </c>
      <c r="B937" s="58" t="s">
        <v>2174</v>
      </c>
      <c r="C937" s="58" t="s">
        <v>108</v>
      </c>
      <c r="D937" s="58" t="s">
        <v>2500</v>
      </c>
      <c r="E937" s="59" t="s">
        <v>108</v>
      </c>
      <c r="F937" s="59" t="s">
        <v>2349</v>
      </c>
      <c r="G937" s="58" t="s">
        <v>2120</v>
      </c>
    </row>
    <row r="938" spans="1:7">
      <c r="A938" s="58" t="s">
        <v>2203</v>
      </c>
      <c r="B938" s="58" t="s">
        <v>2204</v>
      </c>
      <c r="C938" s="58" t="s">
        <v>2193</v>
      </c>
      <c r="D938" s="58" t="s">
        <v>2500</v>
      </c>
      <c r="E938" s="59" t="s">
        <v>2193</v>
      </c>
      <c r="F938" s="59" t="s">
        <v>2349</v>
      </c>
      <c r="G938" s="58" t="s">
        <v>2120</v>
      </c>
    </row>
    <row r="939" spans="1:7">
      <c r="A939" s="58" t="s">
        <v>2205</v>
      </c>
      <c r="B939" s="58" t="s">
        <v>2204</v>
      </c>
      <c r="C939" s="58" t="s">
        <v>2193</v>
      </c>
      <c r="D939" s="58" t="s">
        <v>2500</v>
      </c>
      <c r="E939" s="59" t="s">
        <v>2193</v>
      </c>
      <c r="F939" s="59" t="s">
        <v>2349</v>
      </c>
      <c r="G939" s="58" t="s">
        <v>2120</v>
      </c>
    </row>
    <row r="940" spans="1:7">
      <c r="A940" s="57" t="s">
        <v>2206</v>
      </c>
      <c r="B940" s="57"/>
      <c r="C940" s="57" t="s">
        <v>2135</v>
      </c>
      <c r="D940" s="57" t="s">
        <v>2500</v>
      </c>
      <c r="E940" s="75" t="s">
        <v>2355</v>
      </c>
      <c r="F940" s="57" t="s">
        <v>2009</v>
      </c>
      <c r="G940" s="57" t="s">
        <v>2120</v>
      </c>
    </row>
    <row r="941" spans="1:7">
      <c r="A941" s="58" t="s">
        <v>2207</v>
      </c>
      <c r="B941" s="58" t="s">
        <v>2204</v>
      </c>
      <c r="C941" s="58" t="s">
        <v>108</v>
      </c>
      <c r="D941" s="58" t="s">
        <v>2500</v>
      </c>
      <c r="E941" s="59" t="s">
        <v>108</v>
      </c>
      <c r="F941" s="59" t="s">
        <v>2349</v>
      </c>
      <c r="G941" s="58" t="s">
        <v>2208</v>
      </c>
    </row>
    <row r="942" spans="1:7" ht="17.25">
      <c r="A942" s="76" t="s">
        <v>2508</v>
      </c>
      <c r="B942" s="76"/>
      <c r="C942" s="76"/>
      <c r="D942" s="76"/>
      <c r="E942" s="77"/>
      <c r="F942" s="76"/>
      <c r="G942" s="76"/>
    </row>
    <row r="943" spans="1:7">
      <c r="A943" s="58" t="s">
        <v>2210</v>
      </c>
      <c r="B943" s="58" t="s">
        <v>2211</v>
      </c>
      <c r="C943" s="58" t="s">
        <v>108</v>
      </c>
      <c r="D943" s="58" t="s">
        <v>2500</v>
      </c>
      <c r="E943" s="59" t="s">
        <v>108</v>
      </c>
      <c r="F943" s="59" t="s">
        <v>2349</v>
      </c>
      <c r="G943" s="58" t="s">
        <v>2120</v>
      </c>
    </row>
    <row r="944" spans="1:7">
      <c r="A944" s="58" t="s">
        <v>2212</v>
      </c>
      <c r="B944" s="58" t="s">
        <v>2213</v>
      </c>
      <c r="C944" s="58" t="s">
        <v>108</v>
      </c>
      <c r="D944" s="58" t="s">
        <v>2500</v>
      </c>
      <c r="E944" s="59" t="s">
        <v>108</v>
      </c>
      <c r="F944" s="59" t="s">
        <v>2349</v>
      </c>
      <c r="G944" s="58" t="s">
        <v>2120</v>
      </c>
    </row>
    <row r="945" spans="1:7">
      <c r="A945" s="58" t="s">
        <v>2214</v>
      </c>
      <c r="B945" s="58" t="s">
        <v>2213</v>
      </c>
      <c r="C945" s="58" t="s">
        <v>108</v>
      </c>
      <c r="D945" s="58" t="s">
        <v>2500</v>
      </c>
      <c r="E945" s="59" t="s">
        <v>108</v>
      </c>
      <c r="F945" s="59" t="s">
        <v>2349</v>
      </c>
      <c r="G945" s="58" t="s">
        <v>2120</v>
      </c>
    </row>
    <row r="946" spans="1:7" ht="17.25">
      <c r="A946" s="76" t="s">
        <v>2509</v>
      </c>
      <c r="B946" s="76"/>
      <c r="C946" s="76"/>
      <c r="D946" s="76"/>
      <c r="E946" s="77"/>
      <c r="F946" s="76"/>
      <c r="G946" s="76"/>
    </row>
    <row r="947" spans="1:7">
      <c r="A947" s="58" t="s">
        <v>2370</v>
      </c>
      <c r="B947" s="58" t="s">
        <v>2223</v>
      </c>
      <c r="C947" s="58" t="s">
        <v>543</v>
      </c>
      <c r="D947" s="58" t="s">
        <v>2500</v>
      </c>
      <c r="E947" s="59" t="s">
        <v>543</v>
      </c>
      <c r="F947" s="59" t="s">
        <v>2349</v>
      </c>
      <c r="G947" s="58" t="s">
        <v>2371</v>
      </c>
    </row>
    <row r="948" spans="1:7">
      <c r="A948" s="58" t="s">
        <v>2372</v>
      </c>
      <c r="B948" s="58" t="s">
        <v>2220</v>
      </c>
      <c r="C948" s="58" t="s">
        <v>2373</v>
      </c>
      <c r="D948" s="58" t="s">
        <v>2500</v>
      </c>
      <c r="E948" s="59" t="s">
        <v>543</v>
      </c>
      <c r="F948" s="59" t="s">
        <v>2349</v>
      </c>
      <c r="G948" s="58" t="s">
        <v>2374</v>
      </c>
    </row>
    <row r="949" spans="1:7">
      <c r="A949" s="58" t="s">
        <v>2216</v>
      </c>
      <c r="B949" s="58" t="s">
        <v>2217</v>
      </c>
      <c r="C949" s="58" t="s">
        <v>2193</v>
      </c>
      <c r="D949" s="58" t="s">
        <v>2500</v>
      </c>
      <c r="E949" s="59" t="s">
        <v>2193</v>
      </c>
      <c r="F949" s="59" t="s">
        <v>2349</v>
      </c>
      <c r="G949" s="58" t="s">
        <v>2218</v>
      </c>
    </row>
    <row r="950" spans="1:7">
      <c r="A950" s="58" t="s">
        <v>2219</v>
      </c>
      <c r="B950" s="58" t="s">
        <v>2220</v>
      </c>
      <c r="C950" s="58" t="s">
        <v>108</v>
      </c>
      <c r="D950" s="58" t="s">
        <v>2500</v>
      </c>
      <c r="E950" s="59" t="s">
        <v>108</v>
      </c>
      <c r="F950" s="59" t="s">
        <v>2349</v>
      </c>
      <c r="G950" s="58" t="s">
        <v>2221</v>
      </c>
    </row>
    <row r="951" spans="1:7">
      <c r="A951" s="58" t="s">
        <v>2222</v>
      </c>
      <c r="B951" s="58" t="s">
        <v>2223</v>
      </c>
      <c r="C951" s="58" t="s">
        <v>108</v>
      </c>
      <c r="D951" s="58" t="s">
        <v>2500</v>
      </c>
      <c r="E951" s="59" t="s">
        <v>108</v>
      </c>
      <c r="F951" s="59" t="s">
        <v>2349</v>
      </c>
      <c r="G951" s="58" t="s">
        <v>2224</v>
      </c>
    </row>
    <row r="952" spans="1:7">
      <c r="A952" s="58" t="s">
        <v>2225</v>
      </c>
      <c r="B952" s="58" t="s">
        <v>2226</v>
      </c>
      <c r="C952" s="58" t="s">
        <v>108</v>
      </c>
      <c r="D952" s="58" t="s">
        <v>2500</v>
      </c>
      <c r="E952" s="59" t="s">
        <v>108</v>
      </c>
      <c r="F952" s="59" t="s">
        <v>2349</v>
      </c>
      <c r="G952" s="58" t="s">
        <v>2227</v>
      </c>
    </row>
    <row r="953" spans="1:7">
      <c r="A953" s="57" t="s">
        <v>2228</v>
      </c>
      <c r="B953" s="57"/>
      <c r="C953" s="57" t="s">
        <v>2135</v>
      </c>
      <c r="D953" s="57" t="s">
        <v>2500</v>
      </c>
      <c r="E953" s="75" t="s">
        <v>2355</v>
      </c>
      <c r="F953" s="57" t="s">
        <v>2009</v>
      </c>
      <c r="G953" s="57" t="s">
        <v>2120</v>
      </c>
    </row>
    <row r="954" spans="1:7" ht="17.25">
      <c r="A954" s="76" t="s">
        <v>2510</v>
      </c>
      <c r="B954" s="76"/>
      <c r="C954" s="76"/>
      <c r="D954" s="76"/>
      <c r="E954" s="77"/>
      <c r="F954" s="76"/>
      <c r="G954" s="76"/>
    </row>
    <row r="955" spans="1:7">
      <c r="A955" s="58" t="s">
        <v>2376</v>
      </c>
      <c r="B955" s="58" t="s">
        <v>2237</v>
      </c>
      <c r="C955" s="58" t="s">
        <v>543</v>
      </c>
      <c r="D955" s="58" t="s">
        <v>2500</v>
      </c>
      <c r="E955" s="59" t="s">
        <v>543</v>
      </c>
      <c r="F955" s="59" t="s">
        <v>2349</v>
      </c>
      <c r="G955" s="58" t="s">
        <v>2120</v>
      </c>
    </row>
    <row r="956" spans="1:7">
      <c r="A956" s="58" t="s">
        <v>2230</v>
      </c>
      <c r="B956" s="58" t="s">
        <v>2220</v>
      </c>
      <c r="C956" s="58" t="s">
        <v>108</v>
      </c>
      <c r="D956" s="58" t="s">
        <v>2500</v>
      </c>
      <c r="E956" s="59" t="s">
        <v>108</v>
      </c>
      <c r="F956" s="59" t="s">
        <v>2349</v>
      </c>
      <c r="G956" s="58" t="s">
        <v>2231</v>
      </c>
    </row>
    <row r="957" spans="1:7">
      <c r="A957" s="58" t="s">
        <v>2232</v>
      </c>
      <c r="B957" s="58" t="s">
        <v>2220</v>
      </c>
      <c r="C957" s="58" t="s">
        <v>108</v>
      </c>
      <c r="D957" s="58" t="s">
        <v>2500</v>
      </c>
      <c r="E957" s="59" t="s">
        <v>108</v>
      </c>
      <c r="F957" s="59" t="s">
        <v>2349</v>
      </c>
      <c r="G957" s="58" t="s">
        <v>2120</v>
      </c>
    </row>
    <row r="958" spans="1:7">
      <c r="A958" s="58" t="s">
        <v>2233</v>
      </c>
      <c r="B958" s="58" t="s">
        <v>2234</v>
      </c>
      <c r="C958" s="58" t="s">
        <v>108</v>
      </c>
      <c r="D958" s="58" t="s">
        <v>2500</v>
      </c>
      <c r="E958" s="59" t="s">
        <v>108</v>
      </c>
      <c r="F958" s="59" t="s">
        <v>2349</v>
      </c>
      <c r="G958" s="58" t="s">
        <v>2235</v>
      </c>
    </row>
    <row r="959" spans="1:7">
      <c r="A959" s="58" t="s">
        <v>2236</v>
      </c>
      <c r="B959" s="58" t="s">
        <v>2237</v>
      </c>
      <c r="C959" s="58" t="s">
        <v>108</v>
      </c>
      <c r="D959" s="58" t="s">
        <v>2500</v>
      </c>
      <c r="E959" s="59" t="s">
        <v>108</v>
      </c>
      <c r="F959" s="59" t="s">
        <v>2349</v>
      </c>
      <c r="G959" s="58" t="s">
        <v>2231</v>
      </c>
    </row>
    <row r="960" spans="1:7">
      <c r="A960" s="58" t="s">
        <v>2238</v>
      </c>
      <c r="B960" s="58" t="s">
        <v>2237</v>
      </c>
      <c r="C960" s="58" t="s">
        <v>108</v>
      </c>
      <c r="D960" s="58" t="s">
        <v>2500</v>
      </c>
      <c r="E960" s="59" t="s">
        <v>108</v>
      </c>
      <c r="F960" s="59" t="s">
        <v>2349</v>
      </c>
      <c r="G960" s="58" t="s">
        <v>2239</v>
      </c>
    </row>
    <row r="961" spans="1:7">
      <c r="A961" s="58" t="s">
        <v>2240</v>
      </c>
      <c r="B961" s="58" t="s">
        <v>2241</v>
      </c>
      <c r="C961" s="58" t="s">
        <v>2193</v>
      </c>
      <c r="D961" s="58" t="s">
        <v>2500</v>
      </c>
      <c r="E961" s="59" t="s">
        <v>2193</v>
      </c>
      <c r="F961" s="59" t="s">
        <v>2349</v>
      </c>
      <c r="G961" s="58" t="s">
        <v>2120</v>
      </c>
    </row>
    <row r="962" spans="1:7">
      <c r="A962" s="58" t="s">
        <v>2242</v>
      </c>
      <c r="B962" s="58" t="s">
        <v>2220</v>
      </c>
      <c r="C962" s="58" t="s">
        <v>2243</v>
      </c>
      <c r="D962" s="58" t="s">
        <v>2500</v>
      </c>
      <c r="E962" s="59" t="s">
        <v>2377</v>
      </c>
      <c r="F962" s="59" t="s">
        <v>2349</v>
      </c>
      <c r="G962" s="58" t="s">
        <v>2244</v>
      </c>
    </row>
    <row r="963" spans="1:7">
      <c r="A963" s="58" t="s">
        <v>2245</v>
      </c>
      <c r="B963" s="58" t="s">
        <v>2241</v>
      </c>
      <c r="C963" s="58" t="s">
        <v>2246</v>
      </c>
      <c r="D963" s="58" t="s">
        <v>2500</v>
      </c>
      <c r="E963" s="59" t="s">
        <v>108</v>
      </c>
      <c r="F963" s="59" t="s">
        <v>2349</v>
      </c>
      <c r="G963" s="58" t="s">
        <v>2120</v>
      </c>
    </row>
    <row r="964" spans="1:7">
      <c r="A964" s="58" t="s">
        <v>2378</v>
      </c>
      <c r="B964" s="58"/>
      <c r="C964" s="58" t="s">
        <v>543</v>
      </c>
      <c r="D964" s="58" t="s">
        <v>2500</v>
      </c>
      <c r="E964" s="59" t="s">
        <v>543</v>
      </c>
      <c r="F964" s="59" t="s">
        <v>2349</v>
      </c>
      <c r="G964" s="58" t="s">
        <v>2336</v>
      </c>
    </row>
    <row r="965" spans="1:7">
      <c r="A965" s="58" t="s">
        <v>2247</v>
      </c>
      <c r="B965" s="58" t="s">
        <v>2248</v>
      </c>
      <c r="C965" s="58" t="s">
        <v>108</v>
      </c>
      <c r="D965" s="58" t="s">
        <v>2500</v>
      </c>
      <c r="E965" s="59" t="s">
        <v>108</v>
      </c>
      <c r="F965" s="59" t="s">
        <v>2349</v>
      </c>
      <c r="G965" s="58" t="s">
        <v>2249</v>
      </c>
    </row>
    <row r="966" spans="1:7">
      <c r="A966" s="57" t="s">
        <v>2337</v>
      </c>
      <c r="B966" s="57" t="s">
        <v>2248</v>
      </c>
      <c r="C966" s="57" t="s">
        <v>2338</v>
      </c>
      <c r="D966" s="57" t="s">
        <v>2500</v>
      </c>
      <c r="E966" s="75" t="s">
        <v>2379</v>
      </c>
      <c r="F966" s="57" t="s">
        <v>2009</v>
      </c>
      <c r="G966" s="57" t="s">
        <v>2120</v>
      </c>
    </row>
    <row r="967" spans="1:7" ht="17.25">
      <c r="A967" s="76" t="s">
        <v>2511</v>
      </c>
      <c r="B967" s="76"/>
      <c r="C967" s="76"/>
      <c r="D967" s="76"/>
      <c r="E967" s="77"/>
      <c r="F967" s="76"/>
      <c r="G967" s="76"/>
    </row>
    <row r="968" spans="1:7">
      <c r="A968" s="58" t="s">
        <v>2381</v>
      </c>
      <c r="B968" s="58"/>
      <c r="C968" s="58" t="s">
        <v>543</v>
      </c>
      <c r="D968" s="58" t="s">
        <v>2500</v>
      </c>
      <c r="E968" s="59" t="s">
        <v>543</v>
      </c>
      <c r="F968" s="59" t="s">
        <v>2349</v>
      </c>
      <c r="G968" s="58" t="s">
        <v>2120</v>
      </c>
    </row>
    <row r="969" spans="1:7">
      <c r="A969" s="58" t="s">
        <v>2251</v>
      </c>
      <c r="B969" s="58" t="s">
        <v>2252</v>
      </c>
      <c r="C969" s="58" t="s">
        <v>108</v>
      </c>
      <c r="D969" s="58" t="s">
        <v>2500</v>
      </c>
      <c r="E969" s="59" t="s">
        <v>108</v>
      </c>
      <c r="F969" s="59" t="s">
        <v>2349</v>
      </c>
      <c r="G969" s="58" t="s">
        <v>2120</v>
      </c>
    </row>
    <row r="970" spans="1:7">
      <c r="A970" s="58" t="s">
        <v>2253</v>
      </c>
      <c r="B970" s="58" t="s">
        <v>2252</v>
      </c>
      <c r="C970" s="58" t="s">
        <v>2193</v>
      </c>
      <c r="D970" s="58" t="s">
        <v>2500</v>
      </c>
      <c r="E970" s="59" t="s">
        <v>2193</v>
      </c>
      <c r="F970" s="59" t="s">
        <v>2349</v>
      </c>
      <c r="G970" s="58" t="s">
        <v>2254</v>
      </c>
    </row>
    <row r="971" spans="1:7">
      <c r="A971" s="58" t="s">
        <v>2255</v>
      </c>
      <c r="B971" s="58" t="s">
        <v>2256</v>
      </c>
      <c r="C971" s="58" t="s">
        <v>2257</v>
      </c>
      <c r="D971" s="58" t="s">
        <v>2500</v>
      </c>
      <c r="E971" s="59" t="s">
        <v>108</v>
      </c>
      <c r="F971" s="59" t="s">
        <v>2349</v>
      </c>
      <c r="G971" s="58" t="s">
        <v>2120</v>
      </c>
    </row>
    <row r="972" spans="1:7">
      <c r="A972" s="58" t="s">
        <v>2258</v>
      </c>
      <c r="B972" s="58" t="s">
        <v>2259</v>
      </c>
      <c r="C972" s="58" t="s">
        <v>2260</v>
      </c>
      <c r="D972" s="58" t="s">
        <v>2500</v>
      </c>
      <c r="E972" s="59" t="s">
        <v>2382</v>
      </c>
      <c r="F972" s="59" t="s">
        <v>2349</v>
      </c>
      <c r="G972" s="58" t="s">
        <v>2261</v>
      </c>
    </row>
    <row r="973" spans="1:7">
      <c r="A973" s="58" t="s">
        <v>2262</v>
      </c>
      <c r="B973" s="58" t="s">
        <v>2259</v>
      </c>
      <c r="C973" s="58" t="s">
        <v>2147</v>
      </c>
      <c r="D973" s="58" t="s">
        <v>2500</v>
      </c>
      <c r="E973" s="59" t="s">
        <v>108</v>
      </c>
      <c r="F973" s="59" t="s">
        <v>2349</v>
      </c>
      <c r="G973" s="58" t="s">
        <v>2263</v>
      </c>
    </row>
    <row r="974" spans="1:7">
      <c r="A974" s="58" t="s">
        <v>2264</v>
      </c>
      <c r="B974" s="58" t="s">
        <v>2252</v>
      </c>
      <c r="C974" s="58" t="s">
        <v>2265</v>
      </c>
      <c r="D974" s="58" t="s">
        <v>2500</v>
      </c>
      <c r="E974" s="59" t="s">
        <v>108</v>
      </c>
      <c r="F974" s="59" t="s">
        <v>2349</v>
      </c>
      <c r="G974" s="58" t="s">
        <v>2120</v>
      </c>
    </row>
    <row r="975" spans="1:7">
      <c r="A975" s="58" t="s">
        <v>2266</v>
      </c>
      <c r="B975" s="58" t="s">
        <v>2252</v>
      </c>
      <c r="C975" s="58" t="s">
        <v>2267</v>
      </c>
      <c r="D975" s="58" t="s">
        <v>2500</v>
      </c>
      <c r="E975" s="59" t="s">
        <v>108</v>
      </c>
      <c r="F975" s="59" t="s">
        <v>2349</v>
      </c>
      <c r="G975" s="58" t="s">
        <v>2268</v>
      </c>
    </row>
    <row r="976" spans="1:7">
      <c r="A976" s="58" t="s">
        <v>2269</v>
      </c>
      <c r="B976" s="58" t="s">
        <v>2252</v>
      </c>
      <c r="C976" s="58" t="s">
        <v>2270</v>
      </c>
      <c r="D976" s="58" t="s">
        <v>2500</v>
      </c>
      <c r="E976" s="59" t="s">
        <v>108</v>
      </c>
      <c r="F976" s="59" t="s">
        <v>2349</v>
      </c>
      <c r="G976" s="58" t="s">
        <v>2120</v>
      </c>
    </row>
    <row r="977" spans="1:7" ht="17.25">
      <c r="A977" s="76" t="s">
        <v>2512</v>
      </c>
      <c r="B977" s="76"/>
      <c r="C977" s="76"/>
      <c r="D977" s="76"/>
      <c r="E977" s="77"/>
      <c r="F977" s="76"/>
      <c r="G977" s="76"/>
    </row>
    <row r="978" spans="1:7">
      <c r="A978" s="58" t="s">
        <v>2272</v>
      </c>
      <c r="B978" s="58" t="s">
        <v>2273</v>
      </c>
      <c r="C978" s="58" t="s">
        <v>2274</v>
      </c>
      <c r="D978" s="58" t="s">
        <v>2500</v>
      </c>
      <c r="E978" s="59" t="s">
        <v>2504</v>
      </c>
      <c r="F978" s="59" t="s">
        <v>2349</v>
      </c>
      <c r="G978" s="58" t="s">
        <v>2275</v>
      </c>
    </row>
    <row r="979" spans="1:7">
      <c r="A979" s="58" t="s">
        <v>2276</v>
      </c>
      <c r="B979" s="58" t="s">
        <v>2248</v>
      </c>
      <c r="C979" s="58" t="s">
        <v>2277</v>
      </c>
      <c r="D979" s="58" t="s">
        <v>2500</v>
      </c>
      <c r="E979" s="59" t="s">
        <v>108</v>
      </c>
      <c r="F979" s="59" t="s">
        <v>2349</v>
      </c>
      <c r="G979" s="58" t="s">
        <v>2278</v>
      </c>
    </row>
    <row r="980" spans="1:7">
      <c r="A980" s="58" t="s">
        <v>2279</v>
      </c>
      <c r="B980" s="58" t="s">
        <v>2280</v>
      </c>
      <c r="C980" s="58" t="s">
        <v>2281</v>
      </c>
      <c r="D980" s="58" t="s">
        <v>2500</v>
      </c>
      <c r="E980" s="59" t="s">
        <v>108</v>
      </c>
      <c r="F980" s="59" t="s">
        <v>2349</v>
      </c>
      <c r="G980" s="58" t="s">
        <v>2282</v>
      </c>
    </row>
    <row r="981" spans="1:7">
      <c r="A981" s="58" t="s">
        <v>2283</v>
      </c>
      <c r="B981" s="58" t="s">
        <v>2273</v>
      </c>
      <c r="C981" s="58" t="s">
        <v>108</v>
      </c>
      <c r="D981" s="58" t="s">
        <v>2500</v>
      </c>
      <c r="E981" s="59" t="s">
        <v>108</v>
      </c>
      <c r="F981" s="59" t="s">
        <v>2349</v>
      </c>
      <c r="G981" s="58" t="s">
        <v>2284</v>
      </c>
    </row>
    <row r="982" spans="1:7">
      <c r="A982" s="57" t="s">
        <v>2285</v>
      </c>
      <c r="B982" s="57"/>
      <c r="C982" s="57" t="s">
        <v>2135</v>
      </c>
      <c r="D982" s="57" t="s">
        <v>2500</v>
      </c>
      <c r="E982" s="75" t="s">
        <v>2355</v>
      </c>
      <c r="F982" s="57" t="s">
        <v>2009</v>
      </c>
      <c r="G982" s="57" t="s">
        <v>2120</v>
      </c>
    </row>
    <row r="983" spans="1:7">
      <c r="A983" s="58" t="s">
        <v>2286</v>
      </c>
      <c r="B983" s="58"/>
      <c r="C983" s="58" t="s">
        <v>108</v>
      </c>
      <c r="D983" s="58" t="s">
        <v>2500</v>
      </c>
      <c r="E983" s="59" t="s">
        <v>108</v>
      </c>
      <c r="F983" s="59" t="s">
        <v>2349</v>
      </c>
      <c r="G983" s="58" t="s">
        <v>2120</v>
      </c>
    </row>
    <row r="984" spans="1:7">
      <c r="A984" s="58" t="s">
        <v>2287</v>
      </c>
      <c r="B984" s="58" t="s">
        <v>2273</v>
      </c>
      <c r="C984" s="58" t="s">
        <v>2288</v>
      </c>
      <c r="D984" s="58" t="s">
        <v>2500</v>
      </c>
      <c r="E984" s="59" t="s">
        <v>2288</v>
      </c>
      <c r="F984" s="59" t="s">
        <v>2349</v>
      </c>
      <c r="G984" s="58" t="s">
        <v>2289</v>
      </c>
    </row>
    <row r="985" spans="1:7" ht="17.25">
      <c r="A985" s="76" t="s">
        <v>2513</v>
      </c>
      <c r="B985" s="76"/>
      <c r="C985" s="76"/>
      <c r="D985" s="76"/>
      <c r="E985" s="77"/>
      <c r="F985" s="76"/>
      <c r="G985" s="76"/>
    </row>
    <row r="986" spans="1:7">
      <c r="A986" s="57" t="s">
        <v>2291</v>
      </c>
      <c r="B986" s="57"/>
      <c r="C986" s="57" t="s">
        <v>2135</v>
      </c>
      <c r="D986" s="57" t="s">
        <v>2500</v>
      </c>
      <c r="E986" s="75" t="s">
        <v>2355</v>
      </c>
      <c r="F986" s="57" t="s">
        <v>2009</v>
      </c>
      <c r="G986" s="57" t="s">
        <v>2292</v>
      </c>
    </row>
    <row r="987" spans="1:7">
      <c r="A987" s="58" t="s">
        <v>2293</v>
      </c>
      <c r="B987" s="58" t="s">
        <v>2294</v>
      </c>
      <c r="C987" s="58" t="s">
        <v>2295</v>
      </c>
      <c r="D987" s="58" t="s">
        <v>2500</v>
      </c>
      <c r="E987" s="59" t="s">
        <v>108</v>
      </c>
      <c r="F987" s="59" t="s">
        <v>2349</v>
      </c>
      <c r="G987" s="58" t="s">
        <v>2296</v>
      </c>
    </row>
    <row r="988" spans="1:7">
      <c r="A988" s="58" t="s">
        <v>2385</v>
      </c>
      <c r="B988" s="58" t="s">
        <v>2298</v>
      </c>
      <c r="C988" s="58" t="s">
        <v>543</v>
      </c>
      <c r="D988" s="58" t="s">
        <v>2500</v>
      </c>
      <c r="E988" s="59" t="s">
        <v>543</v>
      </c>
      <c r="F988" s="59" t="s">
        <v>2349</v>
      </c>
      <c r="G988" s="58" t="s">
        <v>2386</v>
      </c>
    </row>
    <row r="989" spans="1:7">
      <c r="A989" s="58" t="s">
        <v>2297</v>
      </c>
      <c r="B989" s="58" t="s">
        <v>2298</v>
      </c>
      <c r="C989" s="58" t="s">
        <v>108</v>
      </c>
      <c r="D989" s="58" t="s">
        <v>2500</v>
      </c>
      <c r="E989" s="59" t="s">
        <v>108</v>
      </c>
      <c r="F989" s="59" t="s">
        <v>2349</v>
      </c>
      <c r="G989" s="58" t="s">
        <v>2299</v>
      </c>
    </row>
    <row r="990" spans="1:7">
      <c r="A990" s="58" t="s">
        <v>2300</v>
      </c>
      <c r="B990" s="58" t="s">
        <v>2294</v>
      </c>
      <c r="C990" s="58" t="s">
        <v>108</v>
      </c>
      <c r="D990" s="58" t="s">
        <v>2500</v>
      </c>
      <c r="E990" s="59" t="s">
        <v>108</v>
      </c>
      <c r="F990" s="59" t="s">
        <v>2349</v>
      </c>
      <c r="G990" s="58" t="s">
        <v>2299</v>
      </c>
    </row>
    <row r="991" spans="1:7">
      <c r="A991" s="58" t="s">
        <v>2301</v>
      </c>
      <c r="B991" s="58" t="s">
        <v>2302</v>
      </c>
      <c r="C991" s="58" t="s">
        <v>2193</v>
      </c>
      <c r="D991" s="58" t="s">
        <v>2500</v>
      </c>
      <c r="E991" s="59" t="s">
        <v>2193</v>
      </c>
      <c r="F991" s="59" t="s">
        <v>2349</v>
      </c>
      <c r="G991" s="58" t="s">
        <v>2303</v>
      </c>
    </row>
    <row r="992" spans="1:7">
      <c r="A992" s="58" t="s">
        <v>2304</v>
      </c>
      <c r="B992" s="58" t="s">
        <v>2305</v>
      </c>
      <c r="C992" s="58" t="s">
        <v>2257</v>
      </c>
      <c r="D992" s="58" t="s">
        <v>2500</v>
      </c>
      <c r="E992" s="59" t="s">
        <v>108</v>
      </c>
      <c r="F992" s="59" t="s">
        <v>2349</v>
      </c>
      <c r="G992" s="58" t="s">
        <v>2306</v>
      </c>
    </row>
    <row r="993" spans="1:7">
      <c r="A993" s="58" t="s">
        <v>2347</v>
      </c>
      <c r="B993" s="58" t="s">
        <v>2213</v>
      </c>
      <c r="C993" s="58" t="s">
        <v>2348</v>
      </c>
      <c r="D993" s="58" t="s">
        <v>2500</v>
      </c>
      <c r="E993" s="59" t="s">
        <v>2348</v>
      </c>
      <c r="F993" s="59" t="s">
        <v>2349</v>
      </c>
      <c r="G993" s="58" t="s">
        <v>2296</v>
      </c>
    </row>
    <row r="994" spans="1:7" ht="17.25">
      <c r="A994" s="76" t="s">
        <v>2514</v>
      </c>
      <c r="B994" s="76"/>
      <c r="C994" s="76"/>
      <c r="D994" s="76"/>
      <c r="E994" s="77"/>
      <c r="F994" s="76"/>
      <c r="G994" s="76"/>
    </row>
    <row r="995" spans="1:7">
      <c r="A995" s="57" t="s">
        <v>2308</v>
      </c>
      <c r="B995" s="57" t="s">
        <v>2122</v>
      </c>
      <c r="C995" s="57" t="s">
        <v>2309</v>
      </c>
      <c r="D995" s="57" t="s">
        <v>2515</v>
      </c>
      <c r="E995" s="75" t="s">
        <v>2311</v>
      </c>
      <c r="F995" s="57" t="s">
        <v>2024</v>
      </c>
      <c r="G995" s="57" t="s">
        <v>2312</v>
      </c>
    </row>
    <row r="996" spans="1:7">
      <c r="A996" s="58" t="s">
        <v>2114</v>
      </c>
      <c r="B996" s="58" t="s">
        <v>2115</v>
      </c>
      <c r="C996" s="58" t="s">
        <v>1559</v>
      </c>
      <c r="D996" s="58" t="s">
        <v>2515</v>
      </c>
      <c r="E996" s="59" t="s">
        <v>108</v>
      </c>
      <c r="F996" s="59" t="s">
        <v>2349</v>
      </c>
      <c r="G996" s="58" t="s">
        <v>2117</v>
      </c>
    </row>
    <row r="997" spans="1:7">
      <c r="A997" s="58" t="s">
        <v>2352</v>
      </c>
      <c r="B997" s="58"/>
      <c r="C997" s="58" t="s">
        <v>1201</v>
      </c>
      <c r="D997" s="58" t="s">
        <v>2515</v>
      </c>
      <c r="E997" s="59" t="s">
        <v>1201</v>
      </c>
      <c r="F997" s="59" t="s">
        <v>2349</v>
      </c>
      <c r="G997" s="58" t="s">
        <v>2120</v>
      </c>
    </row>
    <row r="998" spans="1:7">
      <c r="A998" s="58" t="s">
        <v>2118</v>
      </c>
      <c r="B998" s="58"/>
      <c r="C998" s="58" t="s">
        <v>2119</v>
      </c>
      <c r="D998" s="58" t="s">
        <v>2515</v>
      </c>
      <c r="E998" s="59" t="s">
        <v>2353</v>
      </c>
      <c r="F998" s="59" t="s">
        <v>2349</v>
      </c>
      <c r="G998" s="58" t="s">
        <v>2120</v>
      </c>
    </row>
    <row r="999" spans="1:7">
      <c r="A999" s="58" t="s">
        <v>2121</v>
      </c>
      <c r="B999" s="58" t="s">
        <v>2122</v>
      </c>
      <c r="C999" s="58" t="s">
        <v>108</v>
      </c>
      <c r="D999" s="58" t="s">
        <v>2515</v>
      </c>
      <c r="E999" s="59" t="s">
        <v>108</v>
      </c>
      <c r="F999" s="59" t="s">
        <v>2349</v>
      </c>
      <c r="G999" s="58" t="s">
        <v>2120</v>
      </c>
    </row>
    <row r="1000" spans="1:7">
      <c r="A1000" s="58" t="s">
        <v>2123</v>
      </c>
      <c r="B1000" s="58" t="s">
        <v>2124</v>
      </c>
      <c r="C1000" s="58" t="s">
        <v>108</v>
      </c>
      <c r="D1000" s="58" t="s">
        <v>2515</v>
      </c>
      <c r="E1000" s="59" t="s">
        <v>108</v>
      </c>
      <c r="F1000" s="59" t="s">
        <v>2349</v>
      </c>
      <c r="G1000" s="58" t="s">
        <v>2125</v>
      </c>
    </row>
    <row r="1001" spans="1:7">
      <c r="A1001" s="58" t="s">
        <v>2126</v>
      </c>
      <c r="B1001" s="58"/>
      <c r="C1001" s="58" t="s">
        <v>108</v>
      </c>
      <c r="D1001" s="58" t="s">
        <v>2515</v>
      </c>
      <c r="E1001" s="59" t="s">
        <v>108</v>
      </c>
      <c r="F1001" s="59" t="s">
        <v>2349</v>
      </c>
      <c r="G1001" s="58" t="s">
        <v>2120</v>
      </c>
    </row>
    <row r="1002" spans="1:7">
      <c r="A1002" s="57" t="s">
        <v>2313</v>
      </c>
      <c r="B1002" s="57" t="s">
        <v>2314</v>
      </c>
      <c r="C1002" s="57" t="s">
        <v>2309</v>
      </c>
      <c r="D1002" s="57" t="s">
        <v>2515</v>
      </c>
      <c r="E1002" s="75" t="s">
        <v>2311</v>
      </c>
      <c r="F1002" s="57" t="s">
        <v>2024</v>
      </c>
      <c r="G1002" s="57" t="s">
        <v>2120</v>
      </c>
    </row>
    <row r="1003" spans="1:7">
      <c r="A1003" s="57" t="s">
        <v>2315</v>
      </c>
      <c r="B1003" s="57" t="s">
        <v>2314</v>
      </c>
      <c r="C1003" s="57" t="s">
        <v>2309</v>
      </c>
      <c r="D1003" s="57" t="s">
        <v>2515</v>
      </c>
      <c r="E1003" s="75" t="s">
        <v>2311</v>
      </c>
      <c r="F1003" s="57" t="s">
        <v>2024</v>
      </c>
      <c r="G1003" s="57" t="s">
        <v>2120</v>
      </c>
    </row>
    <row r="1004" spans="1:7">
      <c r="A1004" s="57" t="s">
        <v>2316</v>
      </c>
      <c r="B1004" s="57" t="s">
        <v>2124</v>
      </c>
      <c r="C1004" s="57" t="s">
        <v>2309</v>
      </c>
      <c r="D1004" s="57" t="s">
        <v>2515</v>
      </c>
      <c r="E1004" s="75" t="s">
        <v>2311</v>
      </c>
      <c r="F1004" s="57" t="s">
        <v>2024</v>
      </c>
      <c r="G1004" s="57" t="s">
        <v>2120</v>
      </c>
    </row>
    <row r="1005" spans="1:7" ht="17.25">
      <c r="A1005" s="76" t="s">
        <v>2516</v>
      </c>
      <c r="B1005" s="76"/>
      <c r="C1005" s="76"/>
      <c r="D1005" s="76"/>
      <c r="E1005" s="77"/>
      <c r="F1005" s="76"/>
      <c r="G1005" s="76"/>
    </row>
    <row r="1006" spans="1:7">
      <c r="A1006" s="58" t="s">
        <v>2128</v>
      </c>
      <c r="B1006" s="58" t="s">
        <v>2129</v>
      </c>
      <c r="C1006" s="58" t="s">
        <v>108</v>
      </c>
      <c r="D1006" s="58" t="s">
        <v>2515</v>
      </c>
      <c r="E1006" s="59" t="s">
        <v>108</v>
      </c>
      <c r="F1006" s="59" t="s">
        <v>2349</v>
      </c>
      <c r="G1006" s="58" t="s">
        <v>2120</v>
      </c>
    </row>
    <row r="1007" spans="1:7">
      <c r="A1007" s="58" t="s">
        <v>2130</v>
      </c>
      <c r="B1007" s="58" t="s">
        <v>2131</v>
      </c>
      <c r="C1007" s="58" t="s">
        <v>108</v>
      </c>
      <c r="D1007" s="58" t="s">
        <v>2515</v>
      </c>
      <c r="E1007" s="59" t="s">
        <v>108</v>
      </c>
      <c r="F1007" s="59" t="s">
        <v>2349</v>
      </c>
      <c r="G1007" s="58" t="s">
        <v>2132</v>
      </c>
    </row>
    <row r="1008" spans="1:7">
      <c r="A1008" s="58" t="s">
        <v>2133</v>
      </c>
      <c r="B1008" s="58" t="s">
        <v>2131</v>
      </c>
      <c r="C1008" s="58" t="s">
        <v>108</v>
      </c>
      <c r="D1008" s="58" t="s">
        <v>2515</v>
      </c>
      <c r="E1008" s="59" t="s">
        <v>108</v>
      </c>
      <c r="F1008" s="59" t="s">
        <v>2349</v>
      </c>
      <c r="G1008" s="58" t="s">
        <v>2120</v>
      </c>
    </row>
    <row r="1009" spans="1:7">
      <c r="A1009" s="57" t="s">
        <v>2134</v>
      </c>
      <c r="B1009" s="57"/>
      <c r="C1009" s="57" t="s">
        <v>2135</v>
      </c>
      <c r="D1009" s="57" t="s">
        <v>2515</v>
      </c>
      <c r="E1009" s="75" t="s">
        <v>2517</v>
      </c>
      <c r="F1009" s="57" t="s">
        <v>2024</v>
      </c>
      <c r="G1009" s="57" t="s">
        <v>2137</v>
      </c>
    </row>
    <row r="1010" spans="1:7">
      <c r="A1010" s="58" t="s">
        <v>2138</v>
      </c>
      <c r="B1010" s="58" t="s">
        <v>2139</v>
      </c>
      <c r="C1010" s="58" t="s">
        <v>108</v>
      </c>
      <c r="D1010" s="58" t="s">
        <v>2515</v>
      </c>
      <c r="E1010" s="59" t="s">
        <v>108</v>
      </c>
      <c r="F1010" s="59" t="s">
        <v>2349</v>
      </c>
      <c r="G1010" s="58" t="s">
        <v>2140</v>
      </c>
    </row>
    <row r="1011" spans="1:7" ht="17.25">
      <c r="A1011" s="76" t="s">
        <v>2518</v>
      </c>
      <c r="B1011" s="76"/>
      <c r="C1011" s="76"/>
      <c r="D1011" s="76"/>
      <c r="E1011" s="77"/>
      <c r="F1011" s="76"/>
      <c r="G1011" s="76"/>
    </row>
    <row r="1012" spans="1:7">
      <c r="A1012" s="58" t="s">
        <v>2142</v>
      </c>
      <c r="B1012" s="58" t="s">
        <v>2143</v>
      </c>
      <c r="C1012" s="58" t="s">
        <v>108</v>
      </c>
      <c r="D1012" s="58" t="s">
        <v>2515</v>
      </c>
      <c r="E1012" s="59" t="s">
        <v>108</v>
      </c>
      <c r="F1012" s="59" t="s">
        <v>2349</v>
      </c>
      <c r="G1012" s="58" t="s">
        <v>2120</v>
      </c>
    </row>
    <row r="1013" spans="1:7">
      <c r="A1013" s="58" t="s">
        <v>2144</v>
      </c>
      <c r="B1013" s="58" t="s">
        <v>2143</v>
      </c>
      <c r="C1013" s="58" t="s">
        <v>2145</v>
      </c>
      <c r="D1013" s="58" t="s">
        <v>2515</v>
      </c>
      <c r="E1013" s="59" t="s">
        <v>108</v>
      </c>
      <c r="F1013" s="59" t="s">
        <v>2349</v>
      </c>
      <c r="G1013" s="58" t="s">
        <v>2120</v>
      </c>
    </row>
    <row r="1014" spans="1:7">
      <c r="A1014" s="58" t="s">
        <v>2146</v>
      </c>
      <c r="B1014" s="58" t="s">
        <v>2143</v>
      </c>
      <c r="C1014" s="58" t="s">
        <v>2147</v>
      </c>
      <c r="D1014" s="58" t="s">
        <v>2515</v>
      </c>
      <c r="E1014" s="59" t="s">
        <v>108</v>
      </c>
      <c r="F1014" s="59" t="s">
        <v>2349</v>
      </c>
      <c r="G1014" s="58" t="s">
        <v>2148</v>
      </c>
    </row>
    <row r="1015" spans="1:7">
      <c r="A1015" s="58" t="s">
        <v>2149</v>
      </c>
      <c r="B1015" s="58" t="s">
        <v>2143</v>
      </c>
      <c r="C1015" s="58" t="s">
        <v>108</v>
      </c>
      <c r="D1015" s="58" t="s">
        <v>2515</v>
      </c>
      <c r="E1015" s="59" t="s">
        <v>108</v>
      </c>
      <c r="F1015" s="59" t="s">
        <v>2349</v>
      </c>
      <c r="G1015" s="58" t="s">
        <v>2120</v>
      </c>
    </row>
    <row r="1016" spans="1:7" ht="17.25">
      <c r="A1016" s="76" t="s">
        <v>2519</v>
      </c>
      <c r="B1016" s="76"/>
      <c r="C1016" s="76"/>
      <c r="D1016" s="76"/>
      <c r="E1016" s="77"/>
      <c r="F1016" s="76"/>
      <c r="G1016" s="76"/>
    </row>
    <row r="1017" spans="1:7">
      <c r="A1017" s="58" t="s">
        <v>2151</v>
      </c>
      <c r="B1017" s="58" t="s">
        <v>2152</v>
      </c>
      <c r="C1017" s="58" t="s">
        <v>2153</v>
      </c>
      <c r="D1017" s="58" t="s">
        <v>2515</v>
      </c>
      <c r="E1017" s="59" t="s">
        <v>108</v>
      </c>
      <c r="F1017" s="59" t="s">
        <v>2349</v>
      </c>
      <c r="G1017" s="58" t="s">
        <v>2120</v>
      </c>
    </row>
    <row r="1018" spans="1:7">
      <c r="A1018" s="58" t="s">
        <v>2154</v>
      </c>
      <c r="B1018" s="58" t="s">
        <v>2155</v>
      </c>
      <c r="C1018" s="58" t="s">
        <v>108</v>
      </c>
      <c r="D1018" s="58" t="s">
        <v>2515</v>
      </c>
      <c r="E1018" s="59" t="s">
        <v>108</v>
      </c>
      <c r="F1018" s="59" t="s">
        <v>2349</v>
      </c>
      <c r="G1018" s="58" t="s">
        <v>2120</v>
      </c>
    </row>
    <row r="1019" spans="1:7">
      <c r="A1019" s="58" t="s">
        <v>2156</v>
      </c>
      <c r="B1019" s="58" t="s">
        <v>2152</v>
      </c>
      <c r="C1019" s="58" t="s">
        <v>2157</v>
      </c>
      <c r="D1019" s="58" t="s">
        <v>2515</v>
      </c>
      <c r="E1019" s="59" t="s">
        <v>108</v>
      </c>
      <c r="F1019" s="59" t="s">
        <v>2349</v>
      </c>
      <c r="G1019" s="58" t="s">
        <v>2120</v>
      </c>
    </row>
    <row r="1020" spans="1:7">
      <c r="A1020" s="58" t="s">
        <v>2158</v>
      </c>
      <c r="B1020" s="58" t="s">
        <v>2155</v>
      </c>
      <c r="C1020" s="58" t="s">
        <v>2159</v>
      </c>
      <c r="D1020" s="58" t="s">
        <v>2515</v>
      </c>
      <c r="E1020" s="59" t="s">
        <v>108</v>
      </c>
      <c r="F1020" s="59" t="s">
        <v>2349</v>
      </c>
      <c r="G1020" s="58" t="s">
        <v>2160</v>
      </c>
    </row>
    <row r="1021" spans="1:7">
      <c r="A1021" s="58" t="s">
        <v>2161</v>
      </c>
      <c r="B1021" s="58" t="s">
        <v>2162</v>
      </c>
      <c r="C1021" s="58" t="s">
        <v>108</v>
      </c>
      <c r="D1021" s="58" t="s">
        <v>2515</v>
      </c>
      <c r="E1021" s="59" t="s">
        <v>108</v>
      </c>
      <c r="F1021" s="59" t="s">
        <v>2349</v>
      </c>
      <c r="G1021" s="58" t="s">
        <v>2163</v>
      </c>
    </row>
    <row r="1022" spans="1:7">
      <c r="A1022" s="58" t="s">
        <v>2164</v>
      </c>
      <c r="B1022" s="58" t="s">
        <v>2162</v>
      </c>
      <c r="C1022" s="58" t="s">
        <v>108</v>
      </c>
      <c r="D1022" s="58" t="s">
        <v>2515</v>
      </c>
      <c r="E1022" s="59" t="s">
        <v>108</v>
      </c>
      <c r="F1022" s="59" t="s">
        <v>2349</v>
      </c>
      <c r="G1022" s="58" t="s">
        <v>2120</v>
      </c>
    </row>
    <row r="1023" spans="1:7" ht="17.25">
      <c r="A1023" s="76" t="s">
        <v>2520</v>
      </c>
      <c r="B1023" s="76"/>
      <c r="C1023" s="76"/>
      <c r="D1023" s="76"/>
      <c r="E1023" s="77"/>
      <c r="F1023" s="76"/>
      <c r="G1023" s="76"/>
    </row>
    <row r="1024" spans="1:7">
      <c r="A1024" s="58" t="s">
        <v>2166</v>
      </c>
      <c r="B1024" s="58" t="s">
        <v>2167</v>
      </c>
      <c r="C1024" s="58" t="s">
        <v>108</v>
      </c>
      <c r="D1024" s="58" t="s">
        <v>2515</v>
      </c>
      <c r="E1024" s="59" t="s">
        <v>108</v>
      </c>
      <c r="F1024" s="59" t="s">
        <v>2349</v>
      </c>
      <c r="G1024" s="58" t="s">
        <v>2168</v>
      </c>
    </row>
    <row r="1025" spans="1:7">
      <c r="A1025" s="57" t="s">
        <v>2169</v>
      </c>
      <c r="B1025" s="57" t="s">
        <v>2129</v>
      </c>
      <c r="C1025" s="57" t="s">
        <v>2170</v>
      </c>
      <c r="D1025" s="57" t="s">
        <v>2515</v>
      </c>
      <c r="E1025" s="75" t="s">
        <v>2517</v>
      </c>
      <c r="F1025" s="57" t="s">
        <v>2024</v>
      </c>
      <c r="G1025" s="57" t="s">
        <v>2120</v>
      </c>
    </row>
    <row r="1026" spans="1:7">
      <c r="A1026" s="57" t="s">
        <v>2171</v>
      </c>
      <c r="B1026" s="57" t="s">
        <v>2129</v>
      </c>
      <c r="C1026" s="57" t="s">
        <v>2135</v>
      </c>
      <c r="D1026" s="57" t="s">
        <v>2515</v>
      </c>
      <c r="E1026" s="75" t="s">
        <v>2517</v>
      </c>
      <c r="F1026" s="57" t="s">
        <v>2024</v>
      </c>
      <c r="G1026" s="57" t="s">
        <v>2120</v>
      </c>
    </row>
    <row r="1027" spans="1:7">
      <c r="A1027" s="57" t="s">
        <v>2172</v>
      </c>
      <c r="B1027" s="57" t="s">
        <v>2129</v>
      </c>
      <c r="C1027" s="57" t="s">
        <v>2135</v>
      </c>
      <c r="D1027" s="57" t="s">
        <v>2515</v>
      </c>
      <c r="E1027" s="75" t="s">
        <v>2517</v>
      </c>
      <c r="F1027" s="57" t="s">
        <v>2024</v>
      </c>
      <c r="G1027" s="57" t="s">
        <v>2120</v>
      </c>
    </row>
    <row r="1028" spans="1:7">
      <c r="A1028" s="57" t="s">
        <v>2173</v>
      </c>
      <c r="B1028" s="57" t="s">
        <v>2174</v>
      </c>
      <c r="C1028" s="57" t="s">
        <v>2135</v>
      </c>
      <c r="D1028" s="57" t="s">
        <v>2515</v>
      </c>
      <c r="E1028" s="75" t="s">
        <v>2517</v>
      </c>
      <c r="F1028" s="57" t="s">
        <v>2024</v>
      </c>
      <c r="G1028" s="57" t="s">
        <v>2120</v>
      </c>
    </row>
    <row r="1029" spans="1:7">
      <c r="A1029" s="57" t="s">
        <v>2175</v>
      </c>
      <c r="B1029" s="57"/>
      <c r="C1029" s="57" t="s">
        <v>2135</v>
      </c>
      <c r="D1029" s="57" t="s">
        <v>2515</v>
      </c>
      <c r="E1029" s="75" t="s">
        <v>2517</v>
      </c>
      <c r="F1029" s="57" t="s">
        <v>2024</v>
      </c>
      <c r="G1029" s="57" t="s">
        <v>2120</v>
      </c>
    </row>
    <row r="1030" spans="1:7">
      <c r="A1030" s="57" t="s">
        <v>2176</v>
      </c>
      <c r="B1030" s="57"/>
      <c r="C1030" s="57" t="s">
        <v>2135</v>
      </c>
      <c r="D1030" s="57" t="s">
        <v>2515</v>
      </c>
      <c r="E1030" s="75" t="s">
        <v>2517</v>
      </c>
      <c r="F1030" s="57" t="s">
        <v>2024</v>
      </c>
      <c r="G1030" s="57" t="s">
        <v>2120</v>
      </c>
    </row>
    <row r="1031" spans="1:7">
      <c r="A1031" s="57" t="s">
        <v>2177</v>
      </c>
      <c r="B1031" s="57"/>
      <c r="C1031" s="57" t="s">
        <v>2135</v>
      </c>
      <c r="D1031" s="57" t="s">
        <v>2515</v>
      </c>
      <c r="E1031" s="75" t="s">
        <v>2517</v>
      </c>
      <c r="F1031" s="57" t="s">
        <v>2024</v>
      </c>
      <c r="G1031" s="57" t="s">
        <v>2120</v>
      </c>
    </row>
    <row r="1032" spans="1:7" ht="17.25">
      <c r="A1032" s="76" t="s">
        <v>2521</v>
      </c>
      <c r="B1032" s="76"/>
      <c r="C1032" s="76"/>
      <c r="D1032" s="76"/>
      <c r="E1032" s="77"/>
      <c r="F1032" s="76"/>
      <c r="G1032" s="76"/>
    </row>
    <row r="1033" spans="1:7">
      <c r="A1033" s="58" t="s">
        <v>2179</v>
      </c>
      <c r="B1033" s="58" t="s">
        <v>2180</v>
      </c>
      <c r="C1033" s="58" t="s">
        <v>108</v>
      </c>
      <c r="D1033" s="58" t="s">
        <v>2515</v>
      </c>
      <c r="E1033" s="59" t="s">
        <v>108</v>
      </c>
      <c r="F1033" s="59" t="s">
        <v>2349</v>
      </c>
      <c r="G1033" s="58" t="s">
        <v>2120</v>
      </c>
    </row>
    <row r="1034" spans="1:7">
      <c r="A1034" s="58" t="s">
        <v>2181</v>
      </c>
      <c r="B1034" s="58" t="s">
        <v>2182</v>
      </c>
      <c r="C1034" s="58" t="s">
        <v>108</v>
      </c>
      <c r="D1034" s="58" t="s">
        <v>2515</v>
      </c>
      <c r="E1034" s="59" t="s">
        <v>108</v>
      </c>
      <c r="F1034" s="59" t="s">
        <v>2349</v>
      </c>
      <c r="G1034" s="58" t="s">
        <v>2120</v>
      </c>
    </row>
    <row r="1035" spans="1:7">
      <c r="A1035" s="58" t="s">
        <v>2183</v>
      </c>
      <c r="B1035" s="58" t="s">
        <v>2182</v>
      </c>
      <c r="C1035" s="58" t="s">
        <v>2184</v>
      </c>
      <c r="D1035" s="58" t="s">
        <v>2515</v>
      </c>
      <c r="E1035" s="59" t="s">
        <v>108</v>
      </c>
      <c r="F1035" s="59" t="s">
        <v>2349</v>
      </c>
      <c r="G1035" s="58" t="s">
        <v>2185</v>
      </c>
    </row>
    <row r="1036" spans="1:7">
      <c r="A1036" s="58" t="s">
        <v>2186</v>
      </c>
      <c r="B1036" s="58" t="s">
        <v>2187</v>
      </c>
      <c r="C1036" s="58" t="s">
        <v>108</v>
      </c>
      <c r="D1036" s="58" t="s">
        <v>2515</v>
      </c>
      <c r="E1036" s="59" t="s">
        <v>108</v>
      </c>
      <c r="F1036" s="59" t="s">
        <v>2349</v>
      </c>
      <c r="G1036" s="58" t="s">
        <v>2120</v>
      </c>
    </row>
    <row r="1037" spans="1:7">
      <c r="A1037" s="58" t="s">
        <v>2188</v>
      </c>
      <c r="B1037" s="58"/>
      <c r="C1037" s="58" t="s">
        <v>2189</v>
      </c>
      <c r="D1037" s="58" t="s">
        <v>2515</v>
      </c>
      <c r="E1037" s="59" t="s">
        <v>108</v>
      </c>
      <c r="F1037" s="59" t="s">
        <v>2349</v>
      </c>
      <c r="G1037" s="58" t="s">
        <v>2120</v>
      </c>
    </row>
    <row r="1038" spans="1:7">
      <c r="A1038" s="57" t="s">
        <v>2190</v>
      </c>
      <c r="B1038" s="57"/>
      <c r="C1038" s="57" t="s">
        <v>2135</v>
      </c>
      <c r="D1038" s="57" t="s">
        <v>2515</v>
      </c>
      <c r="E1038" s="75" t="s">
        <v>2517</v>
      </c>
      <c r="F1038" s="57" t="s">
        <v>2024</v>
      </c>
      <c r="G1038" s="57" t="s">
        <v>2120</v>
      </c>
    </row>
    <row r="1039" spans="1:7">
      <c r="A1039" s="57" t="s">
        <v>2191</v>
      </c>
      <c r="B1039" s="57"/>
      <c r="C1039" s="57" t="s">
        <v>2135</v>
      </c>
      <c r="D1039" s="57" t="s">
        <v>2515</v>
      </c>
      <c r="E1039" s="75" t="s">
        <v>2517</v>
      </c>
      <c r="F1039" s="57" t="s">
        <v>2024</v>
      </c>
      <c r="G1039" s="57" t="s">
        <v>2120</v>
      </c>
    </row>
    <row r="1040" spans="1:7">
      <c r="A1040" s="58" t="s">
        <v>2192</v>
      </c>
      <c r="B1040" s="58" t="s">
        <v>2182</v>
      </c>
      <c r="C1040" s="58" t="s">
        <v>2193</v>
      </c>
      <c r="D1040" s="58" t="s">
        <v>2515</v>
      </c>
      <c r="E1040" s="59" t="s">
        <v>2193</v>
      </c>
      <c r="F1040" s="59" t="s">
        <v>2349</v>
      </c>
      <c r="G1040" s="58" t="s">
        <v>2120</v>
      </c>
    </row>
    <row r="1041" spans="1:7">
      <c r="A1041" s="58" t="s">
        <v>2194</v>
      </c>
      <c r="B1041" s="58" t="s">
        <v>2187</v>
      </c>
      <c r="C1041" s="58" t="s">
        <v>108</v>
      </c>
      <c r="D1041" s="58" t="s">
        <v>2515</v>
      </c>
      <c r="E1041" s="59" t="s">
        <v>108</v>
      </c>
      <c r="F1041" s="59" t="s">
        <v>2349</v>
      </c>
      <c r="G1041" s="58" t="s">
        <v>2120</v>
      </c>
    </row>
    <row r="1042" spans="1:7" ht="17.25">
      <c r="A1042" s="76" t="s">
        <v>2522</v>
      </c>
      <c r="B1042" s="76"/>
      <c r="C1042" s="76"/>
      <c r="D1042" s="76"/>
      <c r="E1042" s="77"/>
      <c r="F1042" s="76"/>
      <c r="G1042" s="76"/>
    </row>
    <row r="1043" spans="1:7">
      <c r="A1043" s="58" t="s">
        <v>2196</v>
      </c>
      <c r="B1043" s="58"/>
      <c r="C1043" s="58" t="s">
        <v>2193</v>
      </c>
      <c r="D1043" s="58" t="s">
        <v>2515</v>
      </c>
      <c r="E1043" s="59" t="s">
        <v>2193</v>
      </c>
      <c r="F1043" s="59" t="s">
        <v>2349</v>
      </c>
      <c r="G1043" s="58" t="s">
        <v>2120</v>
      </c>
    </row>
    <row r="1044" spans="1:7">
      <c r="A1044" s="58" t="s">
        <v>2197</v>
      </c>
      <c r="B1044" s="58"/>
      <c r="C1044" s="58" t="s">
        <v>2193</v>
      </c>
      <c r="D1044" s="58" t="s">
        <v>2515</v>
      </c>
      <c r="E1044" s="59" t="s">
        <v>2193</v>
      </c>
      <c r="F1044" s="59" t="s">
        <v>2349</v>
      </c>
      <c r="G1044" s="58" t="s">
        <v>2120</v>
      </c>
    </row>
    <row r="1045" spans="1:7">
      <c r="A1045" s="58" t="s">
        <v>2198</v>
      </c>
      <c r="B1045" s="58"/>
      <c r="C1045" s="58" t="s">
        <v>2199</v>
      </c>
      <c r="D1045" s="58" t="s">
        <v>2515</v>
      </c>
      <c r="E1045" s="59" t="s">
        <v>2193</v>
      </c>
      <c r="F1045" s="59" t="s">
        <v>2349</v>
      </c>
      <c r="G1045" s="58" t="s">
        <v>2120</v>
      </c>
    </row>
    <row r="1046" spans="1:7">
      <c r="A1046" s="58" t="s">
        <v>2200</v>
      </c>
      <c r="B1046" s="58" t="s">
        <v>2182</v>
      </c>
      <c r="C1046" s="58" t="s">
        <v>108</v>
      </c>
      <c r="D1046" s="58" t="s">
        <v>2515</v>
      </c>
      <c r="E1046" s="59" t="s">
        <v>108</v>
      </c>
      <c r="F1046" s="59" t="s">
        <v>2349</v>
      </c>
      <c r="G1046" s="58" t="s">
        <v>2120</v>
      </c>
    </row>
    <row r="1047" spans="1:7">
      <c r="A1047" s="58" t="s">
        <v>2201</v>
      </c>
      <c r="B1047" s="58" t="s">
        <v>2182</v>
      </c>
      <c r="C1047" s="58" t="s">
        <v>108</v>
      </c>
      <c r="D1047" s="58" t="s">
        <v>2515</v>
      </c>
      <c r="E1047" s="59" t="s">
        <v>108</v>
      </c>
      <c r="F1047" s="59" t="s">
        <v>2349</v>
      </c>
      <c r="G1047" s="58" t="s">
        <v>2120</v>
      </c>
    </row>
    <row r="1048" spans="1:7">
      <c r="A1048" s="58" t="s">
        <v>2202</v>
      </c>
      <c r="B1048" s="58" t="s">
        <v>2174</v>
      </c>
      <c r="C1048" s="58" t="s">
        <v>108</v>
      </c>
      <c r="D1048" s="58" t="s">
        <v>2515</v>
      </c>
      <c r="E1048" s="59" t="s">
        <v>108</v>
      </c>
      <c r="F1048" s="59" t="s">
        <v>2349</v>
      </c>
      <c r="G1048" s="58" t="s">
        <v>2120</v>
      </c>
    </row>
    <row r="1049" spans="1:7">
      <c r="A1049" s="58" t="s">
        <v>2203</v>
      </c>
      <c r="B1049" s="58" t="s">
        <v>2204</v>
      </c>
      <c r="C1049" s="58" t="s">
        <v>2193</v>
      </c>
      <c r="D1049" s="58" t="s">
        <v>2515</v>
      </c>
      <c r="E1049" s="59" t="s">
        <v>2193</v>
      </c>
      <c r="F1049" s="59" t="s">
        <v>2349</v>
      </c>
      <c r="G1049" s="58" t="s">
        <v>2120</v>
      </c>
    </row>
    <row r="1050" spans="1:7">
      <c r="A1050" s="58" t="s">
        <v>2205</v>
      </c>
      <c r="B1050" s="58" t="s">
        <v>2204</v>
      </c>
      <c r="C1050" s="58" t="s">
        <v>2193</v>
      </c>
      <c r="D1050" s="58" t="s">
        <v>2515</v>
      </c>
      <c r="E1050" s="59" t="s">
        <v>2193</v>
      </c>
      <c r="F1050" s="59" t="s">
        <v>2349</v>
      </c>
      <c r="G1050" s="58" t="s">
        <v>2120</v>
      </c>
    </row>
    <row r="1051" spans="1:7">
      <c r="A1051" s="57" t="s">
        <v>2206</v>
      </c>
      <c r="B1051" s="57"/>
      <c r="C1051" s="57" t="s">
        <v>2135</v>
      </c>
      <c r="D1051" s="57" t="s">
        <v>2515</v>
      </c>
      <c r="E1051" s="75" t="s">
        <v>2517</v>
      </c>
      <c r="F1051" s="57" t="s">
        <v>2024</v>
      </c>
      <c r="G1051" s="57" t="s">
        <v>2120</v>
      </c>
    </row>
    <row r="1052" spans="1:7">
      <c r="A1052" s="58" t="s">
        <v>2207</v>
      </c>
      <c r="B1052" s="58" t="s">
        <v>2204</v>
      </c>
      <c r="C1052" s="58" t="s">
        <v>108</v>
      </c>
      <c r="D1052" s="58" t="s">
        <v>2515</v>
      </c>
      <c r="E1052" s="59" t="s">
        <v>108</v>
      </c>
      <c r="F1052" s="59" t="s">
        <v>2349</v>
      </c>
      <c r="G1052" s="58" t="s">
        <v>2208</v>
      </c>
    </row>
    <row r="1053" spans="1:7" ht="17.25">
      <c r="A1053" s="76" t="s">
        <v>2523</v>
      </c>
      <c r="B1053" s="76"/>
      <c r="C1053" s="76"/>
      <c r="D1053" s="76"/>
      <c r="E1053" s="77"/>
      <c r="F1053" s="76"/>
      <c r="G1053" s="76"/>
    </row>
    <row r="1054" spans="1:7">
      <c r="A1054" s="58" t="s">
        <v>2210</v>
      </c>
      <c r="B1054" s="58" t="s">
        <v>2211</v>
      </c>
      <c r="C1054" s="58" t="s">
        <v>108</v>
      </c>
      <c r="D1054" s="58" t="s">
        <v>2515</v>
      </c>
      <c r="E1054" s="59" t="s">
        <v>108</v>
      </c>
      <c r="F1054" s="59" t="s">
        <v>2349</v>
      </c>
      <c r="G1054" s="58" t="s">
        <v>2120</v>
      </c>
    </row>
    <row r="1055" spans="1:7">
      <c r="A1055" s="58" t="s">
        <v>2212</v>
      </c>
      <c r="B1055" s="58" t="s">
        <v>2213</v>
      </c>
      <c r="C1055" s="58" t="s">
        <v>108</v>
      </c>
      <c r="D1055" s="58" t="s">
        <v>2515</v>
      </c>
      <c r="E1055" s="59" t="s">
        <v>108</v>
      </c>
      <c r="F1055" s="59" t="s">
        <v>2349</v>
      </c>
      <c r="G1055" s="58" t="s">
        <v>2120</v>
      </c>
    </row>
    <row r="1056" spans="1:7">
      <c r="A1056" s="58" t="s">
        <v>2214</v>
      </c>
      <c r="B1056" s="58" t="s">
        <v>2213</v>
      </c>
      <c r="C1056" s="58" t="s">
        <v>108</v>
      </c>
      <c r="D1056" s="58" t="s">
        <v>2515</v>
      </c>
      <c r="E1056" s="59" t="s">
        <v>108</v>
      </c>
      <c r="F1056" s="59" t="s">
        <v>2349</v>
      </c>
      <c r="G1056" s="58" t="s">
        <v>2120</v>
      </c>
    </row>
    <row r="1057" spans="1:7" ht="17.25">
      <c r="A1057" s="76" t="s">
        <v>2524</v>
      </c>
      <c r="B1057" s="76"/>
      <c r="C1057" s="76"/>
      <c r="D1057" s="76"/>
      <c r="E1057" s="77"/>
      <c r="F1057" s="76"/>
      <c r="G1057" s="76"/>
    </row>
    <row r="1058" spans="1:7">
      <c r="A1058" s="57" t="s">
        <v>2328</v>
      </c>
      <c r="B1058" s="57" t="s">
        <v>2217</v>
      </c>
      <c r="C1058" s="57" t="s">
        <v>2309</v>
      </c>
      <c r="D1058" s="57" t="s">
        <v>2515</v>
      </c>
      <c r="E1058" s="75" t="s">
        <v>2311</v>
      </c>
      <c r="F1058" s="57" t="s">
        <v>2024</v>
      </c>
      <c r="G1058" s="57" t="s">
        <v>2329</v>
      </c>
    </row>
    <row r="1059" spans="1:7">
      <c r="A1059" s="57" t="s">
        <v>2330</v>
      </c>
      <c r="B1059" s="57" t="s">
        <v>2331</v>
      </c>
      <c r="C1059" s="57" t="s">
        <v>2309</v>
      </c>
      <c r="D1059" s="57" t="s">
        <v>2515</v>
      </c>
      <c r="E1059" s="75" t="s">
        <v>2311</v>
      </c>
      <c r="F1059" s="57" t="s">
        <v>2024</v>
      </c>
      <c r="G1059" s="57" t="s">
        <v>2332</v>
      </c>
    </row>
    <row r="1060" spans="1:7">
      <c r="A1060" s="58" t="s">
        <v>2216</v>
      </c>
      <c r="B1060" s="58" t="s">
        <v>2217</v>
      </c>
      <c r="C1060" s="58" t="s">
        <v>2193</v>
      </c>
      <c r="D1060" s="58" t="s">
        <v>2515</v>
      </c>
      <c r="E1060" s="59" t="s">
        <v>2193</v>
      </c>
      <c r="F1060" s="59" t="s">
        <v>2349</v>
      </c>
      <c r="G1060" s="58" t="s">
        <v>2218</v>
      </c>
    </row>
    <row r="1061" spans="1:7">
      <c r="A1061" s="58" t="s">
        <v>2219</v>
      </c>
      <c r="B1061" s="58" t="s">
        <v>2220</v>
      </c>
      <c r="C1061" s="58" t="s">
        <v>108</v>
      </c>
      <c r="D1061" s="58" t="s">
        <v>2515</v>
      </c>
      <c r="E1061" s="59" t="s">
        <v>108</v>
      </c>
      <c r="F1061" s="59" t="s">
        <v>2349</v>
      </c>
      <c r="G1061" s="58" t="s">
        <v>2221</v>
      </c>
    </row>
    <row r="1062" spans="1:7">
      <c r="A1062" s="58" t="s">
        <v>2222</v>
      </c>
      <c r="B1062" s="58" t="s">
        <v>2223</v>
      </c>
      <c r="C1062" s="58" t="s">
        <v>108</v>
      </c>
      <c r="D1062" s="58" t="s">
        <v>2515</v>
      </c>
      <c r="E1062" s="59" t="s">
        <v>108</v>
      </c>
      <c r="F1062" s="59" t="s">
        <v>2349</v>
      </c>
      <c r="G1062" s="58" t="s">
        <v>2224</v>
      </c>
    </row>
    <row r="1063" spans="1:7">
      <c r="A1063" s="58" t="s">
        <v>2225</v>
      </c>
      <c r="B1063" s="58" t="s">
        <v>2226</v>
      </c>
      <c r="C1063" s="58" t="s">
        <v>108</v>
      </c>
      <c r="D1063" s="58" t="s">
        <v>2515</v>
      </c>
      <c r="E1063" s="59" t="s">
        <v>108</v>
      </c>
      <c r="F1063" s="59" t="s">
        <v>2349</v>
      </c>
      <c r="G1063" s="58" t="s">
        <v>2227</v>
      </c>
    </row>
    <row r="1064" spans="1:7">
      <c r="A1064" s="57" t="s">
        <v>2228</v>
      </c>
      <c r="B1064" s="57"/>
      <c r="C1064" s="57" t="s">
        <v>2135</v>
      </c>
      <c r="D1064" s="57" t="s">
        <v>2515</v>
      </c>
      <c r="E1064" s="75" t="s">
        <v>2517</v>
      </c>
      <c r="F1064" s="57" t="s">
        <v>2024</v>
      </c>
      <c r="G1064" s="57" t="s">
        <v>2120</v>
      </c>
    </row>
    <row r="1065" spans="1:7" ht="17.25">
      <c r="A1065" s="76" t="s">
        <v>2525</v>
      </c>
      <c r="B1065" s="76"/>
      <c r="C1065" s="76"/>
      <c r="D1065" s="76"/>
      <c r="E1065" s="77"/>
      <c r="F1065" s="76"/>
      <c r="G1065" s="76"/>
    </row>
    <row r="1066" spans="1:7">
      <c r="A1066" s="58" t="s">
        <v>2230</v>
      </c>
      <c r="B1066" s="58" t="s">
        <v>2220</v>
      </c>
      <c r="C1066" s="58" t="s">
        <v>108</v>
      </c>
      <c r="D1066" s="58" t="s">
        <v>2515</v>
      </c>
      <c r="E1066" s="59" t="s">
        <v>108</v>
      </c>
      <c r="F1066" s="59" t="s">
        <v>2349</v>
      </c>
      <c r="G1066" s="58" t="s">
        <v>2231</v>
      </c>
    </row>
    <row r="1067" spans="1:7">
      <c r="A1067" s="58" t="s">
        <v>2232</v>
      </c>
      <c r="B1067" s="58" t="s">
        <v>2220</v>
      </c>
      <c r="C1067" s="58" t="s">
        <v>108</v>
      </c>
      <c r="D1067" s="58" t="s">
        <v>2515</v>
      </c>
      <c r="E1067" s="59" t="s">
        <v>108</v>
      </c>
      <c r="F1067" s="59" t="s">
        <v>2349</v>
      </c>
      <c r="G1067" s="58" t="s">
        <v>2120</v>
      </c>
    </row>
    <row r="1068" spans="1:7">
      <c r="A1068" s="58" t="s">
        <v>2233</v>
      </c>
      <c r="B1068" s="58" t="s">
        <v>2234</v>
      </c>
      <c r="C1068" s="58" t="s">
        <v>108</v>
      </c>
      <c r="D1068" s="58" t="s">
        <v>2515</v>
      </c>
      <c r="E1068" s="59" t="s">
        <v>108</v>
      </c>
      <c r="F1068" s="59" t="s">
        <v>2349</v>
      </c>
      <c r="G1068" s="58" t="s">
        <v>2235</v>
      </c>
    </row>
    <row r="1069" spans="1:7">
      <c r="A1069" s="58" t="s">
        <v>2236</v>
      </c>
      <c r="B1069" s="58" t="s">
        <v>2237</v>
      </c>
      <c r="C1069" s="58" t="s">
        <v>108</v>
      </c>
      <c r="D1069" s="58" t="s">
        <v>2515</v>
      </c>
      <c r="E1069" s="59" t="s">
        <v>108</v>
      </c>
      <c r="F1069" s="59" t="s">
        <v>2349</v>
      </c>
      <c r="G1069" s="58" t="s">
        <v>2231</v>
      </c>
    </row>
    <row r="1070" spans="1:7">
      <c r="A1070" s="58" t="s">
        <v>2238</v>
      </c>
      <c r="B1070" s="58" t="s">
        <v>2237</v>
      </c>
      <c r="C1070" s="58" t="s">
        <v>108</v>
      </c>
      <c r="D1070" s="58" t="s">
        <v>2515</v>
      </c>
      <c r="E1070" s="59" t="s">
        <v>108</v>
      </c>
      <c r="F1070" s="59" t="s">
        <v>2349</v>
      </c>
      <c r="G1070" s="58" t="s">
        <v>2239</v>
      </c>
    </row>
    <row r="1071" spans="1:7">
      <c r="A1071" s="58" t="s">
        <v>2240</v>
      </c>
      <c r="B1071" s="58" t="s">
        <v>2241</v>
      </c>
      <c r="C1071" s="58" t="s">
        <v>2193</v>
      </c>
      <c r="D1071" s="58" t="s">
        <v>2515</v>
      </c>
      <c r="E1071" s="59" t="s">
        <v>2193</v>
      </c>
      <c r="F1071" s="59" t="s">
        <v>2349</v>
      </c>
      <c r="G1071" s="58" t="s">
        <v>2120</v>
      </c>
    </row>
    <row r="1072" spans="1:7">
      <c r="A1072" s="58" t="s">
        <v>2242</v>
      </c>
      <c r="B1072" s="58" t="s">
        <v>2220</v>
      </c>
      <c r="C1072" s="58" t="s">
        <v>2243</v>
      </c>
      <c r="D1072" s="58" t="s">
        <v>2515</v>
      </c>
      <c r="E1072" s="59" t="s">
        <v>2526</v>
      </c>
      <c r="F1072" s="59" t="s">
        <v>2349</v>
      </c>
      <c r="G1072" s="58" t="s">
        <v>2244</v>
      </c>
    </row>
    <row r="1073" spans="1:7">
      <c r="A1073" s="58" t="s">
        <v>2245</v>
      </c>
      <c r="B1073" s="58" t="s">
        <v>2241</v>
      </c>
      <c r="C1073" s="58" t="s">
        <v>2246</v>
      </c>
      <c r="D1073" s="58" t="s">
        <v>2515</v>
      </c>
      <c r="E1073" s="59" t="s">
        <v>108</v>
      </c>
      <c r="F1073" s="59" t="s">
        <v>2349</v>
      </c>
      <c r="G1073" s="58" t="s">
        <v>2120</v>
      </c>
    </row>
    <row r="1074" spans="1:7">
      <c r="A1074" s="57" t="s">
        <v>2335</v>
      </c>
      <c r="B1074" s="57"/>
      <c r="C1074" s="57" t="s">
        <v>2309</v>
      </c>
      <c r="D1074" s="57" t="s">
        <v>2515</v>
      </c>
      <c r="E1074" s="75" t="s">
        <v>2311</v>
      </c>
      <c r="F1074" s="57" t="s">
        <v>2024</v>
      </c>
      <c r="G1074" s="57" t="s">
        <v>2336</v>
      </c>
    </row>
    <row r="1075" spans="1:7">
      <c r="A1075" s="58" t="s">
        <v>2247</v>
      </c>
      <c r="B1075" s="58" t="s">
        <v>2248</v>
      </c>
      <c r="C1075" s="58" t="s">
        <v>108</v>
      </c>
      <c r="D1075" s="58" t="s">
        <v>2515</v>
      </c>
      <c r="E1075" s="59" t="s">
        <v>108</v>
      </c>
      <c r="F1075" s="59" t="s">
        <v>2349</v>
      </c>
      <c r="G1075" s="58" t="s">
        <v>2249</v>
      </c>
    </row>
    <row r="1076" spans="1:7">
      <c r="A1076" s="57" t="s">
        <v>2337</v>
      </c>
      <c r="B1076" s="57" t="s">
        <v>2248</v>
      </c>
      <c r="C1076" s="57" t="s">
        <v>2338</v>
      </c>
      <c r="D1076" s="57" t="s">
        <v>2515</v>
      </c>
      <c r="E1076" s="75" t="s">
        <v>2339</v>
      </c>
      <c r="F1076" s="57" t="s">
        <v>2024</v>
      </c>
      <c r="G1076" s="57" t="s">
        <v>2120</v>
      </c>
    </row>
    <row r="1077" spans="1:7" ht="17.25">
      <c r="A1077" s="76" t="s">
        <v>2527</v>
      </c>
      <c r="B1077" s="76"/>
      <c r="C1077" s="76"/>
      <c r="D1077" s="76"/>
      <c r="E1077" s="77"/>
      <c r="F1077" s="76"/>
      <c r="G1077" s="76"/>
    </row>
    <row r="1078" spans="1:7">
      <c r="A1078" s="58" t="s">
        <v>2251</v>
      </c>
      <c r="B1078" s="58" t="s">
        <v>2252</v>
      </c>
      <c r="C1078" s="58" t="s">
        <v>108</v>
      </c>
      <c r="D1078" s="58" t="s">
        <v>2515</v>
      </c>
      <c r="E1078" s="59" t="s">
        <v>108</v>
      </c>
      <c r="F1078" s="59" t="s">
        <v>2349</v>
      </c>
      <c r="G1078" s="58" t="s">
        <v>2120</v>
      </c>
    </row>
    <row r="1079" spans="1:7">
      <c r="A1079" s="58" t="s">
        <v>2253</v>
      </c>
      <c r="B1079" s="58" t="s">
        <v>2252</v>
      </c>
      <c r="C1079" s="58" t="s">
        <v>2193</v>
      </c>
      <c r="D1079" s="58" t="s">
        <v>2515</v>
      </c>
      <c r="E1079" s="59" t="s">
        <v>2193</v>
      </c>
      <c r="F1079" s="59" t="s">
        <v>2349</v>
      </c>
      <c r="G1079" s="58" t="s">
        <v>2254</v>
      </c>
    </row>
    <row r="1080" spans="1:7">
      <c r="A1080" s="58" t="s">
        <v>2255</v>
      </c>
      <c r="B1080" s="58" t="s">
        <v>2256</v>
      </c>
      <c r="C1080" s="58" t="s">
        <v>2257</v>
      </c>
      <c r="D1080" s="58" t="s">
        <v>2515</v>
      </c>
      <c r="E1080" s="59" t="s">
        <v>108</v>
      </c>
      <c r="F1080" s="59" t="s">
        <v>2349</v>
      </c>
      <c r="G1080" s="58" t="s">
        <v>2120</v>
      </c>
    </row>
    <row r="1081" spans="1:7">
      <c r="A1081" s="58" t="s">
        <v>2258</v>
      </c>
      <c r="B1081" s="58" t="s">
        <v>2259</v>
      </c>
      <c r="C1081" s="58" t="s">
        <v>2260</v>
      </c>
      <c r="D1081" s="58" t="s">
        <v>2515</v>
      </c>
      <c r="E1081" s="59" t="s">
        <v>2528</v>
      </c>
      <c r="F1081" s="59" t="s">
        <v>2349</v>
      </c>
      <c r="G1081" s="58" t="s">
        <v>2261</v>
      </c>
    </row>
    <row r="1082" spans="1:7">
      <c r="A1082" s="58" t="s">
        <v>2262</v>
      </c>
      <c r="B1082" s="58" t="s">
        <v>2259</v>
      </c>
      <c r="C1082" s="58" t="s">
        <v>2147</v>
      </c>
      <c r="D1082" s="58" t="s">
        <v>2515</v>
      </c>
      <c r="E1082" s="59" t="s">
        <v>108</v>
      </c>
      <c r="F1082" s="59" t="s">
        <v>2349</v>
      </c>
      <c r="G1082" s="58" t="s">
        <v>2263</v>
      </c>
    </row>
    <row r="1083" spans="1:7">
      <c r="A1083" s="58" t="s">
        <v>2264</v>
      </c>
      <c r="B1083" s="58" t="s">
        <v>2252</v>
      </c>
      <c r="C1083" s="58" t="s">
        <v>2265</v>
      </c>
      <c r="D1083" s="58" t="s">
        <v>2515</v>
      </c>
      <c r="E1083" s="59" t="s">
        <v>108</v>
      </c>
      <c r="F1083" s="59" t="s">
        <v>2349</v>
      </c>
      <c r="G1083" s="58" t="s">
        <v>2120</v>
      </c>
    </row>
    <row r="1084" spans="1:7">
      <c r="A1084" s="58" t="s">
        <v>2266</v>
      </c>
      <c r="B1084" s="58" t="s">
        <v>2252</v>
      </c>
      <c r="C1084" s="58" t="s">
        <v>2267</v>
      </c>
      <c r="D1084" s="58" t="s">
        <v>2515</v>
      </c>
      <c r="E1084" s="59" t="s">
        <v>108</v>
      </c>
      <c r="F1084" s="59" t="s">
        <v>2349</v>
      </c>
      <c r="G1084" s="58" t="s">
        <v>2268</v>
      </c>
    </row>
    <row r="1085" spans="1:7">
      <c r="A1085" s="58" t="s">
        <v>2269</v>
      </c>
      <c r="B1085" s="58" t="s">
        <v>2252</v>
      </c>
      <c r="C1085" s="58" t="s">
        <v>2270</v>
      </c>
      <c r="D1085" s="58" t="s">
        <v>2515</v>
      </c>
      <c r="E1085" s="59" t="s">
        <v>108</v>
      </c>
      <c r="F1085" s="59" t="s">
        <v>2349</v>
      </c>
      <c r="G1085" s="58" t="s">
        <v>2120</v>
      </c>
    </row>
    <row r="1086" spans="1:7" ht="17.25">
      <c r="A1086" s="76" t="s">
        <v>2529</v>
      </c>
      <c r="B1086" s="76"/>
      <c r="C1086" s="76"/>
      <c r="D1086" s="76"/>
      <c r="E1086" s="77"/>
      <c r="F1086" s="76"/>
      <c r="G1086" s="76"/>
    </row>
    <row r="1087" spans="1:7">
      <c r="A1087" s="57" t="s">
        <v>2342</v>
      </c>
      <c r="B1087" s="57"/>
      <c r="C1087" s="57" t="s">
        <v>2309</v>
      </c>
      <c r="D1087" s="57" t="s">
        <v>2515</v>
      </c>
      <c r="E1087" s="75" t="s">
        <v>2311</v>
      </c>
      <c r="F1087" s="57" t="s">
        <v>2024</v>
      </c>
      <c r="G1087" s="57" t="s">
        <v>2343</v>
      </c>
    </row>
    <row r="1088" spans="1:7">
      <c r="A1088" s="58" t="s">
        <v>2272</v>
      </c>
      <c r="B1088" s="58" t="s">
        <v>2273</v>
      </c>
      <c r="C1088" s="58" t="s">
        <v>2274</v>
      </c>
      <c r="D1088" s="58" t="s">
        <v>2515</v>
      </c>
      <c r="E1088" s="59" t="s">
        <v>108</v>
      </c>
      <c r="F1088" s="59" t="s">
        <v>2349</v>
      </c>
      <c r="G1088" s="58" t="s">
        <v>2275</v>
      </c>
    </row>
    <row r="1089" spans="1:7">
      <c r="A1089" s="58" t="s">
        <v>2276</v>
      </c>
      <c r="B1089" s="58" t="s">
        <v>2248</v>
      </c>
      <c r="C1089" s="58" t="s">
        <v>2277</v>
      </c>
      <c r="D1089" s="58" t="s">
        <v>2515</v>
      </c>
      <c r="E1089" s="59" t="s">
        <v>108</v>
      </c>
      <c r="F1089" s="59" t="s">
        <v>2349</v>
      </c>
      <c r="G1089" s="58" t="s">
        <v>2278</v>
      </c>
    </row>
    <row r="1090" spans="1:7">
      <c r="A1090" s="58" t="s">
        <v>2279</v>
      </c>
      <c r="B1090" s="58" t="s">
        <v>2280</v>
      </c>
      <c r="C1090" s="58" t="s">
        <v>2281</v>
      </c>
      <c r="D1090" s="58" t="s">
        <v>2515</v>
      </c>
      <c r="E1090" s="59" t="s">
        <v>108</v>
      </c>
      <c r="F1090" s="59" t="s">
        <v>2349</v>
      </c>
      <c r="G1090" s="58" t="s">
        <v>2282</v>
      </c>
    </row>
    <row r="1091" spans="1:7">
      <c r="A1091" s="58" t="s">
        <v>2283</v>
      </c>
      <c r="B1091" s="58" t="s">
        <v>2273</v>
      </c>
      <c r="C1091" s="58" t="s">
        <v>108</v>
      </c>
      <c r="D1091" s="58" t="s">
        <v>2515</v>
      </c>
      <c r="E1091" s="59" t="s">
        <v>108</v>
      </c>
      <c r="F1091" s="59" t="s">
        <v>2349</v>
      </c>
      <c r="G1091" s="58" t="s">
        <v>2284</v>
      </c>
    </row>
    <row r="1092" spans="1:7">
      <c r="A1092" s="57" t="s">
        <v>2344</v>
      </c>
      <c r="B1092" s="57" t="s">
        <v>2273</v>
      </c>
      <c r="C1092" s="57" t="s">
        <v>2309</v>
      </c>
      <c r="D1092" s="57" t="s">
        <v>2515</v>
      </c>
      <c r="E1092" s="75" t="s">
        <v>2311</v>
      </c>
      <c r="F1092" s="57" t="s">
        <v>2024</v>
      </c>
      <c r="G1092" s="57" t="s">
        <v>2345</v>
      </c>
    </row>
    <row r="1093" spans="1:7">
      <c r="A1093" s="57" t="s">
        <v>2285</v>
      </c>
      <c r="B1093" s="57"/>
      <c r="C1093" s="57" t="s">
        <v>2135</v>
      </c>
      <c r="D1093" s="57" t="s">
        <v>2515</v>
      </c>
      <c r="E1093" s="75" t="s">
        <v>2517</v>
      </c>
      <c r="F1093" s="57" t="s">
        <v>2024</v>
      </c>
      <c r="G1093" s="57" t="s">
        <v>2120</v>
      </c>
    </row>
    <row r="1094" spans="1:7">
      <c r="A1094" s="58" t="s">
        <v>2286</v>
      </c>
      <c r="B1094" s="58"/>
      <c r="C1094" s="58" t="s">
        <v>108</v>
      </c>
      <c r="D1094" s="58" t="s">
        <v>2515</v>
      </c>
      <c r="E1094" s="59" t="s">
        <v>108</v>
      </c>
      <c r="F1094" s="59" t="s">
        <v>2349</v>
      </c>
      <c r="G1094" s="58" t="s">
        <v>2120</v>
      </c>
    </row>
    <row r="1095" spans="1:7">
      <c r="A1095" s="58" t="s">
        <v>2287</v>
      </c>
      <c r="B1095" s="58" t="s">
        <v>2273</v>
      </c>
      <c r="C1095" s="58" t="s">
        <v>2288</v>
      </c>
      <c r="D1095" s="58" t="s">
        <v>2515</v>
      </c>
      <c r="E1095" s="59" t="s">
        <v>2288</v>
      </c>
      <c r="F1095" s="59" t="s">
        <v>2349</v>
      </c>
      <c r="G1095" s="58" t="s">
        <v>2289</v>
      </c>
    </row>
    <row r="1096" spans="1:7" ht="17.25">
      <c r="A1096" s="76" t="s">
        <v>2530</v>
      </c>
      <c r="B1096" s="76"/>
      <c r="C1096" s="76"/>
      <c r="D1096" s="76"/>
      <c r="E1096" s="77"/>
      <c r="F1096" s="76"/>
      <c r="G1096" s="76"/>
    </row>
    <row r="1097" spans="1:7">
      <c r="A1097" s="57" t="s">
        <v>2291</v>
      </c>
      <c r="B1097" s="57"/>
      <c r="C1097" s="57" t="s">
        <v>2135</v>
      </c>
      <c r="D1097" s="57" t="s">
        <v>2515</v>
      </c>
      <c r="E1097" s="75" t="s">
        <v>2517</v>
      </c>
      <c r="F1097" s="57" t="s">
        <v>2024</v>
      </c>
      <c r="G1097" s="57" t="s">
        <v>2292</v>
      </c>
    </row>
    <row r="1098" spans="1:7">
      <c r="A1098" s="58" t="s">
        <v>2293</v>
      </c>
      <c r="B1098" s="58" t="s">
        <v>2294</v>
      </c>
      <c r="C1098" s="58" t="s">
        <v>2295</v>
      </c>
      <c r="D1098" s="58" t="s">
        <v>2515</v>
      </c>
      <c r="E1098" s="59" t="s">
        <v>108</v>
      </c>
      <c r="F1098" s="59" t="s">
        <v>2349</v>
      </c>
      <c r="G1098" s="58" t="s">
        <v>2296</v>
      </c>
    </row>
    <row r="1099" spans="1:7">
      <c r="A1099" s="58" t="s">
        <v>2297</v>
      </c>
      <c r="B1099" s="58" t="s">
        <v>2298</v>
      </c>
      <c r="C1099" s="58" t="s">
        <v>108</v>
      </c>
      <c r="D1099" s="58" t="s">
        <v>2515</v>
      </c>
      <c r="E1099" s="59" t="s">
        <v>108</v>
      </c>
      <c r="F1099" s="59" t="s">
        <v>2349</v>
      </c>
      <c r="G1099" s="58" t="s">
        <v>2299</v>
      </c>
    </row>
    <row r="1100" spans="1:7">
      <c r="A1100" s="58" t="s">
        <v>2300</v>
      </c>
      <c r="B1100" s="58" t="s">
        <v>2294</v>
      </c>
      <c r="C1100" s="58" t="s">
        <v>108</v>
      </c>
      <c r="D1100" s="58" t="s">
        <v>2515</v>
      </c>
      <c r="E1100" s="59" t="s">
        <v>108</v>
      </c>
      <c r="F1100" s="59" t="s">
        <v>2349</v>
      </c>
      <c r="G1100" s="58" t="s">
        <v>2299</v>
      </c>
    </row>
    <row r="1101" spans="1:7">
      <c r="A1101" s="58" t="s">
        <v>2301</v>
      </c>
      <c r="B1101" s="58" t="s">
        <v>2302</v>
      </c>
      <c r="C1101" s="58" t="s">
        <v>2193</v>
      </c>
      <c r="D1101" s="58" t="s">
        <v>2515</v>
      </c>
      <c r="E1101" s="59" t="s">
        <v>2193</v>
      </c>
      <c r="F1101" s="59" t="s">
        <v>2349</v>
      </c>
      <c r="G1101" s="58" t="s">
        <v>2303</v>
      </c>
    </row>
    <row r="1102" spans="1:7">
      <c r="A1102" s="58" t="s">
        <v>2304</v>
      </c>
      <c r="B1102" s="58" t="s">
        <v>2305</v>
      </c>
      <c r="C1102" s="58" t="s">
        <v>2257</v>
      </c>
      <c r="D1102" s="58" t="s">
        <v>2515</v>
      </c>
      <c r="E1102" s="59" t="s">
        <v>108</v>
      </c>
      <c r="F1102" s="59" t="s">
        <v>2349</v>
      </c>
      <c r="G1102" s="58" t="s">
        <v>2306</v>
      </c>
    </row>
    <row r="1103" spans="1:7" ht="17.25">
      <c r="A1103" s="76" t="s">
        <v>2531</v>
      </c>
      <c r="B1103" s="76"/>
      <c r="C1103" s="76"/>
      <c r="D1103" s="76"/>
      <c r="E1103" s="77"/>
      <c r="F1103" s="76"/>
      <c r="G1103" s="76"/>
    </row>
    <row r="1104" spans="1:7">
      <c r="A1104" s="58" t="s">
        <v>2532</v>
      </c>
      <c r="B1104" s="58" t="s">
        <v>2533</v>
      </c>
      <c r="C1104" s="58" t="s">
        <v>1559</v>
      </c>
      <c r="D1104" s="58" t="s">
        <v>2534</v>
      </c>
      <c r="E1104" s="59" t="s">
        <v>108</v>
      </c>
      <c r="F1104" s="59" t="s">
        <v>2349</v>
      </c>
      <c r="G1104" s="58" t="s">
        <v>2535</v>
      </c>
    </row>
    <row r="1105" spans="1:7">
      <c r="A1105" s="58" t="s">
        <v>2536</v>
      </c>
      <c r="B1105" s="58" t="s">
        <v>2537</v>
      </c>
      <c r="C1105" s="58" t="s">
        <v>2538</v>
      </c>
      <c r="D1105" s="58" t="s">
        <v>2534</v>
      </c>
      <c r="E1105" s="59" t="s">
        <v>108</v>
      </c>
      <c r="F1105" s="59" t="s">
        <v>2349</v>
      </c>
      <c r="G1105" s="58" t="s">
        <v>2539</v>
      </c>
    </row>
    <row r="1106" spans="1:7">
      <c r="A1106" s="58" t="s">
        <v>2540</v>
      </c>
      <c r="B1106" s="58" t="s">
        <v>2537</v>
      </c>
      <c r="C1106" s="58" t="s">
        <v>2193</v>
      </c>
      <c r="D1106" s="58" t="s">
        <v>2534</v>
      </c>
      <c r="E1106" s="59" t="s">
        <v>2193</v>
      </c>
      <c r="F1106" s="59" t="s">
        <v>2349</v>
      </c>
      <c r="G1106" s="58" t="s">
        <v>2541</v>
      </c>
    </row>
    <row r="1107" spans="1:7">
      <c r="A1107" s="58" t="s">
        <v>2542</v>
      </c>
      <c r="B1107" s="58" t="s">
        <v>2533</v>
      </c>
      <c r="C1107" s="58" t="s">
        <v>108</v>
      </c>
      <c r="D1107" s="58" t="s">
        <v>2534</v>
      </c>
      <c r="E1107" s="59" t="s">
        <v>108</v>
      </c>
      <c r="F1107" s="59" t="s">
        <v>2349</v>
      </c>
      <c r="G1107" s="58" t="s">
        <v>2543</v>
      </c>
    </row>
    <row r="1108" spans="1:7">
      <c r="A1108" s="58" t="s">
        <v>2544</v>
      </c>
      <c r="B1108" s="58" t="s">
        <v>2545</v>
      </c>
      <c r="C1108" s="58" t="s">
        <v>2193</v>
      </c>
      <c r="D1108" s="58" t="s">
        <v>2534</v>
      </c>
      <c r="E1108" s="59" t="s">
        <v>2193</v>
      </c>
      <c r="F1108" s="59" t="s">
        <v>2349</v>
      </c>
      <c r="G1108" s="58" t="s">
        <v>2541</v>
      </c>
    </row>
    <row r="1109" spans="1:7">
      <c r="A1109" s="57" t="s">
        <v>2546</v>
      </c>
      <c r="B1109" s="57" t="s">
        <v>2546</v>
      </c>
      <c r="C1109" s="57" t="s">
        <v>2135</v>
      </c>
      <c r="D1109" s="57" t="s">
        <v>2534</v>
      </c>
      <c r="E1109" s="75" t="s">
        <v>2517</v>
      </c>
      <c r="F1109" s="57" t="s">
        <v>2038</v>
      </c>
      <c r="G1109" s="57" t="s">
        <v>2547</v>
      </c>
    </row>
    <row r="1110" spans="1:7" ht="17.25">
      <c r="A1110" s="76" t="s">
        <v>2548</v>
      </c>
      <c r="B1110" s="76"/>
      <c r="C1110" s="76"/>
      <c r="D1110" s="76"/>
      <c r="E1110" s="77"/>
      <c r="F1110" s="76"/>
      <c r="G1110" s="76"/>
    </row>
    <row r="1111" spans="1:7">
      <c r="A1111" s="58" t="s">
        <v>2549</v>
      </c>
      <c r="B1111" s="58" t="s">
        <v>2537</v>
      </c>
      <c r="C1111" s="58" t="s">
        <v>2288</v>
      </c>
      <c r="D1111" s="58" t="s">
        <v>2534</v>
      </c>
      <c r="E1111" s="59" t="s">
        <v>2288</v>
      </c>
      <c r="F1111" s="59" t="s">
        <v>2349</v>
      </c>
      <c r="G1111" s="58" t="s">
        <v>2550</v>
      </c>
    </row>
    <row r="1112" spans="1:7">
      <c r="A1112" s="57" t="s">
        <v>2551</v>
      </c>
      <c r="B1112" s="57" t="s">
        <v>2537</v>
      </c>
      <c r="C1112" s="57" t="s">
        <v>2135</v>
      </c>
      <c r="D1112" s="57" t="s">
        <v>2534</v>
      </c>
      <c r="E1112" s="75" t="s">
        <v>2517</v>
      </c>
      <c r="F1112" s="57" t="s">
        <v>2038</v>
      </c>
      <c r="G1112" s="57" t="s">
        <v>2552</v>
      </c>
    </row>
    <row r="1113" spans="1:7">
      <c r="A1113" s="57" t="s">
        <v>2553</v>
      </c>
      <c r="B1113" s="57" t="s">
        <v>2554</v>
      </c>
      <c r="C1113" s="57" t="s">
        <v>2135</v>
      </c>
      <c r="D1113" s="57" t="s">
        <v>2534</v>
      </c>
      <c r="E1113" s="75" t="s">
        <v>2517</v>
      </c>
      <c r="F1113" s="57" t="s">
        <v>2038</v>
      </c>
      <c r="G1113" s="57" t="s">
        <v>2555</v>
      </c>
    </row>
    <row r="1114" spans="1:7">
      <c r="A1114" s="58" t="s">
        <v>2556</v>
      </c>
      <c r="B1114" s="58" t="s">
        <v>2533</v>
      </c>
      <c r="C1114" s="58" t="s">
        <v>2288</v>
      </c>
      <c r="D1114" s="58" t="s">
        <v>2534</v>
      </c>
      <c r="E1114" s="59" t="s">
        <v>2288</v>
      </c>
      <c r="F1114" s="59" t="s">
        <v>2349</v>
      </c>
      <c r="G1114" s="58" t="s">
        <v>2557</v>
      </c>
    </row>
    <row r="1115" spans="1:7">
      <c r="A1115" s="58" t="s">
        <v>2558</v>
      </c>
      <c r="B1115" s="58" t="s">
        <v>2559</v>
      </c>
      <c r="C1115" s="58" t="s">
        <v>2560</v>
      </c>
      <c r="D1115" s="58" t="s">
        <v>2534</v>
      </c>
      <c r="E1115" s="59" t="s">
        <v>2288</v>
      </c>
      <c r="F1115" s="59" t="s">
        <v>2349</v>
      </c>
      <c r="G1115" s="58" t="s">
        <v>2561</v>
      </c>
    </row>
    <row r="1116" spans="1:7">
      <c r="A1116" s="58" t="s">
        <v>2562</v>
      </c>
      <c r="B1116" s="58" t="s">
        <v>2563</v>
      </c>
      <c r="C1116" s="58" t="s">
        <v>2564</v>
      </c>
      <c r="D1116" s="58" t="s">
        <v>2534</v>
      </c>
      <c r="E1116" s="59" t="s">
        <v>1201</v>
      </c>
      <c r="F1116" s="59" t="s">
        <v>2349</v>
      </c>
      <c r="G1116" s="58" t="s">
        <v>2565</v>
      </c>
    </row>
    <row r="1117" spans="1:7">
      <c r="A1117" s="57" t="s">
        <v>2566</v>
      </c>
      <c r="B1117" s="57" t="s">
        <v>2545</v>
      </c>
      <c r="C1117" s="57" t="s">
        <v>2567</v>
      </c>
      <c r="D1117" s="57" t="s">
        <v>2534</v>
      </c>
      <c r="E1117" s="75" t="s">
        <v>2568</v>
      </c>
      <c r="F1117" s="57" t="s">
        <v>2038</v>
      </c>
      <c r="G1117" s="57" t="s">
        <v>2569</v>
      </c>
    </row>
    <row r="1118" spans="1:7">
      <c r="A1118" s="57" t="s">
        <v>2570</v>
      </c>
      <c r="B1118" s="57" t="s">
        <v>2571</v>
      </c>
      <c r="C1118" s="57" t="s">
        <v>2135</v>
      </c>
      <c r="D1118" s="57" t="s">
        <v>2534</v>
      </c>
      <c r="E1118" s="75" t="s">
        <v>2517</v>
      </c>
      <c r="F1118" s="57" t="s">
        <v>2038</v>
      </c>
      <c r="G1118" s="57" t="s">
        <v>2120</v>
      </c>
    </row>
    <row r="1119" spans="1:7">
      <c r="A1119" s="57" t="s">
        <v>2572</v>
      </c>
      <c r="B1119" s="57" t="s">
        <v>2571</v>
      </c>
      <c r="C1119" s="57" t="s">
        <v>2309</v>
      </c>
      <c r="D1119" s="57" t="s">
        <v>2534</v>
      </c>
      <c r="E1119" s="75" t="s">
        <v>2311</v>
      </c>
      <c r="F1119" s="57" t="s">
        <v>2038</v>
      </c>
      <c r="G1119" s="57" t="s">
        <v>2573</v>
      </c>
    </row>
    <row r="1120" spans="1:7">
      <c r="A1120" s="57" t="s">
        <v>2574</v>
      </c>
      <c r="B1120" s="57" t="s">
        <v>2563</v>
      </c>
      <c r="C1120" s="57" t="s">
        <v>2309</v>
      </c>
      <c r="D1120" s="57" t="s">
        <v>2534</v>
      </c>
      <c r="E1120" s="75" t="s">
        <v>2311</v>
      </c>
      <c r="F1120" s="57" t="s">
        <v>2038</v>
      </c>
      <c r="G1120" s="57" t="s">
        <v>2573</v>
      </c>
    </row>
    <row r="1121" spans="1:7">
      <c r="A1121" s="57" t="s">
        <v>2575</v>
      </c>
      <c r="B1121" s="57" t="s">
        <v>2533</v>
      </c>
      <c r="C1121" s="57" t="s">
        <v>2135</v>
      </c>
      <c r="D1121" s="57" t="s">
        <v>2534</v>
      </c>
      <c r="E1121" s="75" t="s">
        <v>2517</v>
      </c>
      <c r="F1121" s="57" t="s">
        <v>2038</v>
      </c>
      <c r="G1121" s="57" t="s">
        <v>2120</v>
      </c>
    </row>
    <row r="1122" spans="1:7">
      <c r="A1122" s="58" t="s">
        <v>2576</v>
      </c>
      <c r="B1122" s="58" t="s">
        <v>2571</v>
      </c>
      <c r="C1122" s="58" t="s">
        <v>108</v>
      </c>
      <c r="D1122" s="58" t="s">
        <v>2534</v>
      </c>
      <c r="E1122" s="59" t="s">
        <v>108</v>
      </c>
      <c r="F1122" s="59" t="s">
        <v>2349</v>
      </c>
      <c r="G1122" s="58" t="s">
        <v>2577</v>
      </c>
    </row>
    <row r="1123" spans="1:7">
      <c r="A1123" s="58" t="s">
        <v>2578</v>
      </c>
      <c r="B1123" s="58" t="s">
        <v>2579</v>
      </c>
      <c r="C1123" s="58" t="s">
        <v>2564</v>
      </c>
      <c r="D1123" s="58" t="s">
        <v>2534</v>
      </c>
      <c r="E1123" s="59" t="s">
        <v>1201</v>
      </c>
      <c r="F1123" s="59" t="s">
        <v>2349</v>
      </c>
      <c r="G1123" s="58" t="s">
        <v>2565</v>
      </c>
    </row>
    <row r="1124" spans="1:7">
      <c r="A1124" s="57" t="s">
        <v>2546</v>
      </c>
      <c r="B1124" s="57" t="s">
        <v>2546</v>
      </c>
      <c r="C1124" s="57" t="s">
        <v>2135</v>
      </c>
      <c r="D1124" s="57" t="s">
        <v>2534</v>
      </c>
      <c r="E1124" s="75" t="s">
        <v>2517</v>
      </c>
      <c r="F1124" s="57" t="s">
        <v>2038</v>
      </c>
      <c r="G1124" s="57" t="s">
        <v>2580</v>
      </c>
    </row>
    <row r="1125" spans="1:7">
      <c r="A1125" s="57" t="s">
        <v>2581</v>
      </c>
      <c r="B1125" s="57" t="s">
        <v>2582</v>
      </c>
      <c r="C1125" s="57" t="s">
        <v>2135</v>
      </c>
      <c r="D1125" s="57" t="s">
        <v>2534</v>
      </c>
      <c r="E1125" s="75" t="s">
        <v>2517</v>
      </c>
      <c r="F1125" s="57" t="s">
        <v>2038</v>
      </c>
      <c r="G1125" s="57" t="s">
        <v>2583</v>
      </c>
    </row>
    <row r="1126" spans="1:7">
      <c r="A1126" s="58" t="s">
        <v>2584</v>
      </c>
      <c r="B1126" s="58" t="s">
        <v>2545</v>
      </c>
      <c r="C1126" s="58" t="s">
        <v>2585</v>
      </c>
      <c r="D1126" s="58" t="s">
        <v>2534</v>
      </c>
      <c r="E1126" s="59" t="s">
        <v>2353</v>
      </c>
      <c r="F1126" s="59" t="s">
        <v>2349</v>
      </c>
      <c r="G1126" s="58" t="s">
        <v>2586</v>
      </c>
    </row>
    <row r="1127" spans="1:7">
      <c r="A1127" s="58" t="s">
        <v>2587</v>
      </c>
      <c r="B1127" s="58" t="s">
        <v>2554</v>
      </c>
      <c r="C1127" s="58" t="s">
        <v>2288</v>
      </c>
      <c r="D1127" s="58" t="s">
        <v>2534</v>
      </c>
      <c r="E1127" s="59" t="s">
        <v>2288</v>
      </c>
      <c r="F1127" s="59" t="s">
        <v>2349</v>
      </c>
      <c r="G1127" s="58" t="s">
        <v>2588</v>
      </c>
    </row>
    <row r="1128" spans="1:7" ht="17.25">
      <c r="A1128" s="76" t="s">
        <v>2589</v>
      </c>
      <c r="B1128" s="76"/>
      <c r="C1128" s="76"/>
      <c r="D1128" s="76"/>
      <c r="E1128" s="77"/>
      <c r="F1128" s="76"/>
      <c r="G1128" s="76"/>
    </row>
    <row r="1129" spans="1:7">
      <c r="A1129" s="57" t="s">
        <v>2546</v>
      </c>
      <c r="B1129" s="57" t="s">
        <v>2546</v>
      </c>
      <c r="C1129" s="57" t="s">
        <v>2135</v>
      </c>
      <c r="D1129" s="57" t="s">
        <v>2534</v>
      </c>
      <c r="E1129" s="75" t="s">
        <v>2517</v>
      </c>
      <c r="F1129" s="57" t="s">
        <v>2038</v>
      </c>
      <c r="G1129" s="57" t="s">
        <v>2547</v>
      </c>
    </row>
    <row r="1130" spans="1:7">
      <c r="A1130" s="58" t="s">
        <v>2590</v>
      </c>
      <c r="B1130" s="58" t="s">
        <v>2591</v>
      </c>
      <c r="C1130" s="58" t="s">
        <v>2592</v>
      </c>
      <c r="D1130" s="58" t="s">
        <v>2534</v>
      </c>
      <c r="E1130" s="59" t="s">
        <v>2288</v>
      </c>
      <c r="F1130" s="59" t="s">
        <v>2349</v>
      </c>
      <c r="G1130" s="58" t="s">
        <v>2593</v>
      </c>
    </row>
    <row r="1131" spans="1:7">
      <c r="A1131" s="58" t="s">
        <v>2594</v>
      </c>
      <c r="B1131" s="58" t="s">
        <v>2533</v>
      </c>
      <c r="C1131" s="58" t="s">
        <v>2288</v>
      </c>
      <c r="D1131" s="58" t="s">
        <v>2534</v>
      </c>
      <c r="E1131" s="59" t="s">
        <v>2288</v>
      </c>
      <c r="F1131" s="59" t="s">
        <v>2349</v>
      </c>
      <c r="G1131" s="58" t="s">
        <v>2595</v>
      </c>
    </row>
    <row r="1132" spans="1:7">
      <c r="A1132" s="58" t="s">
        <v>2596</v>
      </c>
      <c r="B1132" s="58" t="s">
        <v>2582</v>
      </c>
      <c r="C1132" s="58" t="s">
        <v>108</v>
      </c>
      <c r="D1132" s="58" t="s">
        <v>2534</v>
      </c>
      <c r="E1132" s="59" t="s">
        <v>108</v>
      </c>
      <c r="F1132" s="59" t="s">
        <v>2349</v>
      </c>
      <c r="G1132" s="58" t="s">
        <v>2120</v>
      </c>
    </row>
    <row r="1133" spans="1:7">
      <c r="A1133" s="58" t="s">
        <v>2597</v>
      </c>
      <c r="B1133" s="58" t="s">
        <v>2537</v>
      </c>
      <c r="C1133" s="58" t="s">
        <v>108</v>
      </c>
      <c r="D1133" s="58" t="s">
        <v>2534</v>
      </c>
      <c r="E1133" s="59" t="s">
        <v>108</v>
      </c>
      <c r="F1133" s="59" t="s">
        <v>2349</v>
      </c>
      <c r="G1133" s="58" t="s">
        <v>2598</v>
      </c>
    </row>
    <row r="1134" spans="1:7">
      <c r="A1134" s="58" t="s">
        <v>2599</v>
      </c>
      <c r="B1134" s="58" t="s">
        <v>2559</v>
      </c>
      <c r="C1134" s="58" t="s">
        <v>2288</v>
      </c>
      <c r="D1134" s="58" t="s">
        <v>2534</v>
      </c>
      <c r="E1134" s="59" t="s">
        <v>2288</v>
      </c>
      <c r="F1134" s="59" t="s">
        <v>2349</v>
      </c>
      <c r="G1134" s="58" t="s">
        <v>2600</v>
      </c>
    </row>
    <row r="1135" spans="1:7">
      <c r="A1135" s="58" t="s">
        <v>2601</v>
      </c>
      <c r="B1135" s="58" t="s">
        <v>2533</v>
      </c>
      <c r="C1135" s="58" t="s">
        <v>2288</v>
      </c>
      <c r="D1135" s="58" t="s">
        <v>2534</v>
      </c>
      <c r="E1135" s="59" t="s">
        <v>2288</v>
      </c>
      <c r="F1135" s="59" t="s">
        <v>2349</v>
      </c>
      <c r="G1135" s="58" t="s">
        <v>2602</v>
      </c>
    </row>
    <row r="1136" spans="1:7">
      <c r="A1136" s="58" t="s">
        <v>2603</v>
      </c>
      <c r="B1136" s="58" t="s">
        <v>2559</v>
      </c>
      <c r="C1136" s="58" t="s">
        <v>2604</v>
      </c>
      <c r="D1136" s="58" t="s">
        <v>2534</v>
      </c>
      <c r="E1136" s="59" t="s">
        <v>2605</v>
      </c>
      <c r="F1136" s="59" t="s">
        <v>2349</v>
      </c>
      <c r="G1136" s="58" t="s">
        <v>2606</v>
      </c>
    </row>
    <row r="1137" spans="1:7">
      <c r="A1137" s="58" t="s">
        <v>2607</v>
      </c>
      <c r="B1137" s="58" t="s">
        <v>2563</v>
      </c>
      <c r="C1137" s="58" t="s">
        <v>2608</v>
      </c>
      <c r="D1137" s="58" t="s">
        <v>2534</v>
      </c>
      <c r="E1137" s="59" t="s">
        <v>2288</v>
      </c>
      <c r="F1137" s="59" t="s">
        <v>2349</v>
      </c>
      <c r="G1137" s="58" t="s">
        <v>2609</v>
      </c>
    </row>
    <row r="1138" spans="1:7">
      <c r="A1138" s="58" t="s">
        <v>2610</v>
      </c>
      <c r="B1138" s="58" t="s">
        <v>2545</v>
      </c>
      <c r="C1138" s="58" t="s">
        <v>108</v>
      </c>
      <c r="D1138" s="58" t="s">
        <v>2534</v>
      </c>
      <c r="E1138" s="59" t="s">
        <v>108</v>
      </c>
      <c r="F1138" s="59" t="s">
        <v>2349</v>
      </c>
      <c r="G1138" s="58" t="s">
        <v>2120</v>
      </c>
    </row>
    <row r="1139" spans="1:7">
      <c r="A1139" s="58" t="s">
        <v>2611</v>
      </c>
      <c r="B1139" s="58" t="s">
        <v>2545</v>
      </c>
      <c r="C1139" s="58" t="s">
        <v>2288</v>
      </c>
      <c r="D1139" s="58" t="s">
        <v>2534</v>
      </c>
      <c r="E1139" s="59" t="s">
        <v>2288</v>
      </c>
      <c r="F1139" s="59" t="s">
        <v>2349</v>
      </c>
      <c r="G1139" s="58" t="s">
        <v>2612</v>
      </c>
    </row>
    <row r="1140" spans="1:7" ht="17.25">
      <c r="A1140" s="76" t="s">
        <v>2613</v>
      </c>
      <c r="B1140" s="76"/>
      <c r="C1140" s="76"/>
      <c r="D1140" s="76"/>
      <c r="E1140" s="77"/>
      <c r="F1140" s="76"/>
      <c r="G1140" s="76"/>
    </row>
    <row r="1141" spans="1:7">
      <c r="A1141" s="57" t="s">
        <v>2546</v>
      </c>
      <c r="B1141" s="57" t="s">
        <v>2546</v>
      </c>
      <c r="C1141" s="57" t="s">
        <v>2135</v>
      </c>
      <c r="D1141" s="57" t="s">
        <v>2534</v>
      </c>
      <c r="E1141" s="75" t="s">
        <v>2517</v>
      </c>
      <c r="F1141" s="57" t="s">
        <v>2038</v>
      </c>
      <c r="G1141" s="57" t="s">
        <v>2614</v>
      </c>
    </row>
    <row r="1142" spans="1:7">
      <c r="A1142" s="58" t="s">
        <v>2615</v>
      </c>
      <c r="B1142" s="58" t="s">
        <v>2537</v>
      </c>
      <c r="C1142" s="58" t="s">
        <v>2616</v>
      </c>
      <c r="D1142" s="58" t="s">
        <v>2534</v>
      </c>
      <c r="E1142" s="59" t="s">
        <v>2288</v>
      </c>
      <c r="F1142" s="59" t="s">
        <v>2349</v>
      </c>
      <c r="G1142" s="58" t="s">
        <v>2617</v>
      </c>
    </row>
    <row r="1143" spans="1:7">
      <c r="A1143" s="57" t="s">
        <v>2618</v>
      </c>
      <c r="B1143" s="57" t="s">
        <v>2619</v>
      </c>
      <c r="C1143" s="57" t="s">
        <v>2135</v>
      </c>
      <c r="D1143" s="57" t="s">
        <v>2534</v>
      </c>
      <c r="E1143" s="75" t="s">
        <v>2517</v>
      </c>
      <c r="F1143" s="57" t="s">
        <v>2038</v>
      </c>
      <c r="G1143" s="57" t="s">
        <v>2120</v>
      </c>
    </row>
    <row r="1144" spans="1:7">
      <c r="A1144" s="58" t="s">
        <v>2620</v>
      </c>
      <c r="B1144" s="58" t="s">
        <v>2554</v>
      </c>
      <c r="C1144" s="58" t="s">
        <v>2288</v>
      </c>
      <c r="D1144" s="58" t="s">
        <v>2534</v>
      </c>
      <c r="E1144" s="59" t="s">
        <v>2288</v>
      </c>
      <c r="F1144" s="59" t="s">
        <v>2349</v>
      </c>
      <c r="G1144" s="58" t="s">
        <v>2621</v>
      </c>
    </row>
    <row r="1145" spans="1:7">
      <c r="A1145" s="57" t="s">
        <v>2622</v>
      </c>
      <c r="B1145" s="57" t="s">
        <v>2582</v>
      </c>
      <c r="C1145" s="57" t="s">
        <v>2135</v>
      </c>
      <c r="D1145" s="57" t="s">
        <v>2534</v>
      </c>
      <c r="E1145" s="75" t="s">
        <v>2517</v>
      </c>
      <c r="F1145" s="57" t="s">
        <v>2038</v>
      </c>
      <c r="G1145" s="57" t="s">
        <v>2120</v>
      </c>
    </row>
    <row r="1146" spans="1:7">
      <c r="A1146" s="58" t="s">
        <v>2623</v>
      </c>
      <c r="B1146" s="58" t="s">
        <v>2533</v>
      </c>
      <c r="C1146" s="58" t="s">
        <v>2288</v>
      </c>
      <c r="D1146" s="58" t="s">
        <v>2534</v>
      </c>
      <c r="E1146" s="59" t="s">
        <v>2288</v>
      </c>
      <c r="F1146" s="59" t="s">
        <v>2349</v>
      </c>
      <c r="G1146" s="58" t="s">
        <v>2624</v>
      </c>
    </row>
    <row r="1147" spans="1:7">
      <c r="A1147" s="58" t="s">
        <v>2625</v>
      </c>
      <c r="B1147" s="58" t="s">
        <v>2533</v>
      </c>
      <c r="C1147" s="58" t="s">
        <v>2288</v>
      </c>
      <c r="D1147" s="58" t="s">
        <v>2534</v>
      </c>
      <c r="E1147" s="59" t="s">
        <v>2288</v>
      </c>
      <c r="F1147" s="59" t="s">
        <v>2349</v>
      </c>
      <c r="G1147" s="58" t="s">
        <v>2120</v>
      </c>
    </row>
    <row r="1148" spans="1:7">
      <c r="A1148" s="58" t="s">
        <v>2626</v>
      </c>
      <c r="B1148" s="58" t="s">
        <v>2579</v>
      </c>
      <c r="C1148" s="58" t="s">
        <v>1201</v>
      </c>
      <c r="D1148" s="58" t="s">
        <v>2534</v>
      </c>
      <c r="E1148" s="59" t="s">
        <v>1201</v>
      </c>
      <c r="F1148" s="59" t="s">
        <v>2349</v>
      </c>
      <c r="G1148" s="58" t="s">
        <v>2627</v>
      </c>
    </row>
    <row r="1149" spans="1:7">
      <c r="A1149" s="58" t="s">
        <v>2628</v>
      </c>
      <c r="B1149" s="58" t="s">
        <v>2533</v>
      </c>
      <c r="C1149" s="58" t="s">
        <v>2629</v>
      </c>
      <c r="D1149" s="58" t="s">
        <v>2534</v>
      </c>
      <c r="E1149" s="59" t="s">
        <v>2629</v>
      </c>
      <c r="F1149" s="59" t="s">
        <v>2349</v>
      </c>
      <c r="G1149" s="58" t="s">
        <v>2630</v>
      </c>
    </row>
    <row r="1150" spans="1:7">
      <c r="A1150" s="57" t="s">
        <v>2631</v>
      </c>
      <c r="B1150" s="57" t="s">
        <v>2537</v>
      </c>
      <c r="C1150" s="57" t="s">
        <v>2135</v>
      </c>
      <c r="D1150" s="57" t="s">
        <v>2534</v>
      </c>
      <c r="E1150" s="75" t="s">
        <v>2517</v>
      </c>
      <c r="F1150" s="57" t="s">
        <v>2038</v>
      </c>
      <c r="G1150" s="57" t="s">
        <v>2632</v>
      </c>
    </row>
    <row r="1151" spans="1:7">
      <c r="A1151" s="57" t="s">
        <v>2633</v>
      </c>
      <c r="B1151" s="57" t="s">
        <v>2571</v>
      </c>
      <c r="C1151" s="57" t="s">
        <v>2135</v>
      </c>
      <c r="D1151" s="57" t="s">
        <v>2534</v>
      </c>
      <c r="E1151" s="75" t="s">
        <v>2517</v>
      </c>
      <c r="F1151" s="57" t="s">
        <v>2038</v>
      </c>
      <c r="G1151" s="57" t="s">
        <v>2632</v>
      </c>
    </row>
    <row r="1152" spans="1:7">
      <c r="A1152" s="58" t="s">
        <v>2634</v>
      </c>
      <c r="B1152" s="58" t="s">
        <v>2563</v>
      </c>
      <c r="C1152" s="58" t="s">
        <v>2288</v>
      </c>
      <c r="D1152" s="58" t="s">
        <v>2534</v>
      </c>
      <c r="E1152" s="59" t="s">
        <v>2288</v>
      </c>
      <c r="F1152" s="59" t="s">
        <v>2349</v>
      </c>
      <c r="G1152" s="58" t="s">
        <v>2635</v>
      </c>
    </row>
    <row r="1153" spans="1:7">
      <c r="A1153" s="57" t="s">
        <v>2636</v>
      </c>
      <c r="B1153" s="57" t="s">
        <v>2582</v>
      </c>
      <c r="C1153" s="57" t="s">
        <v>2135</v>
      </c>
      <c r="D1153" s="57" t="s">
        <v>2534</v>
      </c>
      <c r="E1153" s="75" t="s">
        <v>2517</v>
      </c>
      <c r="F1153" s="57" t="s">
        <v>2038</v>
      </c>
      <c r="G1153" s="57" t="s">
        <v>2120</v>
      </c>
    </row>
    <row r="1154" spans="1:7">
      <c r="A1154" s="57" t="s">
        <v>2637</v>
      </c>
      <c r="B1154" s="57" t="s">
        <v>2619</v>
      </c>
      <c r="C1154" s="57" t="s">
        <v>2338</v>
      </c>
      <c r="D1154" s="57" t="s">
        <v>2534</v>
      </c>
      <c r="E1154" s="75" t="s">
        <v>2339</v>
      </c>
      <c r="F1154" s="57" t="s">
        <v>2038</v>
      </c>
      <c r="G1154" s="57" t="s">
        <v>2120</v>
      </c>
    </row>
    <row r="1155" spans="1:7">
      <c r="A1155" s="57" t="s">
        <v>2638</v>
      </c>
      <c r="B1155" s="57" t="s">
        <v>2537</v>
      </c>
      <c r="C1155" s="57" t="s">
        <v>2338</v>
      </c>
      <c r="D1155" s="57" t="s">
        <v>2534</v>
      </c>
      <c r="E1155" s="75" t="s">
        <v>2339</v>
      </c>
      <c r="F1155" s="57" t="s">
        <v>2038</v>
      </c>
      <c r="G1155" s="57" t="s">
        <v>2639</v>
      </c>
    </row>
    <row r="1156" spans="1:7">
      <c r="A1156" s="57" t="s">
        <v>2640</v>
      </c>
      <c r="B1156" s="57" t="s">
        <v>2619</v>
      </c>
      <c r="C1156" s="57" t="s">
        <v>2309</v>
      </c>
      <c r="D1156" s="57" t="s">
        <v>2534</v>
      </c>
      <c r="E1156" s="75" t="s">
        <v>2311</v>
      </c>
      <c r="F1156" s="57" t="s">
        <v>2038</v>
      </c>
      <c r="G1156" s="57" t="s">
        <v>2641</v>
      </c>
    </row>
    <row r="1157" spans="1:7" ht="17.25">
      <c r="A1157" s="76" t="s">
        <v>2642</v>
      </c>
      <c r="B1157" s="76"/>
      <c r="C1157" s="76"/>
      <c r="D1157" s="76"/>
      <c r="E1157" s="77"/>
      <c r="F1157" s="76"/>
      <c r="G1157" s="76"/>
    </row>
    <row r="1158" spans="1:7">
      <c r="A1158" s="57" t="s">
        <v>2546</v>
      </c>
      <c r="B1158" s="57" t="s">
        <v>2546</v>
      </c>
      <c r="C1158" s="57" t="s">
        <v>2135</v>
      </c>
      <c r="D1158" s="57" t="s">
        <v>2534</v>
      </c>
      <c r="E1158" s="75" t="s">
        <v>2517</v>
      </c>
      <c r="F1158" s="57" t="s">
        <v>2038</v>
      </c>
      <c r="G1158" s="57" t="s">
        <v>2580</v>
      </c>
    </row>
    <row r="1159" spans="1:7">
      <c r="A1159" s="58" t="s">
        <v>2643</v>
      </c>
      <c r="B1159" s="58" t="s">
        <v>2579</v>
      </c>
      <c r="C1159" s="58" t="s">
        <v>2288</v>
      </c>
      <c r="D1159" s="58" t="s">
        <v>2534</v>
      </c>
      <c r="E1159" s="59" t="s">
        <v>2288</v>
      </c>
      <c r="F1159" s="59" t="s">
        <v>2349</v>
      </c>
      <c r="G1159" s="58" t="s">
        <v>2644</v>
      </c>
    </row>
    <row r="1160" spans="1:7">
      <c r="A1160" s="58" t="s">
        <v>2645</v>
      </c>
      <c r="B1160" s="58" t="s">
        <v>2537</v>
      </c>
      <c r="C1160" s="58" t="s">
        <v>2288</v>
      </c>
      <c r="D1160" s="58" t="s">
        <v>2534</v>
      </c>
      <c r="E1160" s="59" t="s">
        <v>2288</v>
      </c>
      <c r="F1160" s="59" t="s">
        <v>2349</v>
      </c>
      <c r="G1160" s="58" t="s">
        <v>2646</v>
      </c>
    </row>
    <row r="1161" spans="1:7">
      <c r="A1161" s="57" t="s">
        <v>2647</v>
      </c>
      <c r="B1161" s="57" t="s">
        <v>2591</v>
      </c>
      <c r="C1161" s="57" t="s">
        <v>2135</v>
      </c>
      <c r="D1161" s="57" t="s">
        <v>2534</v>
      </c>
      <c r="E1161" s="75" t="s">
        <v>2517</v>
      </c>
      <c r="F1161" s="57" t="s">
        <v>2038</v>
      </c>
      <c r="G1161" s="57" t="s">
        <v>2120</v>
      </c>
    </row>
    <row r="1162" spans="1:7">
      <c r="A1162" s="58" t="s">
        <v>2648</v>
      </c>
      <c r="B1162" s="58" t="s">
        <v>2591</v>
      </c>
      <c r="C1162" s="58" t="s">
        <v>2288</v>
      </c>
      <c r="D1162" s="58" t="s">
        <v>2534</v>
      </c>
      <c r="E1162" s="59" t="s">
        <v>2288</v>
      </c>
      <c r="F1162" s="59" t="s">
        <v>2349</v>
      </c>
      <c r="G1162" s="58" t="s">
        <v>2649</v>
      </c>
    </row>
    <row r="1163" spans="1:7">
      <c r="A1163" s="58" t="s">
        <v>2650</v>
      </c>
      <c r="B1163" s="58" t="s">
        <v>2571</v>
      </c>
      <c r="C1163" s="58" t="s">
        <v>2651</v>
      </c>
      <c r="D1163" s="58" t="s">
        <v>2534</v>
      </c>
      <c r="E1163" s="59" t="s">
        <v>2288</v>
      </c>
      <c r="F1163" s="59" t="s">
        <v>2349</v>
      </c>
      <c r="G1163" s="58" t="s">
        <v>2652</v>
      </c>
    </row>
    <row r="1164" spans="1:7">
      <c r="A1164" s="58" t="s">
        <v>2653</v>
      </c>
      <c r="B1164" s="58" t="s">
        <v>2533</v>
      </c>
      <c r="C1164" s="58" t="s">
        <v>2288</v>
      </c>
      <c r="D1164" s="58" t="s">
        <v>2534</v>
      </c>
      <c r="E1164" s="59" t="s">
        <v>2288</v>
      </c>
      <c r="F1164" s="59" t="s">
        <v>2349</v>
      </c>
      <c r="G1164" s="58" t="s">
        <v>2654</v>
      </c>
    </row>
    <row r="1165" spans="1:7">
      <c r="A1165" s="58" t="s">
        <v>2655</v>
      </c>
      <c r="B1165" s="58" t="s">
        <v>2571</v>
      </c>
      <c r="C1165" s="58" t="s">
        <v>2288</v>
      </c>
      <c r="D1165" s="58" t="s">
        <v>2534</v>
      </c>
      <c r="E1165" s="59" t="s">
        <v>2288</v>
      </c>
      <c r="F1165" s="59" t="s">
        <v>2349</v>
      </c>
      <c r="G1165" s="58" t="s">
        <v>2656</v>
      </c>
    </row>
    <row r="1166" spans="1:7">
      <c r="A1166" s="58" t="s">
        <v>2657</v>
      </c>
      <c r="B1166" s="58" t="s">
        <v>2533</v>
      </c>
      <c r="C1166" s="58" t="s">
        <v>2288</v>
      </c>
      <c r="D1166" s="58" t="s">
        <v>2534</v>
      </c>
      <c r="E1166" s="59" t="s">
        <v>2288</v>
      </c>
      <c r="F1166" s="59" t="s">
        <v>2349</v>
      </c>
      <c r="G1166" s="58" t="s">
        <v>2658</v>
      </c>
    </row>
    <row r="1167" spans="1:7">
      <c r="A1167" s="58" t="s">
        <v>2659</v>
      </c>
      <c r="B1167" s="58" t="s">
        <v>2559</v>
      </c>
      <c r="C1167" s="58" t="s">
        <v>2288</v>
      </c>
      <c r="D1167" s="58" t="s">
        <v>2534</v>
      </c>
      <c r="E1167" s="59" t="s">
        <v>2288</v>
      </c>
      <c r="F1167" s="59" t="s">
        <v>2349</v>
      </c>
      <c r="G1167" s="58" t="s">
        <v>2660</v>
      </c>
    </row>
    <row r="1168" spans="1:7">
      <c r="A1168" s="57" t="s">
        <v>2661</v>
      </c>
      <c r="B1168" s="57" t="s">
        <v>2559</v>
      </c>
      <c r="C1168" s="57" t="s">
        <v>2135</v>
      </c>
      <c r="D1168" s="57" t="s">
        <v>2534</v>
      </c>
      <c r="E1168" s="75" t="s">
        <v>2517</v>
      </c>
      <c r="F1168" s="57" t="s">
        <v>2038</v>
      </c>
      <c r="G1168" s="57" t="s">
        <v>2662</v>
      </c>
    </row>
    <row r="1169" spans="1:7">
      <c r="A1169" s="58" t="s">
        <v>2663</v>
      </c>
      <c r="B1169" s="58" t="s">
        <v>2559</v>
      </c>
      <c r="C1169" s="58" t="s">
        <v>2288</v>
      </c>
      <c r="D1169" s="58" t="s">
        <v>2534</v>
      </c>
      <c r="E1169" s="59" t="s">
        <v>2288</v>
      </c>
      <c r="F1169" s="59" t="s">
        <v>2349</v>
      </c>
      <c r="G1169" s="58" t="s">
        <v>2664</v>
      </c>
    </row>
    <row r="1170" spans="1:7">
      <c r="A1170" s="58" t="s">
        <v>2665</v>
      </c>
      <c r="B1170" s="58" t="s">
        <v>2563</v>
      </c>
      <c r="C1170" s="58" t="s">
        <v>2288</v>
      </c>
      <c r="D1170" s="58" t="s">
        <v>2534</v>
      </c>
      <c r="E1170" s="59" t="s">
        <v>2288</v>
      </c>
      <c r="F1170" s="59" t="s">
        <v>2349</v>
      </c>
      <c r="G1170" s="58" t="s">
        <v>2666</v>
      </c>
    </row>
    <row r="1171" spans="1:7">
      <c r="A1171" s="58" t="s">
        <v>2667</v>
      </c>
      <c r="B1171" s="58" t="s">
        <v>2571</v>
      </c>
      <c r="C1171" s="58" t="s">
        <v>2668</v>
      </c>
      <c r="D1171" s="58" t="s">
        <v>2534</v>
      </c>
      <c r="E1171" s="59" t="s">
        <v>2669</v>
      </c>
      <c r="F1171" s="59" t="s">
        <v>2349</v>
      </c>
      <c r="G1171" s="58" t="s">
        <v>2670</v>
      </c>
    </row>
    <row r="1172" spans="1:7">
      <c r="A1172" s="58" t="s">
        <v>2671</v>
      </c>
      <c r="B1172" s="58" t="s">
        <v>2591</v>
      </c>
      <c r="C1172" s="58" t="s">
        <v>2288</v>
      </c>
      <c r="D1172" s="58" t="s">
        <v>2534</v>
      </c>
      <c r="E1172" s="59" t="s">
        <v>2288</v>
      </c>
      <c r="F1172" s="59" t="s">
        <v>2349</v>
      </c>
      <c r="G1172" s="58" t="s">
        <v>2672</v>
      </c>
    </row>
    <row r="1173" spans="1:7">
      <c r="A1173" s="57" t="s">
        <v>2673</v>
      </c>
      <c r="B1173" s="57" t="s">
        <v>2537</v>
      </c>
      <c r="C1173" s="57" t="s">
        <v>2338</v>
      </c>
      <c r="D1173" s="57" t="s">
        <v>2534</v>
      </c>
      <c r="E1173" s="75" t="s">
        <v>2339</v>
      </c>
      <c r="F1173" s="57" t="s">
        <v>2038</v>
      </c>
      <c r="G1173" s="57" t="s">
        <v>2120</v>
      </c>
    </row>
    <row r="1174" spans="1:7">
      <c r="A1174" s="58" t="s">
        <v>2674</v>
      </c>
      <c r="B1174" s="58" t="s">
        <v>2533</v>
      </c>
      <c r="C1174" s="58" t="s">
        <v>1201</v>
      </c>
      <c r="D1174" s="58" t="s">
        <v>2534</v>
      </c>
      <c r="E1174" s="59" t="s">
        <v>1201</v>
      </c>
      <c r="F1174" s="59" t="s">
        <v>2349</v>
      </c>
      <c r="G1174" s="58" t="s">
        <v>2675</v>
      </c>
    </row>
    <row r="1175" spans="1:7" ht="17.25">
      <c r="A1175" s="76" t="s">
        <v>2676</v>
      </c>
      <c r="B1175" s="76"/>
      <c r="C1175" s="76"/>
      <c r="D1175" s="76"/>
      <c r="E1175" s="77"/>
      <c r="F1175" s="76"/>
      <c r="G1175" s="76"/>
    </row>
    <row r="1176" spans="1:7">
      <c r="A1176" s="57" t="s">
        <v>2546</v>
      </c>
      <c r="B1176" s="57" t="s">
        <v>2546</v>
      </c>
      <c r="C1176" s="57" t="s">
        <v>2135</v>
      </c>
      <c r="D1176" s="57" t="s">
        <v>2534</v>
      </c>
      <c r="E1176" s="75" t="s">
        <v>2517</v>
      </c>
      <c r="F1176" s="57" t="s">
        <v>2038</v>
      </c>
      <c r="G1176" s="57" t="s">
        <v>2580</v>
      </c>
    </row>
    <row r="1177" spans="1:7">
      <c r="A1177" s="58" t="s">
        <v>2677</v>
      </c>
      <c r="B1177" s="58" t="s">
        <v>2533</v>
      </c>
      <c r="C1177" s="58" t="s">
        <v>2288</v>
      </c>
      <c r="D1177" s="58" t="s">
        <v>2534</v>
      </c>
      <c r="E1177" s="59" t="s">
        <v>2288</v>
      </c>
      <c r="F1177" s="59" t="s">
        <v>2349</v>
      </c>
      <c r="G1177" s="58" t="s">
        <v>2678</v>
      </c>
    </row>
    <row r="1178" spans="1:7">
      <c r="A1178" s="58" t="s">
        <v>2679</v>
      </c>
      <c r="B1178" s="58" t="s">
        <v>2537</v>
      </c>
      <c r="C1178" s="58" t="s">
        <v>2288</v>
      </c>
      <c r="D1178" s="58" t="s">
        <v>2534</v>
      </c>
      <c r="E1178" s="59" t="s">
        <v>2288</v>
      </c>
      <c r="F1178" s="59" t="s">
        <v>2349</v>
      </c>
      <c r="G1178" s="58" t="s">
        <v>2680</v>
      </c>
    </row>
    <row r="1179" spans="1:7">
      <c r="A1179" s="58" t="s">
        <v>2681</v>
      </c>
      <c r="B1179" s="58" t="s">
        <v>2563</v>
      </c>
      <c r="C1179" s="58" t="s">
        <v>108</v>
      </c>
      <c r="D1179" s="58" t="s">
        <v>2534</v>
      </c>
      <c r="E1179" s="59" t="s">
        <v>108</v>
      </c>
      <c r="F1179" s="59" t="s">
        <v>2349</v>
      </c>
      <c r="G1179" s="58" t="s">
        <v>2682</v>
      </c>
    </row>
    <row r="1180" spans="1:7">
      <c r="A1180" s="57" t="s">
        <v>2683</v>
      </c>
      <c r="B1180" s="57" t="s">
        <v>2537</v>
      </c>
      <c r="C1180" s="57" t="s">
        <v>2684</v>
      </c>
      <c r="D1180" s="57" t="s">
        <v>2534</v>
      </c>
      <c r="E1180" s="75" t="s">
        <v>2685</v>
      </c>
      <c r="F1180" s="57" t="s">
        <v>2038</v>
      </c>
      <c r="G1180" s="57" t="s">
        <v>2686</v>
      </c>
    </row>
    <row r="1181" spans="1:7">
      <c r="A1181" s="58" t="s">
        <v>2687</v>
      </c>
      <c r="B1181" s="58" t="s">
        <v>2554</v>
      </c>
      <c r="C1181" s="58" t="s">
        <v>2288</v>
      </c>
      <c r="D1181" s="58" t="s">
        <v>2534</v>
      </c>
      <c r="E1181" s="59" t="s">
        <v>2288</v>
      </c>
      <c r="F1181" s="59" t="s">
        <v>2349</v>
      </c>
      <c r="G1181" s="58" t="s">
        <v>2688</v>
      </c>
    </row>
    <row r="1182" spans="1:7">
      <c r="A1182" s="58" t="s">
        <v>2689</v>
      </c>
      <c r="B1182" s="58" t="s">
        <v>2554</v>
      </c>
      <c r="C1182" s="58" t="s">
        <v>2288</v>
      </c>
      <c r="D1182" s="58" t="s">
        <v>2534</v>
      </c>
      <c r="E1182" s="59" t="s">
        <v>2288</v>
      </c>
      <c r="F1182" s="59" t="s">
        <v>2349</v>
      </c>
      <c r="G1182" s="58" t="s">
        <v>2690</v>
      </c>
    </row>
    <row r="1183" spans="1:7">
      <c r="A1183" s="57" t="s">
        <v>2691</v>
      </c>
      <c r="B1183" s="57" t="s">
        <v>2533</v>
      </c>
      <c r="C1183" s="57" t="s">
        <v>2135</v>
      </c>
      <c r="D1183" s="57" t="s">
        <v>2534</v>
      </c>
      <c r="E1183" s="75" t="s">
        <v>2517</v>
      </c>
      <c r="F1183" s="57" t="s">
        <v>2038</v>
      </c>
      <c r="G1183" s="57" t="s">
        <v>2692</v>
      </c>
    </row>
    <row r="1184" spans="1:7">
      <c r="A1184" s="58" t="s">
        <v>2693</v>
      </c>
      <c r="B1184" s="58" t="s">
        <v>2533</v>
      </c>
      <c r="C1184" s="58" t="s">
        <v>2288</v>
      </c>
      <c r="D1184" s="58" t="s">
        <v>2534</v>
      </c>
      <c r="E1184" s="59" t="s">
        <v>2288</v>
      </c>
      <c r="F1184" s="59" t="s">
        <v>2349</v>
      </c>
      <c r="G1184" s="58" t="s">
        <v>2694</v>
      </c>
    </row>
    <row r="1185" spans="1:7">
      <c r="A1185" s="58" t="s">
        <v>2695</v>
      </c>
      <c r="B1185" s="58" t="s">
        <v>2591</v>
      </c>
      <c r="C1185" s="58" t="s">
        <v>2288</v>
      </c>
      <c r="D1185" s="58" t="s">
        <v>2534</v>
      </c>
      <c r="E1185" s="59" t="s">
        <v>2288</v>
      </c>
      <c r="F1185" s="59" t="s">
        <v>2349</v>
      </c>
      <c r="G1185" s="58" t="s">
        <v>2696</v>
      </c>
    </row>
    <row r="1186" spans="1:7">
      <c r="A1186" s="58" t="s">
        <v>2697</v>
      </c>
      <c r="B1186" s="58" t="s">
        <v>2582</v>
      </c>
      <c r="C1186" s="58" t="s">
        <v>2367</v>
      </c>
      <c r="D1186" s="58" t="s">
        <v>2534</v>
      </c>
      <c r="E1186" s="59" t="s">
        <v>2193</v>
      </c>
      <c r="F1186" s="59" t="s">
        <v>2349</v>
      </c>
      <c r="G1186" s="58" t="s">
        <v>2698</v>
      </c>
    </row>
    <row r="1187" spans="1:7">
      <c r="A1187" s="58" t="s">
        <v>2699</v>
      </c>
      <c r="B1187" s="58" t="s">
        <v>2571</v>
      </c>
      <c r="C1187" s="58" t="s">
        <v>2288</v>
      </c>
      <c r="D1187" s="58" t="s">
        <v>2534</v>
      </c>
      <c r="E1187" s="59" t="s">
        <v>2288</v>
      </c>
      <c r="F1187" s="59" t="s">
        <v>2349</v>
      </c>
      <c r="G1187" s="58" t="s">
        <v>2700</v>
      </c>
    </row>
    <row r="1188" spans="1:7">
      <c r="A1188" s="58" t="s">
        <v>2701</v>
      </c>
      <c r="B1188" s="58" t="s">
        <v>2559</v>
      </c>
      <c r="C1188" s="58" t="s">
        <v>2193</v>
      </c>
      <c r="D1188" s="58" t="s">
        <v>2534</v>
      </c>
      <c r="E1188" s="59" t="s">
        <v>2193</v>
      </c>
      <c r="F1188" s="59" t="s">
        <v>2349</v>
      </c>
      <c r="G1188" s="58" t="s">
        <v>2702</v>
      </c>
    </row>
    <row r="1189" spans="1:7">
      <c r="A1189" s="58" t="s">
        <v>2703</v>
      </c>
      <c r="B1189" s="58" t="s">
        <v>2554</v>
      </c>
      <c r="C1189" s="58" t="s">
        <v>2193</v>
      </c>
      <c r="D1189" s="58" t="s">
        <v>2534</v>
      </c>
      <c r="E1189" s="59" t="s">
        <v>2193</v>
      </c>
      <c r="F1189" s="59" t="s">
        <v>2349</v>
      </c>
      <c r="G1189" s="58" t="s">
        <v>2704</v>
      </c>
    </row>
    <row r="1190" spans="1:7">
      <c r="A1190" s="57" t="s">
        <v>2705</v>
      </c>
      <c r="B1190" s="57" t="s">
        <v>2554</v>
      </c>
      <c r="C1190" s="57" t="s">
        <v>2338</v>
      </c>
      <c r="D1190" s="57" t="s">
        <v>2534</v>
      </c>
      <c r="E1190" s="75" t="s">
        <v>2339</v>
      </c>
      <c r="F1190" s="57" t="s">
        <v>2038</v>
      </c>
      <c r="G1190" s="57" t="s">
        <v>2120</v>
      </c>
    </row>
    <row r="1191" spans="1:7">
      <c r="A1191" s="58" t="s">
        <v>2706</v>
      </c>
      <c r="B1191" s="58" t="s">
        <v>2591</v>
      </c>
      <c r="C1191" s="58" t="s">
        <v>108</v>
      </c>
      <c r="D1191" s="58" t="s">
        <v>2534</v>
      </c>
      <c r="E1191" s="59" t="s">
        <v>108</v>
      </c>
      <c r="F1191" s="59" t="s">
        <v>2349</v>
      </c>
      <c r="G1191" s="58" t="s">
        <v>2707</v>
      </c>
    </row>
    <row r="1192" spans="1:7" ht="17.25">
      <c r="A1192" s="76" t="s">
        <v>2708</v>
      </c>
      <c r="B1192" s="76"/>
      <c r="C1192" s="76"/>
      <c r="D1192" s="76"/>
      <c r="E1192" s="77"/>
      <c r="F1192" s="76"/>
      <c r="G1192" s="76"/>
    </row>
    <row r="1193" spans="1:7">
      <c r="A1193" s="57" t="s">
        <v>2546</v>
      </c>
      <c r="B1193" s="57" t="s">
        <v>2546</v>
      </c>
      <c r="C1193" s="57" t="s">
        <v>2135</v>
      </c>
      <c r="D1193" s="57" t="s">
        <v>2534</v>
      </c>
      <c r="E1193" s="75" t="s">
        <v>2517</v>
      </c>
      <c r="F1193" s="57" t="s">
        <v>2038</v>
      </c>
      <c r="G1193" s="57" t="s">
        <v>2580</v>
      </c>
    </row>
    <row r="1194" spans="1:7">
      <c r="A1194" s="58" t="s">
        <v>2709</v>
      </c>
      <c r="B1194" s="58" t="s">
        <v>2582</v>
      </c>
      <c r="C1194" s="58" t="s">
        <v>2710</v>
      </c>
      <c r="D1194" s="58" t="s">
        <v>2534</v>
      </c>
      <c r="E1194" s="59" t="s">
        <v>2669</v>
      </c>
      <c r="F1194" s="59" t="s">
        <v>2349</v>
      </c>
      <c r="G1194" s="58" t="s">
        <v>2120</v>
      </c>
    </row>
    <row r="1195" spans="1:7">
      <c r="A1195" s="58" t="s">
        <v>2711</v>
      </c>
      <c r="B1195" s="58" t="s">
        <v>2579</v>
      </c>
      <c r="C1195" s="58" t="s">
        <v>2288</v>
      </c>
      <c r="D1195" s="58" t="s">
        <v>2534</v>
      </c>
      <c r="E1195" s="59" t="s">
        <v>2288</v>
      </c>
      <c r="F1195" s="59" t="s">
        <v>2349</v>
      </c>
      <c r="G1195" s="58" t="s">
        <v>2712</v>
      </c>
    </row>
    <row r="1196" spans="1:7">
      <c r="A1196" s="58" t="s">
        <v>2713</v>
      </c>
      <c r="B1196" s="58" t="s">
        <v>2591</v>
      </c>
      <c r="C1196" s="58" t="s">
        <v>2288</v>
      </c>
      <c r="D1196" s="58" t="s">
        <v>2534</v>
      </c>
      <c r="E1196" s="59" t="s">
        <v>2288</v>
      </c>
      <c r="F1196" s="59" t="s">
        <v>2349</v>
      </c>
      <c r="G1196" s="58" t="s">
        <v>2714</v>
      </c>
    </row>
    <row r="1197" spans="1:7">
      <c r="A1197" s="58" t="s">
        <v>2715</v>
      </c>
      <c r="B1197" s="58" t="s">
        <v>2571</v>
      </c>
      <c r="C1197" s="58" t="s">
        <v>2288</v>
      </c>
      <c r="D1197" s="58" t="s">
        <v>2534</v>
      </c>
      <c r="E1197" s="59" t="s">
        <v>2288</v>
      </c>
      <c r="F1197" s="59" t="s">
        <v>2349</v>
      </c>
      <c r="G1197" s="58" t="s">
        <v>2716</v>
      </c>
    </row>
    <row r="1198" spans="1:7">
      <c r="A1198" s="58" t="s">
        <v>2717</v>
      </c>
      <c r="B1198" s="58" t="s">
        <v>2559</v>
      </c>
      <c r="C1198" s="58" t="s">
        <v>2288</v>
      </c>
      <c r="D1198" s="58" t="s">
        <v>2534</v>
      </c>
      <c r="E1198" s="59" t="s">
        <v>2288</v>
      </c>
      <c r="F1198" s="59" t="s">
        <v>2349</v>
      </c>
      <c r="G1198" s="58" t="s">
        <v>2718</v>
      </c>
    </row>
    <row r="1199" spans="1:7">
      <c r="A1199" s="58" t="s">
        <v>2719</v>
      </c>
      <c r="B1199" s="58" t="s">
        <v>2559</v>
      </c>
      <c r="C1199" s="58" t="s">
        <v>108</v>
      </c>
      <c r="D1199" s="58" t="s">
        <v>2534</v>
      </c>
      <c r="E1199" s="59" t="s">
        <v>108</v>
      </c>
      <c r="F1199" s="59" t="s">
        <v>2349</v>
      </c>
      <c r="G1199" s="58" t="s">
        <v>2720</v>
      </c>
    </row>
    <row r="1200" spans="1:7">
      <c r="A1200" s="58" t="s">
        <v>2721</v>
      </c>
      <c r="B1200" s="58" t="s">
        <v>2591</v>
      </c>
      <c r="C1200" s="58" t="s">
        <v>2288</v>
      </c>
      <c r="D1200" s="58" t="s">
        <v>2534</v>
      </c>
      <c r="E1200" s="59" t="s">
        <v>2288</v>
      </c>
      <c r="F1200" s="59" t="s">
        <v>2349</v>
      </c>
      <c r="G1200" s="58" t="s">
        <v>2716</v>
      </c>
    </row>
    <row r="1201" spans="1:7">
      <c r="A1201" s="58" t="s">
        <v>2722</v>
      </c>
      <c r="B1201" s="58" t="s">
        <v>2533</v>
      </c>
      <c r="C1201" s="58" t="s">
        <v>2723</v>
      </c>
      <c r="D1201" s="58" t="s">
        <v>2534</v>
      </c>
      <c r="E1201" s="59" t="s">
        <v>133</v>
      </c>
      <c r="F1201" s="59" t="s">
        <v>2349</v>
      </c>
      <c r="G1201" s="58" t="s">
        <v>2724</v>
      </c>
    </row>
    <row r="1202" spans="1:7">
      <c r="A1202" s="58" t="s">
        <v>2725</v>
      </c>
      <c r="B1202" s="58" t="s">
        <v>2582</v>
      </c>
      <c r="C1202" s="58" t="s">
        <v>2193</v>
      </c>
      <c r="D1202" s="58" t="s">
        <v>2534</v>
      </c>
      <c r="E1202" s="59" t="s">
        <v>2193</v>
      </c>
      <c r="F1202" s="59" t="s">
        <v>2349</v>
      </c>
      <c r="G1202" s="58" t="s">
        <v>2120</v>
      </c>
    </row>
    <row r="1203" spans="1:7">
      <c r="A1203" s="58" t="s">
        <v>2726</v>
      </c>
      <c r="B1203" s="58" t="s">
        <v>2591</v>
      </c>
      <c r="C1203" s="58" t="s">
        <v>108</v>
      </c>
      <c r="D1203" s="58" t="s">
        <v>2534</v>
      </c>
      <c r="E1203" s="59" t="s">
        <v>108</v>
      </c>
      <c r="F1203" s="59" t="s">
        <v>2349</v>
      </c>
      <c r="G1203" s="58" t="s">
        <v>2727</v>
      </c>
    </row>
    <row r="1204" spans="1:7">
      <c r="A1204" s="58" t="s">
        <v>2728</v>
      </c>
      <c r="B1204" s="58" t="s">
        <v>2545</v>
      </c>
      <c r="C1204" s="58" t="s">
        <v>2288</v>
      </c>
      <c r="D1204" s="58" t="s">
        <v>2534</v>
      </c>
      <c r="E1204" s="59" t="s">
        <v>2288</v>
      </c>
      <c r="F1204" s="59" t="s">
        <v>2349</v>
      </c>
      <c r="G1204" s="58" t="s">
        <v>2729</v>
      </c>
    </row>
    <row r="1205" spans="1:7">
      <c r="A1205" s="58" t="s">
        <v>2730</v>
      </c>
      <c r="B1205" s="58" t="s">
        <v>2545</v>
      </c>
      <c r="C1205" s="58" t="s">
        <v>2731</v>
      </c>
      <c r="D1205" s="58" t="s">
        <v>2534</v>
      </c>
      <c r="E1205" s="59" t="s">
        <v>108</v>
      </c>
      <c r="F1205" s="59" t="s">
        <v>2349</v>
      </c>
      <c r="G1205" s="58" t="s">
        <v>2732</v>
      </c>
    </row>
    <row r="1206" spans="1:7">
      <c r="A1206" s="58" t="s">
        <v>2733</v>
      </c>
      <c r="B1206" s="58" t="s">
        <v>2591</v>
      </c>
      <c r="C1206" s="58" t="s">
        <v>2288</v>
      </c>
      <c r="D1206" s="58" t="s">
        <v>2534</v>
      </c>
      <c r="E1206" s="59" t="s">
        <v>2288</v>
      </c>
      <c r="F1206" s="59" t="s">
        <v>2349</v>
      </c>
      <c r="G1206" s="58" t="s">
        <v>2734</v>
      </c>
    </row>
    <row r="1207" spans="1:7" ht="17.25">
      <c r="A1207" s="76" t="s">
        <v>2735</v>
      </c>
      <c r="B1207" s="76"/>
      <c r="C1207" s="76"/>
      <c r="D1207" s="76"/>
      <c r="E1207" s="77"/>
      <c r="F1207" s="76"/>
      <c r="G1207" s="76"/>
    </row>
    <row r="1208" spans="1:7">
      <c r="A1208" s="57" t="s">
        <v>2546</v>
      </c>
      <c r="B1208" s="57" t="s">
        <v>2546</v>
      </c>
      <c r="C1208" s="57" t="s">
        <v>2135</v>
      </c>
      <c r="D1208" s="57" t="s">
        <v>2534</v>
      </c>
      <c r="E1208" s="75" t="s">
        <v>2517</v>
      </c>
      <c r="F1208" s="57" t="s">
        <v>2038</v>
      </c>
      <c r="G1208" s="57" t="s">
        <v>2580</v>
      </c>
    </row>
    <row r="1209" spans="1:7">
      <c r="A1209" s="57" t="s">
        <v>2736</v>
      </c>
      <c r="B1209" s="57" t="s">
        <v>2579</v>
      </c>
      <c r="C1209" s="57" t="s">
        <v>2737</v>
      </c>
      <c r="D1209" s="57" t="s">
        <v>2534</v>
      </c>
      <c r="E1209" s="75" t="s">
        <v>2738</v>
      </c>
      <c r="F1209" s="57" t="s">
        <v>2038</v>
      </c>
      <c r="G1209" s="57" t="s">
        <v>2739</v>
      </c>
    </row>
    <row r="1210" spans="1:7">
      <c r="A1210" s="58" t="s">
        <v>2740</v>
      </c>
      <c r="B1210" s="58" t="s">
        <v>2559</v>
      </c>
      <c r="C1210" s="58" t="s">
        <v>2741</v>
      </c>
      <c r="D1210" s="58" t="s">
        <v>2534</v>
      </c>
      <c r="E1210" s="59" t="s">
        <v>108</v>
      </c>
      <c r="F1210" s="59" t="s">
        <v>2349</v>
      </c>
      <c r="G1210" s="58" t="s">
        <v>2742</v>
      </c>
    </row>
    <row r="1211" spans="1:7">
      <c r="A1211" s="58" t="s">
        <v>2743</v>
      </c>
      <c r="B1211" s="58" t="s">
        <v>2571</v>
      </c>
      <c r="C1211" s="58" t="s">
        <v>2744</v>
      </c>
      <c r="D1211" s="58" t="s">
        <v>2534</v>
      </c>
      <c r="E1211" s="59" t="s">
        <v>2288</v>
      </c>
      <c r="F1211" s="59" t="s">
        <v>2349</v>
      </c>
      <c r="G1211" s="58" t="s">
        <v>2745</v>
      </c>
    </row>
    <row r="1212" spans="1:7">
      <c r="A1212" s="58" t="s">
        <v>2746</v>
      </c>
      <c r="B1212" s="58" t="s">
        <v>2571</v>
      </c>
      <c r="C1212" s="58" t="s">
        <v>2744</v>
      </c>
      <c r="D1212" s="58" t="s">
        <v>2534</v>
      </c>
      <c r="E1212" s="59" t="s">
        <v>2288</v>
      </c>
      <c r="F1212" s="59" t="s">
        <v>2349</v>
      </c>
      <c r="G1212" s="58" t="s">
        <v>2745</v>
      </c>
    </row>
    <row r="1213" spans="1:7">
      <c r="A1213" s="58" t="s">
        <v>2747</v>
      </c>
      <c r="B1213" s="58" t="s">
        <v>2533</v>
      </c>
      <c r="C1213" s="58" t="s">
        <v>2288</v>
      </c>
      <c r="D1213" s="58" t="s">
        <v>2534</v>
      </c>
      <c r="E1213" s="59" t="s">
        <v>2288</v>
      </c>
      <c r="F1213" s="59" t="s">
        <v>2349</v>
      </c>
      <c r="G1213" s="58" t="s">
        <v>2748</v>
      </c>
    </row>
    <row r="1214" spans="1:7">
      <c r="A1214" s="58" t="s">
        <v>2749</v>
      </c>
      <c r="B1214" s="58" t="s">
        <v>2579</v>
      </c>
      <c r="C1214" s="58" t="s">
        <v>2288</v>
      </c>
      <c r="D1214" s="58" t="s">
        <v>2534</v>
      </c>
      <c r="E1214" s="59" t="s">
        <v>2288</v>
      </c>
      <c r="F1214" s="59" t="s">
        <v>2349</v>
      </c>
      <c r="G1214" s="58" t="s">
        <v>2750</v>
      </c>
    </row>
    <row r="1215" spans="1:7">
      <c r="A1215" s="58" t="s">
        <v>2751</v>
      </c>
      <c r="B1215" s="58" t="s">
        <v>2571</v>
      </c>
      <c r="C1215" s="58" t="s">
        <v>2288</v>
      </c>
      <c r="D1215" s="58" t="s">
        <v>2534</v>
      </c>
      <c r="E1215" s="59" t="s">
        <v>2288</v>
      </c>
      <c r="F1215" s="59" t="s">
        <v>2349</v>
      </c>
      <c r="G1215" s="58" t="s">
        <v>2752</v>
      </c>
    </row>
    <row r="1216" spans="1:7">
      <c r="A1216" s="58" t="s">
        <v>2753</v>
      </c>
      <c r="B1216" s="58" t="s">
        <v>2537</v>
      </c>
      <c r="C1216" s="58" t="s">
        <v>2288</v>
      </c>
      <c r="D1216" s="58" t="s">
        <v>2534</v>
      </c>
      <c r="E1216" s="59" t="s">
        <v>2288</v>
      </c>
      <c r="F1216" s="59" t="s">
        <v>2349</v>
      </c>
      <c r="G1216" s="58" t="s">
        <v>2754</v>
      </c>
    </row>
    <row r="1217" spans="1:7">
      <c r="A1217" s="58" t="s">
        <v>2755</v>
      </c>
      <c r="B1217" s="58" t="s">
        <v>2579</v>
      </c>
      <c r="C1217" s="58" t="s">
        <v>2288</v>
      </c>
      <c r="D1217" s="58" t="s">
        <v>2534</v>
      </c>
      <c r="E1217" s="59" t="s">
        <v>2288</v>
      </c>
      <c r="F1217" s="59" t="s">
        <v>2349</v>
      </c>
      <c r="G1217" s="58" t="s">
        <v>2756</v>
      </c>
    </row>
    <row r="1218" spans="1:7">
      <c r="A1218" s="58" t="s">
        <v>2757</v>
      </c>
      <c r="B1218" s="58" t="s">
        <v>2619</v>
      </c>
      <c r="C1218" s="58" t="s">
        <v>2288</v>
      </c>
      <c r="D1218" s="58" t="s">
        <v>2534</v>
      </c>
      <c r="E1218" s="59" t="s">
        <v>2288</v>
      </c>
      <c r="F1218" s="59" t="s">
        <v>2349</v>
      </c>
      <c r="G1218" s="58" t="s">
        <v>2758</v>
      </c>
    </row>
    <row r="1219" spans="1:7">
      <c r="A1219" s="58" t="s">
        <v>2759</v>
      </c>
      <c r="B1219" s="58" t="s">
        <v>2537</v>
      </c>
      <c r="C1219" s="58" t="s">
        <v>2288</v>
      </c>
      <c r="D1219" s="58" t="s">
        <v>2534</v>
      </c>
      <c r="E1219" s="59" t="s">
        <v>2288</v>
      </c>
      <c r="F1219" s="59" t="s">
        <v>2349</v>
      </c>
      <c r="G1219" s="58" t="s">
        <v>2760</v>
      </c>
    </row>
    <row r="1220" spans="1:7">
      <c r="A1220" s="58" t="s">
        <v>2761</v>
      </c>
      <c r="B1220" s="58" t="s">
        <v>2582</v>
      </c>
      <c r="C1220" s="58" t="s">
        <v>2762</v>
      </c>
      <c r="D1220" s="58" t="s">
        <v>2534</v>
      </c>
      <c r="E1220" s="59" t="s">
        <v>108</v>
      </c>
      <c r="F1220" s="59" t="s">
        <v>2349</v>
      </c>
      <c r="G1220" s="58" t="s">
        <v>2763</v>
      </c>
    </row>
    <row r="1221" spans="1:7">
      <c r="A1221" s="58" t="s">
        <v>2764</v>
      </c>
      <c r="B1221" s="58" t="s">
        <v>2582</v>
      </c>
      <c r="C1221" s="58" t="s">
        <v>1201</v>
      </c>
      <c r="D1221" s="58" t="s">
        <v>2534</v>
      </c>
      <c r="E1221" s="59" t="s">
        <v>1201</v>
      </c>
      <c r="F1221" s="59" t="s">
        <v>2349</v>
      </c>
      <c r="G1221" s="58" t="s">
        <v>2120</v>
      </c>
    </row>
    <row r="1222" spans="1:7">
      <c r="A1222" s="58" t="s">
        <v>2765</v>
      </c>
      <c r="B1222" s="58" t="s">
        <v>2563</v>
      </c>
      <c r="C1222" s="58" t="s">
        <v>2288</v>
      </c>
      <c r="D1222" s="58" t="s">
        <v>2534</v>
      </c>
      <c r="E1222" s="59" t="s">
        <v>2288</v>
      </c>
      <c r="F1222" s="59" t="s">
        <v>2349</v>
      </c>
      <c r="G1222" s="58" t="s">
        <v>2712</v>
      </c>
    </row>
    <row r="1223" spans="1:7" ht="17.25">
      <c r="A1223" s="76" t="s">
        <v>2766</v>
      </c>
      <c r="B1223" s="76"/>
      <c r="C1223" s="76"/>
      <c r="D1223" s="76"/>
      <c r="E1223" s="77"/>
      <c r="F1223" s="76"/>
      <c r="G1223" s="76"/>
    </row>
    <row r="1224" spans="1:7">
      <c r="A1224" s="57" t="s">
        <v>2308</v>
      </c>
      <c r="B1224" s="57" t="s">
        <v>2122</v>
      </c>
      <c r="C1224" s="57" t="s">
        <v>2309</v>
      </c>
      <c r="D1224" s="57" t="s">
        <v>2534</v>
      </c>
      <c r="E1224" s="75" t="s">
        <v>2311</v>
      </c>
      <c r="F1224" s="57" t="s">
        <v>2038</v>
      </c>
      <c r="G1224" s="57" t="s">
        <v>2312</v>
      </c>
    </row>
    <row r="1225" spans="1:7">
      <c r="A1225" s="58" t="s">
        <v>2352</v>
      </c>
      <c r="B1225" s="58"/>
      <c r="C1225" s="58" t="s">
        <v>1201</v>
      </c>
      <c r="D1225" s="58" t="s">
        <v>2534</v>
      </c>
      <c r="E1225" s="59" t="s">
        <v>1201</v>
      </c>
      <c r="F1225" s="59" t="s">
        <v>2349</v>
      </c>
      <c r="G1225" s="58" t="s">
        <v>2120</v>
      </c>
    </row>
    <row r="1226" spans="1:7">
      <c r="A1226" s="58" t="s">
        <v>2118</v>
      </c>
      <c r="B1226" s="58"/>
      <c r="C1226" s="58" t="s">
        <v>2119</v>
      </c>
      <c r="D1226" s="58" t="s">
        <v>2534</v>
      </c>
      <c r="E1226" s="59" t="s">
        <v>1201</v>
      </c>
      <c r="F1226" s="59" t="s">
        <v>2349</v>
      </c>
      <c r="G1226" s="58" t="s">
        <v>2120</v>
      </c>
    </row>
    <row r="1227" spans="1:7">
      <c r="A1227" s="57" t="s">
        <v>2313</v>
      </c>
      <c r="B1227" s="57" t="s">
        <v>2314</v>
      </c>
      <c r="C1227" s="57" t="s">
        <v>2309</v>
      </c>
      <c r="D1227" s="57" t="s">
        <v>2534</v>
      </c>
      <c r="E1227" s="75" t="s">
        <v>2311</v>
      </c>
      <c r="F1227" s="57" t="s">
        <v>2038</v>
      </c>
      <c r="G1227" s="57" t="s">
        <v>2120</v>
      </c>
    </row>
    <row r="1228" spans="1:7">
      <c r="A1228" s="57" t="s">
        <v>2315</v>
      </c>
      <c r="B1228" s="57" t="s">
        <v>2314</v>
      </c>
      <c r="C1228" s="57" t="s">
        <v>2309</v>
      </c>
      <c r="D1228" s="57" t="s">
        <v>2534</v>
      </c>
      <c r="E1228" s="75" t="s">
        <v>2311</v>
      </c>
      <c r="F1228" s="57" t="s">
        <v>2038</v>
      </c>
      <c r="G1228" s="57" t="s">
        <v>2120</v>
      </c>
    </row>
    <row r="1229" spans="1:7">
      <c r="A1229" s="57" t="s">
        <v>2316</v>
      </c>
      <c r="B1229" s="57" t="s">
        <v>2124</v>
      </c>
      <c r="C1229" s="57" t="s">
        <v>2309</v>
      </c>
      <c r="D1229" s="57" t="s">
        <v>2534</v>
      </c>
      <c r="E1229" s="75" t="s">
        <v>2311</v>
      </c>
      <c r="F1229" s="57" t="s">
        <v>2038</v>
      </c>
      <c r="G1229" s="57" t="s">
        <v>2120</v>
      </c>
    </row>
    <row r="1230" spans="1:7" ht="17.25">
      <c r="A1230" s="76" t="s">
        <v>2767</v>
      </c>
      <c r="B1230" s="76"/>
      <c r="C1230" s="76"/>
      <c r="D1230" s="76"/>
      <c r="E1230" s="77"/>
      <c r="F1230" s="76"/>
      <c r="G1230" s="76"/>
    </row>
    <row r="1231" spans="1:7">
      <c r="A1231" s="57" t="s">
        <v>2134</v>
      </c>
      <c r="B1231" s="57"/>
      <c r="C1231" s="57" t="s">
        <v>2135</v>
      </c>
      <c r="D1231" s="57" t="s">
        <v>2534</v>
      </c>
      <c r="E1231" s="75" t="s">
        <v>2318</v>
      </c>
      <c r="F1231" s="57" t="s">
        <v>2038</v>
      </c>
      <c r="G1231" s="57" t="s">
        <v>2137</v>
      </c>
    </row>
    <row r="1232" spans="1:7" ht="17.25">
      <c r="A1232" s="76" t="s">
        <v>2768</v>
      </c>
      <c r="B1232" s="76"/>
      <c r="C1232" s="76"/>
      <c r="D1232" s="76"/>
      <c r="E1232" s="77"/>
      <c r="F1232" s="76"/>
      <c r="G1232" s="76"/>
    </row>
    <row r="1233" spans="1:7">
      <c r="A1233" s="57" t="s">
        <v>2169</v>
      </c>
      <c r="B1233" s="57" t="s">
        <v>2129</v>
      </c>
      <c r="C1233" s="57" t="s">
        <v>2170</v>
      </c>
      <c r="D1233" s="57" t="s">
        <v>2534</v>
      </c>
      <c r="E1233" s="75" t="s">
        <v>2318</v>
      </c>
      <c r="F1233" s="57" t="s">
        <v>2038</v>
      </c>
      <c r="G1233" s="57" t="s">
        <v>2120</v>
      </c>
    </row>
    <row r="1234" spans="1:7">
      <c r="A1234" s="57" t="s">
        <v>2171</v>
      </c>
      <c r="B1234" s="57" t="s">
        <v>2129</v>
      </c>
      <c r="C1234" s="57" t="s">
        <v>2135</v>
      </c>
      <c r="D1234" s="57" t="s">
        <v>2534</v>
      </c>
      <c r="E1234" s="75" t="s">
        <v>2318</v>
      </c>
      <c r="F1234" s="57" t="s">
        <v>2038</v>
      </c>
      <c r="G1234" s="57" t="s">
        <v>2120</v>
      </c>
    </row>
    <row r="1235" spans="1:7">
      <c r="A1235" s="57" t="s">
        <v>2172</v>
      </c>
      <c r="B1235" s="57" t="s">
        <v>2129</v>
      </c>
      <c r="C1235" s="57" t="s">
        <v>2135</v>
      </c>
      <c r="D1235" s="57" t="s">
        <v>2534</v>
      </c>
      <c r="E1235" s="75" t="s">
        <v>2318</v>
      </c>
      <c r="F1235" s="57" t="s">
        <v>2038</v>
      </c>
      <c r="G1235" s="57" t="s">
        <v>2120</v>
      </c>
    </row>
    <row r="1236" spans="1:7">
      <c r="A1236" s="57" t="s">
        <v>2173</v>
      </c>
      <c r="B1236" s="57" t="s">
        <v>2174</v>
      </c>
      <c r="C1236" s="57" t="s">
        <v>2135</v>
      </c>
      <c r="D1236" s="57" t="s">
        <v>2534</v>
      </c>
      <c r="E1236" s="75" t="s">
        <v>2318</v>
      </c>
      <c r="F1236" s="57" t="s">
        <v>2038</v>
      </c>
      <c r="G1236" s="57" t="s">
        <v>2120</v>
      </c>
    </row>
    <row r="1237" spans="1:7">
      <c r="A1237" s="57" t="s">
        <v>2175</v>
      </c>
      <c r="B1237" s="57"/>
      <c r="C1237" s="57" t="s">
        <v>2135</v>
      </c>
      <c r="D1237" s="57" t="s">
        <v>2534</v>
      </c>
      <c r="E1237" s="75" t="s">
        <v>2318</v>
      </c>
      <c r="F1237" s="57" t="s">
        <v>2038</v>
      </c>
      <c r="G1237" s="57" t="s">
        <v>2120</v>
      </c>
    </row>
    <row r="1238" spans="1:7">
      <c r="A1238" s="57" t="s">
        <v>2176</v>
      </c>
      <c r="B1238" s="57"/>
      <c r="C1238" s="57" t="s">
        <v>2135</v>
      </c>
      <c r="D1238" s="57" t="s">
        <v>2534</v>
      </c>
      <c r="E1238" s="75" t="s">
        <v>2318</v>
      </c>
      <c r="F1238" s="57" t="s">
        <v>2038</v>
      </c>
      <c r="G1238" s="57" t="s">
        <v>2120</v>
      </c>
    </row>
    <row r="1239" spans="1:7">
      <c r="A1239" s="57" t="s">
        <v>2177</v>
      </c>
      <c r="B1239" s="57"/>
      <c r="C1239" s="57" t="s">
        <v>2135</v>
      </c>
      <c r="D1239" s="57" t="s">
        <v>2534</v>
      </c>
      <c r="E1239" s="75" t="s">
        <v>2318</v>
      </c>
      <c r="F1239" s="57" t="s">
        <v>2038</v>
      </c>
      <c r="G1239" s="57" t="s">
        <v>2120</v>
      </c>
    </row>
    <row r="1240" spans="1:7" ht="17.25">
      <c r="A1240" s="76" t="s">
        <v>2769</v>
      </c>
      <c r="B1240" s="76"/>
      <c r="C1240" s="76"/>
      <c r="D1240" s="76"/>
      <c r="E1240" s="77"/>
      <c r="F1240" s="76"/>
      <c r="G1240" s="76"/>
    </row>
    <row r="1241" spans="1:7">
      <c r="A1241" s="58" t="s">
        <v>2188</v>
      </c>
      <c r="B1241" s="58"/>
      <c r="C1241" s="58" t="s">
        <v>2189</v>
      </c>
      <c r="D1241" s="58" t="s">
        <v>2534</v>
      </c>
      <c r="E1241" s="59" t="s">
        <v>2400</v>
      </c>
      <c r="F1241" s="59" t="s">
        <v>2349</v>
      </c>
      <c r="G1241" s="58" t="s">
        <v>2120</v>
      </c>
    </row>
    <row r="1242" spans="1:7">
      <c r="A1242" s="57" t="s">
        <v>2190</v>
      </c>
      <c r="B1242" s="57"/>
      <c r="C1242" s="57" t="s">
        <v>2135</v>
      </c>
      <c r="D1242" s="57" t="s">
        <v>2534</v>
      </c>
      <c r="E1242" s="75" t="s">
        <v>2318</v>
      </c>
      <c r="F1242" s="57" t="s">
        <v>2038</v>
      </c>
      <c r="G1242" s="57" t="s">
        <v>2120</v>
      </c>
    </row>
    <row r="1243" spans="1:7">
      <c r="A1243" s="57" t="s">
        <v>2191</v>
      </c>
      <c r="B1243" s="57"/>
      <c r="C1243" s="57" t="s">
        <v>2135</v>
      </c>
      <c r="D1243" s="57" t="s">
        <v>2534</v>
      </c>
      <c r="E1243" s="75" t="s">
        <v>2318</v>
      </c>
      <c r="F1243" s="57" t="s">
        <v>2038</v>
      </c>
      <c r="G1243" s="57" t="s">
        <v>2120</v>
      </c>
    </row>
    <row r="1244" spans="1:7" ht="17.25">
      <c r="A1244" s="76" t="s">
        <v>2770</v>
      </c>
      <c r="B1244" s="76"/>
      <c r="C1244" s="76"/>
      <c r="D1244" s="76"/>
      <c r="E1244" s="77"/>
      <c r="F1244" s="76"/>
      <c r="G1244" s="76"/>
    </row>
    <row r="1245" spans="1:7">
      <c r="A1245" s="57" t="s">
        <v>2206</v>
      </c>
      <c r="B1245" s="57"/>
      <c r="C1245" s="57" t="s">
        <v>2135</v>
      </c>
      <c r="D1245" s="57" t="s">
        <v>2534</v>
      </c>
      <c r="E1245" s="75" t="s">
        <v>2318</v>
      </c>
      <c r="F1245" s="57" t="s">
        <v>2038</v>
      </c>
      <c r="G1245" s="57" t="s">
        <v>2120</v>
      </c>
    </row>
    <row r="1246" spans="1:7" ht="17.25">
      <c r="A1246" s="76" t="s">
        <v>2771</v>
      </c>
      <c r="B1246" s="76"/>
      <c r="C1246" s="76"/>
      <c r="D1246" s="76"/>
      <c r="E1246" s="77"/>
      <c r="F1246" s="76"/>
      <c r="G1246" s="76"/>
    </row>
    <row r="1247" spans="1:7">
      <c r="A1247" s="57" t="s">
        <v>2328</v>
      </c>
      <c r="B1247" s="57" t="s">
        <v>2217</v>
      </c>
      <c r="C1247" s="57" t="s">
        <v>2309</v>
      </c>
      <c r="D1247" s="57" t="s">
        <v>2534</v>
      </c>
      <c r="E1247" s="75" t="s">
        <v>2311</v>
      </c>
      <c r="F1247" s="57" t="s">
        <v>2038</v>
      </c>
      <c r="G1247" s="57" t="s">
        <v>2329</v>
      </c>
    </row>
    <row r="1248" spans="1:7">
      <c r="A1248" s="57" t="s">
        <v>2330</v>
      </c>
      <c r="B1248" s="57" t="s">
        <v>2331</v>
      </c>
      <c r="C1248" s="57" t="s">
        <v>2309</v>
      </c>
      <c r="D1248" s="57" t="s">
        <v>2534</v>
      </c>
      <c r="E1248" s="75" t="s">
        <v>2311</v>
      </c>
      <c r="F1248" s="57" t="s">
        <v>2038</v>
      </c>
      <c r="G1248" s="57" t="s">
        <v>2332</v>
      </c>
    </row>
    <row r="1249" spans="1:7">
      <c r="A1249" s="57" t="s">
        <v>2228</v>
      </c>
      <c r="B1249" s="57"/>
      <c r="C1249" s="57" t="s">
        <v>2135</v>
      </c>
      <c r="D1249" s="57" t="s">
        <v>2534</v>
      </c>
      <c r="E1249" s="75" t="s">
        <v>2318</v>
      </c>
      <c r="F1249" s="57" t="s">
        <v>2038</v>
      </c>
      <c r="G1249" s="57" t="s">
        <v>2120</v>
      </c>
    </row>
    <row r="1250" spans="1:7" ht="17.25">
      <c r="A1250" s="76" t="s">
        <v>2772</v>
      </c>
      <c r="B1250" s="76"/>
      <c r="C1250" s="76"/>
      <c r="D1250" s="76"/>
      <c r="E1250" s="77"/>
      <c r="F1250" s="76"/>
      <c r="G1250" s="76"/>
    </row>
    <row r="1251" spans="1:7">
      <c r="A1251" s="58" t="s">
        <v>2242</v>
      </c>
      <c r="B1251" s="58" t="s">
        <v>2220</v>
      </c>
      <c r="C1251" s="58" t="s">
        <v>2243</v>
      </c>
      <c r="D1251" s="58" t="s">
        <v>2534</v>
      </c>
      <c r="E1251" s="59" t="s">
        <v>2773</v>
      </c>
      <c r="F1251" s="59" t="s">
        <v>2349</v>
      </c>
      <c r="G1251" s="58" t="s">
        <v>2244</v>
      </c>
    </row>
    <row r="1252" spans="1:7">
      <c r="A1252" s="57" t="s">
        <v>2335</v>
      </c>
      <c r="B1252" s="57"/>
      <c r="C1252" s="57" t="s">
        <v>2309</v>
      </c>
      <c r="D1252" s="57" t="s">
        <v>2534</v>
      </c>
      <c r="E1252" s="75" t="s">
        <v>2311</v>
      </c>
      <c r="F1252" s="57" t="s">
        <v>2038</v>
      </c>
      <c r="G1252" s="57" t="s">
        <v>2336</v>
      </c>
    </row>
    <row r="1253" spans="1:7">
      <c r="A1253" s="57" t="s">
        <v>2337</v>
      </c>
      <c r="B1253" s="57" t="s">
        <v>2248</v>
      </c>
      <c r="C1253" s="57" t="s">
        <v>2338</v>
      </c>
      <c r="D1253" s="57" t="s">
        <v>2534</v>
      </c>
      <c r="E1253" s="75" t="s">
        <v>2339</v>
      </c>
      <c r="F1253" s="57" t="s">
        <v>2038</v>
      </c>
      <c r="G1253" s="57" t="s">
        <v>2120</v>
      </c>
    </row>
    <row r="1254" spans="1:7" ht="17.25">
      <c r="A1254" s="76" t="s">
        <v>2774</v>
      </c>
      <c r="B1254" s="76"/>
      <c r="C1254" s="76"/>
      <c r="D1254" s="76"/>
      <c r="E1254" s="77"/>
      <c r="F1254" s="76"/>
      <c r="G1254" s="76"/>
    </row>
    <row r="1255" spans="1:7">
      <c r="A1255" s="58" t="s">
        <v>2258</v>
      </c>
      <c r="B1255" s="58" t="s">
        <v>2259</v>
      </c>
      <c r="C1255" s="58" t="s">
        <v>2260</v>
      </c>
      <c r="D1255" s="58" t="s">
        <v>2534</v>
      </c>
      <c r="E1255" s="59" t="s">
        <v>2775</v>
      </c>
      <c r="F1255" s="59" t="s">
        <v>2349</v>
      </c>
      <c r="G1255" s="58" t="s">
        <v>2261</v>
      </c>
    </row>
    <row r="1256" spans="1:7" ht="17.25">
      <c r="A1256" s="76" t="s">
        <v>2776</v>
      </c>
      <c r="B1256" s="76"/>
      <c r="C1256" s="76"/>
      <c r="D1256" s="76"/>
      <c r="E1256" s="77"/>
      <c r="F1256" s="76"/>
      <c r="G1256" s="76"/>
    </row>
    <row r="1257" spans="1:7">
      <c r="A1257" s="57" t="s">
        <v>2342</v>
      </c>
      <c r="B1257" s="57"/>
      <c r="C1257" s="57" t="s">
        <v>2309</v>
      </c>
      <c r="D1257" s="57" t="s">
        <v>2534</v>
      </c>
      <c r="E1257" s="75" t="s">
        <v>2311</v>
      </c>
      <c r="F1257" s="57" t="s">
        <v>2038</v>
      </c>
      <c r="G1257" s="57" t="s">
        <v>2343</v>
      </c>
    </row>
    <row r="1258" spans="1:7">
      <c r="A1258" s="57" t="s">
        <v>2344</v>
      </c>
      <c r="B1258" s="57" t="s">
        <v>2273</v>
      </c>
      <c r="C1258" s="57" t="s">
        <v>2309</v>
      </c>
      <c r="D1258" s="57" t="s">
        <v>2534</v>
      </c>
      <c r="E1258" s="75" t="s">
        <v>2311</v>
      </c>
      <c r="F1258" s="57" t="s">
        <v>2038</v>
      </c>
      <c r="G1258" s="57" t="s">
        <v>2345</v>
      </c>
    </row>
    <row r="1259" spans="1:7">
      <c r="A1259" s="57" t="s">
        <v>2285</v>
      </c>
      <c r="B1259" s="57"/>
      <c r="C1259" s="57" t="s">
        <v>2135</v>
      </c>
      <c r="D1259" s="57" t="s">
        <v>2534</v>
      </c>
      <c r="E1259" s="75" t="s">
        <v>2318</v>
      </c>
      <c r="F1259" s="57" t="s">
        <v>2038</v>
      </c>
      <c r="G1259" s="57" t="s">
        <v>2120</v>
      </c>
    </row>
    <row r="1260" spans="1:7" ht="17.25">
      <c r="A1260" s="76" t="s">
        <v>2777</v>
      </c>
      <c r="B1260" s="76"/>
      <c r="C1260" s="76"/>
      <c r="D1260" s="76"/>
      <c r="E1260" s="77"/>
      <c r="F1260" s="76"/>
      <c r="G1260" s="76"/>
    </row>
    <row r="1261" spans="1:7">
      <c r="A1261" s="57" t="s">
        <v>2291</v>
      </c>
      <c r="B1261" s="57"/>
      <c r="C1261" s="57" t="s">
        <v>2135</v>
      </c>
      <c r="D1261" s="57" t="s">
        <v>2534</v>
      </c>
      <c r="E1261" s="75" t="s">
        <v>2318</v>
      </c>
      <c r="F1261" s="57" t="s">
        <v>2038</v>
      </c>
      <c r="G1261" s="57" t="s">
        <v>2292</v>
      </c>
    </row>
    <row r="1262" spans="1:7" ht="17.25">
      <c r="A1262" s="76" t="s">
        <v>2778</v>
      </c>
      <c r="B1262" s="76"/>
      <c r="C1262" s="76"/>
      <c r="D1262" s="76"/>
      <c r="E1262" s="77"/>
      <c r="F1262" s="76"/>
      <c r="G1262" s="76"/>
    </row>
    <row r="1263" spans="1:7">
      <c r="A1263" s="58" t="s">
        <v>2532</v>
      </c>
      <c r="B1263" s="58" t="s">
        <v>2533</v>
      </c>
      <c r="C1263" s="58" t="s">
        <v>1559</v>
      </c>
      <c r="D1263" s="58" t="s">
        <v>2779</v>
      </c>
      <c r="E1263" s="59" t="s">
        <v>108</v>
      </c>
      <c r="F1263" s="59" t="s">
        <v>2349</v>
      </c>
      <c r="G1263" s="58" t="s">
        <v>2535</v>
      </c>
    </row>
    <row r="1264" spans="1:7">
      <c r="A1264" s="58" t="s">
        <v>2536</v>
      </c>
      <c r="B1264" s="58" t="s">
        <v>2537</v>
      </c>
      <c r="C1264" s="58" t="s">
        <v>2538</v>
      </c>
      <c r="D1264" s="58" t="s">
        <v>2779</v>
      </c>
      <c r="E1264" s="59" t="s">
        <v>108</v>
      </c>
      <c r="F1264" s="59" t="s">
        <v>2349</v>
      </c>
      <c r="G1264" s="58" t="s">
        <v>2539</v>
      </c>
    </row>
    <row r="1265" spans="1:7">
      <c r="A1265" s="58" t="s">
        <v>2540</v>
      </c>
      <c r="B1265" s="58" t="s">
        <v>2537</v>
      </c>
      <c r="C1265" s="58" t="s">
        <v>2193</v>
      </c>
      <c r="D1265" s="58" t="s">
        <v>2779</v>
      </c>
      <c r="E1265" s="59" t="s">
        <v>2193</v>
      </c>
      <c r="F1265" s="59" t="s">
        <v>2349</v>
      </c>
      <c r="G1265" s="58" t="s">
        <v>2541</v>
      </c>
    </row>
    <row r="1266" spans="1:7">
      <c r="A1266" s="58" t="s">
        <v>2542</v>
      </c>
      <c r="B1266" s="58" t="s">
        <v>2533</v>
      </c>
      <c r="C1266" s="58" t="s">
        <v>108</v>
      </c>
      <c r="D1266" s="58" t="s">
        <v>2779</v>
      </c>
      <c r="E1266" s="59" t="s">
        <v>108</v>
      </c>
      <c r="F1266" s="59" t="s">
        <v>2349</v>
      </c>
      <c r="G1266" s="58" t="s">
        <v>2543</v>
      </c>
    </row>
    <row r="1267" spans="1:7">
      <c r="A1267" s="58" t="s">
        <v>2544</v>
      </c>
      <c r="B1267" s="58" t="s">
        <v>2545</v>
      </c>
      <c r="C1267" s="58" t="s">
        <v>2193</v>
      </c>
      <c r="D1267" s="58" t="s">
        <v>2779</v>
      </c>
      <c r="E1267" s="59" t="s">
        <v>2193</v>
      </c>
      <c r="F1267" s="59" t="s">
        <v>2349</v>
      </c>
      <c r="G1267" s="58" t="s">
        <v>2541</v>
      </c>
    </row>
    <row r="1268" spans="1:7">
      <c r="A1268" s="57" t="s">
        <v>2546</v>
      </c>
      <c r="B1268" s="57" t="s">
        <v>2546</v>
      </c>
      <c r="C1268" s="57" t="s">
        <v>2135</v>
      </c>
      <c r="D1268" s="57" t="s">
        <v>2779</v>
      </c>
      <c r="E1268" s="75" t="s">
        <v>2136</v>
      </c>
      <c r="F1268" s="57" t="s">
        <v>1700</v>
      </c>
      <c r="G1268" s="57" t="s">
        <v>2547</v>
      </c>
    </row>
    <row r="1269" spans="1:7" ht="17.25">
      <c r="A1269" s="76" t="s">
        <v>2780</v>
      </c>
      <c r="B1269" s="76"/>
      <c r="C1269" s="76"/>
      <c r="D1269" s="76"/>
      <c r="E1269" s="77"/>
      <c r="F1269" s="76"/>
      <c r="G1269" s="76"/>
    </row>
    <row r="1270" spans="1:7">
      <c r="A1270" s="58" t="s">
        <v>2549</v>
      </c>
      <c r="B1270" s="58" t="s">
        <v>2537</v>
      </c>
      <c r="C1270" s="58" t="s">
        <v>2288</v>
      </c>
      <c r="D1270" s="58" t="s">
        <v>2779</v>
      </c>
      <c r="E1270" s="59" t="s">
        <v>2288</v>
      </c>
      <c r="F1270" s="59" t="s">
        <v>2349</v>
      </c>
      <c r="G1270" s="58" t="s">
        <v>2550</v>
      </c>
    </row>
    <row r="1271" spans="1:7">
      <c r="A1271" s="57" t="s">
        <v>2551</v>
      </c>
      <c r="B1271" s="57" t="s">
        <v>2537</v>
      </c>
      <c r="C1271" s="57" t="s">
        <v>2135</v>
      </c>
      <c r="D1271" s="57" t="s">
        <v>2779</v>
      </c>
      <c r="E1271" s="75" t="s">
        <v>2136</v>
      </c>
      <c r="F1271" s="57" t="s">
        <v>1700</v>
      </c>
      <c r="G1271" s="57" t="s">
        <v>2552</v>
      </c>
    </row>
    <row r="1272" spans="1:7">
      <c r="A1272" s="57" t="s">
        <v>2553</v>
      </c>
      <c r="B1272" s="57" t="s">
        <v>2554</v>
      </c>
      <c r="C1272" s="57" t="s">
        <v>2135</v>
      </c>
      <c r="D1272" s="57" t="s">
        <v>2779</v>
      </c>
      <c r="E1272" s="75" t="s">
        <v>2136</v>
      </c>
      <c r="F1272" s="57" t="s">
        <v>1700</v>
      </c>
      <c r="G1272" s="57" t="s">
        <v>2555</v>
      </c>
    </row>
    <row r="1273" spans="1:7">
      <c r="A1273" s="58" t="s">
        <v>2556</v>
      </c>
      <c r="B1273" s="58" t="s">
        <v>2533</v>
      </c>
      <c r="C1273" s="58" t="s">
        <v>2288</v>
      </c>
      <c r="D1273" s="58" t="s">
        <v>2779</v>
      </c>
      <c r="E1273" s="59" t="s">
        <v>2288</v>
      </c>
      <c r="F1273" s="59" t="s">
        <v>2349</v>
      </c>
      <c r="G1273" s="58" t="s">
        <v>2557</v>
      </c>
    </row>
    <row r="1274" spans="1:7">
      <c r="A1274" s="58" t="s">
        <v>2558</v>
      </c>
      <c r="B1274" s="58" t="s">
        <v>2559</v>
      </c>
      <c r="C1274" s="58" t="s">
        <v>2560</v>
      </c>
      <c r="D1274" s="58" t="s">
        <v>2779</v>
      </c>
      <c r="E1274" s="59" t="s">
        <v>2288</v>
      </c>
      <c r="F1274" s="59" t="s">
        <v>2349</v>
      </c>
      <c r="G1274" s="58" t="s">
        <v>2561</v>
      </c>
    </row>
    <row r="1275" spans="1:7">
      <c r="A1275" s="58" t="s">
        <v>2562</v>
      </c>
      <c r="B1275" s="58" t="s">
        <v>2563</v>
      </c>
      <c r="C1275" s="58" t="s">
        <v>2564</v>
      </c>
      <c r="D1275" s="58" t="s">
        <v>2779</v>
      </c>
      <c r="E1275" s="59" t="s">
        <v>1201</v>
      </c>
      <c r="F1275" s="59" t="s">
        <v>2349</v>
      </c>
      <c r="G1275" s="58" t="s">
        <v>2565</v>
      </c>
    </row>
    <row r="1276" spans="1:7">
      <c r="A1276" s="57" t="s">
        <v>2566</v>
      </c>
      <c r="B1276" s="57" t="s">
        <v>2545</v>
      </c>
      <c r="C1276" s="57" t="s">
        <v>2567</v>
      </c>
      <c r="D1276" s="57" t="s">
        <v>2779</v>
      </c>
      <c r="E1276" s="75" t="s">
        <v>108</v>
      </c>
      <c r="F1276" s="57" t="s">
        <v>1700</v>
      </c>
      <c r="G1276" s="57" t="s">
        <v>2569</v>
      </c>
    </row>
    <row r="1277" spans="1:7">
      <c r="A1277" s="57" t="s">
        <v>2570</v>
      </c>
      <c r="B1277" s="57" t="s">
        <v>2571</v>
      </c>
      <c r="C1277" s="57" t="s">
        <v>2135</v>
      </c>
      <c r="D1277" s="57" t="s">
        <v>2779</v>
      </c>
      <c r="E1277" s="75" t="s">
        <v>2136</v>
      </c>
      <c r="F1277" s="57" t="s">
        <v>1700</v>
      </c>
      <c r="G1277" s="57" t="s">
        <v>2120</v>
      </c>
    </row>
    <row r="1278" spans="1:7">
      <c r="A1278" s="57" t="s">
        <v>2575</v>
      </c>
      <c r="B1278" s="57" t="s">
        <v>2533</v>
      </c>
      <c r="C1278" s="57" t="s">
        <v>2135</v>
      </c>
      <c r="D1278" s="57" t="s">
        <v>2779</v>
      </c>
      <c r="E1278" s="75" t="s">
        <v>2136</v>
      </c>
      <c r="F1278" s="57" t="s">
        <v>1700</v>
      </c>
      <c r="G1278" s="57" t="s">
        <v>2120</v>
      </c>
    </row>
    <row r="1279" spans="1:7">
      <c r="A1279" s="58" t="s">
        <v>2576</v>
      </c>
      <c r="B1279" s="58" t="s">
        <v>2571</v>
      </c>
      <c r="C1279" s="58" t="s">
        <v>108</v>
      </c>
      <c r="D1279" s="58" t="s">
        <v>2779</v>
      </c>
      <c r="E1279" s="59" t="s">
        <v>108</v>
      </c>
      <c r="F1279" s="59" t="s">
        <v>2349</v>
      </c>
      <c r="G1279" s="58" t="s">
        <v>2577</v>
      </c>
    </row>
    <row r="1280" spans="1:7">
      <c r="A1280" s="58" t="s">
        <v>2578</v>
      </c>
      <c r="B1280" s="58" t="s">
        <v>2579</v>
      </c>
      <c r="C1280" s="58" t="s">
        <v>2564</v>
      </c>
      <c r="D1280" s="58" t="s">
        <v>2779</v>
      </c>
      <c r="E1280" s="59" t="s">
        <v>1201</v>
      </c>
      <c r="F1280" s="59" t="s">
        <v>2349</v>
      </c>
      <c r="G1280" s="58" t="s">
        <v>2565</v>
      </c>
    </row>
    <row r="1281" spans="1:7">
      <c r="A1281" s="57" t="s">
        <v>2546</v>
      </c>
      <c r="B1281" s="57" t="s">
        <v>2546</v>
      </c>
      <c r="C1281" s="57" t="s">
        <v>2135</v>
      </c>
      <c r="D1281" s="57" t="s">
        <v>2779</v>
      </c>
      <c r="E1281" s="75" t="s">
        <v>2136</v>
      </c>
      <c r="F1281" s="57" t="s">
        <v>1700</v>
      </c>
      <c r="G1281" s="57" t="s">
        <v>2580</v>
      </c>
    </row>
    <row r="1282" spans="1:7">
      <c r="A1282" s="57" t="s">
        <v>2581</v>
      </c>
      <c r="B1282" s="57" t="s">
        <v>2582</v>
      </c>
      <c r="C1282" s="57" t="s">
        <v>2135</v>
      </c>
      <c r="D1282" s="57" t="s">
        <v>2779</v>
      </c>
      <c r="E1282" s="75" t="s">
        <v>2136</v>
      </c>
      <c r="F1282" s="57" t="s">
        <v>1700</v>
      </c>
      <c r="G1282" s="57" t="s">
        <v>2583</v>
      </c>
    </row>
    <row r="1283" spans="1:7">
      <c r="A1283" s="58" t="s">
        <v>2584</v>
      </c>
      <c r="B1283" s="58" t="s">
        <v>2545</v>
      </c>
      <c r="C1283" s="58" t="s">
        <v>2585</v>
      </c>
      <c r="D1283" s="58" t="s">
        <v>2779</v>
      </c>
      <c r="E1283" s="59" t="s">
        <v>2119</v>
      </c>
      <c r="F1283" s="59" t="s">
        <v>2349</v>
      </c>
      <c r="G1283" s="58" t="s">
        <v>2586</v>
      </c>
    </row>
    <row r="1284" spans="1:7">
      <c r="A1284" s="58" t="s">
        <v>2587</v>
      </c>
      <c r="B1284" s="58" t="s">
        <v>2554</v>
      </c>
      <c r="C1284" s="58" t="s">
        <v>2288</v>
      </c>
      <c r="D1284" s="58" t="s">
        <v>2779</v>
      </c>
      <c r="E1284" s="59" t="s">
        <v>2288</v>
      </c>
      <c r="F1284" s="59" t="s">
        <v>2349</v>
      </c>
      <c r="G1284" s="58" t="s">
        <v>2588</v>
      </c>
    </row>
    <row r="1285" spans="1:7" ht="17.25">
      <c r="A1285" s="76" t="s">
        <v>2781</v>
      </c>
      <c r="B1285" s="76"/>
      <c r="C1285" s="76"/>
      <c r="D1285" s="76"/>
      <c r="E1285" s="77"/>
      <c r="F1285" s="76"/>
      <c r="G1285" s="76"/>
    </row>
    <row r="1286" spans="1:7">
      <c r="A1286" s="57" t="s">
        <v>2546</v>
      </c>
      <c r="B1286" s="57" t="s">
        <v>2546</v>
      </c>
      <c r="C1286" s="57" t="s">
        <v>2135</v>
      </c>
      <c r="D1286" s="57" t="s">
        <v>2779</v>
      </c>
      <c r="E1286" s="75" t="s">
        <v>2136</v>
      </c>
      <c r="F1286" s="57" t="s">
        <v>1700</v>
      </c>
      <c r="G1286" s="57" t="s">
        <v>2547</v>
      </c>
    </row>
    <row r="1287" spans="1:7">
      <c r="A1287" s="58" t="s">
        <v>2590</v>
      </c>
      <c r="B1287" s="58" t="s">
        <v>2591</v>
      </c>
      <c r="C1287" s="58" t="s">
        <v>2592</v>
      </c>
      <c r="D1287" s="58" t="s">
        <v>2779</v>
      </c>
      <c r="E1287" s="59" t="s">
        <v>2288</v>
      </c>
      <c r="F1287" s="59" t="s">
        <v>2349</v>
      </c>
      <c r="G1287" s="58" t="s">
        <v>2593</v>
      </c>
    </row>
    <row r="1288" spans="1:7">
      <c r="A1288" s="58" t="s">
        <v>2594</v>
      </c>
      <c r="B1288" s="58" t="s">
        <v>2533</v>
      </c>
      <c r="C1288" s="58" t="s">
        <v>2288</v>
      </c>
      <c r="D1288" s="58" t="s">
        <v>2779</v>
      </c>
      <c r="E1288" s="59" t="s">
        <v>2288</v>
      </c>
      <c r="F1288" s="59" t="s">
        <v>2349</v>
      </c>
      <c r="G1288" s="58" t="s">
        <v>2595</v>
      </c>
    </row>
    <row r="1289" spans="1:7">
      <c r="A1289" s="58" t="s">
        <v>2596</v>
      </c>
      <c r="B1289" s="58" t="s">
        <v>2582</v>
      </c>
      <c r="C1289" s="58" t="s">
        <v>108</v>
      </c>
      <c r="D1289" s="58" t="s">
        <v>2779</v>
      </c>
      <c r="E1289" s="59" t="s">
        <v>108</v>
      </c>
      <c r="F1289" s="59" t="s">
        <v>2349</v>
      </c>
      <c r="G1289" s="58" t="s">
        <v>2120</v>
      </c>
    </row>
    <row r="1290" spans="1:7">
      <c r="A1290" s="58" t="s">
        <v>2597</v>
      </c>
      <c r="B1290" s="58" t="s">
        <v>2537</v>
      </c>
      <c r="C1290" s="58" t="s">
        <v>108</v>
      </c>
      <c r="D1290" s="58" t="s">
        <v>2779</v>
      </c>
      <c r="E1290" s="59" t="s">
        <v>108</v>
      </c>
      <c r="F1290" s="59" t="s">
        <v>2349</v>
      </c>
      <c r="G1290" s="58" t="s">
        <v>2598</v>
      </c>
    </row>
    <row r="1291" spans="1:7">
      <c r="A1291" s="58" t="s">
        <v>2599</v>
      </c>
      <c r="B1291" s="58" t="s">
        <v>2559</v>
      </c>
      <c r="C1291" s="58" t="s">
        <v>2288</v>
      </c>
      <c r="D1291" s="58" t="s">
        <v>2779</v>
      </c>
      <c r="E1291" s="59" t="s">
        <v>2288</v>
      </c>
      <c r="F1291" s="59" t="s">
        <v>2349</v>
      </c>
      <c r="G1291" s="58" t="s">
        <v>2600</v>
      </c>
    </row>
    <row r="1292" spans="1:7">
      <c r="A1292" s="58" t="s">
        <v>2601</v>
      </c>
      <c r="B1292" s="58" t="s">
        <v>2533</v>
      </c>
      <c r="C1292" s="58" t="s">
        <v>2288</v>
      </c>
      <c r="D1292" s="58" t="s">
        <v>2779</v>
      </c>
      <c r="E1292" s="59" t="s">
        <v>2288</v>
      </c>
      <c r="F1292" s="59" t="s">
        <v>2349</v>
      </c>
      <c r="G1292" s="58" t="s">
        <v>2602</v>
      </c>
    </row>
    <row r="1293" spans="1:7">
      <c r="A1293" s="58" t="s">
        <v>2603</v>
      </c>
      <c r="B1293" s="58" t="s">
        <v>2559</v>
      </c>
      <c r="C1293" s="58" t="s">
        <v>2604</v>
      </c>
      <c r="D1293" s="58" t="s">
        <v>2779</v>
      </c>
      <c r="E1293" s="59" t="s">
        <v>2193</v>
      </c>
      <c r="F1293" s="59" t="s">
        <v>2349</v>
      </c>
      <c r="G1293" s="58" t="s">
        <v>2606</v>
      </c>
    </row>
    <row r="1294" spans="1:7">
      <c r="A1294" s="58" t="s">
        <v>2607</v>
      </c>
      <c r="B1294" s="58" t="s">
        <v>2563</v>
      </c>
      <c r="C1294" s="58" t="s">
        <v>2608</v>
      </c>
      <c r="D1294" s="58" t="s">
        <v>2779</v>
      </c>
      <c r="E1294" s="59" t="s">
        <v>2288</v>
      </c>
      <c r="F1294" s="59" t="s">
        <v>2349</v>
      </c>
      <c r="G1294" s="58" t="s">
        <v>2609</v>
      </c>
    </row>
    <row r="1295" spans="1:7">
      <c r="A1295" s="58" t="s">
        <v>2610</v>
      </c>
      <c r="B1295" s="58" t="s">
        <v>2545</v>
      </c>
      <c r="C1295" s="58" t="s">
        <v>108</v>
      </c>
      <c r="D1295" s="58" t="s">
        <v>2779</v>
      </c>
      <c r="E1295" s="59" t="s">
        <v>108</v>
      </c>
      <c r="F1295" s="59" t="s">
        <v>2349</v>
      </c>
      <c r="G1295" s="58" t="s">
        <v>2120</v>
      </c>
    </row>
    <row r="1296" spans="1:7">
      <c r="A1296" s="58" t="s">
        <v>2611</v>
      </c>
      <c r="B1296" s="58" t="s">
        <v>2545</v>
      </c>
      <c r="C1296" s="58" t="s">
        <v>2288</v>
      </c>
      <c r="D1296" s="58" t="s">
        <v>2779</v>
      </c>
      <c r="E1296" s="59" t="s">
        <v>2288</v>
      </c>
      <c r="F1296" s="59" t="s">
        <v>2349</v>
      </c>
      <c r="G1296" s="58" t="s">
        <v>2612</v>
      </c>
    </row>
    <row r="1297" spans="1:7" ht="17.25">
      <c r="A1297" s="76" t="s">
        <v>2782</v>
      </c>
      <c r="B1297" s="76"/>
      <c r="C1297" s="76"/>
      <c r="D1297" s="76"/>
      <c r="E1297" s="77"/>
      <c r="F1297" s="76"/>
      <c r="G1297" s="76"/>
    </row>
    <row r="1298" spans="1:7">
      <c r="A1298" s="57" t="s">
        <v>2546</v>
      </c>
      <c r="B1298" s="57" t="s">
        <v>2546</v>
      </c>
      <c r="C1298" s="57" t="s">
        <v>2135</v>
      </c>
      <c r="D1298" s="57" t="s">
        <v>2779</v>
      </c>
      <c r="E1298" s="75" t="s">
        <v>2136</v>
      </c>
      <c r="F1298" s="57" t="s">
        <v>1700</v>
      </c>
      <c r="G1298" s="57" t="s">
        <v>2614</v>
      </c>
    </row>
    <row r="1299" spans="1:7">
      <c r="A1299" s="58" t="s">
        <v>2615</v>
      </c>
      <c r="B1299" s="58" t="s">
        <v>2537</v>
      </c>
      <c r="C1299" s="58" t="s">
        <v>2616</v>
      </c>
      <c r="D1299" s="58" t="s">
        <v>2779</v>
      </c>
      <c r="E1299" s="59" t="s">
        <v>2288</v>
      </c>
      <c r="F1299" s="59" t="s">
        <v>2349</v>
      </c>
      <c r="G1299" s="58" t="s">
        <v>2617</v>
      </c>
    </row>
    <row r="1300" spans="1:7">
      <c r="A1300" s="57" t="s">
        <v>2618</v>
      </c>
      <c r="B1300" s="57" t="s">
        <v>2619</v>
      </c>
      <c r="C1300" s="57" t="s">
        <v>2135</v>
      </c>
      <c r="D1300" s="57" t="s">
        <v>2779</v>
      </c>
      <c r="E1300" s="75" t="s">
        <v>2136</v>
      </c>
      <c r="F1300" s="57" t="s">
        <v>1700</v>
      </c>
      <c r="G1300" s="57" t="s">
        <v>2120</v>
      </c>
    </row>
    <row r="1301" spans="1:7">
      <c r="A1301" s="58" t="s">
        <v>2620</v>
      </c>
      <c r="B1301" s="58" t="s">
        <v>2554</v>
      </c>
      <c r="C1301" s="58" t="s">
        <v>2288</v>
      </c>
      <c r="D1301" s="58" t="s">
        <v>2779</v>
      </c>
      <c r="E1301" s="59" t="s">
        <v>2288</v>
      </c>
      <c r="F1301" s="59" t="s">
        <v>2349</v>
      </c>
      <c r="G1301" s="58" t="s">
        <v>2621</v>
      </c>
    </row>
    <row r="1302" spans="1:7">
      <c r="A1302" s="57" t="s">
        <v>2622</v>
      </c>
      <c r="B1302" s="57" t="s">
        <v>2582</v>
      </c>
      <c r="C1302" s="57" t="s">
        <v>2135</v>
      </c>
      <c r="D1302" s="57" t="s">
        <v>2779</v>
      </c>
      <c r="E1302" s="75" t="s">
        <v>2136</v>
      </c>
      <c r="F1302" s="57" t="s">
        <v>1700</v>
      </c>
      <c r="G1302" s="57" t="s">
        <v>2120</v>
      </c>
    </row>
    <row r="1303" spans="1:7">
      <c r="A1303" s="58" t="s">
        <v>2623</v>
      </c>
      <c r="B1303" s="58" t="s">
        <v>2533</v>
      </c>
      <c r="C1303" s="58" t="s">
        <v>2288</v>
      </c>
      <c r="D1303" s="58" t="s">
        <v>2779</v>
      </c>
      <c r="E1303" s="59" t="s">
        <v>2288</v>
      </c>
      <c r="F1303" s="59" t="s">
        <v>2349</v>
      </c>
      <c r="G1303" s="58" t="s">
        <v>2624</v>
      </c>
    </row>
    <row r="1304" spans="1:7">
      <c r="A1304" s="58" t="s">
        <v>2625</v>
      </c>
      <c r="B1304" s="58" t="s">
        <v>2533</v>
      </c>
      <c r="C1304" s="58" t="s">
        <v>2288</v>
      </c>
      <c r="D1304" s="58" t="s">
        <v>2779</v>
      </c>
      <c r="E1304" s="59" t="s">
        <v>2288</v>
      </c>
      <c r="F1304" s="59" t="s">
        <v>2349</v>
      </c>
      <c r="G1304" s="58" t="s">
        <v>2120</v>
      </c>
    </row>
    <row r="1305" spans="1:7">
      <c r="A1305" s="58" t="s">
        <v>2626</v>
      </c>
      <c r="B1305" s="58" t="s">
        <v>2579</v>
      </c>
      <c r="C1305" s="58" t="s">
        <v>1201</v>
      </c>
      <c r="D1305" s="58" t="s">
        <v>2779</v>
      </c>
      <c r="E1305" s="59" t="s">
        <v>1201</v>
      </c>
      <c r="F1305" s="59" t="s">
        <v>2349</v>
      </c>
      <c r="G1305" s="58" t="s">
        <v>2627</v>
      </c>
    </row>
    <row r="1306" spans="1:7">
      <c r="A1306" s="58" t="s">
        <v>2628</v>
      </c>
      <c r="B1306" s="58" t="s">
        <v>2533</v>
      </c>
      <c r="C1306" s="58" t="s">
        <v>2629</v>
      </c>
      <c r="D1306" s="58" t="s">
        <v>2779</v>
      </c>
      <c r="E1306" s="59" t="s">
        <v>2783</v>
      </c>
      <c r="F1306" s="59" t="s">
        <v>2349</v>
      </c>
      <c r="G1306" s="58" t="s">
        <v>2630</v>
      </c>
    </row>
    <row r="1307" spans="1:7">
      <c r="A1307" s="57" t="s">
        <v>2631</v>
      </c>
      <c r="B1307" s="57" t="s">
        <v>2537</v>
      </c>
      <c r="C1307" s="57" t="s">
        <v>2135</v>
      </c>
      <c r="D1307" s="57" t="s">
        <v>2779</v>
      </c>
      <c r="E1307" s="75" t="s">
        <v>2136</v>
      </c>
      <c r="F1307" s="57" t="s">
        <v>1700</v>
      </c>
      <c r="G1307" s="57" t="s">
        <v>2632</v>
      </c>
    </row>
    <row r="1308" spans="1:7">
      <c r="A1308" s="57" t="s">
        <v>2633</v>
      </c>
      <c r="B1308" s="57" t="s">
        <v>2571</v>
      </c>
      <c r="C1308" s="57" t="s">
        <v>2135</v>
      </c>
      <c r="D1308" s="57" t="s">
        <v>2779</v>
      </c>
      <c r="E1308" s="75" t="s">
        <v>2136</v>
      </c>
      <c r="F1308" s="57" t="s">
        <v>1700</v>
      </c>
      <c r="G1308" s="57" t="s">
        <v>2632</v>
      </c>
    </row>
    <row r="1309" spans="1:7">
      <c r="A1309" s="58" t="s">
        <v>2634</v>
      </c>
      <c r="B1309" s="58" t="s">
        <v>2563</v>
      </c>
      <c r="C1309" s="58" t="s">
        <v>2288</v>
      </c>
      <c r="D1309" s="58" t="s">
        <v>2779</v>
      </c>
      <c r="E1309" s="59" t="s">
        <v>2288</v>
      </c>
      <c r="F1309" s="59" t="s">
        <v>2349</v>
      </c>
      <c r="G1309" s="58" t="s">
        <v>2635</v>
      </c>
    </row>
    <row r="1310" spans="1:7">
      <c r="A1310" s="57" t="s">
        <v>2636</v>
      </c>
      <c r="B1310" s="57" t="s">
        <v>2582</v>
      </c>
      <c r="C1310" s="57" t="s">
        <v>2135</v>
      </c>
      <c r="D1310" s="57" t="s">
        <v>2779</v>
      </c>
      <c r="E1310" s="75" t="s">
        <v>2136</v>
      </c>
      <c r="F1310" s="57" t="s">
        <v>1700</v>
      </c>
      <c r="G1310" s="57" t="s">
        <v>2120</v>
      </c>
    </row>
    <row r="1311" spans="1:7" ht="17.25">
      <c r="A1311" s="76" t="s">
        <v>2784</v>
      </c>
      <c r="B1311" s="76"/>
      <c r="C1311" s="76"/>
      <c r="D1311" s="76"/>
      <c r="E1311" s="77"/>
      <c r="F1311" s="76"/>
      <c r="G1311" s="76"/>
    </row>
    <row r="1312" spans="1:7">
      <c r="A1312" s="57" t="s">
        <v>2546</v>
      </c>
      <c r="B1312" s="57" t="s">
        <v>2546</v>
      </c>
      <c r="C1312" s="57" t="s">
        <v>2135</v>
      </c>
      <c r="D1312" s="57" t="s">
        <v>2779</v>
      </c>
      <c r="E1312" s="75" t="s">
        <v>2136</v>
      </c>
      <c r="F1312" s="57" t="s">
        <v>1700</v>
      </c>
      <c r="G1312" s="57" t="s">
        <v>2580</v>
      </c>
    </row>
    <row r="1313" spans="1:7">
      <c r="A1313" s="58" t="s">
        <v>2643</v>
      </c>
      <c r="B1313" s="58" t="s">
        <v>2579</v>
      </c>
      <c r="C1313" s="58" t="s">
        <v>2288</v>
      </c>
      <c r="D1313" s="58" t="s">
        <v>2779</v>
      </c>
      <c r="E1313" s="59" t="s">
        <v>2288</v>
      </c>
      <c r="F1313" s="59" t="s">
        <v>2349</v>
      </c>
      <c r="G1313" s="58" t="s">
        <v>2644</v>
      </c>
    </row>
    <row r="1314" spans="1:7">
      <c r="A1314" s="58" t="s">
        <v>2645</v>
      </c>
      <c r="B1314" s="58" t="s">
        <v>2537</v>
      </c>
      <c r="C1314" s="58" t="s">
        <v>2288</v>
      </c>
      <c r="D1314" s="58" t="s">
        <v>2779</v>
      </c>
      <c r="E1314" s="59" t="s">
        <v>2288</v>
      </c>
      <c r="F1314" s="59" t="s">
        <v>2349</v>
      </c>
      <c r="G1314" s="58" t="s">
        <v>2646</v>
      </c>
    </row>
    <row r="1315" spans="1:7">
      <c r="A1315" s="57" t="s">
        <v>2647</v>
      </c>
      <c r="B1315" s="57" t="s">
        <v>2591</v>
      </c>
      <c r="C1315" s="57" t="s">
        <v>2135</v>
      </c>
      <c r="D1315" s="57" t="s">
        <v>2779</v>
      </c>
      <c r="E1315" s="75" t="s">
        <v>2136</v>
      </c>
      <c r="F1315" s="57" t="s">
        <v>1700</v>
      </c>
      <c r="G1315" s="57" t="s">
        <v>2120</v>
      </c>
    </row>
    <row r="1316" spans="1:7">
      <c r="A1316" s="58" t="s">
        <v>2648</v>
      </c>
      <c r="B1316" s="58" t="s">
        <v>2591</v>
      </c>
      <c r="C1316" s="58" t="s">
        <v>2288</v>
      </c>
      <c r="D1316" s="58" t="s">
        <v>2779</v>
      </c>
      <c r="E1316" s="59" t="s">
        <v>2288</v>
      </c>
      <c r="F1316" s="59" t="s">
        <v>2349</v>
      </c>
      <c r="G1316" s="58" t="s">
        <v>2649</v>
      </c>
    </row>
    <row r="1317" spans="1:7">
      <c r="A1317" s="58" t="s">
        <v>2650</v>
      </c>
      <c r="B1317" s="58" t="s">
        <v>2571</v>
      </c>
      <c r="C1317" s="58" t="s">
        <v>2651</v>
      </c>
      <c r="D1317" s="58" t="s">
        <v>2779</v>
      </c>
      <c r="E1317" s="59" t="s">
        <v>2288</v>
      </c>
      <c r="F1317" s="59" t="s">
        <v>2349</v>
      </c>
      <c r="G1317" s="58" t="s">
        <v>2652</v>
      </c>
    </row>
    <row r="1318" spans="1:7">
      <c r="A1318" s="58" t="s">
        <v>2653</v>
      </c>
      <c r="B1318" s="58" t="s">
        <v>2533</v>
      </c>
      <c r="C1318" s="58" t="s">
        <v>2288</v>
      </c>
      <c r="D1318" s="58" t="s">
        <v>2779</v>
      </c>
      <c r="E1318" s="59" t="s">
        <v>2288</v>
      </c>
      <c r="F1318" s="59" t="s">
        <v>2349</v>
      </c>
      <c r="G1318" s="58" t="s">
        <v>2654</v>
      </c>
    </row>
    <row r="1319" spans="1:7">
      <c r="A1319" s="58" t="s">
        <v>2655</v>
      </c>
      <c r="B1319" s="58" t="s">
        <v>2571</v>
      </c>
      <c r="C1319" s="58" t="s">
        <v>2288</v>
      </c>
      <c r="D1319" s="58" t="s">
        <v>2779</v>
      </c>
      <c r="E1319" s="59" t="s">
        <v>2288</v>
      </c>
      <c r="F1319" s="59" t="s">
        <v>2349</v>
      </c>
      <c r="G1319" s="58" t="s">
        <v>2656</v>
      </c>
    </row>
    <row r="1320" spans="1:7">
      <c r="A1320" s="58" t="s">
        <v>2657</v>
      </c>
      <c r="B1320" s="58" t="s">
        <v>2533</v>
      </c>
      <c r="C1320" s="58" t="s">
        <v>2288</v>
      </c>
      <c r="D1320" s="58" t="s">
        <v>2779</v>
      </c>
      <c r="E1320" s="59" t="s">
        <v>2288</v>
      </c>
      <c r="F1320" s="59" t="s">
        <v>2349</v>
      </c>
      <c r="G1320" s="58" t="s">
        <v>2658</v>
      </c>
    </row>
    <row r="1321" spans="1:7">
      <c r="A1321" s="58" t="s">
        <v>2659</v>
      </c>
      <c r="B1321" s="58" t="s">
        <v>2559</v>
      </c>
      <c r="C1321" s="58" t="s">
        <v>2288</v>
      </c>
      <c r="D1321" s="58" t="s">
        <v>2779</v>
      </c>
      <c r="E1321" s="59" t="s">
        <v>2288</v>
      </c>
      <c r="F1321" s="59" t="s">
        <v>2349</v>
      </c>
      <c r="G1321" s="58" t="s">
        <v>2660</v>
      </c>
    </row>
    <row r="1322" spans="1:7">
      <c r="A1322" s="57" t="s">
        <v>2661</v>
      </c>
      <c r="B1322" s="57" t="s">
        <v>2559</v>
      </c>
      <c r="C1322" s="57" t="s">
        <v>2135</v>
      </c>
      <c r="D1322" s="57" t="s">
        <v>2779</v>
      </c>
      <c r="E1322" s="75" t="s">
        <v>2136</v>
      </c>
      <c r="F1322" s="57" t="s">
        <v>1700</v>
      </c>
      <c r="G1322" s="57" t="s">
        <v>2662</v>
      </c>
    </row>
    <row r="1323" spans="1:7">
      <c r="A1323" s="58" t="s">
        <v>2663</v>
      </c>
      <c r="B1323" s="58" t="s">
        <v>2559</v>
      </c>
      <c r="C1323" s="58" t="s">
        <v>2288</v>
      </c>
      <c r="D1323" s="58" t="s">
        <v>2779</v>
      </c>
      <c r="E1323" s="59" t="s">
        <v>2288</v>
      </c>
      <c r="F1323" s="59" t="s">
        <v>2349</v>
      </c>
      <c r="G1323" s="58" t="s">
        <v>2664</v>
      </c>
    </row>
    <row r="1324" spans="1:7">
      <c r="A1324" s="58" t="s">
        <v>2665</v>
      </c>
      <c r="B1324" s="58" t="s">
        <v>2563</v>
      </c>
      <c r="C1324" s="58" t="s">
        <v>2288</v>
      </c>
      <c r="D1324" s="58" t="s">
        <v>2779</v>
      </c>
      <c r="E1324" s="59" t="s">
        <v>2288</v>
      </c>
      <c r="F1324" s="59" t="s">
        <v>2349</v>
      </c>
      <c r="G1324" s="58" t="s">
        <v>2666</v>
      </c>
    </row>
    <row r="1325" spans="1:7">
      <c r="A1325" s="58" t="s">
        <v>2667</v>
      </c>
      <c r="B1325" s="58" t="s">
        <v>2571</v>
      </c>
      <c r="C1325" s="58" t="s">
        <v>2668</v>
      </c>
      <c r="D1325" s="58" t="s">
        <v>2779</v>
      </c>
      <c r="E1325" s="59" t="s">
        <v>2669</v>
      </c>
      <c r="F1325" s="59" t="s">
        <v>2349</v>
      </c>
      <c r="G1325" s="58" t="s">
        <v>2670</v>
      </c>
    </row>
    <row r="1326" spans="1:7">
      <c r="A1326" s="58" t="s">
        <v>2671</v>
      </c>
      <c r="B1326" s="58" t="s">
        <v>2591</v>
      </c>
      <c r="C1326" s="58" t="s">
        <v>2288</v>
      </c>
      <c r="D1326" s="58" t="s">
        <v>2779</v>
      </c>
      <c r="E1326" s="59" t="s">
        <v>2288</v>
      </c>
      <c r="F1326" s="59" t="s">
        <v>2349</v>
      </c>
      <c r="G1326" s="58" t="s">
        <v>2672</v>
      </c>
    </row>
    <row r="1327" spans="1:7">
      <c r="A1327" s="58" t="s">
        <v>2674</v>
      </c>
      <c r="B1327" s="58" t="s">
        <v>2533</v>
      </c>
      <c r="C1327" s="58" t="s">
        <v>1201</v>
      </c>
      <c r="D1327" s="58" t="s">
        <v>2779</v>
      </c>
      <c r="E1327" s="59" t="s">
        <v>1201</v>
      </c>
      <c r="F1327" s="59" t="s">
        <v>2349</v>
      </c>
      <c r="G1327" s="58" t="s">
        <v>2675</v>
      </c>
    </row>
    <row r="1328" spans="1:7" ht="17.25">
      <c r="A1328" s="76" t="s">
        <v>2785</v>
      </c>
      <c r="B1328" s="76"/>
      <c r="C1328" s="76"/>
      <c r="D1328" s="76"/>
      <c r="E1328" s="77"/>
      <c r="F1328" s="76"/>
      <c r="G1328" s="76"/>
    </row>
    <row r="1329" spans="1:7">
      <c r="A1329" s="57" t="s">
        <v>2546</v>
      </c>
      <c r="B1329" s="57" t="s">
        <v>2546</v>
      </c>
      <c r="C1329" s="57" t="s">
        <v>2135</v>
      </c>
      <c r="D1329" s="57" t="s">
        <v>2779</v>
      </c>
      <c r="E1329" s="75" t="s">
        <v>2136</v>
      </c>
      <c r="F1329" s="57" t="s">
        <v>1700</v>
      </c>
      <c r="G1329" s="57" t="s">
        <v>2580</v>
      </c>
    </row>
    <row r="1330" spans="1:7">
      <c r="A1330" s="58" t="s">
        <v>2677</v>
      </c>
      <c r="B1330" s="58" t="s">
        <v>2533</v>
      </c>
      <c r="C1330" s="58" t="s">
        <v>2288</v>
      </c>
      <c r="D1330" s="58" t="s">
        <v>2779</v>
      </c>
      <c r="E1330" s="59" t="s">
        <v>2288</v>
      </c>
      <c r="F1330" s="59" t="s">
        <v>2349</v>
      </c>
      <c r="G1330" s="58" t="s">
        <v>2678</v>
      </c>
    </row>
    <row r="1331" spans="1:7">
      <c r="A1331" s="58" t="s">
        <v>2679</v>
      </c>
      <c r="B1331" s="58" t="s">
        <v>2537</v>
      </c>
      <c r="C1331" s="58" t="s">
        <v>2288</v>
      </c>
      <c r="D1331" s="58" t="s">
        <v>2779</v>
      </c>
      <c r="E1331" s="59" t="s">
        <v>2288</v>
      </c>
      <c r="F1331" s="59" t="s">
        <v>2349</v>
      </c>
      <c r="G1331" s="58" t="s">
        <v>2680</v>
      </c>
    </row>
    <row r="1332" spans="1:7">
      <c r="A1332" s="58" t="s">
        <v>2681</v>
      </c>
      <c r="B1332" s="58" t="s">
        <v>2563</v>
      </c>
      <c r="C1332" s="58" t="s">
        <v>108</v>
      </c>
      <c r="D1332" s="58" t="s">
        <v>2779</v>
      </c>
      <c r="E1332" s="59" t="s">
        <v>108</v>
      </c>
      <c r="F1332" s="59" t="s">
        <v>2349</v>
      </c>
      <c r="G1332" s="58" t="s">
        <v>2682</v>
      </c>
    </row>
    <row r="1333" spans="1:7">
      <c r="A1333" s="57" t="s">
        <v>2683</v>
      </c>
      <c r="B1333" s="57" t="s">
        <v>2537</v>
      </c>
      <c r="C1333" s="57" t="s">
        <v>2684</v>
      </c>
      <c r="D1333" s="57" t="s">
        <v>2779</v>
      </c>
      <c r="E1333" s="75" t="s">
        <v>2786</v>
      </c>
      <c r="F1333" s="57" t="s">
        <v>1700</v>
      </c>
      <c r="G1333" s="57" t="s">
        <v>2686</v>
      </c>
    </row>
    <row r="1334" spans="1:7">
      <c r="A1334" s="58" t="s">
        <v>2687</v>
      </c>
      <c r="B1334" s="58" t="s">
        <v>2554</v>
      </c>
      <c r="C1334" s="58" t="s">
        <v>2288</v>
      </c>
      <c r="D1334" s="58" t="s">
        <v>2779</v>
      </c>
      <c r="E1334" s="59" t="s">
        <v>2288</v>
      </c>
      <c r="F1334" s="59" t="s">
        <v>2349</v>
      </c>
      <c r="G1334" s="58" t="s">
        <v>2688</v>
      </c>
    </row>
    <row r="1335" spans="1:7">
      <c r="A1335" s="58" t="s">
        <v>2689</v>
      </c>
      <c r="B1335" s="58" t="s">
        <v>2554</v>
      </c>
      <c r="C1335" s="58" t="s">
        <v>2288</v>
      </c>
      <c r="D1335" s="58" t="s">
        <v>2779</v>
      </c>
      <c r="E1335" s="59" t="s">
        <v>2288</v>
      </c>
      <c r="F1335" s="59" t="s">
        <v>2349</v>
      </c>
      <c r="G1335" s="58" t="s">
        <v>2690</v>
      </c>
    </row>
    <row r="1336" spans="1:7">
      <c r="A1336" s="57" t="s">
        <v>2691</v>
      </c>
      <c r="B1336" s="57" t="s">
        <v>2533</v>
      </c>
      <c r="C1336" s="57" t="s">
        <v>2135</v>
      </c>
      <c r="D1336" s="57" t="s">
        <v>2779</v>
      </c>
      <c r="E1336" s="75" t="s">
        <v>2136</v>
      </c>
      <c r="F1336" s="57" t="s">
        <v>1700</v>
      </c>
      <c r="G1336" s="57" t="s">
        <v>2692</v>
      </c>
    </row>
    <row r="1337" spans="1:7">
      <c r="A1337" s="58" t="s">
        <v>2693</v>
      </c>
      <c r="B1337" s="58" t="s">
        <v>2533</v>
      </c>
      <c r="C1337" s="58" t="s">
        <v>2288</v>
      </c>
      <c r="D1337" s="58" t="s">
        <v>2779</v>
      </c>
      <c r="E1337" s="59" t="s">
        <v>2288</v>
      </c>
      <c r="F1337" s="59" t="s">
        <v>2349</v>
      </c>
      <c r="G1337" s="58" t="s">
        <v>2694</v>
      </c>
    </row>
    <row r="1338" spans="1:7">
      <c r="A1338" s="58" t="s">
        <v>2695</v>
      </c>
      <c r="B1338" s="58" t="s">
        <v>2591</v>
      </c>
      <c r="C1338" s="58" t="s">
        <v>2288</v>
      </c>
      <c r="D1338" s="58" t="s">
        <v>2779</v>
      </c>
      <c r="E1338" s="59" t="s">
        <v>2288</v>
      </c>
      <c r="F1338" s="59" t="s">
        <v>2349</v>
      </c>
      <c r="G1338" s="58" t="s">
        <v>2696</v>
      </c>
    </row>
    <row r="1339" spans="1:7">
      <c r="A1339" s="58" t="s">
        <v>2697</v>
      </c>
      <c r="B1339" s="58" t="s">
        <v>2582</v>
      </c>
      <c r="C1339" s="58" t="s">
        <v>2367</v>
      </c>
      <c r="D1339" s="58" t="s">
        <v>2779</v>
      </c>
      <c r="E1339" s="59" t="s">
        <v>2193</v>
      </c>
      <c r="F1339" s="59" t="s">
        <v>2349</v>
      </c>
      <c r="G1339" s="58" t="s">
        <v>2698</v>
      </c>
    </row>
    <row r="1340" spans="1:7">
      <c r="A1340" s="58" t="s">
        <v>2699</v>
      </c>
      <c r="B1340" s="58" t="s">
        <v>2571</v>
      </c>
      <c r="C1340" s="58" t="s">
        <v>2288</v>
      </c>
      <c r="D1340" s="58" t="s">
        <v>2779</v>
      </c>
      <c r="E1340" s="59" t="s">
        <v>2288</v>
      </c>
      <c r="F1340" s="59" t="s">
        <v>2349</v>
      </c>
      <c r="G1340" s="58" t="s">
        <v>2700</v>
      </c>
    </row>
    <row r="1341" spans="1:7">
      <c r="A1341" s="58" t="s">
        <v>2701</v>
      </c>
      <c r="B1341" s="58" t="s">
        <v>2559</v>
      </c>
      <c r="C1341" s="58" t="s">
        <v>2193</v>
      </c>
      <c r="D1341" s="58" t="s">
        <v>2779</v>
      </c>
      <c r="E1341" s="59" t="s">
        <v>2193</v>
      </c>
      <c r="F1341" s="59" t="s">
        <v>2349</v>
      </c>
      <c r="G1341" s="58" t="s">
        <v>2702</v>
      </c>
    </row>
    <row r="1342" spans="1:7">
      <c r="A1342" s="58" t="s">
        <v>2703</v>
      </c>
      <c r="B1342" s="58" t="s">
        <v>2554</v>
      </c>
      <c r="C1342" s="58" t="s">
        <v>2193</v>
      </c>
      <c r="D1342" s="58" t="s">
        <v>2779</v>
      </c>
      <c r="E1342" s="59" t="s">
        <v>2193</v>
      </c>
      <c r="F1342" s="59" t="s">
        <v>2349</v>
      </c>
      <c r="G1342" s="58" t="s">
        <v>2704</v>
      </c>
    </row>
    <row r="1343" spans="1:7">
      <c r="A1343" s="58" t="s">
        <v>2706</v>
      </c>
      <c r="B1343" s="58" t="s">
        <v>2591</v>
      </c>
      <c r="C1343" s="58" t="s">
        <v>108</v>
      </c>
      <c r="D1343" s="58" t="s">
        <v>2779</v>
      </c>
      <c r="E1343" s="59" t="s">
        <v>108</v>
      </c>
      <c r="F1343" s="59" t="s">
        <v>2349</v>
      </c>
      <c r="G1343" s="58" t="s">
        <v>2707</v>
      </c>
    </row>
    <row r="1344" spans="1:7" ht="17.25">
      <c r="A1344" s="76" t="s">
        <v>2787</v>
      </c>
      <c r="B1344" s="76"/>
      <c r="C1344" s="76"/>
      <c r="D1344" s="76"/>
      <c r="E1344" s="77"/>
      <c r="F1344" s="76"/>
      <c r="G1344" s="76"/>
    </row>
    <row r="1345" spans="1:7">
      <c r="A1345" s="57" t="s">
        <v>2546</v>
      </c>
      <c r="B1345" s="57" t="s">
        <v>2546</v>
      </c>
      <c r="C1345" s="57" t="s">
        <v>2135</v>
      </c>
      <c r="D1345" s="57" t="s">
        <v>2779</v>
      </c>
      <c r="E1345" s="75" t="s">
        <v>2136</v>
      </c>
      <c r="F1345" s="57" t="s">
        <v>1700</v>
      </c>
      <c r="G1345" s="57" t="s">
        <v>2580</v>
      </c>
    </row>
    <row r="1346" spans="1:7">
      <c r="A1346" s="58" t="s">
        <v>2709</v>
      </c>
      <c r="B1346" s="58" t="s">
        <v>2582</v>
      </c>
      <c r="C1346" s="58" t="s">
        <v>2710</v>
      </c>
      <c r="D1346" s="58" t="s">
        <v>2779</v>
      </c>
      <c r="E1346" s="59" t="s">
        <v>2669</v>
      </c>
      <c r="F1346" s="59" t="s">
        <v>2349</v>
      </c>
      <c r="G1346" s="58" t="s">
        <v>2120</v>
      </c>
    </row>
    <row r="1347" spans="1:7">
      <c r="A1347" s="58" t="s">
        <v>2711</v>
      </c>
      <c r="B1347" s="58" t="s">
        <v>2579</v>
      </c>
      <c r="C1347" s="58" t="s">
        <v>2288</v>
      </c>
      <c r="D1347" s="58" t="s">
        <v>2779</v>
      </c>
      <c r="E1347" s="59" t="s">
        <v>2288</v>
      </c>
      <c r="F1347" s="59" t="s">
        <v>2349</v>
      </c>
      <c r="G1347" s="58" t="s">
        <v>2712</v>
      </c>
    </row>
    <row r="1348" spans="1:7">
      <c r="A1348" s="58" t="s">
        <v>2788</v>
      </c>
      <c r="B1348" s="58" t="s">
        <v>2533</v>
      </c>
      <c r="C1348" s="58" t="s">
        <v>2789</v>
      </c>
      <c r="D1348" s="58" t="s">
        <v>2779</v>
      </c>
      <c r="E1348" s="59" t="s">
        <v>2790</v>
      </c>
      <c r="F1348" s="59" t="s">
        <v>2349</v>
      </c>
      <c r="G1348" s="58" t="s">
        <v>2791</v>
      </c>
    </row>
    <row r="1349" spans="1:7">
      <c r="A1349" s="58" t="s">
        <v>2713</v>
      </c>
      <c r="B1349" s="58" t="s">
        <v>2591</v>
      </c>
      <c r="C1349" s="58" t="s">
        <v>2288</v>
      </c>
      <c r="D1349" s="58" t="s">
        <v>2779</v>
      </c>
      <c r="E1349" s="59" t="s">
        <v>2288</v>
      </c>
      <c r="F1349" s="59" t="s">
        <v>2349</v>
      </c>
      <c r="G1349" s="58" t="s">
        <v>2714</v>
      </c>
    </row>
    <row r="1350" spans="1:7">
      <c r="A1350" s="58" t="s">
        <v>2715</v>
      </c>
      <c r="B1350" s="58" t="s">
        <v>2571</v>
      </c>
      <c r="C1350" s="58" t="s">
        <v>2288</v>
      </c>
      <c r="D1350" s="58" t="s">
        <v>2779</v>
      </c>
      <c r="E1350" s="59" t="s">
        <v>2288</v>
      </c>
      <c r="F1350" s="59" t="s">
        <v>2349</v>
      </c>
      <c r="G1350" s="58" t="s">
        <v>2716</v>
      </c>
    </row>
    <row r="1351" spans="1:7">
      <c r="A1351" s="58" t="s">
        <v>2792</v>
      </c>
      <c r="B1351" s="58" t="s">
        <v>2582</v>
      </c>
      <c r="C1351" s="58" t="s">
        <v>2793</v>
      </c>
      <c r="D1351" s="58" t="s">
        <v>2779</v>
      </c>
      <c r="E1351" s="59" t="s">
        <v>227</v>
      </c>
      <c r="F1351" s="59" t="s">
        <v>2349</v>
      </c>
      <c r="G1351" s="58" t="s">
        <v>2120</v>
      </c>
    </row>
    <row r="1352" spans="1:7">
      <c r="A1352" s="58" t="s">
        <v>2717</v>
      </c>
      <c r="B1352" s="58" t="s">
        <v>2559</v>
      </c>
      <c r="C1352" s="58" t="s">
        <v>2288</v>
      </c>
      <c r="D1352" s="58" t="s">
        <v>2779</v>
      </c>
      <c r="E1352" s="59" t="s">
        <v>2288</v>
      </c>
      <c r="F1352" s="59" t="s">
        <v>2349</v>
      </c>
      <c r="G1352" s="58" t="s">
        <v>2718</v>
      </c>
    </row>
    <row r="1353" spans="1:7">
      <c r="A1353" s="58" t="s">
        <v>2719</v>
      </c>
      <c r="B1353" s="58" t="s">
        <v>2559</v>
      </c>
      <c r="C1353" s="58" t="s">
        <v>108</v>
      </c>
      <c r="D1353" s="58" t="s">
        <v>2779</v>
      </c>
      <c r="E1353" s="59" t="s">
        <v>108</v>
      </c>
      <c r="F1353" s="59" t="s">
        <v>2349</v>
      </c>
      <c r="G1353" s="58" t="s">
        <v>2720</v>
      </c>
    </row>
    <row r="1354" spans="1:7">
      <c r="A1354" s="58" t="s">
        <v>2721</v>
      </c>
      <c r="B1354" s="58" t="s">
        <v>2591</v>
      </c>
      <c r="C1354" s="58" t="s">
        <v>2288</v>
      </c>
      <c r="D1354" s="58" t="s">
        <v>2779</v>
      </c>
      <c r="E1354" s="59" t="s">
        <v>2288</v>
      </c>
      <c r="F1354" s="59" t="s">
        <v>2349</v>
      </c>
      <c r="G1354" s="58" t="s">
        <v>2716</v>
      </c>
    </row>
    <row r="1355" spans="1:7">
      <c r="A1355" s="58" t="s">
        <v>2725</v>
      </c>
      <c r="B1355" s="58" t="s">
        <v>2582</v>
      </c>
      <c r="C1355" s="58" t="s">
        <v>2193</v>
      </c>
      <c r="D1355" s="58" t="s">
        <v>2779</v>
      </c>
      <c r="E1355" s="59" t="s">
        <v>2193</v>
      </c>
      <c r="F1355" s="59" t="s">
        <v>2349</v>
      </c>
      <c r="G1355" s="58" t="s">
        <v>2120</v>
      </c>
    </row>
    <row r="1356" spans="1:7">
      <c r="A1356" s="58" t="s">
        <v>2726</v>
      </c>
      <c r="B1356" s="58" t="s">
        <v>2591</v>
      </c>
      <c r="C1356" s="58" t="s">
        <v>108</v>
      </c>
      <c r="D1356" s="58" t="s">
        <v>2779</v>
      </c>
      <c r="E1356" s="59" t="s">
        <v>108</v>
      </c>
      <c r="F1356" s="59" t="s">
        <v>2349</v>
      </c>
      <c r="G1356" s="58" t="s">
        <v>2727</v>
      </c>
    </row>
    <row r="1357" spans="1:7">
      <c r="A1357" s="58" t="s">
        <v>2728</v>
      </c>
      <c r="B1357" s="58" t="s">
        <v>2545</v>
      </c>
      <c r="C1357" s="58" t="s">
        <v>2288</v>
      </c>
      <c r="D1357" s="58" t="s">
        <v>2779</v>
      </c>
      <c r="E1357" s="59" t="s">
        <v>2288</v>
      </c>
      <c r="F1357" s="59" t="s">
        <v>2349</v>
      </c>
      <c r="G1357" s="58" t="s">
        <v>2729</v>
      </c>
    </row>
    <row r="1358" spans="1:7">
      <c r="A1358" s="58" t="s">
        <v>2730</v>
      </c>
      <c r="B1358" s="58" t="s">
        <v>2545</v>
      </c>
      <c r="C1358" s="58" t="s">
        <v>2731</v>
      </c>
      <c r="D1358" s="58" t="s">
        <v>2779</v>
      </c>
      <c r="E1358" s="59" t="s">
        <v>108</v>
      </c>
      <c r="F1358" s="59" t="s">
        <v>2349</v>
      </c>
      <c r="G1358" s="58" t="s">
        <v>2732</v>
      </c>
    </row>
    <row r="1359" spans="1:7">
      <c r="A1359" s="58" t="s">
        <v>2733</v>
      </c>
      <c r="B1359" s="58" t="s">
        <v>2591</v>
      </c>
      <c r="C1359" s="58" t="s">
        <v>2288</v>
      </c>
      <c r="D1359" s="58" t="s">
        <v>2779</v>
      </c>
      <c r="E1359" s="59" t="s">
        <v>2288</v>
      </c>
      <c r="F1359" s="59" t="s">
        <v>2349</v>
      </c>
      <c r="G1359" s="58" t="s">
        <v>2734</v>
      </c>
    </row>
    <row r="1360" spans="1:7" ht="17.25">
      <c r="A1360" s="76" t="s">
        <v>2794</v>
      </c>
      <c r="B1360" s="76"/>
      <c r="C1360" s="76"/>
      <c r="D1360" s="76"/>
      <c r="E1360" s="77"/>
      <c r="F1360" s="76"/>
      <c r="G1360" s="76"/>
    </row>
    <row r="1361" spans="1:7">
      <c r="A1361" s="57" t="s">
        <v>2546</v>
      </c>
      <c r="B1361" s="57" t="s">
        <v>2546</v>
      </c>
      <c r="C1361" s="57" t="s">
        <v>2135</v>
      </c>
      <c r="D1361" s="57" t="s">
        <v>2779</v>
      </c>
      <c r="E1361" s="75" t="s">
        <v>2136</v>
      </c>
      <c r="F1361" s="57" t="s">
        <v>1700</v>
      </c>
      <c r="G1361" s="57" t="s">
        <v>2580</v>
      </c>
    </row>
    <row r="1362" spans="1:7">
      <c r="A1362" s="57" t="s">
        <v>2736</v>
      </c>
      <c r="B1362" s="57" t="s">
        <v>2579</v>
      </c>
      <c r="C1362" s="57" t="s">
        <v>2737</v>
      </c>
      <c r="D1362" s="57" t="s">
        <v>2779</v>
      </c>
      <c r="E1362" s="75" t="s">
        <v>2288</v>
      </c>
      <c r="F1362" s="57" t="s">
        <v>1700</v>
      </c>
      <c r="G1362" s="57" t="s">
        <v>2739</v>
      </c>
    </row>
    <row r="1363" spans="1:7">
      <c r="A1363" s="58" t="s">
        <v>2740</v>
      </c>
      <c r="B1363" s="58" t="s">
        <v>2559</v>
      </c>
      <c r="C1363" s="58" t="s">
        <v>2741</v>
      </c>
      <c r="D1363" s="58" t="s">
        <v>2779</v>
      </c>
      <c r="E1363" s="59" t="s">
        <v>108</v>
      </c>
      <c r="F1363" s="59" t="s">
        <v>2349</v>
      </c>
      <c r="G1363" s="58" t="s">
        <v>2742</v>
      </c>
    </row>
    <row r="1364" spans="1:7">
      <c r="A1364" s="58" t="s">
        <v>2743</v>
      </c>
      <c r="B1364" s="58" t="s">
        <v>2571</v>
      </c>
      <c r="C1364" s="58" t="s">
        <v>2744</v>
      </c>
      <c r="D1364" s="58" t="s">
        <v>2779</v>
      </c>
      <c r="E1364" s="59" t="s">
        <v>2288</v>
      </c>
      <c r="F1364" s="59" t="s">
        <v>2349</v>
      </c>
      <c r="G1364" s="58" t="s">
        <v>2745</v>
      </c>
    </row>
    <row r="1365" spans="1:7">
      <c r="A1365" s="58" t="s">
        <v>2746</v>
      </c>
      <c r="B1365" s="58" t="s">
        <v>2571</v>
      </c>
      <c r="C1365" s="58" t="s">
        <v>2744</v>
      </c>
      <c r="D1365" s="58" t="s">
        <v>2779</v>
      </c>
      <c r="E1365" s="59" t="s">
        <v>2288</v>
      </c>
      <c r="F1365" s="59" t="s">
        <v>2349</v>
      </c>
      <c r="G1365" s="58" t="s">
        <v>2745</v>
      </c>
    </row>
    <row r="1366" spans="1:7">
      <c r="A1366" s="58" t="s">
        <v>2747</v>
      </c>
      <c r="B1366" s="58" t="s">
        <v>2533</v>
      </c>
      <c r="C1366" s="58" t="s">
        <v>2288</v>
      </c>
      <c r="D1366" s="58" t="s">
        <v>2779</v>
      </c>
      <c r="E1366" s="59" t="s">
        <v>2288</v>
      </c>
      <c r="F1366" s="59" t="s">
        <v>2349</v>
      </c>
      <c r="G1366" s="58" t="s">
        <v>2748</v>
      </c>
    </row>
    <row r="1367" spans="1:7">
      <c r="A1367" s="58" t="s">
        <v>2749</v>
      </c>
      <c r="B1367" s="58" t="s">
        <v>2579</v>
      </c>
      <c r="C1367" s="58" t="s">
        <v>2288</v>
      </c>
      <c r="D1367" s="58" t="s">
        <v>2779</v>
      </c>
      <c r="E1367" s="59" t="s">
        <v>2288</v>
      </c>
      <c r="F1367" s="59" t="s">
        <v>2349</v>
      </c>
      <c r="G1367" s="58" t="s">
        <v>2750</v>
      </c>
    </row>
    <row r="1368" spans="1:7">
      <c r="A1368" s="58" t="s">
        <v>2751</v>
      </c>
      <c r="B1368" s="58" t="s">
        <v>2571</v>
      </c>
      <c r="C1368" s="58" t="s">
        <v>2288</v>
      </c>
      <c r="D1368" s="58" t="s">
        <v>2779</v>
      </c>
      <c r="E1368" s="59" t="s">
        <v>2288</v>
      </c>
      <c r="F1368" s="59" t="s">
        <v>2349</v>
      </c>
      <c r="G1368" s="58" t="s">
        <v>2752</v>
      </c>
    </row>
    <row r="1369" spans="1:7">
      <c r="A1369" s="58" t="s">
        <v>2753</v>
      </c>
      <c r="B1369" s="58" t="s">
        <v>2537</v>
      </c>
      <c r="C1369" s="58" t="s">
        <v>2288</v>
      </c>
      <c r="D1369" s="58" t="s">
        <v>2779</v>
      </c>
      <c r="E1369" s="59" t="s">
        <v>2288</v>
      </c>
      <c r="F1369" s="59" t="s">
        <v>2349</v>
      </c>
      <c r="G1369" s="58" t="s">
        <v>2754</v>
      </c>
    </row>
    <row r="1370" spans="1:7">
      <c r="A1370" s="58" t="s">
        <v>2755</v>
      </c>
      <c r="B1370" s="58" t="s">
        <v>2579</v>
      </c>
      <c r="C1370" s="58" t="s">
        <v>2288</v>
      </c>
      <c r="D1370" s="58" t="s">
        <v>2779</v>
      </c>
      <c r="E1370" s="59" t="s">
        <v>2288</v>
      </c>
      <c r="F1370" s="59" t="s">
        <v>2349</v>
      </c>
      <c r="G1370" s="58" t="s">
        <v>2756</v>
      </c>
    </row>
    <row r="1371" spans="1:7">
      <c r="A1371" s="58" t="s">
        <v>2757</v>
      </c>
      <c r="B1371" s="58" t="s">
        <v>2619</v>
      </c>
      <c r="C1371" s="58" t="s">
        <v>2288</v>
      </c>
      <c r="D1371" s="58" t="s">
        <v>2779</v>
      </c>
      <c r="E1371" s="59" t="s">
        <v>2288</v>
      </c>
      <c r="F1371" s="59" t="s">
        <v>2349</v>
      </c>
      <c r="G1371" s="58" t="s">
        <v>2758</v>
      </c>
    </row>
    <row r="1372" spans="1:7">
      <c r="A1372" s="58" t="s">
        <v>2759</v>
      </c>
      <c r="B1372" s="58" t="s">
        <v>2537</v>
      </c>
      <c r="C1372" s="58" t="s">
        <v>2288</v>
      </c>
      <c r="D1372" s="58" t="s">
        <v>2779</v>
      </c>
      <c r="E1372" s="59" t="s">
        <v>2288</v>
      </c>
      <c r="F1372" s="59" t="s">
        <v>2349</v>
      </c>
      <c r="G1372" s="58" t="s">
        <v>2760</v>
      </c>
    </row>
    <row r="1373" spans="1:7">
      <c r="A1373" s="58" t="s">
        <v>2761</v>
      </c>
      <c r="B1373" s="58" t="s">
        <v>2582</v>
      </c>
      <c r="C1373" s="58" t="s">
        <v>2762</v>
      </c>
      <c r="D1373" s="58" t="s">
        <v>2779</v>
      </c>
      <c r="E1373" s="59" t="s">
        <v>108</v>
      </c>
      <c r="F1373" s="59" t="s">
        <v>2349</v>
      </c>
      <c r="G1373" s="58" t="s">
        <v>2763</v>
      </c>
    </row>
    <row r="1374" spans="1:7">
      <c r="A1374" s="58" t="s">
        <v>2764</v>
      </c>
      <c r="B1374" s="58" t="s">
        <v>2582</v>
      </c>
      <c r="C1374" s="58" t="s">
        <v>1201</v>
      </c>
      <c r="D1374" s="58" t="s">
        <v>2779</v>
      </c>
      <c r="E1374" s="59" t="s">
        <v>1201</v>
      </c>
      <c r="F1374" s="59" t="s">
        <v>2349</v>
      </c>
      <c r="G1374" s="58" t="s">
        <v>2120</v>
      </c>
    </row>
    <row r="1375" spans="1:7">
      <c r="A1375" s="58" t="s">
        <v>2765</v>
      </c>
      <c r="B1375" s="58" t="s">
        <v>2563</v>
      </c>
      <c r="C1375" s="58" t="s">
        <v>2288</v>
      </c>
      <c r="D1375" s="58" t="s">
        <v>2779</v>
      </c>
      <c r="E1375" s="59" t="s">
        <v>2288</v>
      </c>
      <c r="F1375" s="59" t="s">
        <v>2349</v>
      </c>
      <c r="G1375" s="58" t="s">
        <v>2712</v>
      </c>
    </row>
    <row r="1376" spans="1:7" ht="17.25">
      <c r="A1376" s="76" t="s">
        <v>2795</v>
      </c>
      <c r="B1376" s="76"/>
      <c r="C1376" s="76"/>
      <c r="D1376" s="76"/>
      <c r="E1376" s="77"/>
      <c r="F1376" s="76"/>
      <c r="G1376" s="76"/>
    </row>
    <row r="1377" spans="1:7">
      <c r="A1377" s="58" t="s">
        <v>2114</v>
      </c>
      <c r="B1377" s="58" t="s">
        <v>2115</v>
      </c>
      <c r="C1377" s="58" t="s">
        <v>1559</v>
      </c>
      <c r="D1377" s="58" t="s">
        <v>2779</v>
      </c>
      <c r="E1377" s="59" t="s">
        <v>1559</v>
      </c>
      <c r="F1377" s="59" t="s">
        <v>2349</v>
      </c>
      <c r="G1377" s="58" t="s">
        <v>2117</v>
      </c>
    </row>
    <row r="1378" spans="1:7">
      <c r="A1378" s="58" t="s">
        <v>2352</v>
      </c>
      <c r="B1378" s="58"/>
      <c r="C1378" s="58" t="s">
        <v>1201</v>
      </c>
      <c r="D1378" s="58" t="s">
        <v>2779</v>
      </c>
      <c r="E1378" s="59" t="s">
        <v>1201</v>
      </c>
      <c r="F1378" s="59" t="s">
        <v>2349</v>
      </c>
      <c r="G1378" s="58" t="s">
        <v>2120</v>
      </c>
    </row>
    <row r="1379" spans="1:7">
      <c r="A1379" s="58" t="s">
        <v>2118</v>
      </c>
      <c r="B1379" s="58"/>
      <c r="C1379" s="58" t="s">
        <v>2119</v>
      </c>
      <c r="D1379" s="58" t="s">
        <v>2779</v>
      </c>
      <c r="E1379" s="59" t="s">
        <v>2353</v>
      </c>
      <c r="F1379" s="59" t="s">
        <v>2349</v>
      </c>
      <c r="G1379" s="58" t="s">
        <v>2120</v>
      </c>
    </row>
    <row r="1380" spans="1:7">
      <c r="A1380" s="58" t="s">
        <v>2121</v>
      </c>
      <c r="B1380" s="58" t="s">
        <v>2122</v>
      </c>
      <c r="C1380" s="58" t="s">
        <v>108</v>
      </c>
      <c r="D1380" s="58" t="s">
        <v>2779</v>
      </c>
      <c r="E1380" s="59" t="s">
        <v>108</v>
      </c>
      <c r="F1380" s="59" t="s">
        <v>2349</v>
      </c>
      <c r="G1380" s="58" t="s">
        <v>2120</v>
      </c>
    </row>
    <row r="1381" spans="1:7">
      <c r="A1381" s="58" t="s">
        <v>2123</v>
      </c>
      <c r="B1381" s="58" t="s">
        <v>2124</v>
      </c>
      <c r="C1381" s="58" t="s">
        <v>108</v>
      </c>
      <c r="D1381" s="58" t="s">
        <v>2779</v>
      </c>
      <c r="E1381" s="59" t="s">
        <v>108</v>
      </c>
      <c r="F1381" s="59" t="s">
        <v>2349</v>
      </c>
      <c r="G1381" s="58" t="s">
        <v>2125</v>
      </c>
    </row>
    <row r="1382" spans="1:7">
      <c r="A1382" s="58" t="s">
        <v>2126</v>
      </c>
      <c r="B1382" s="58"/>
      <c r="C1382" s="58" t="s">
        <v>108</v>
      </c>
      <c r="D1382" s="58" t="s">
        <v>2779</v>
      </c>
      <c r="E1382" s="59" t="s">
        <v>108</v>
      </c>
      <c r="F1382" s="59" t="s">
        <v>2349</v>
      </c>
      <c r="G1382" s="58" t="s">
        <v>2120</v>
      </c>
    </row>
    <row r="1383" spans="1:7" ht="17.25">
      <c r="A1383" s="76" t="s">
        <v>2796</v>
      </c>
      <c r="B1383" s="76"/>
      <c r="C1383" s="76"/>
      <c r="D1383" s="76"/>
      <c r="E1383" s="77"/>
      <c r="F1383" s="76"/>
      <c r="G1383" s="76"/>
    </row>
    <row r="1384" spans="1:7">
      <c r="A1384" s="58" t="s">
        <v>2128</v>
      </c>
      <c r="B1384" s="58" t="s">
        <v>2129</v>
      </c>
      <c r="C1384" s="58" t="s">
        <v>108</v>
      </c>
      <c r="D1384" s="58" t="s">
        <v>2779</v>
      </c>
      <c r="E1384" s="59" t="s">
        <v>108</v>
      </c>
      <c r="F1384" s="59" t="s">
        <v>2349</v>
      </c>
      <c r="G1384" s="58" t="s">
        <v>2120</v>
      </c>
    </row>
    <row r="1385" spans="1:7">
      <c r="A1385" s="58" t="s">
        <v>2130</v>
      </c>
      <c r="B1385" s="58" t="s">
        <v>2131</v>
      </c>
      <c r="C1385" s="58" t="s">
        <v>108</v>
      </c>
      <c r="D1385" s="58" t="s">
        <v>2779</v>
      </c>
      <c r="E1385" s="59" t="s">
        <v>108</v>
      </c>
      <c r="F1385" s="59" t="s">
        <v>2349</v>
      </c>
      <c r="G1385" s="58" t="s">
        <v>2132</v>
      </c>
    </row>
    <row r="1386" spans="1:7">
      <c r="A1386" s="58" t="s">
        <v>2133</v>
      </c>
      <c r="B1386" s="58" t="s">
        <v>2131</v>
      </c>
      <c r="C1386" s="58" t="s">
        <v>108</v>
      </c>
      <c r="D1386" s="58" t="s">
        <v>2779</v>
      </c>
      <c r="E1386" s="59" t="s">
        <v>108</v>
      </c>
      <c r="F1386" s="59" t="s">
        <v>2349</v>
      </c>
      <c r="G1386" s="58" t="s">
        <v>2120</v>
      </c>
    </row>
    <row r="1387" spans="1:7">
      <c r="A1387" s="57" t="s">
        <v>2134</v>
      </c>
      <c r="B1387" s="57"/>
      <c r="C1387" s="57" t="s">
        <v>2135</v>
      </c>
      <c r="D1387" s="57" t="s">
        <v>2779</v>
      </c>
      <c r="E1387" s="75" t="s">
        <v>2355</v>
      </c>
      <c r="F1387" s="57" t="s">
        <v>1700</v>
      </c>
      <c r="G1387" s="57" t="s">
        <v>2137</v>
      </c>
    </row>
    <row r="1388" spans="1:7">
      <c r="A1388" s="58" t="s">
        <v>2138</v>
      </c>
      <c r="B1388" s="58" t="s">
        <v>2139</v>
      </c>
      <c r="C1388" s="58" t="s">
        <v>108</v>
      </c>
      <c r="D1388" s="58" t="s">
        <v>2779</v>
      </c>
      <c r="E1388" s="59" t="s">
        <v>108</v>
      </c>
      <c r="F1388" s="59" t="s">
        <v>2349</v>
      </c>
      <c r="G1388" s="58" t="s">
        <v>2140</v>
      </c>
    </row>
    <row r="1389" spans="1:7" ht="17.25">
      <c r="A1389" s="76" t="s">
        <v>2797</v>
      </c>
      <c r="B1389" s="76"/>
      <c r="C1389" s="76"/>
      <c r="D1389" s="76"/>
      <c r="E1389" s="77"/>
      <c r="F1389" s="76"/>
      <c r="G1389" s="76"/>
    </row>
    <row r="1390" spans="1:7">
      <c r="A1390" s="58" t="s">
        <v>2142</v>
      </c>
      <c r="B1390" s="58" t="s">
        <v>2143</v>
      </c>
      <c r="C1390" s="58" t="s">
        <v>108</v>
      </c>
      <c r="D1390" s="58" t="s">
        <v>2779</v>
      </c>
      <c r="E1390" s="59" t="s">
        <v>108</v>
      </c>
      <c r="F1390" s="59" t="s">
        <v>2349</v>
      </c>
      <c r="G1390" s="58" t="s">
        <v>2120</v>
      </c>
    </row>
    <row r="1391" spans="1:7">
      <c r="A1391" s="58" t="s">
        <v>2144</v>
      </c>
      <c r="B1391" s="58" t="s">
        <v>2143</v>
      </c>
      <c r="C1391" s="58" t="s">
        <v>2145</v>
      </c>
      <c r="D1391" s="58" t="s">
        <v>2779</v>
      </c>
      <c r="E1391" s="59" t="s">
        <v>108</v>
      </c>
      <c r="F1391" s="59" t="s">
        <v>2349</v>
      </c>
      <c r="G1391" s="58" t="s">
        <v>2120</v>
      </c>
    </row>
    <row r="1392" spans="1:7">
      <c r="A1392" s="58" t="s">
        <v>2146</v>
      </c>
      <c r="B1392" s="58" t="s">
        <v>2143</v>
      </c>
      <c r="C1392" s="58" t="s">
        <v>2147</v>
      </c>
      <c r="D1392" s="58" t="s">
        <v>2779</v>
      </c>
      <c r="E1392" s="59" t="s">
        <v>108</v>
      </c>
      <c r="F1392" s="59" t="s">
        <v>2349</v>
      </c>
      <c r="G1392" s="58" t="s">
        <v>2148</v>
      </c>
    </row>
    <row r="1393" spans="1:7">
      <c r="A1393" s="58" t="s">
        <v>2149</v>
      </c>
      <c r="B1393" s="58" t="s">
        <v>2143</v>
      </c>
      <c r="C1393" s="58" t="s">
        <v>108</v>
      </c>
      <c r="D1393" s="58" t="s">
        <v>2779</v>
      </c>
      <c r="E1393" s="59" t="s">
        <v>108</v>
      </c>
      <c r="F1393" s="59" t="s">
        <v>2349</v>
      </c>
      <c r="G1393" s="58" t="s">
        <v>2120</v>
      </c>
    </row>
    <row r="1394" spans="1:7" ht="17.25">
      <c r="A1394" s="76" t="s">
        <v>2798</v>
      </c>
      <c r="B1394" s="76"/>
      <c r="C1394" s="76"/>
      <c r="D1394" s="76"/>
      <c r="E1394" s="77"/>
      <c r="F1394" s="76"/>
      <c r="G1394" s="76"/>
    </row>
    <row r="1395" spans="1:7">
      <c r="A1395" s="58" t="s">
        <v>2151</v>
      </c>
      <c r="B1395" s="58" t="s">
        <v>2152</v>
      </c>
      <c r="C1395" s="58" t="s">
        <v>2153</v>
      </c>
      <c r="D1395" s="58" t="s">
        <v>2779</v>
      </c>
      <c r="E1395" s="59" t="s">
        <v>108</v>
      </c>
      <c r="F1395" s="59" t="s">
        <v>2349</v>
      </c>
      <c r="G1395" s="58" t="s">
        <v>2120</v>
      </c>
    </row>
    <row r="1396" spans="1:7">
      <c r="A1396" s="58" t="s">
        <v>2358</v>
      </c>
      <c r="B1396" s="58"/>
      <c r="C1396" s="58" t="s">
        <v>543</v>
      </c>
      <c r="D1396" s="58" t="s">
        <v>2779</v>
      </c>
      <c r="E1396" s="59" t="s">
        <v>543</v>
      </c>
      <c r="F1396" s="59" t="s">
        <v>2349</v>
      </c>
      <c r="G1396" s="58" t="s">
        <v>2359</v>
      </c>
    </row>
    <row r="1397" spans="1:7">
      <c r="A1397" s="58" t="s">
        <v>2360</v>
      </c>
      <c r="B1397" s="58" t="s">
        <v>2155</v>
      </c>
      <c r="C1397" s="58" t="s">
        <v>543</v>
      </c>
      <c r="D1397" s="58" t="s">
        <v>2779</v>
      </c>
      <c r="E1397" s="59" t="s">
        <v>543</v>
      </c>
      <c r="F1397" s="59" t="s">
        <v>2349</v>
      </c>
      <c r="G1397" s="58" t="s">
        <v>2361</v>
      </c>
    </row>
    <row r="1398" spans="1:7">
      <c r="A1398" s="58" t="s">
        <v>2154</v>
      </c>
      <c r="B1398" s="58" t="s">
        <v>2155</v>
      </c>
      <c r="C1398" s="58" t="s">
        <v>108</v>
      </c>
      <c r="D1398" s="58" t="s">
        <v>2779</v>
      </c>
      <c r="E1398" s="59" t="s">
        <v>108</v>
      </c>
      <c r="F1398" s="59" t="s">
        <v>2349</v>
      </c>
      <c r="G1398" s="58" t="s">
        <v>2120</v>
      </c>
    </row>
    <row r="1399" spans="1:7">
      <c r="A1399" s="58" t="s">
        <v>2156</v>
      </c>
      <c r="B1399" s="58" t="s">
        <v>2152</v>
      </c>
      <c r="C1399" s="58" t="s">
        <v>2157</v>
      </c>
      <c r="D1399" s="58" t="s">
        <v>2779</v>
      </c>
      <c r="E1399" s="59" t="s">
        <v>108</v>
      </c>
      <c r="F1399" s="59" t="s">
        <v>2349</v>
      </c>
      <c r="G1399" s="58" t="s">
        <v>2120</v>
      </c>
    </row>
    <row r="1400" spans="1:7">
      <c r="A1400" s="58" t="s">
        <v>2158</v>
      </c>
      <c r="B1400" s="58" t="s">
        <v>2155</v>
      </c>
      <c r="C1400" s="58" t="s">
        <v>2159</v>
      </c>
      <c r="D1400" s="58" t="s">
        <v>2779</v>
      </c>
      <c r="E1400" s="59" t="s">
        <v>1559</v>
      </c>
      <c r="F1400" s="59" t="s">
        <v>2349</v>
      </c>
      <c r="G1400" s="58" t="s">
        <v>2160</v>
      </c>
    </row>
    <row r="1401" spans="1:7">
      <c r="A1401" s="58" t="s">
        <v>2161</v>
      </c>
      <c r="B1401" s="58" t="s">
        <v>2162</v>
      </c>
      <c r="C1401" s="58" t="s">
        <v>108</v>
      </c>
      <c r="D1401" s="58" t="s">
        <v>2779</v>
      </c>
      <c r="E1401" s="59" t="s">
        <v>108</v>
      </c>
      <c r="F1401" s="59" t="s">
        <v>2349</v>
      </c>
      <c r="G1401" s="58" t="s">
        <v>2163</v>
      </c>
    </row>
    <row r="1402" spans="1:7">
      <c r="A1402" s="58" t="s">
        <v>2164</v>
      </c>
      <c r="B1402" s="58" t="s">
        <v>2162</v>
      </c>
      <c r="C1402" s="58" t="s">
        <v>108</v>
      </c>
      <c r="D1402" s="58" t="s">
        <v>2779</v>
      </c>
      <c r="E1402" s="59" t="s">
        <v>108</v>
      </c>
      <c r="F1402" s="59" t="s">
        <v>2349</v>
      </c>
      <c r="G1402" s="58" t="s">
        <v>2120</v>
      </c>
    </row>
    <row r="1403" spans="1:7" ht="17.25">
      <c r="A1403" s="76" t="s">
        <v>2799</v>
      </c>
      <c r="B1403" s="76"/>
      <c r="C1403" s="76"/>
      <c r="D1403" s="76"/>
      <c r="E1403" s="77"/>
      <c r="F1403" s="76"/>
      <c r="G1403" s="76"/>
    </row>
    <row r="1404" spans="1:7">
      <c r="A1404" s="58" t="s">
        <v>2166</v>
      </c>
      <c r="B1404" s="58" t="s">
        <v>2167</v>
      </c>
      <c r="C1404" s="58" t="s">
        <v>108</v>
      </c>
      <c r="D1404" s="58" t="s">
        <v>2779</v>
      </c>
      <c r="E1404" s="59" t="s">
        <v>108</v>
      </c>
      <c r="F1404" s="59" t="s">
        <v>2349</v>
      </c>
      <c r="G1404" s="58" t="s">
        <v>2168</v>
      </c>
    </row>
    <row r="1405" spans="1:7">
      <c r="A1405" s="57" t="s">
        <v>2169</v>
      </c>
      <c r="B1405" s="57" t="s">
        <v>2129</v>
      </c>
      <c r="C1405" s="57" t="s">
        <v>2170</v>
      </c>
      <c r="D1405" s="57" t="s">
        <v>2779</v>
      </c>
      <c r="E1405" s="75" t="s">
        <v>2355</v>
      </c>
      <c r="F1405" s="57" t="s">
        <v>1700</v>
      </c>
      <c r="G1405" s="57" t="s">
        <v>2120</v>
      </c>
    </row>
    <row r="1406" spans="1:7">
      <c r="A1406" s="57" t="s">
        <v>2171</v>
      </c>
      <c r="B1406" s="57" t="s">
        <v>2129</v>
      </c>
      <c r="C1406" s="57" t="s">
        <v>2135</v>
      </c>
      <c r="D1406" s="57" t="s">
        <v>2779</v>
      </c>
      <c r="E1406" s="75" t="s">
        <v>2355</v>
      </c>
      <c r="F1406" s="57" t="s">
        <v>1700</v>
      </c>
      <c r="G1406" s="57" t="s">
        <v>2120</v>
      </c>
    </row>
    <row r="1407" spans="1:7">
      <c r="A1407" s="57" t="s">
        <v>2172</v>
      </c>
      <c r="B1407" s="57" t="s">
        <v>2129</v>
      </c>
      <c r="C1407" s="57" t="s">
        <v>2135</v>
      </c>
      <c r="D1407" s="57" t="s">
        <v>2779</v>
      </c>
      <c r="E1407" s="75" t="s">
        <v>2355</v>
      </c>
      <c r="F1407" s="57" t="s">
        <v>1700</v>
      </c>
      <c r="G1407" s="57" t="s">
        <v>2120</v>
      </c>
    </row>
    <row r="1408" spans="1:7">
      <c r="A1408" s="57" t="s">
        <v>2173</v>
      </c>
      <c r="B1408" s="57" t="s">
        <v>2174</v>
      </c>
      <c r="C1408" s="57" t="s">
        <v>2135</v>
      </c>
      <c r="D1408" s="57" t="s">
        <v>2779</v>
      </c>
      <c r="E1408" s="75" t="s">
        <v>2355</v>
      </c>
      <c r="F1408" s="57" t="s">
        <v>1700</v>
      </c>
      <c r="G1408" s="57" t="s">
        <v>2120</v>
      </c>
    </row>
    <row r="1409" spans="1:7">
      <c r="A1409" s="57" t="s">
        <v>2175</v>
      </c>
      <c r="B1409" s="57"/>
      <c r="C1409" s="57" t="s">
        <v>2135</v>
      </c>
      <c r="D1409" s="57" t="s">
        <v>2779</v>
      </c>
      <c r="E1409" s="75" t="s">
        <v>2355</v>
      </c>
      <c r="F1409" s="57" t="s">
        <v>1700</v>
      </c>
      <c r="G1409" s="57" t="s">
        <v>2120</v>
      </c>
    </row>
    <row r="1410" spans="1:7">
      <c r="A1410" s="57" t="s">
        <v>2176</v>
      </c>
      <c r="B1410" s="57"/>
      <c r="C1410" s="57" t="s">
        <v>2135</v>
      </c>
      <c r="D1410" s="57" t="s">
        <v>2779</v>
      </c>
      <c r="E1410" s="75" t="s">
        <v>2355</v>
      </c>
      <c r="F1410" s="57" t="s">
        <v>1700</v>
      </c>
      <c r="G1410" s="57" t="s">
        <v>2120</v>
      </c>
    </row>
    <row r="1411" spans="1:7">
      <c r="A1411" s="57" t="s">
        <v>2177</v>
      </c>
      <c r="B1411" s="57"/>
      <c r="C1411" s="57" t="s">
        <v>2135</v>
      </c>
      <c r="D1411" s="57" t="s">
        <v>2779</v>
      </c>
      <c r="E1411" s="75" t="s">
        <v>2355</v>
      </c>
      <c r="F1411" s="57" t="s">
        <v>1700</v>
      </c>
      <c r="G1411" s="57" t="s">
        <v>2120</v>
      </c>
    </row>
    <row r="1412" spans="1:7" ht="17.25">
      <c r="A1412" s="76" t="s">
        <v>2800</v>
      </c>
      <c r="B1412" s="76"/>
      <c r="C1412" s="76"/>
      <c r="D1412" s="76"/>
      <c r="E1412" s="77"/>
      <c r="F1412" s="76"/>
      <c r="G1412" s="76"/>
    </row>
    <row r="1413" spans="1:7">
      <c r="A1413" s="58" t="s">
        <v>2179</v>
      </c>
      <c r="B1413" s="58" t="s">
        <v>2180</v>
      </c>
      <c r="C1413" s="58" t="s">
        <v>108</v>
      </c>
      <c r="D1413" s="58" t="s">
        <v>2779</v>
      </c>
      <c r="E1413" s="59" t="s">
        <v>108</v>
      </c>
      <c r="F1413" s="59" t="s">
        <v>2349</v>
      </c>
      <c r="G1413" s="58" t="s">
        <v>2120</v>
      </c>
    </row>
    <row r="1414" spans="1:7">
      <c r="A1414" s="58" t="s">
        <v>2181</v>
      </c>
      <c r="B1414" s="58" t="s">
        <v>2182</v>
      </c>
      <c r="C1414" s="58" t="s">
        <v>108</v>
      </c>
      <c r="D1414" s="58" t="s">
        <v>2779</v>
      </c>
      <c r="E1414" s="59" t="s">
        <v>108</v>
      </c>
      <c r="F1414" s="59" t="s">
        <v>2349</v>
      </c>
      <c r="G1414" s="58" t="s">
        <v>2120</v>
      </c>
    </row>
    <row r="1415" spans="1:7">
      <c r="A1415" s="58" t="s">
        <v>2183</v>
      </c>
      <c r="B1415" s="58" t="s">
        <v>2182</v>
      </c>
      <c r="C1415" s="58" t="s">
        <v>2184</v>
      </c>
      <c r="D1415" s="58" t="s">
        <v>2779</v>
      </c>
      <c r="E1415" s="59" t="s">
        <v>108</v>
      </c>
      <c r="F1415" s="59" t="s">
        <v>2349</v>
      </c>
      <c r="G1415" s="58" t="s">
        <v>2185</v>
      </c>
    </row>
    <row r="1416" spans="1:7">
      <c r="A1416" s="58" t="s">
        <v>2186</v>
      </c>
      <c r="B1416" s="58" t="s">
        <v>2187</v>
      </c>
      <c r="C1416" s="58" t="s">
        <v>108</v>
      </c>
      <c r="D1416" s="58" t="s">
        <v>2779</v>
      </c>
      <c r="E1416" s="59" t="s">
        <v>108</v>
      </c>
      <c r="F1416" s="59" t="s">
        <v>2349</v>
      </c>
      <c r="G1416" s="58" t="s">
        <v>2120</v>
      </c>
    </row>
    <row r="1417" spans="1:7">
      <c r="A1417" s="58" t="s">
        <v>2188</v>
      </c>
      <c r="B1417" s="58"/>
      <c r="C1417" s="58" t="s">
        <v>2189</v>
      </c>
      <c r="D1417" s="58" t="s">
        <v>2779</v>
      </c>
      <c r="E1417" s="59" t="s">
        <v>108</v>
      </c>
      <c r="F1417" s="59" t="s">
        <v>2349</v>
      </c>
      <c r="G1417" s="58" t="s">
        <v>2120</v>
      </c>
    </row>
    <row r="1418" spans="1:7">
      <c r="A1418" s="57" t="s">
        <v>2190</v>
      </c>
      <c r="B1418" s="57"/>
      <c r="C1418" s="57" t="s">
        <v>2135</v>
      </c>
      <c r="D1418" s="57" t="s">
        <v>2779</v>
      </c>
      <c r="E1418" s="75" t="s">
        <v>2355</v>
      </c>
      <c r="F1418" s="57" t="s">
        <v>1700</v>
      </c>
      <c r="G1418" s="57" t="s">
        <v>2120</v>
      </c>
    </row>
    <row r="1419" spans="1:7">
      <c r="A1419" s="57" t="s">
        <v>2191</v>
      </c>
      <c r="B1419" s="57"/>
      <c r="C1419" s="57" t="s">
        <v>2135</v>
      </c>
      <c r="D1419" s="57" t="s">
        <v>2779</v>
      </c>
      <c r="E1419" s="75" t="s">
        <v>2355</v>
      </c>
      <c r="F1419" s="57" t="s">
        <v>1700</v>
      </c>
      <c r="G1419" s="57" t="s">
        <v>2120</v>
      </c>
    </row>
    <row r="1420" spans="1:7">
      <c r="A1420" s="58" t="s">
        <v>2192</v>
      </c>
      <c r="B1420" s="58" t="s">
        <v>2182</v>
      </c>
      <c r="C1420" s="58" t="s">
        <v>2193</v>
      </c>
      <c r="D1420" s="58" t="s">
        <v>2779</v>
      </c>
      <c r="E1420" s="59" t="s">
        <v>2193</v>
      </c>
      <c r="F1420" s="59" t="s">
        <v>2349</v>
      </c>
      <c r="G1420" s="58" t="s">
        <v>2120</v>
      </c>
    </row>
    <row r="1421" spans="1:7">
      <c r="A1421" s="58" t="s">
        <v>2194</v>
      </c>
      <c r="B1421" s="58" t="s">
        <v>2187</v>
      </c>
      <c r="C1421" s="58" t="s">
        <v>108</v>
      </c>
      <c r="D1421" s="58" t="s">
        <v>2779</v>
      </c>
      <c r="E1421" s="59" t="s">
        <v>108</v>
      </c>
      <c r="F1421" s="59" t="s">
        <v>2349</v>
      </c>
      <c r="G1421" s="58" t="s">
        <v>2120</v>
      </c>
    </row>
    <row r="1422" spans="1:7">
      <c r="A1422" s="58" t="s">
        <v>2364</v>
      </c>
      <c r="B1422" s="58"/>
      <c r="C1422" s="58" t="s">
        <v>543</v>
      </c>
      <c r="D1422" s="58" t="s">
        <v>2779</v>
      </c>
      <c r="E1422" s="59" t="s">
        <v>543</v>
      </c>
      <c r="F1422" s="59" t="s">
        <v>2349</v>
      </c>
      <c r="G1422" s="58" t="s">
        <v>2365</v>
      </c>
    </row>
    <row r="1423" spans="1:7" ht="17.25">
      <c r="A1423" s="76" t="s">
        <v>2801</v>
      </c>
      <c r="B1423" s="76"/>
      <c r="C1423" s="76"/>
      <c r="D1423" s="76"/>
      <c r="E1423" s="77"/>
      <c r="F1423" s="76"/>
      <c r="G1423" s="76"/>
    </row>
    <row r="1424" spans="1:7">
      <c r="A1424" s="58" t="s">
        <v>2196</v>
      </c>
      <c r="B1424" s="58"/>
      <c r="C1424" s="58" t="s">
        <v>2193</v>
      </c>
      <c r="D1424" s="58" t="s">
        <v>2779</v>
      </c>
      <c r="E1424" s="59" t="s">
        <v>2193</v>
      </c>
      <c r="F1424" s="59" t="s">
        <v>2349</v>
      </c>
      <c r="G1424" s="58" t="s">
        <v>2120</v>
      </c>
    </row>
    <row r="1425" spans="1:7">
      <c r="A1425" s="58" t="s">
        <v>2197</v>
      </c>
      <c r="B1425" s="58"/>
      <c r="C1425" s="58" t="s">
        <v>2193</v>
      </c>
      <c r="D1425" s="58" t="s">
        <v>2779</v>
      </c>
      <c r="E1425" s="59" t="s">
        <v>2193</v>
      </c>
      <c r="F1425" s="59" t="s">
        <v>2349</v>
      </c>
      <c r="G1425" s="58" t="s">
        <v>2120</v>
      </c>
    </row>
    <row r="1426" spans="1:7">
      <c r="A1426" s="58" t="s">
        <v>2198</v>
      </c>
      <c r="B1426" s="58"/>
      <c r="C1426" s="58" t="s">
        <v>2199</v>
      </c>
      <c r="D1426" s="58" t="s">
        <v>2779</v>
      </c>
      <c r="E1426" s="59" t="s">
        <v>2367</v>
      </c>
      <c r="F1426" s="59" t="s">
        <v>2349</v>
      </c>
      <c r="G1426" s="58" t="s">
        <v>2120</v>
      </c>
    </row>
    <row r="1427" spans="1:7">
      <c r="A1427" s="58" t="s">
        <v>2200</v>
      </c>
      <c r="B1427" s="58" t="s">
        <v>2182</v>
      </c>
      <c r="C1427" s="58" t="s">
        <v>108</v>
      </c>
      <c r="D1427" s="58" t="s">
        <v>2779</v>
      </c>
      <c r="E1427" s="59" t="s">
        <v>108</v>
      </c>
      <c r="F1427" s="59" t="s">
        <v>2349</v>
      </c>
      <c r="G1427" s="58" t="s">
        <v>2120</v>
      </c>
    </row>
    <row r="1428" spans="1:7">
      <c r="A1428" s="58" t="s">
        <v>2201</v>
      </c>
      <c r="B1428" s="58" t="s">
        <v>2182</v>
      </c>
      <c r="C1428" s="58" t="s">
        <v>108</v>
      </c>
      <c r="D1428" s="58" t="s">
        <v>2779</v>
      </c>
      <c r="E1428" s="59" t="s">
        <v>108</v>
      </c>
      <c r="F1428" s="59" t="s">
        <v>2349</v>
      </c>
      <c r="G1428" s="58" t="s">
        <v>2120</v>
      </c>
    </row>
    <row r="1429" spans="1:7">
      <c r="A1429" s="58" t="s">
        <v>2202</v>
      </c>
      <c r="B1429" s="58" t="s">
        <v>2174</v>
      </c>
      <c r="C1429" s="58" t="s">
        <v>108</v>
      </c>
      <c r="D1429" s="58" t="s">
        <v>2779</v>
      </c>
      <c r="E1429" s="59" t="s">
        <v>108</v>
      </c>
      <c r="F1429" s="59" t="s">
        <v>2349</v>
      </c>
      <c r="G1429" s="58" t="s">
        <v>2120</v>
      </c>
    </row>
    <row r="1430" spans="1:7">
      <c r="A1430" s="58" t="s">
        <v>2203</v>
      </c>
      <c r="B1430" s="58" t="s">
        <v>2204</v>
      </c>
      <c r="C1430" s="58" t="s">
        <v>2193</v>
      </c>
      <c r="D1430" s="58" t="s">
        <v>2779</v>
      </c>
      <c r="E1430" s="59" t="s">
        <v>2193</v>
      </c>
      <c r="F1430" s="59" t="s">
        <v>2349</v>
      </c>
      <c r="G1430" s="58" t="s">
        <v>2120</v>
      </c>
    </row>
    <row r="1431" spans="1:7">
      <c r="A1431" s="58" t="s">
        <v>2205</v>
      </c>
      <c r="B1431" s="58" t="s">
        <v>2204</v>
      </c>
      <c r="C1431" s="58" t="s">
        <v>2193</v>
      </c>
      <c r="D1431" s="58" t="s">
        <v>2779</v>
      </c>
      <c r="E1431" s="59" t="s">
        <v>2193</v>
      </c>
      <c r="F1431" s="59" t="s">
        <v>2349</v>
      </c>
      <c r="G1431" s="58" t="s">
        <v>2120</v>
      </c>
    </row>
    <row r="1432" spans="1:7">
      <c r="A1432" s="57" t="s">
        <v>2206</v>
      </c>
      <c r="B1432" s="57"/>
      <c r="C1432" s="57" t="s">
        <v>2135</v>
      </c>
      <c r="D1432" s="57" t="s">
        <v>2779</v>
      </c>
      <c r="E1432" s="75" t="s">
        <v>2355</v>
      </c>
      <c r="F1432" s="57" t="s">
        <v>1700</v>
      </c>
      <c r="G1432" s="57" t="s">
        <v>2120</v>
      </c>
    </row>
    <row r="1433" spans="1:7">
      <c r="A1433" s="58" t="s">
        <v>2207</v>
      </c>
      <c r="B1433" s="58" t="s">
        <v>2204</v>
      </c>
      <c r="C1433" s="58" t="s">
        <v>108</v>
      </c>
      <c r="D1433" s="58" t="s">
        <v>2779</v>
      </c>
      <c r="E1433" s="59" t="s">
        <v>108</v>
      </c>
      <c r="F1433" s="59" t="s">
        <v>2349</v>
      </c>
      <c r="G1433" s="58" t="s">
        <v>2208</v>
      </c>
    </row>
    <row r="1434" spans="1:7" ht="17.25">
      <c r="A1434" s="76" t="s">
        <v>2802</v>
      </c>
      <c r="B1434" s="76"/>
      <c r="C1434" s="76"/>
      <c r="D1434" s="76"/>
      <c r="E1434" s="77"/>
      <c r="F1434" s="76"/>
      <c r="G1434" s="76"/>
    </row>
    <row r="1435" spans="1:7">
      <c r="A1435" s="58" t="s">
        <v>2210</v>
      </c>
      <c r="B1435" s="58" t="s">
        <v>2211</v>
      </c>
      <c r="C1435" s="58" t="s">
        <v>108</v>
      </c>
      <c r="D1435" s="58" t="s">
        <v>2779</v>
      </c>
      <c r="E1435" s="59" t="s">
        <v>108</v>
      </c>
      <c r="F1435" s="59" t="s">
        <v>2349</v>
      </c>
      <c r="G1435" s="58" t="s">
        <v>2120</v>
      </c>
    </row>
    <row r="1436" spans="1:7">
      <c r="A1436" s="58" t="s">
        <v>2212</v>
      </c>
      <c r="B1436" s="58" t="s">
        <v>2213</v>
      </c>
      <c r="C1436" s="58" t="s">
        <v>108</v>
      </c>
      <c r="D1436" s="58" t="s">
        <v>2779</v>
      </c>
      <c r="E1436" s="59" t="s">
        <v>108</v>
      </c>
      <c r="F1436" s="59" t="s">
        <v>2349</v>
      </c>
      <c r="G1436" s="58" t="s">
        <v>2120</v>
      </c>
    </row>
    <row r="1437" spans="1:7">
      <c r="A1437" s="58" t="s">
        <v>2214</v>
      </c>
      <c r="B1437" s="58" t="s">
        <v>2213</v>
      </c>
      <c r="C1437" s="58" t="s">
        <v>108</v>
      </c>
      <c r="D1437" s="58" t="s">
        <v>2779</v>
      </c>
      <c r="E1437" s="59" t="s">
        <v>108</v>
      </c>
      <c r="F1437" s="59" t="s">
        <v>2349</v>
      </c>
      <c r="G1437" s="58" t="s">
        <v>2120</v>
      </c>
    </row>
    <row r="1438" spans="1:7" ht="17.25">
      <c r="A1438" s="76" t="s">
        <v>2803</v>
      </c>
      <c r="B1438" s="76"/>
      <c r="C1438" s="76"/>
      <c r="D1438" s="76"/>
      <c r="E1438" s="77"/>
      <c r="F1438" s="76"/>
      <c r="G1438" s="76"/>
    </row>
    <row r="1439" spans="1:7">
      <c r="A1439" s="58" t="s">
        <v>2370</v>
      </c>
      <c r="B1439" s="58" t="s">
        <v>2223</v>
      </c>
      <c r="C1439" s="58" t="s">
        <v>543</v>
      </c>
      <c r="D1439" s="58" t="s">
        <v>2779</v>
      </c>
      <c r="E1439" s="59" t="s">
        <v>543</v>
      </c>
      <c r="F1439" s="59" t="s">
        <v>2349</v>
      </c>
      <c r="G1439" s="58" t="s">
        <v>2371</v>
      </c>
    </row>
    <row r="1440" spans="1:7">
      <c r="A1440" s="58" t="s">
        <v>2372</v>
      </c>
      <c r="B1440" s="58" t="s">
        <v>2220</v>
      </c>
      <c r="C1440" s="58" t="s">
        <v>2373</v>
      </c>
      <c r="D1440" s="58" t="s">
        <v>2779</v>
      </c>
      <c r="E1440" s="59" t="s">
        <v>543</v>
      </c>
      <c r="F1440" s="59" t="s">
        <v>2349</v>
      </c>
      <c r="G1440" s="58" t="s">
        <v>2374</v>
      </c>
    </row>
    <row r="1441" spans="1:7">
      <c r="A1441" s="58" t="s">
        <v>2216</v>
      </c>
      <c r="B1441" s="58" t="s">
        <v>2217</v>
      </c>
      <c r="C1441" s="58" t="s">
        <v>2193</v>
      </c>
      <c r="D1441" s="58" t="s">
        <v>2779</v>
      </c>
      <c r="E1441" s="59" t="s">
        <v>2193</v>
      </c>
      <c r="F1441" s="59" t="s">
        <v>2349</v>
      </c>
      <c r="G1441" s="58" t="s">
        <v>2218</v>
      </c>
    </row>
    <row r="1442" spans="1:7">
      <c r="A1442" s="58" t="s">
        <v>2219</v>
      </c>
      <c r="B1442" s="58" t="s">
        <v>2220</v>
      </c>
      <c r="C1442" s="58" t="s">
        <v>108</v>
      </c>
      <c r="D1442" s="58" t="s">
        <v>2779</v>
      </c>
      <c r="E1442" s="59" t="s">
        <v>108</v>
      </c>
      <c r="F1442" s="59" t="s">
        <v>2349</v>
      </c>
      <c r="G1442" s="58" t="s">
        <v>2221</v>
      </c>
    </row>
    <row r="1443" spans="1:7">
      <c r="A1443" s="58" t="s">
        <v>2222</v>
      </c>
      <c r="B1443" s="58" t="s">
        <v>2223</v>
      </c>
      <c r="C1443" s="58" t="s">
        <v>108</v>
      </c>
      <c r="D1443" s="58" t="s">
        <v>2779</v>
      </c>
      <c r="E1443" s="59" t="s">
        <v>108</v>
      </c>
      <c r="F1443" s="59" t="s">
        <v>2349</v>
      </c>
      <c r="G1443" s="58" t="s">
        <v>2224</v>
      </c>
    </row>
    <row r="1444" spans="1:7">
      <c r="A1444" s="58" t="s">
        <v>2225</v>
      </c>
      <c r="B1444" s="58" t="s">
        <v>2226</v>
      </c>
      <c r="C1444" s="58" t="s">
        <v>108</v>
      </c>
      <c r="D1444" s="58" t="s">
        <v>2779</v>
      </c>
      <c r="E1444" s="59" t="s">
        <v>108</v>
      </c>
      <c r="F1444" s="59" t="s">
        <v>2349</v>
      </c>
      <c r="G1444" s="58" t="s">
        <v>2227</v>
      </c>
    </row>
    <row r="1445" spans="1:7">
      <c r="A1445" s="57" t="s">
        <v>2228</v>
      </c>
      <c r="B1445" s="57"/>
      <c r="C1445" s="57" t="s">
        <v>2135</v>
      </c>
      <c r="D1445" s="57" t="s">
        <v>2779</v>
      </c>
      <c r="E1445" s="75" t="s">
        <v>2355</v>
      </c>
      <c r="F1445" s="57" t="s">
        <v>1700</v>
      </c>
      <c r="G1445" s="57" t="s">
        <v>2120</v>
      </c>
    </row>
    <row r="1446" spans="1:7" ht="17.25">
      <c r="A1446" s="76" t="s">
        <v>2804</v>
      </c>
      <c r="B1446" s="76"/>
      <c r="C1446" s="76"/>
      <c r="D1446" s="76"/>
      <c r="E1446" s="77"/>
      <c r="F1446" s="76"/>
      <c r="G1446" s="76"/>
    </row>
    <row r="1447" spans="1:7">
      <c r="A1447" s="58" t="s">
        <v>2376</v>
      </c>
      <c r="B1447" s="58" t="s">
        <v>2237</v>
      </c>
      <c r="C1447" s="58" t="s">
        <v>543</v>
      </c>
      <c r="D1447" s="58" t="s">
        <v>2779</v>
      </c>
      <c r="E1447" s="59" t="s">
        <v>543</v>
      </c>
      <c r="F1447" s="59" t="s">
        <v>2349</v>
      </c>
      <c r="G1447" s="58" t="s">
        <v>2120</v>
      </c>
    </row>
    <row r="1448" spans="1:7">
      <c r="A1448" s="58" t="s">
        <v>2230</v>
      </c>
      <c r="B1448" s="58" t="s">
        <v>2220</v>
      </c>
      <c r="C1448" s="58" t="s">
        <v>108</v>
      </c>
      <c r="D1448" s="58" t="s">
        <v>2779</v>
      </c>
      <c r="E1448" s="59" t="s">
        <v>108</v>
      </c>
      <c r="F1448" s="59" t="s">
        <v>2349</v>
      </c>
      <c r="G1448" s="58" t="s">
        <v>2231</v>
      </c>
    </row>
    <row r="1449" spans="1:7">
      <c r="A1449" s="58" t="s">
        <v>2232</v>
      </c>
      <c r="B1449" s="58" t="s">
        <v>2220</v>
      </c>
      <c r="C1449" s="58" t="s">
        <v>108</v>
      </c>
      <c r="D1449" s="58" t="s">
        <v>2779</v>
      </c>
      <c r="E1449" s="59" t="s">
        <v>108</v>
      </c>
      <c r="F1449" s="59" t="s">
        <v>2349</v>
      </c>
      <c r="G1449" s="58" t="s">
        <v>2120</v>
      </c>
    </row>
    <row r="1450" spans="1:7">
      <c r="A1450" s="58" t="s">
        <v>2233</v>
      </c>
      <c r="B1450" s="58" t="s">
        <v>2234</v>
      </c>
      <c r="C1450" s="58" t="s">
        <v>108</v>
      </c>
      <c r="D1450" s="58" t="s">
        <v>2779</v>
      </c>
      <c r="E1450" s="59" t="s">
        <v>108</v>
      </c>
      <c r="F1450" s="59" t="s">
        <v>2349</v>
      </c>
      <c r="G1450" s="58" t="s">
        <v>2235</v>
      </c>
    </row>
    <row r="1451" spans="1:7">
      <c r="A1451" s="58" t="s">
        <v>2236</v>
      </c>
      <c r="B1451" s="58" t="s">
        <v>2237</v>
      </c>
      <c r="C1451" s="58" t="s">
        <v>108</v>
      </c>
      <c r="D1451" s="58" t="s">
        <v>2779</v>
      </c>
      <c r="E1451" s="59" t="s">
        <v>108</v>
      </c>
      <c r="F1451" s="59" t="s">
        <v>2349</v>
      </c>
      <c r="G1451" s="58" t="s">
        <v>2231</v>
      </c>
    </row>
    <row r="1452" spans="1:7">
      <c r="A1452" s="58" t="s">
        <v>2238</v>
      </c>
      <c r="B1452" s="58" t="s">
        <v>2237</v>
      </c>
      <c r="C1452" s="58" t="s">
        <v>108</v>
      </c>
      <c r="D1452" s="58" t="s">
        <v>2779</v>
      </c>
      <c r="E1452" s="59" t="s">
        <v>108</v>
      </c>
      <c r="F1452" s="59" t="s">
        <v>2349</v>
      </c>
      <c r="G1452" s="58" t="s">
        <v>2239</v>
      </c>
    </row>
    <row r="1453" spans="1:7">
      <c r="A1453" s="58" t="s">
        <v>2240</v>
      </c>
      <c r="B1453" s="58" t="s">
        <v>2241</v>
      </c>
      <c r="C1453" s="58" t="s">
        <v>2193</v>
      </c>
      <c r="D1453" s="58" t="s">
        <v>2779</v>
      </c>
      <c r="E1453" s="59" t="s">
        <v>2193</v>
      </c>
      <c r="F1453" s="59" t="s">
        <v>2349</v>
      </c>
      <c r="G1453" s="58" t="s">
        <v>2120</v>
      </c>
    </row>
    <row r="1454" spans="1:7">
      <c r="A1454" s="58" t="s">
        <v>2242</v>
      </c>
      <c r="B1454" s="58" t="s">
        <v>2220</v>
      </c>
      <c r="C1454" s="58" t="s">
        <v>2243</v>
      </c>
      <c r="D1454" s="58" t="s">
        <v>2779</v>
      </c>
      <c r="E1454" s="59" t="s">
        <v>2377</v>
      </c>
      <c r="F1454" s="59" t="s">
        <v>2349</v>
      </c>
      <c r="G1454" s="58" t="s">
        <v>2244</v>
      </c>
    </row>
    <row r="1455" spans="1:7">
      <c r="A1455" s="58" t="s">
        <v>2245</v>
      </c>
      <c r="B1455" s="58" t="s">
        <v>2241</v>
      </c>
      <c r="C1455" s="58" t="s">
        <v>2246</v>
      </c>
      <c r="D1455" s="58" t="s">
        <v>2779</v>
      </c>
      <c r="E1455" s="59" t="s">
        <v>108</v>
      </c>
      <c r="F1455" s="59" t="s">
        <v>2349</v>
      </c>
      <c r="G1455" s="58" t="s">
        <v>2120</v>
      </c>
    </row>
    <row r="1456" spans="1:7">
      <c r="A1456" s="58" t="s">
        <v>2378</v>
      </c>
      <c r="B1456" s="58"/>
      <c r="C1456" s="58" t="s">
        <v>543</v>
      </c>
      <c r="D1456" s="58" t="s">
        <v>2779</v>
      </c>
      <c r="E1456" s="59" t="s">
        <v>543</v>
      </c>
      <c r="F1456" s="59" t="s">
        <v>2349</v>
      </c>
      <c r="G1456" s="58" t="s">
        <v>2336</v>
      </c>
    </row>
    <row r="1457" spans="1:7">
      <c r="A1457" s="58" t="s">
        <v>2247</v>
      </c>
      <c r="B1457" s="58" t="s">
        <v>2248</v>
      </c>
      <c r="C1457" s="58" t="s">
        <v>108</v>
      </c>
      <c r="D1457" s="58" t="s">
        <v>2779</v>
      </c>
      <c r="E1457" s="59" t="s">
        <v>108</v>
      </c>
      <c r="F1457" s="59" t="s">
        <v>2349</v>
      </c>
      <c r="G1457" s="58" t="s">
        <v>2249</v>
      </c>
    </row>
    <row r="1458" spans="1:7">
      <c r="A1458" s="57" t="s">
        <v>2337</v>
      </c>
      <c r="B1458" s="57" t="s">
        <v>2248</v>
      </c>
      <c r="C1458" s="57" t="s">
        <v>2338</v>
      </c>
      <c r="D1458" s="57" t="s">
        <v>2779</v>
      </c>
      <c r="E1458" s="75" t="s">
        <v>2379</v>
      </c>
      <c r="F1458" s="57" t="s">
        <v>1700</v>
      </c>
      <c r="G1458" s="57" t="s">
        <v>2120</v>
      </c>
    </row>
    <row r="1459" spans="1:7" ht="17.25">
      <c r="A1459" s="76" t="s">
        <v>2805</v>
      </c>
      <c r="B1459" s="76"/>
      <c r="C1459" s="76"/>
      <c r="D1459" s="76"/>
      <c r="E1459" s="77"/>
      <c r="F1459" s="76"/>
      <c r="G1459" s="76"/>
    </row>
    <row r="1460" spans="1:7">
      <c r="A1460" s="58" t="s">
        <v>2381</v>
      </c>
      <c r="B1460" s="58"/>
      <c r="C1460" s="58" t="s">
        <v>543</v>
      </c>
      <c r="D1460" s="58" t="s">
        <v>2779</v>
      </c>
      <c r="E1460" s="59" t="s">
        <v>543</v>
      </c>
      <c r="F1460" s="59" t="s">
        <v>2349</v>
      </c>
      <c r="G1460" s="58" t="s">
        <v>2120</v>
      </c>
    </row>
    <row r="1461" spans="1:7">
      <c r="A1461" s="58" t="s">
        <v>2251</v>
      </c>
      <c r="B1461" s="58" t="s">
        <v>2252</v>
      </c>
      <c r="C1461" s="58" t="s">
        <v>108</v>
      </c>
      <c r="D1461" s="58" t="s">
        <v>2779</v>
      </c>
      <c r="E1461" s="59" t="s">
        <v>108</v>
      </c>
      <c r="F1461" s="59" t="s">
        <v>2349</v>
      </c>
      <c r="G1461" s="58" t="s">
        <v>2120</v>
      </c>
    </row>
    <row r="1462" spans="1:7">
      <c r="A1462" s="58" t="s">
        <v>2253</v>
      </c>
      <c r="B1462" s="58" t="s">
        <v>2252</v>
      </c>
      <c r="C1462" s="58" t="s">
        <v>2193</v>
      </c>
      <c r="D1462" s="58" t="s">
        <v>2779</v>
      </c>
      <c r="E1462" s="59" t="s">
        <v>2193</v>
      </c>
      <c r="F1462" s="59" t="s">
        <v>2349</v>
      </c>
      <c r="G1462" s="58" t="s">
        <v>2254</v>
      </c>
    </row>
    <row r="1463" spans="1:7">
      <c r="A1463" s="58" t="s">
        <v>2255</v>
      </c>
      <c r="B1463" s="58" t="s">
        <v>2256</v>
      </c>
      <c r="C1463" s="58" t="s">
        <v>2257</v>
      </c>
      <c r="D1463" s="58" t="s">
        <v>2779</v>
      </c>
      <c r="E1463" s="59" t="s">
        <v>108</v>
      </c>
      <c r="F1463" s="59" t="s">
        <v>2349</v>
      </c>
      <c r="G1463" s="58" t="s">
        <v>2120</v>
      </c>
    </row>
    <row r="1464" spans="1:7">
      <c r="A1464" s="58" t="s">
        <v>2258</v>
      </c>
      <c r="B1464" s="58" t="s">
        <v>2259</v>
      </c>
      <c r="C1464" s="58" t="s">
        <v>2260</v>
      </c>
      <c r="D1464" s="58" t="s">
        <v>2779</v>
      </c>
      <c r="E1464" s="59" t="s">
        <v>2382</v>
      </c>
      <c r="F1464" s="59" t="s">
        <v>2349</v>
      </c>
      <c r="G1464" s="58" t="s">
        <v>2261</v>
      </c>
    </row>
    <row r="1465" spans="1:7">
      <c r="A1465" s="58" t="s">
        <v>2262</v>
      </c>
      <c r="B1465" s="58" t="s">
        <v>2259</v>
      </c>
      <c r="C1465" s="58" t="s">
        <v>2147</v>
      </c>
      <c r="D1465" s="58" t="s">
        <v>2779</v>
      </c>
      <c r="E1465" s="59" t="s">
        <v>108</v>
      </c>
      <c r="F1465" s="59" t="s">
        <v>2349</v>
      </c>
      <c r="G1465" s="58" t="s">
        <v>2263</v>
      </c>
    </row>
    <row r="1466" spans="1:7">
      <c r="A1466" s="58" t="s">
        <v>2264</v>
      </c>
      <c r="B1466" s="58" t="s">
        <v>2252</v>
      </c>
      <c r="C1466" s="58" t="s">
        <v>2265</v>
      </c>
      <c r="D1466" s="58" t="s">
        <v>2779</v>
      </c>
      <c r="E1466" s="59" t="s">
        <v>108</v>
      </c>
      <c r="F1466" s="59" t="s">
        <v>2349</v>
      </c>
      <c r="G1466" s="58" t="s">
        <v>2120</v>
      </c>
    </row>
    <row r="1467" spans="1:7">
      <c r="A1467" s="58" t="s">
        <v>2266</v>
      </c>
      <c r="B1467" s="58" t="s">
        <v>2252</v>
      </c>
      <c r="C1467" s="58" t="s">
        <v>2267</v>
      </c>
      <c r="D1467" s="58" t="s">
        <v>2779</v>
      </c>
      <c r="E1467" s="59" t="s">
        <v>108</v>
      </c>
      <c r="F1467" s="59" t="s">
        <v>2349</v>
      </c>
      <c r="G1467" s="58" t="s">
        <v>2268</v>
      </c>
    </row>
    <row r="1468" spans="1:7">
      <c r="A1468" s="58" t="s">
        <v>2269</v>
      </c>
      <c r="B1468" s="58" t="s">
        <v>2252</v>
      </c>
      <c r="C1468" s="58" t="s">
        <v>2270</v>
      </c>
      <c r="D1468" s="58" t="s">
        <v>2779</v>
      </c>
      <c r="E1468" s="59" t="s">
        <v>108</v>
      </c>
      <c r="F1468" s="59" t="s">
        <v>2349</v>
      </c>
      <c r="G1468" s="58" t="s">
        <v>2120</v>
      </c>
    </row>
    <row r="1469" spans="1:7" ht="17.25">
      <c r="A1469" s="76" t="s">
        <v>2806</v>
      </c>
      <c r="B1469" s="76"/>
      <c r="C1469" s="76"/>
      <c r="D1469" s="76"/>
      <c r="E1469" s="77"/>
      <c r="F1469" s="76"/>
      <c r="G1469" s="76"/>
    </row>
    <row r="1470" spans="1:7">
      <c r="A1470" s="58" t="s">
        <v>2272</v>
      </c>
      <c r="B1470" s="58" t="s">
        <v>2273</v>
      </c>
      <c r="C1470" s="58" t="s">
        <v>2274</v>
      </c>
      <c r="D1470" s="58" t="s">
        <v>2779</v>
      </c>
      <c r="E1470" s="59" t="s">
        <v>1559</v>
      </c>
      <c r="F1470" s="59" t="s">
        <v>2349</v>
      </c>
      <c r="G1470" s="58" t="s">
        <v>2275</v>
      </c>
    </row>
    <row r="1471" spans="1:7">
      <c r="A1471" s="58" t="s">
        <v>2276</v>
      </c>
      <c r="B1471" s="58" t="s">
        <v>2248</v>
      </c>
      <c r="C1471" s="58" t="s">
        <v>2277</v>
      </c>
      <c r="D1471" s="58" t="s">
        <v>2779</v>
      </c>
      <c r="E1471" s="59" t="s">
        <v>108</v>
      </c>
      <c r="F1471" s="59" t="s">
        <v>2349</v>
      </c>
      <c r="G1471" s="58" t="s">
        <v>2278</v>
      </c>
    </row>
    <row r="1472" spans="1:7">
      <c r="A1472" s="58" t="s">
        <v>2279</v>
      </c>
      <c r="B1472" s="58" t="s">
        <v>2280</v>
      </c>
      <c r="C1472" s="58" t="s">
        <v>2281</v>
      </c>
      <c r="D1472" s="58" t="s">
        <v>2779</v>
      </c>
      <c r="E1472" s="59" t="s">
        <v>108</v>
      </c>
      <c r="F1472" s="59" t="s">
        <v>2349</v>
      </c>
      <c r="G1472" s="58" t="s">
        <v>2282</v>
      </c>
    </row>
    <row r="1473" spans="1:7">
      <c r="A1473" s="58" t="s">
        <v>2283</v>
      </c>
      <c r="B1473" s="58" t="s">
        <v>2273</v>
      </c>
      <c r="C1473" s="58" t="s">
        <v>108</v>
      </c>
      <c r="D1473" s="58" t="s">
        <v>2779</v>
      </c>
      <c r="E1473" s="59" t="s">
        <v>108</v>
      </c>
      <c r="F1473" s="59" t="s">
        <v>2349</v>
      </c>
      <c r="G1473" s="58" t="s">
        <v>2284</v>
      </c>
    </row>
    <row r="1474" spans="1:7">
      <c r="A1474" s="57" t="s">
        <v>2285</v>
      </c>
      <c r="B1474" s="57"/>
      <c r="C1474" s="57" t="s">
        <v>2135</v>
      </c>
      <c r="D1474" s="57" t="s">
        <v>2779</v>
      </c>
      <c r="E1474" s="75" t="s">
        <v>2355</v>
      </c>
      <c r="F1474" s="57" t="s">
        <v>1700</v>
      </c>
      <c r="G1474" s="57" t="s">
        <v>2120</v>
      </c>
    </row>
    <row r="1475" spans="1:7">
      <c r="A1475" s="58" t="s">
        <v>2286</v>
      </c>
      <c r="B1475" s="58"/>
      <c r="C1475" s="58" t="s">
        <v>108</v>
      </c>
      <c r="D1475" s="58" t="s">
        <v>2779</v>
      </c>
      <c r="E1475" s="59" t="s">
        <v>108</v>
      </c>
      <c r="F1475" s="59" t="s">
        <v>2349</v>
      </c>
      <c r="G1475" s="58" t="s">
        <v>2120</v>
      </c>
    </row>
    <row r="1476" spans="1:7">
      <c r="A1476" s="58" t="s">
        <v>2287</v>
      </c>
      <c r="B1476" s="58" t="s">
        <v>2273</v>
      </c>
      <c r="C1476" s="58" t="s">
        <v>2288</v>
      </c>
      <c r="D1476" s="58" t="s">
        <v>2779</v>
      </c>
      <c r="E1476" s="59" t="s">
        <v>2288</v>
      </c>
      <c r="F1476" s="59" t="s">
        <v>2349</v>
      </c>
      <c r="G1476" s="58" t="s">
        <v>2289</v>
      </c>
    </row>
    <row r="1477" spans="1:7" ht="17.25">
      <c r="A1477" s="76" t="s">
        <v>2807</v>
      </c>
      <c r="B1477" s="76"/>
      <c r="C1477" s="76"/>
      <c r="D1477" s="76"/>
      <c r="E1477" s="77"/>
      <c r="F1477" s="76"/>
      <c r="G1477" s="76"/>
    </row>
    <row r="1478" spans="1:7">
      <c r="A1478" s="57" t="s">
        <v>2291</v>
      </c>
      <c r="B1478" s="57"/>
      <c r="C1478" s="57" t="s">
        <v>2135</v>
      </c>
      <c r="D1478" s="57" t="s">
        <v>2779</v>
      </c>
      <c r="E1478" s="75" t="s">
        <v>2355</v>
      </c>
      <c r="F1478" s="57" t="s">
        <v>1700</v>
      </c>
      <c r="G1478" s="57" t="s">
        <v>2292</v>
      </c>
    </row>
    <row r="1479" spans="1:7">
      <c r="A1479" s="58" t="s">
        <v>2293</v>
      </c>
      <c r="B1479" s="58" t="s">
        <v>2294</v>
      </c>
      <c r="C1479" s="58" t="s">
        <v>2295</v>
      </c>
      <c r="D1479" s="58" t="s">
        <v>2779</v>
      </c>
      <c r="E1479" s="59" t="s">
        <v>108</v>
      </c>
      <c r="F1479" s="59" t="s">
        <v>2349</v>
      </c>
      <c r="G1479" s="58" t="s">
        <v>2296</v>
      </c>
    </row>
    <row r="1480" spans="1:7">
      <c r="A1480" s="58" t="s">
        <v>2385</v>
      </c>
      <c r="B1480" s="58" t="s">
        <v>2298</v>
      </c>
      <c r="C1480" s="58" t="s">
        <v>543</v>
      </c>
      <c r="D1480" s="58" t="s">
        <v>2779</v>
      </c>
      <c r="E1480" s="59" t="s">
        <v>543</v>
      </c>
      <c r="F1480" s="59" t="s">
        <v>2349</v>
      </c>
      <c r="G1480" s="58" t="s">
        <v>2386</v>
      </c>
    </row>
    <row r="1481" spans="1:7">
      <c r="A1481" s="58" t="s">
        <v>2297</v>
      </c>
      <c r="B1481" s="58" t="s">
        <v>2298</v>
      </c>
      <c r="C1481" s="58" t="s">
        <v>108</v>
      </c>
      <c r="D1481" s="58" t="s">
        <v>2779</v>
      </c>
      <c r="E1481" s="59" t="s">
        <v>108</v>
      </c>
      <c r="F1481" s="59" t="s">
        <v>2349</v>
      </c>
      <c r="G1481" s="58" t="s">
        <v>2299</v>
      </c>
    </row>
    <row r="1482" spans="1:7">
      <c r="A1482" s="58" t="s">
        <v>2300</v>
      </c>
      <c r="B1482" s="58" t="s">
        <v>2294</v>
      </c>
      <c r="C1482" s="58" t="s">
        <v>108</v>
      </c>
      <c r="D1482" s="58" t="s">
        <v>2779</v>
      </c>
      <c r="E1482" s="59" t="s">
        <v>108</v>
      </c>
      <c r="F1482" s="59" t="s">
        <v>2349</v>
      </c>
      <c r="G1482" s="58" t="s">
        <v>2299</v>
      </c>
    </row>
    <row r="1483" spans="1:7">
      <c r="A1483" s="58" t="s">
        <v>2301</v>
      </c>
      <c r="B1483" s="58" t="s">
        <v>2302</v>
      </c>
      <c r="C1483" s="58" t="s">
        <v>2193</v>
      </c>
      <c r="D1483" s="58" t="s">
        <v>2779</v>
      </c>
      <c r="E1483" s="59" t="s">
        <v>2193</v>
      </c>
      <c r="F1483" s="59" t="s">
        <v>2349</v>
      </c>
      <c r="G1483" s="58" t="s">
        <v>2303</v>
      </c>
    </row>
    <row r="1484" spans="1:7">
      <c r="A1484" s="58" t="s">
        <v>2304</v>
      </c>
      <c r="B1484" s="58" t="s">
        <v>2305</v>
      </c>
      <c r="C1484" s="58" t="s">
        <v>2257</v>
      </c>
      <c r="D1484" s="58" t="s">
        <v>2779</v>
      </c>
      <c r="E1484" s="59" t="s">
        <v>108</v>
      </c>
      <c r="F1484" s="59" t="s">
        <v>2349</v>
      </c>
      <c r="G1484" s="58" t="s">
        <v>2306</v>
      </c>
    </row>
    <row r="1485" spans="1:7">
      <c r="A1485" s="58" t="s">
        <v>2347</v>
      </c>
      <c r="B1485" s="58" t="s">
        <v>2213</v>
      </c>
      <c r="C1485" s="58" t="s">
        <v>2348</v>
      </c>
      <c r="D1485" s="58" t="s">
        <v>2779</v>
      </c>
      <c r="E1485" s="59" t="s">
        <v>2348</v>
      </c>
      <c r="F1485" s="59" t="s">
        <v>2349</v>
      </c>
      <c r="G1485" s="58" t="s">
        <v>2296</v>
      </c>
    </row>
    <row r="1486" spans="1:7" ht="17.25">
      <c r="A1486" s="76" t="s">
        <v>2808</v>
      </c>
      <c r="B1486" s="76"/>
      <c r="C1486" s="76"/>
      <c r="D1486" s="76"/>
      <c r="E1486" s="77"/>
      <c r="F1486" s="76"/>
      <c r="G1486" s="76"/>
    </row>
    <row r="1487" spans="1:7">
      <c r="A1487" s="58" t="s">
        <v>2532</v>
      </c>
      <c r="B1487" s="58" t="s">
        <v>2533</v>
      </c>
      <c r="C1487" s="58" t="s">
        <v>1559</v>
      </c>
      <c r="D1487" s="58" t="s">
        <v>2809</v>
      </c>
      <c r="E1487" s="59" t="s">
        <v>108</v>
      </c>
      <c r="F1487" s="59" t="s">
        <v>2349</v>
      </c>
      <c r="G1487" s="58" t="s">
        <v>2535</v>
      </c>
    </row>
    <row r="1488" spans="1:7">
      <c r="A1488" s="58" t="s">
        <v>2536</v>
      </c>
      <c r="B1488" s="58" t="s">
        <v>2537</v>
      </c>
      <c r="C1488" s="58" t="s">
        <v>2538</v>
      </c>
      <c r="D1488" s="58" t="s">
        <v>2809</v>
      </c>
      <c r="E1488" s="59" t="s">
        <v>108</v>
      </c>
      <c r="F1488" s="59" t="s">
        <v>2349</v>
      </c>
      <c r="G1488" s="58" t="s">
        <v>2539</v>
      </c>
    </row>
    <row r="1489" spans="1:7">
      <c r="A1489" s="58" t="s">
        <v>2540</v>
      </c>
      <c r="B1489" s="58" t="s">
        <v>2537</v>
      </c>
      <c r="C1489" s="58" t="s">
        <v>2193</v>
      </c>
      <c r="D1489" s="58" t="s">
        <v>2809</v>
      </c>
      <c r="E1489" s="59" t="s">
        <v>2193</v>
      </c>
      <c r="F1489" s="59" t="s">
        <v>2349</v>
      </c>
      <c r="G1489" s="58" t="s">
        <v>2541</v>
      </c>
    </row>
    <row r="1490" spans="1:7">
      <c r="A1490" s="58" t="s">
        <v>2542</v>
      </c>
      <c r="B1490" s="58" t="s">
        <v>2533</v>
      </c>
      <c r="C1490" s="58" t="s">
        <v>108</v>
      </c>
      <c r="D1490" s="58" t="s">
        <v>2809</v>
      </c>
      <c r="E1490" s="59" t="s">
        <v>108</v>
      </c>
      <c r="F1490" s="59" t="s">
        <v>2349</v>
      </c>
      <c r="G1490" s="58" t="s">
        <v>2543</v>
      </c>
    </row>
    <row r="1491" spans="1:7">
      <c r="A1491" s="58" t="s">
        <v>2544</v>
      </c>
      <c r="B1491" s="58" t="s">
        <v>2545</v>
      </c>
      <c r="C1491" s="58" t="s">
        <v>2193</v>
      </c>
      <c r="D1491" s="58" t="s">
        <v>2809</v>
      </c>
      <c r="E1491" s="59" t="s">
        <v>2193</v>
      </c>
      <c r="F1491" s="59" t="s">
        <v>2349</v>
      </c>
      <c r="G1491" s="58" t="s">
        <v>2541</v>
      </c>
    </row>
    <row r="1492" spans="1:7">
      <c r="A1492" s="57" t="s">
        <v>2546</v>
      </c>
      <c r="B1492" s="57" t="s">
        <v>2546</v>
      </c>
      <c r="C1492" s="57" t="s">
        <v>2135</v>
      </c>
      <c r="D1492" s="57" t="s">
        <v>2809</v>
      </c>
      <c r="E1492" s="75" t="s">
        <v>2136</v>
      </c>
      <c r="F1492" s="57" t="s">
        <v>1868</v>
      </c>
      <c r="G1492" s="57" t="s">
        <v>2547</v>
      </c>
    </row>
    <row r="1493" spans="1:7" ht="17.25">
      <c r="A1493" s="76" t="s">
        <v>2810</v>
      </c>
      <c r="B1493" s="76"/>
      <c r="C1493" s="76"/>
      <c r="D1493" s="76"/>
      <c r="E1493" s="77"/>
      <c r="F1493" s="76"/>
      <c r="G1493" s="76"/>
    </row>
    <row r="1494" spans="1:7">
      <c r="A1494" s="58" t="s">
        <v>2549</v>
      </c>
      <c r="B1494" s="58" t="s">
        <v>2537</v>
      </c>
      <c r="C1494" s="58" t="s">
        <v>2288</v>
      </c>
      <c r="D1494" s="58" t="s">
        <v>2809</v>
      </c>
      <c r="E1494" s="59" t="s">
        <v>2288</v>
      </c>
      <c r="F1494" s="59" t="s">
        <v>2349</v>
      </c>
      <c r="G1494" s="58" t="s">
        <v>2550</v>
      </c>
    </row>
    <row r="1495" spans="1:7">
      <c r="A1495" s="57" t="s">
        <v>2551</v>
      </c>
      <c r="B1495" s="57" t="s">
        <v>2537</v>
      </c>
      <c r="C1495" s="57" t="s">
        <v>2135</v>
      </c>
      <c r="D1495" s="57" t="s">
        <v>2809</v>
      </c>
      <c r="E1495" s="75" t="s">
        <v>2136</v>
      </c>
      <c r="F1495" s="57" t="s">
        <v>1868</v>
      </c>
      <c r="G1495" s="57" t="s">
        <v>2552</v>
      </c>
    </row>
    <row r="1496" spans="1:7">
      <c r="A1496" s="57" t="s">
        <v>2553</v>
      </c>
      <c r="B1496" s="57" t="s">
        <v>2554</v>
      </c>
      <c r="C1496" s="57" t="s">
        <v>2135</v>
      </c>
      <c r="D1496" s="57" t="s">
        <v>2809</v>
      </c>
      <c r="E1496" s="75" t="s">
        <v>2136</v>
      </c>
      <c r="F1496" s="57" t="s">
        <v>1868</v>
      </c>
      <c r="G1496" s="57" t="s">
        <v>2555</v>
      </c>
    </row>
    <row r="1497" spans="1:7">
      <c r="A1497" s="58" t="s">
        <v>2556</v>
      </c>
      <c r="B1497" s="58" t="s">
        <v>2533</v>
      </c>
      <c r="C1497" s="58" t="s">
        <v>2288</v>
      </c>
      <c r="D1497" s="58" t="s">
        <v>2809</v>
      </c>
      <c r="E1497" s="59" t="s">
        <v>2288</v>
      </c>
      <c r="F1497" s="59" t="s">
        <v>2349</v>
      </c>
      <c r="G1497" s="58" t="s">
        <v>2557</v>
      </c>
    </row>
    <row r="1498" spans="1:7">
      <c r="A1498" s="58" t="s">
        <v>2558</v>
      </c>
      <c r="B1498" s="58" t="s">
        <v>2559</v>
      </c>
      <c r="C1498" s="58" t="s">
        <v>2560</v>
      </c>
      <c r="D1498" s="58" t="s">
        <v>2809</v>
      </c>
      <c r="E1498" s="59" t="s">
        <v>2288</v>
      </c>
      <c r="F1498" s="59" t="s">
        <v>2349</v>
      </c>
      <c r="G1498" s="58" t="s">
        <v>2561</v>
      </c>
    </row>
    <row r="1499" spans="1:7">
      <c r="A1499" s="57" t="s">
        <v>2566</v>
      </c>
      <c r="B1499" s="57" t="s">
        <v>2545</v>
      </c>
      <c r="C1499" s="57" t="s">
        <v>2567</v>
      </c>
      <c r="D1499" s="57" t="s">
        <v>2809</v>
      </c>
      <c r="E1499" s="75" t="s">
        <v>108</v>
      </c>
      <c r="F1499" s="57" t="s">
        <v>1868</v>
      </c>
      <c r="G1499" s="57" t="s">
        <v>2569</v>
      </c>
    </row>
    <row r="1500" spans="1:7">
      <c r="A1500" s="57" t="s">
        <v>2570</v>
      </c>
      <c r="B1500" s="57" t="s">
        <v>2571</v>
      </c>
      <c r="C1500" s="57" t="s">
        <v>2135</v>
      </c>
      <c r="D1500" s="57" t="s">
        <v>2809</v>
      </c>
      <c r="E1500" s="75" t="s">
        <v>2136</v>
      </c>
      <c r="F1500" s="57" t="s">
        <v>1868</v>
      </c>
      <c r="G1500" s="57" t="s">
        <v>2120</v>
      </c>
    </row>
    <row r="1501" spans="1:7">
      <c r="A1501" s="57" t="s">
        <v>2575</v>
      </c>
      <c r="B1501" s="57" t="s">
        <v>2533</v>
      </c>
      <c r="C1501" s="57" t="s">
        <v>2135</v>
      </c>
      <c r="D1501" s="57" t="s">
        <v>2809</v>
      </c>
      <c r="E1501" s="75" t="s">
        <v>2136</v>
      </c>
      <c r="F1501" s="57" t="s">
        <v>1868</v>
      </c>
      <c r="G1501" s="57" t="s">
        <v>2120</v>
      </c>
    </row>
    <row r="1502" spans="1:7">
      <c r="A1502" s="58" t="s">
        <v>2576</v>
      </c>
      <c r="B1502" s="58" t="s">
        <v>2571</v>
      </c>
      <c r="C1502" s="58" t="s">
        <v>108</v>
      </c>
      <c r="D1502" s="58" t="s">
        <v>2809</v>
      </c>
      <c r="E1502" s="59" t="s">
        <v>108</v>
      </c>
      <c r="F1502" s="59" t="s">
        <v>2349</v>
      </c>
      <c r="G1502" s="58" t="s">
        <v>2577</v>
      </c>
    </row>
    <row r="1503" spans="1:7">
      <c r="A1503" s="57" t="s">
        <v>2546</v>
      </c>
      <c r="B1503" s="57" t="s">
        <v>2546</v>
      </c>
      <c r="C1503" s="57" t="s">
        <v>2135</v>
      </c>
      <c r="D1503" s="57" t="s">
        <v>2809</v>
      </c>
      <c r="E1503" s="75" t="s">
        <v>2136</v>
      </c>
      <c r="F1503" s="57" t="s">
        <v>1868</v>
      </c>
      <c r="G1503" s="57" t="s">
        <v>2580</v>
      </c>
    </row>
    <row r="1504" spans="1:7">
      <c r="A1504" s="57" t="s">
        <v>2581</v>
      </c>
      <c r="B1504" s="57" t="s">
        <v>2582</v>
      </c>
      <c r="C1504" s="57" t="s">
        <v>2135</v>
      </c>
      <c r="D1504" s="57" t="s">
        <v>2809</v>
      </c>
      <c r="E1504" s="75" t="s">
        <v>2136</v>
      </c>
      <c r="F1504" s="57" t="s">
        <v>1868</v>
      </c>
      <c r="G1504" s="57" t="s">
        <v>2583</v>
      </c>
    </row>
    <row r="1505" spans="1:7">
      <c r="A1505" s="58" t="s">
        <v>2584</v>
      </c>
      <c r="B1505" s="58" t="s">
        <v>2545</v>
      </c>
      <c r="C1505" s="58" t="s">
        <v>2585</v>
      </c>
      <c r="D1505" s="58" t="s">
        <v>2809</v>
      </c>
      <c r="E1505" s="59" t="s">
        <v>108</v>
      </c>
      <c r="F1505" s="59" t="s">
        <v>2349</v>
      </c>
      <c r="G1505" s="58" t="s">
        <v>2586</v>
      </c>
    </row>
    <row r="1506" spans="1:7">
      <c r="A1506" s="58" t="s">
        <v>2587</v>
      </c>
      <c r="B1506" s="58" t="s">
        <v>2554</v>
      </c>
      <c r="C1506" s="58" t="s">
        <v>2288</v>
      </c>
      <c r="D1506" s="58" t="s">
        <v>2809</v>
      </c>
      <c r="E1506" s="59" t="s">
        <v>2288</v>
      </c>
      <c r="F1506" s="59" t="s">
        <v>2349</v>
      </c>
      <c r="G1506" s="58" t="s">
        <v>2588</v>
      </c>
    </row>
    <row r="1507" spans="1:7" ht="17.25">
      <c r="A1507" s="76" t="s">
        <v>2811</v>
      </c>
      <c r="B1507" s="76"/>
      <c r="C1507" s="76"/>
      <c r="D1507" s="76"/>
      <c r="E1507" s="77"/>
      <c r="F1507" s="76"/>
      <c r="G1507" s="76"/>
    </row>
    <row r="1508" spans="1:7">
      <c r="A1508" s="57" t="s">
        <v>2546</v>
      </c>
      <c r="B1508" s="57" t="s">
        <v>2546</v>
      </c>
      <c r="C1508" s="57" t="s">
        <v>2135</v>
      </c>
      <c r="D1508" s="57" t="s">
        <v>2809</v>
      </c>
      <c r="E1508" s="75" t="s">
        <v>2136</v>
      </c>
      <c r="F1508" s="57" t="s">
        <v>1868</v>
      </c>
      <c r="G1508" s="57" t="s">
        <v>2547</v>
      </c>
    </row>
    <row r="1509" spans="1:7">
      <c r="A1509" s="58" t="s">
        <v>2590</v>
      </c>
      <c r="B1509" s="58" t="s">
        <v>2591</v>
      </c>
      <c r="C1509" s="58" t="s">
        <v>2592</v>
      </c>
      <c r="D1509" s="58" t="s">
        <v>2809</v>
      </c>
      <c r="E1509" s="59" t="s">
        <v>2288</v>
      </c>
      <c r="F1509" s="59" t="s">
        <v>2349</v>
      </c>
      <c r="G1509" s="58" t="s">
        <v>2593</v>
      </c>
    </row>
    <row r="1510" spans="1:7">
      <c r="A1510" s="58" t="s">
        <v>2594</v>
      </c>
      <c r="B1510" s="58" t="s">
        <v>2533</v>
      </c>
      <c r="C1510" s="58" t="s">
        <v>2288</v>
      </c>
      <c r="D1510" s="58" t="s">
        <v>2809</v>
      </c>
      <c r="E1510" s="59" t="s">
        <v>2288</v>
      </c>
      <c r="F1510" s="59" t="s">
        <v>2349</v>
      </c>
      <c r="G1510" s="58" t="s">
        <v>2595</v>
      </c>
    </row>
    <row r="1511" spans="1:7">
      <c r="A1511" s="58" t="s">
        <v>2596</v>
      </c>
      <c r="B1511" s="58" t="s">
        <v>2582</v>
      </c>
      <c r="C1511" s="58" t="s">
        <v>108</v>
      </c>
      <c r="D1511" s="58" t="s">
        <v>2809</v>
      </c>
      <c r="E1511" s="59" t="s">
        <v>108</v>
      </c>
      <c r="F1511" s="59" t="s">
        <v>2349</v>
      </c>
      <c r="G1511" s="58" t="s">
        <v>2120</v>
      </c>
    </row>
    <row r="1512" spans="1:7">
      <c r="A1512" s="58" t="s">
        <v>2597</v>
      </c>
      <c r="B1512" s="58" t="s">
        <v>2537</v>
      </c>
      <c r="C1512" s="58" t="s">
        <v>108</v>
      </c>
      <c r="D1512" s="58" t="s">
        <v>2809</v>
      </c>
      <c r="E1512" s="59" t="s">
        <v>108</v>
      </c>
      <c r="F1512" s="59" t="s">
        <v>2349</v>
      </c>
      <c r="G1512" s="58" t="s">
        <v>2598</v>
      </c>
    </row>
    <row r="1513" spans="1:7">
      <c r="A1513" s="58" t="s">
        <v>2599</v>
      </c>
      <c r="B1513" s="58" t="s">
        <v>2559</v>
      </c>
      <c r="C1513" s="58" t="s">
        <v>2288</v>
      </c>
      <c r="D1513" s="58" t="s">
        <v>2809</v>
      </c>
      <c r="E1513" s="59" t="s">
        <v>2288</v>
      </c>
      <c r="F1513" s="59" t="s">
        <v>2349</v>
      </c>
      <c r="G1513" s="58" t="s">
        <v>2600</v>
      </c>
    </row>
    <row r="1514" spans="1:7">
      <c r="A1514" s="58" t="s">
        <v>2601</v>
      </c>
      <c r="B1514" s="58" t="s">
        <v>2533</v>
      </c>
      <c r="C1514" s="58" t="s">
        <v>2288</v>
      </c>
      <c r="D1514" s="58" t="s">
        <v>2809</v>
      </c>
      <c r="E1514" s="59" t="s">
        <v>2288</v>
      </c>
      <c r="F1514" s="59" t="s">
        <v>2349</v>
      </c>
      <c r="G1514" s="58" t="s">
        <v>2602</v>
      </c>
    </row>
    <row r="1515" spans="1:7">
      <c r="A1515" s="58" t="s">
        <v>2603</v>
      </c>
      <c r="B1515" s="58" t="s">
        <v>2559</v>
      </c>
      <c r="C1515" s="58" t="s">
        <v>2604</v>
      </c>
      <c r="D1515" s="58" t="s">
        <v>2809</v>
      </c>
      <c r="E1515" s="59" t="s">
        <v>2193</v>
      </c>
      <c r="F1515" s="59" t="s">
        <v>2349</v>
      </c>
      <c r="G1515" s="58" t="s">
        <v>2606</v>
      </c>
    </row>
    <row r="1516" spans="1:7">
      <c r="A1516" s="58" t="s">
        <v>2607</v>
      </c>
      <c r="B1516" s="58" t="s">
        <v>2563</v>
      </c>
      <c r="C1516" s="58" t="s">
        <v>2608</v>
      </c>
      <c r="D1516" s="58" t="s">
        <v>2809</v>
      </c>
      <c r="E1516" s="59" t="s">
        <v>2288</v>
      </c>
      <c r="F1516" s="59" t="s">
        <v>2349</v>
      </c>
      <c r="G1516" s="58" t="s">
        <v>2609</v>
      </c>
    </row>
    <row r="1517" spans="1:7">
      <c r="A1517" s="58" t="s">
        <v>2610</v>
      </c>
      <c r="B1517" s="58" t="s">
        <v>2545</v>
      </c>
      <c r="C1517" s="58" t="s">
        <v>108</v>
      </c>
      <c r="D1517" s="58" t="s">
        <v>2809</v>
      </c>
      <c r="E1517" s="59" t="s">
        <v>108</v>
      </c>
      <c r="F1517" s="59" t="s">
        <v>2349</v>
      </c>
      <c r="G1517" s="58" t="s">
        <v>2120</v>
      </c>
    </row>
    <row r="1518" spans="1:7">
      <c r="A1518" s="58" t="s">
        <v>2611</v>
      </c>
      <c r="B1518" s="58" t="s">
        <v>2545</v>
      </c>
      <c r="C1518" s="58" t="s">
        <v>2288</v>
      </c>
      <c r="D1518" s="58" t="s">
        <v>2809</v>
      </c>
      <c r="E1518" s="59" t="s">
        <v>2288</v>
      </c>
      <c r="F1518" s="59" t="s">
        <v>2349</v>
      </c>
      <c r="G1518" s="58" t="s">
        <v>2612</v>
      </c>
    </row>
    <row r="1519" spans="1:7" ht="17.25">
      <c r="A1519" s="76" t="s">
        <v>2812</v>
      </c>
      <c r="B1519" s="76"/>
      <c r="C1519" s="76"/>
      <c r="D1519" s="76"/>
      <c r="E1519" s="77"/>
      <c r="F1519" s="76"/>
      <c r="G1519" s="76"/>
    </row>
    <row r="1520" spans="1:7">
      <c r="A1520" s="57" t="s">
        <v>2546</v>
      </c>
      <c r="B1520" s="57" t="s">
        <v>2546</v>
      </c>
      <c r="C1520" s="57" t="s">
        <v>2135</v>
      </c>
      <c r="D1520" s="57" t="s">
        <v>2809</v>
      </c>
      <c r="E1520" s="75" t="s">
        <v>2136</v>
      </c>
      <c r="F1520" s="57" t="s">
        <v>1868</v>
      </c>
      <c r="G1520" s="57" t="s">
        <v>2614</v>
      </c>
    </row>
    <row r="1521" spans="1:7">
      <c r="A1521" s="58" t="s">
        <v>2615</v>
      </c>
      <c r="B1521" s="58" t="s">
        <v>2537</v>
      </c>
      <c r="C1521" s="58" t="s">
        <v>2616</v>
      </c>
      <c r="D1521" s="58" t="s">
        <v>2809</v>
      </c>
      <c r="E1521" s="59" t="s">
        <v>2288</v>
      </c>
      <c r="F1521" s="59" t="s">
        <v>2349</v>
      </c>
      <c r="G1521" s="58" t="s">
        <v>2617</v>
      </c>
    </row>
    <row r="1522" spans="1:7">
      <c r="A1522" s="57" t="s">
        <v>2618</v>
      </c>
      <c r="B1522" s="57" t="s">
        <v>2619</v>
      </c>
      <c r="C1522" s="57" t="s">
        <v>2135</v>
      </c>
      <c r="D1522" s="57" t="s">
        <v>2809</v>
      </c>
      <c r="E1522" s="75" t="s">
        <v>2136</v>
      </c>
      <c r="F1522" s="57" t="s">
        <v>1868</v>
      </c>
      <c r="G1522" s="57" t="s">
        <v>2120</v>
      </c>
    </row>
    <row r="1523" spans="1:7">
      <c r="A1523" s="58" t="s">
        <v>2620</v>
      </c>
      <c r="B1523" s="58" t="s">
        <v>2554</v>
      </c>
      <c r="C1523" s="58" t="s">
        <v>2288</v>
      </c>
      <c r="D1523" s="58" t="s">
        <v>2809</v>
      </c>
      <c r="E1523" s="59" t="s">
        <v>2288</v>
      </c>
      <c r="F1523" s="59" t="s">
        <v>2349</v>
      </c>
      <c r="G1523" s="58" t="s">
        <v>2621</v>
      </c>
    </row>
    <row r="1524" spans="1:7">
      <c r="A1524" s="57" t="s">
        <v>2622</v>
      </c>
      <c r="B1524" s="57" t="s">
        <v>2582</v>
      </c>
      <c r="C1524" s="57" t="s">
        <v>2135</v>
      </c>
      <c r="D1524" s="57" t="s">
        <v>2809</v>
      </c>
      <c r="E1524" s="75" t="s">
        <v>2136</v>
      </c>
      <c r="F1524" s="57" t="s">
        <v>1868</v>
      </c>
      <c r="G1524" s="57" t="s">
        <v>2120</v>
      </c>
    </row>
    <row r="1525" spans="1:7">
      <c r="A1525" s="58" t="s">
        <v>2623</v>
      </c>
      <c r="B1525" s="58" t="s">
        <v>2533</v>
      </c>
      <c r="C1525" s="58" t="s">
        <v>2288</v>
      </c>
      <c r="D1525" s="58" t="s">
        <v>2809</v>
      </c>
      <c r="E1525" s="59" t="s">
        <v>2288</v>
      </c>
      <c r="F1525" s="59" t="s">
        <v>2349</v>
      </c>
      <c r="G1525" s="58" t="s">
        <v>2624</v>
      </c>
    </row>
    <row r="1526" spans="1:7">
      <c r="A1526" s="58" t="s">
        <v>2625</v>
      </c>
      <c r="B1526" s="58" t="s">
        <v>2533</v>
      </c>
      <c r="C1526" s="58" t="s">
        <v>2288</v>
      </c>
      <c r="D1526" s="58" t="s">
        <v>2809</v>
      </c>
      <c r="E1526" s="59" t="s">
        <v>2288</v>
      </c>
      <c r="F1526" s="59" t="s">
        <v>2349</v>
      </c>
      <c r="G1526" s="58" t="s">
        <v>2120</v>
      </c>
    </row>
    <row r="1527" spans="1:7">
      <c r="A1527" s="58" t="s">
        <v>2628</v>
      </c>
      <c r="B1527" s="58" t="s">
        <v>2533</v>
      </c>
      <c r="C1527" s="58" t="s">
        <v>2629</v>
      </c>
      <c r="D1527" s="58" t="s">
        <v>2809</v>
      </c>
      <c r="E1527" s="59" t="s">
        <v>2288</v>
      </c>
      <c r="F1527" s="59" t="s">
        <v>2349</v>
      </c>
      <c r="G1527" s="58" t="s">
        <v>2630</v>
      </c>
    </row>
    <row r="1528" spans="1:7">
      <c r="A1528" s="57" t="s">
        <v>2631</v>
      </c>
      <c r="B1528" s="57" t="s">
        <v>2537</v>
      </c>
      <c r="C1528" s="57" t="s">
        <v>2135</v>
      </c>
      <c r="D1528" s="57" t="s">
        <v>2809</v>
      </c>
      <c r="E1528" s="75" t="s">
        <v>2136</v>
      </c>
      <c r="F1528" s="57" t="s">
        <v>1868</v>
      </c>
      <c r="G1528" s="57" t="s">
        <v>2632</v>
      </c>
    </row>
    <row r="1529" spans="1:7">
      <c r="A1529" s="57" t="s">
        <v>2633</v>
      </c>
      <c r="B1529" s="57" t="s">
        <v>2571</v>
      </c>
      <c r="C1529" s="57" t="s">
        <v>2135</v>
      </c>
      <c r="D1529" s="57" t="s">
        <v>2809</v>
      </c>
      <c r="E1529" s="75" t="s">
        <v>2136</v>
      </c>
      <c r="F1529" s="57" t="s">
        <v>1868</v>
      </c>
      <c r="G1529" s="57" t="s">
        <v>2632</v>
      </c>
    </row>
    <row r="1530" spans="1:7">
      <c r="A1530" s="58" t="s">
        <v>2634</v>
      </c>
      <c r="B1530" s="58" t="s">
        <v>2563</v>
      </c>
      <c r="C1530" s="58" t="s">
        <v>2288</v>
      </c>
      <c r="D1530" s="58" t="s">
        <v>2809</v>
      </c>
      <c r="E1530" s="59" t="s">
        <v>2288</v>
      </c>
      <c r="F1530" s="59" t="s">
        <v>2349</v>
      </c>
      <c r="G1530" s="58" t="s">
        <v>2635</v>
      </c>
    </row>
    <row r="1531" spans="1:7">
      <c r="A1531" s="57" t="s">
        <v>2636</v>
      </c>
      <c r="B1531" s="57" t="s">
        <v>2582</v>
      </c>
      <c r="C1531" s="57" t="s">
        <v>2135</v>
      </c>
      <c r="D1531" s="57" t="s">
        <v>2809</v>
      </c>
      <c r="E1531" s="75" t="s">
        <v>2136</v>
      </c>
      <c r="F1531" s="57" t="s">
        <v>1868</v>
      </c>
      <c r="G1531" s="57" t="s">
        <v>2120</v>
      </c>
    </row>
    <row r="1532" spans="1:7" ht="17.25">
      <c r="A1532" s="76" t="s">
        <v>2813</v>
      </c>
      <c r="B1532" s="76"/>
      <c r="C1532" s="76"/>
      <c r="D1532" s="76"/>
      <c r="E1532" s="77"/>
      <c r="F1532" s="76"/>
      <c r="G1532" s="76"/>
    </row>
    <row r="1533" spans="1:7">
      <c r="A1533" s="57" t="s">
        <v>2546</v>
      </c>
      <c r="B1533" s="57" t="s">
        <v>2546</v>
      </c>
      <c r="C1533" s="57" t="s">
        <v>2135</v>
      </c>
      <c r="D1533" s="57" t="s">
        <v>2809</v>
      </c>
      <c r="E1533" s="75" t="s">
        <v>2136</v>
      </c>
      <c r="F1533" s="57" t="s">
        <v>1868</v>
      </c>
      <c r="G1533" s="57" t="s">
        <v>2580</v>
      </c>
    </row>
    <row r="1534" spans="1:7">
      <c r="A1534" s="58" t="s">
        <v>2643</v>
      </c>
      <c r="B1534" s="58" t="s">
        <v>2579</v>
      </c>
      <c r="C1534" s="58" t="s">
        <v>2288</v>
      </c>
      <c r="D1534" s="58" t="s">
        <v>2809</v>
      </c>
      <c r="E1534" s="59" t="s">
        <v>2288</v>
      </c>
      <c r="F1534" s="59" t="s">
        <v>2349</v>
      </c>
      <c r="G1534" s="58" t="s">
        <v>2644</v>
      </c>
    </row>
    <row r="1535" spans="1:7">
      <c r="A1535" s="58" t="s">
        <v>2645</v>
      </c>
      <c r="B1535" s="58" t="s">
        <v>2537</v>
      </c>
      <c r="C1535" s="58" t="s">
        <v>2288</v>
      </c>
      <c r="D1535" s="58" t="s">
        <v>2809</v>
      </c>
      <c r="E1535" s="59" t="s">
        <v>2288</v>
      </c>
      <c r="F1535" s="59" t="s">
        <v>2349</v>
      </c>
      <c r="G1535" s="58" t="s">
        <v>2646</v>
      </c>
    </row>
    <row r="1536" spans="1:7">
      <c r="A1536" s="57" t="s">
        <v>2647</v>
      </c>
      <c r="B1536" s="57" t="s">
        <v>2591</v>
      </c>
      <c r="C1536" s="57" t="s">
        <v>2135</v>
      </c>
      <c r="D1536" s="57" t="s">
        <v>2809</v>
      </c>
      <c r="E1536" s="75" t="s">
        <v>2136</v>
      </c>
      <c r="F1536" s="57" t="s">
        <v>1868</v>
      </c>
      <c r="G1536" s="57" t="s">
        <v>2120</v>
      </c>
    </row>
    <row r="1537" spans="1:7">
      <c r="A1537" s="58" t="s">
        <v>2648</v>
      </c>
      <c r="B1537" s="58" t="s">
        <v>2591</v>
      </c>
      <c r="C1537" s="58" t="s">
        <v>2288</v>
      </c>
      <c r="D1537" s="58" t="s">
        <v>2809</v>
      </c>
      <c r="E1537" s="59" t="s">
        <v>2288</v>
      </c>
      <c r="F1537" s="59" t="s">
        <v>2349</v>
      </c>
      <c r="G1537" s="58" t="s">
        <v>2649</v>
      </c>
    </row>
    <row r="1538" spans="1:7">
      <c r="A1538" s="58" t="s">
        <v>2650</v>
      </c>
      <c r="B1538" s="58" t="s">
        <v>2571</v>
      </c>
      <c r="C1538" s="58" t="s">
        <v>2651</v>
      </c>
      <c r="D1538" s="58" t="s">
        <v>2809</v>
      </c>
      <c r="E1538" s="59" t="s">
        <v>2288</v>
      </c>
      <c r="F1538" s="59" t="s">
        <v>2349</v>
      </c>
      <c r="G1538" s="58" t="s">
        <v>2652</v>
      </c>
    </row>
    <row r="1539" spans="1:7">
      <c r="A1539" s="58" t="s">
        <v>2653</v>
      </c>
      <c r="B1539" s="58" t="s">
        <v>2533</v>
      </c>
      <c r="C1539" s="58" t="s">
        <v>2288</v>
      </c>
      <c r="D1539" s="58" t="s">
        <v>2809</v>
      </c>
      <c r="E1539" s="59" t="s">
        <v>2288</v>
      </c>
      <c r="F1539" s="59" t="s">
        <v>2349</v>
      </c>
      <c r="G1539" s="58" t="s">
        <v>2654</v>
      </c>
    </row>
    <row r="1540" spans="1:7">
      <c r="A1540" s="58" t="s">
        <v>2655</v>
      </c>
      <c r="B1540" s="58" t="s">
        <v>2571</v>
      </c>
      <c r="C1540" s="58" t="s">
        <v>2288</v>
      </c>
      <c r="D1540" s="58" t="s">
        <v>2809</v>
      </c>
      <c r="E1540" s="59" t="s">
        <v>2288</v>
      </c>
      <c r="F1540" s="59" t="s">
        <v>2349</v>
      </c>
      <c r="G1540" s="58" t="s">
        <v>2656</v>
      </c>
    </row>
    <row r="1541" spans="1:7">
      <c r="A1541" s="58" t="s">
        <v>2657</v>
      </c>
      <c r="B1541" s="58" t="s">
        <v>2533</v>
      </c>
      <c r="C1541" s="58" t="s">
        <v>2288</v>
      </c>
      <c r="D1541" s="58" t="s">
        <v>2809</v>
      </c>
      <c r="E1541" s="59" t="s">
        <v>2288</v>
      </c>
      <c r="F1541" s="59" t="s">
        <v>2349</v>
      </c>
      <c r="G1541" s="58" t="s">
        <v>2658</v>
      </c>
    </row>
    <row r="1542" spans="1:7">
      <c r="A1542" s="58" t="s">
        <v>2659</v>
      </c>
      <c r="B1542" s="58" t="s">
        <v>2559</v>
      </c>
      <c r="C1542" s="58" t="s">
        <v>2288</v>
      </c>
      <c r="D1542" s="58" t="s">
        <v>2809</v>
      </c>
      <c r="E1542" s="59" t="s">
        <v>2288</v>
      </c>
      <c r="F1542" s="59" t="s">
        <v>2349</v>
      </c>
      <c r="G1542" s="58" t="s">
        <v>2660</v>
      </c>
    </row>
    <row r="1543" spans="1:7">
      <c r="A1543" s="57" t="s">
        <v>2661</v>
      </c>
      <c r="B1543" s="57" t="s">
        <v>2559</v>
      </c>
      <c r="C1543" s="57" t="s">
        <v>2135</v>
      </c>
      <c r="D1543" s="57" t="s">
        <v>2809</v>
      </c>
      <c r="E1543" s="75" t="s">
        <v>2136</v>
      </c>
      <c r="F1543" s="57" t="s">
        <v>1868</v>
      </c>
      <c r="G1543" s="57" t="s">
        <v>2662</v>
      </c>
    </row>
    <row r="1544" spans="1:7">
      <c r="A1544" s="58" t="s">
        <v>2663</v>
      </c>
      <c r="B1544" s="58" t="s">
        <v>2559</v>
      </c>
      <c r="C1544" s="58" t="s">
        <v>2288</v>
      </c>
      <c r="D1544" s="58" t="s">
        <v>2809</v>
      </c>
      <c r="E1544" s="59" t="s">
        <v>2288</v>
      </c>
      <c r="F1544" s="59" t="s">
        <v>2349</v>
      </c>
      <c r="G1544" s="58" t="s">
        <v>2664</v>
      </c>
    </row>
    <row r="1545" spans="1:7">
      <c r="A1545" s="58" t="s">
        <v>2665</v>
      </c>
      <c r="B1545" s="58" t="s">
        <v>2563</v>
      </c>
      <c r="C1545" s="58" t="s">
        <v>2288</v>
      </c>
      <c r="D1545" s="58" t="s">
        <v>2809</v>
      </c>
      <c r="E1545" s="59" t="s">
        <v>2288</v>
      </c>
      <c r="F1545" s="59" t="s">
        <v>2349</v>
      </c>
      <c r="G1545" s="58" t="s">
        <v>2666</v>
      </c>
    </row>
    <row r="1546" spans="1:7">
      <c r="A1546" s="58" t="s">
        <v>2667</v>
      </c>
      <c r="B1546" s="58" t="s">
        <v>2571</v>
      </c>
      <c r="C1546" s="58" t="s">
        <v>2668</v>
      </c>
      <c r="D1546" s="58" t="s">
        <v>2809</v>
      </c>
      <c r="E1546" s="59" t="s">
        <v>2669</v>
      </c>
      <c r="F1546" s="59" t="s">
        <v>2349</v>
      </c>
      <c r="G1546" s="58" t="s">
        <v>2670</v>
      </c>
    </row>
    <row r="1547" spans="1:7">
      <c r="A1547" s="58" t="s">
        <v>2671</v>
      </c>
      <c r="B1547" s="58" t="s">
        <v>2591</v>
      </c>
      <c r="C1547" s="58" t="s">
        <v>2288</v>
      </c>
      <c r="D1547" s="58" t="s">
        <v>2809</v>
      </c>
      <c r="E1547" s="59" t="s">
        <v>2288</v>
      </c>
      <c r="F1547" s="59" t="s">
        <v>2349</v>
      </c>
      <c r="G1547" s="58" t="s">
        <v>2672</v>
      </c>
    </row>
    <row r="1548" spans="1:7" ht="17.25">
      <c r="A1548" s="76" t="s">
        <v>2814</v>
      </c>
      <c r="B1548" s="76"/>
      <c r="C1548" s="76"/>
      <c r="D1548" s="76"/>
      <c r="E1548" s="77"/>
      <c r="F1548" s="76"/>
      <c r="G1548" s="76"/>
    </row>
    <row r="1549" spans="1:7">
      <c r="A1549" s="57" t="s">
        <v>2546</v>
      </c>
      <c r="B1549" s="57" t="s">
        <v>2546</v>
      </c>
      <c r="C1549" s="57" t="s">
        <v>2135</v>
      </c>
      <c r="D1549" s="57" t="s">
        <v>2809</v>
      </c>
      <c r="E1549" s="75" t="s">
        <v>2136</v>
      </c>
      <c r="F1549" s="57" t="s">
        <v>1868</v>
      </c>
      <c r="G1549" s="57" t="s">
        <v>2580</v>
      </c>
    </row>
    <row r="1550" spans="1:7">
      <c r="A1550" s="58" t="s">
        <v>2677</v>
      </c>
      <c r="B1550" s="58" t="s">
        <v>2533</v>
      </c>
      <c r="C1550" s="58" t="s">
        <v>2288</v>
      </c>
      <c r="D1550" s="58" t="s">
        <v>2809</v>
      </c>
      <c r="E1550" s="59" t="s">
        <v>2288</v>
      </c>
      <c r="F1550" s="59" t="s">
        <v>2349</v>
      </c>
      <c r="G1550" s="58" t="s">
        <v>2678</v>
      </c>
    </row>
    <row r="1551" spans="1:7">
      <c r="A1551" s="58" t="s">
        <v>2679</v>
      </c>
      <c r="B1551" s="58" t="s">
        <v>2537</v>
      </c>
      <c r="C1551" s="58" t="s">
        <v>2288</v>
      </c>
      <c r="D1551" s="58" t="s">
        <v>2809</v>
      </c>
      <c r="E1551" s="59" t="s">
        <v>2288</v>
      </c>
      <c r="F1551" s="59" t="s">
        <v>2349</v>
      </c>
      <c r="G1551" s="58" t="s">
        <v>2680</v>
      </c>
    </row>
    <row r="1552" spans="1:7">
      <c r="A1552" s="58" t="s">
        <v>2681</v>
      </c>
      <c r="B1552" s="58" t="s">
        <v>2563</v>
      </c>
      <c r="C1552" s="58" t="s">
        <v>108</v>
      </c>
      <c r="D1552" s="58" t="s">
        <v>2809</v>
      </c>
      <c r="E1552" s="59" t="s">
        <v>108</v>
      </c>
      <c r="F1552" s="59" t="s">
        <v>2349</v>
      </c>
      <c r="G1552" s="58" t="s">
        <v>2682</v>
      </c>
    </row>
    <row r="1553" spans="1:7">
      <c r="A1553" s="57" t="s">
        <v>2683</v>
      </c>
      <c r="B1553" s="57" t="s">
        <v>2537</v>
      </c>
      <c r="C1553" s="57" t="s">
        <v>2684</v>
      </c>
      <c r="D1553" s="57" t="s">
        <v>2809</v>
      </c>
      <c r="E1553" s="75" t="s">
        <v>2786</v>
      </c>
      <c r="F1553" s="57" t="s">
        <v>1868</v>
      </c>
      <c r="G1553" s="57" t="s">
        <v>2686</v>
      </c>
    </row>
    <row r="1554" spans="1:7">
      <c r="A1554" s="58" t="s">
        <v>2687</v>
      </c>
      <c r="B1554" s="58" t="s">
        <v>2554</v>
      </c>
      <c r="C1554" s="58" t="s">
        <v>2288</v>
      </c>
      <c r="D1554" s="58" t="s">
        <v>2809</v>
      </c>
      <c r="E1554" s="59" t="s">
        <v>2288</v>
      </c>
      <c r="F1554" s="59" t="s">
        <v>2349</v>
      </c>
      <c r="G1554" s="58" t="s">
        <v>2688</v>
      </c>
    </row>
    <row r="1555" spans="1:7">
      <c r="A1555" s="58" t="s">
        <v>2689</v>
      </c>
      <c r="B1555" s="58" t="s">
        <v>2554</v>
      </c>
      <c r="C1555" s="58" t="s">
        <v>2288</v>
      </c>
      <c r="D1555" s="58" t="s">
        <v>2809</v>
      </c>
      <c r="E1555" s="59" t="s">
        <v>2288</v>
      </c>
      <c r="F1555" s="59" t="s">
        <v>2349</v>
      </c>
      <c r="G1555" s="58" t="s">
        <v>2690</v>
      </c>
    </row>
    <row r="1556" spans="1:7">
      <c r="A1556" s="57" t="s">
        <v>2691</v>
      </c>
      <c r="B1556" s="57" t="s">
        <v>2533</v>
      </c>
      <c r="C1556" s="57" t="s">
        <v>2135</v>
      </c>
      <c r="D1556" s="57" t="s">
        <v>2809</v>
      </c>
      <c r="E1556" s="75" t="s">
        <v>2136</v>
      </c>
      <c r="F1556" s="57" t="s">
        <v>1868</v>
      </c>
      <c r="G1556" s="57" t="s">
        <v>2692</v>
      </c>
    </row>
    <row r="1557" spans="1:7">
      <c r="A1557" s="58" t="s">
        <v>2693</v>
      </c>
      <c r="B1557" s="58" t="s">
        <v>2533</v>
      </c>
      <c r="C1557" s="58" t="s">
        <v>2288</v>
      </c>
      <c r="D1557" s="58" t="s">
        <v>2809</v>
      </c>
      <c r="E1557" s="59" t="s">
        <v>2288</v>
      </c>
      <c r="F1557" s="59" t="s">
        <v>2349</v>
      </c>
      <c r="G1557" s="58" t="s">
        <v>2694</v>
      </c>
    </row>
    <row r="1558" spans="1:7">
      <c r="A1558" s="58" t="s">
        <v>2695</v>
      </c>
      <c r="B1558" s="58" t="s">
        <v>2591</v>
      </c>
      <c r="C1558" s="58" t="s">
        <v>2288</v>
      </c>
      <c r="D1558" s="58" t="s">
        <v>2809</v>
      </c>
      <c r="E1558" s="59" t="s">
        <v>2288</v>
      </c>
      <c r="F1558" s="59" t="s">
        <v>2349</v>
      </c>
      <c r="G1558" s="58" t="s">
        <v>2696</v>
      </c>
    </row>
    <row r="1559" spans="1:7">
      <c r="A1559" s="58" t="s">
        <v>2697</v>
      </c>
      <c r="B1559" s="58" t="s">
        <v>2582</v>
      </c>
      <c r="C1559" s="58" t="s">
        <v>2367</v>
      </c>
      <c r="D1559" s="58" t="s">
        <v>2809</v>
      </c>
      <c r="E1559" s="59" t="s">
        <v>2193</v>
      </c>
      <c r="F1559" s="59" t="s">
        <v>2349</v>
      </c>
      <c r="G1559" s="58" t="s">
        <v>2698</v>
      </c>
    </row>
    <row r="1560" spans="1:7">
      <c r="A1560" s="58" t="s">
        <v>2699</v>
      </c>
      <c r="B1560" s="58" t="s">
        <v>2571</v>
      </c>
      <c r="C1560" s="58" t="s">
        <v>2288</v>
      </c>
      <c r="D1560" s="58" t="s">
        <v>2809</v>
      </c>
      <c r="E1560" s="59" t="s">
        <v>2288</v>
      </c>
      <c r="F1560" s="59" t="s">
        <v>2349</v>
      </c>
      <c r="G1560" s="58" t="s">
        <v>2700</v>
      </c>
    </row>
    <row r="1561" spans="1:7">
      <c r="A1561" s="58" t="s">
        <v>2701</v>
      </c>
      <c r="B1561" s="58" t="s">
        <v>2559</v>
      </c>
      <c r="C1561" s="58" t="s">
        <v>2193</v>
      </c>
      <c r="D1561" s="58" t="s">
        <v>2809</v>
      </c>
      <c r="E1561" s="59" t="s">
        <v>2193</v>
      </c>
      <c r="F1561" s="59" t="s">
        <v>2349</v>
      </c>
      <c r="G1561" s="58" t="s">
        <v>2702</v>
      </c>
    </row>
    <row r="1562" spans="1:7">
      <c r="A1562" s="58" t="s">
        <v>2703</v>
      </c>
      <c r="B1562" s="58" t="s">
        <v>2554</v>
      </c>
      <c r="C1562" s="58" t="s">
        <v>2193</v>
      </c>
      <c r="D1562" s="58" t="s">
        <v>2809</v>
      </c>
      <c r="E1562" s="59" t="s">
        <v>2193</v>
      </c>
      <c r="F1562" s="59" t="s">
        <v>2349</v>
      </c>
      <c r="G1562" s="58" t="s">
        <v>2704</v>
      </c>
    </row>
    <row r="1563" spans="1:7">
      <c r="A1563" s="58" t="s">
        <v>2706</v>
      </c>
      <c r="B1563" s="58" t="s">
        <v>2591</v>
      </c>
      <c r="C1563" s="58" t="s">
        <v>108</v>
      </c>
      <c r="D1563" s="58" t="s">
        <v>2809</v>
      </c>
      <c r="E1563" s="59" t="s">
        <v>108</v>
      </c>
      <c r="F1563" s="59" t="s">
        <v>2349</v>
      </c>
      <c r="G1563" s="58" t="s">
        <v>2707</v>
      </c>
    </row>
    <row r="1564" spans="1:7" ht="17.25">
      <c r="A1564" s="76" t="s">
        <v>2815</v>
      </c>
      <c r="B1564" s="76"/>
      <c r="C1564" s="76"/>
      <c r="D1564" s="76"/>
      <c r="E1564" s="77"/>
      <c r="F1564" s="76"/>
      <c r="G1564" s="76"/>
    </row>
    <row r="1565" spans="1:7">
      <c r="A1565" s="57" t="s">
        <v>2546</v>
      </c>
      <c r="B1565" s="57" t="s">
        <v>2546</v>
      </c>
      <c r="C1565" s="57" t="s">
        <v>2135</v>
      </c>
      <c r="D1565" s="57" t="s">
        <v>2809</v>
      </c>
      <c r="E1565" s="75" t="s">
        <v>2136</v>
      </c>
      <c r="F1565" s="57" t="s">
        <v>1868</v>
      </c>
      <c r="G1565" s="57" t="s">
        <v>2580</v>
      </c>
    </row>
    <row r="1566" spans="1:7">
      <c r="A1566" s="58" t="s">
        <v>2709</v>
      </c>
      <c r="B1566" s="58" t="s">
        <v>2582</v>
      </c>
      <c r="C1566" s="58" t="s">
        <v>2710</v>
      </c>
      <c r="D1566" s="58" t="s">
        <v>2809</v>
      </c>
      <c r="E1566" s="59" t="s">
        <v>2669</v>
      </c>
      <c r="F1566" s="59" t="s">
        <v>2349</v>
      </c>
      <c r="G1566" s="58" t="s">
        <v>2120</v>
      </c>
    </row>
    <row r="1567" spans="1:7">
      <c r="A1567" s="58" t="s">
        <v>2711</v>
      </c>
      <c r="B1567" s="58" t="s">
        <v>2579</v>
      </c>
      <c r="C1567" s="58" t="s">
        <v>2288</v>
      </c>
      <c r="D1567" s="58" t="s">
        <v>2809</v>
      </c>
      <c r="E1567" s="59" t="s">
        <v>2288</v>
      </c>
      <c r="F1567" s="59" t="s">
        <v>2349</v>
      </c>
      <c r="G1567" s="58" t="s">
        <v>2712</v>
      </c>
    </row>
    <row r="1568" spans="1:7">
      <c r="A1568" s="58" t="s">
        <v>2713</v>
      </c>
      <c r="B1568" s="58" t="s">
        <v>2591</v>
      </c>
      <c r="C1568" s="58" t="s">
        <v>2288</v>
      </c>
      <c r="D1568" s="58" t="s">
        <v>2809</v>
      </c>
      <c r="E1568" s="59" t="s">
        <v>2288</v>
      </c>
      <c r="F1568" s="59" t="s">
        <v>2349</v>
      </c>
      <c r="G1568" s="58" t="s">
        <v>2714</v>
      </c>
    </row>
    <row r="1569" spans="1:7">
      <c r="A1569" s="58" t="s">
        <v>2715</v>
      </c>
      <c r="B1569" s="58" t="s">
        <v>2571</v>
      </c>
      <c r="C1569" s="58" t="s">
        <v>2288</v>
      </c>
      <c r="D1569" s="58" t="s">
        <v>2809</v>
      </c>
      <c r="E1569" s="59" t="s">
        <v>2288</v>
      </c>
      <c r="F1569" s="59" t="s">
        <v>2349</v>
      </c>
      <c r="G1569" s="58" t="s">
        <v>2716</v>
      </c>
    </row>
    <row r="1570" spans="1:7">
      <c r="A1570" s="58" t="s">
        <v>2792</v>
      </c>
      <c r="B1570" s="58" t="s">
        <v>2582</v>
      </c>
      <c r="C1570" s="58" t="s">
        <v>2793</v>
      </c>
      <c r="D1570" s="58" t="s">
        <v>2809</v>
      </c>
      <c r="E1570" s="59" t="s">
        <v>227</v>
      </c>
      <c r="F1570" s="59" t="s">
        <v>2349</v>
      </c>
      <c r="G1570" s="58" t="s">
        <v>2120</v>
      </c>
    </row>
    <row r="1571" spans="1:7">
      <c r="A1571" s="58" t="s">
        <v>2717</v>
      </c>
      <c r="B1571" s="58" t="s">
        <v>2559</v>
      </c>
      <c r="C1571" s="58" t="s">
        <v>2288</v>
      </c>
      <c r="D1571" s="58" t="s">
        <v>2809</v>
      </c>
      <c r="E1571" s="59" t="s">
        <v>2288</v>
      </c>
      <c r="F1571" s="59" t="s">
        <v>2349</v>
      </c>
      <c r="G1571" s="58" t="s">
        <v>2718</v>
      </c>
    </row>
    <row r="1572" spans="1:7">
      <c r="A1572" s="58" t="s">
        <v>2719</v>
      </c>
      <c r="B1572" s="58" t="s">
        <v>2559</v>
      </c>
      <c r="C1572" s="58" t="s">
        <v>108</v>
      </c>
      <c r="D1572" s="58" t="s">
        <v>2809</v>
      </c>
      <c r="E1572" s="59" t="s">
        <v>108</v>
      </c>
      <c r="F1572" s="59" t="s">
        <v>2349</v>
      </c>
      <c r="G1572" s="58" t="s">
        <v>2720</v>
      </c>
    </row>
    <row r="1573" spans="1:7">
      <c r="A1573" s="58" t="s">
        <v>2721</v>
      </c>
      <c r="B1573" s="58" t="s">
        <v>2591</v>
      </c>
      <c r="C1573" s="58" t="s">
        <v>2288</v>
      </c>
      <c r="D1573" s="58" t="s">
        <v>2809</v>
      </c>
      <c r="E1573" s="59" t="s">
        <v>2288</v>
      </c>
      <c r="F1573" s="59" t="s">
        <v>2349</v>
      </c>
      <c r="G1573" s="58" t="s">
        <v>2716</v>
      </c>
    </row>
    <row r="1574" spans="1:7">
      <c r="A1574" s="58" t="s">
        <v>2725</v>
      </c>
      <c r="B1574" s="58" t="s">
        <v>2582</v>
      </c>
      <c r="C1574" s="58" t="s">
        <v>2193</v>
      </c>
      <c r="D1574" s="58" t="s">
        <v>2809</v>
      </c>
      <c r="E1574" s="59" t="s">
        <v>2193</v>
      </c>
      <c r="F1574" s="59" t="s">
        <v>2349</v>
      </c>
      <c r="G1574" s="58" t="s">
        <v>2120</v>
      </c>
    </row>
    <row r="1575" spans="1:7">
      <c r="A1575" s="58" t="s">
        <v>2726</v>
      </c>
      <c r="B1575" s="58" t="s">
        <v>2591</v>
      </c>
      <c r="C1575" s="58" t="s">
        <v>108</v>
      </c>
      <c r="D1575" s="58" t="s">
        <v>2809</v>
      </c>
      <c r="E1575" s="59" t="s">
        <v>108</v>
      </c>
      <c r="F1575" s="59" t="s">
        <v>2349</v>
      </c>
      <c r="G1575" s="58" t="s">
        <v>2727</v>
      </c>
    </row>
    <row r="1576" spans="1:7">
      <c r="A1576" s="58" t="s">
        <v>2728</v>
      </c>
      <c r="B1576" s="58" t="s">
        <v>2545</v>
      </c>
      <c r="C1576" s="58" t="s">
        <v>2288</v>
      </c>
      <c r="D1576" s="58" t="s">
        <v>2809</v>
      </c>
      <c r="E1576" s="59" t="s">
        <v>2288</v>
      </c>
      <c r="F1576" s="59" t="s">
        <v>2349</v>
      </c>
      <c r="G1576" s="58" t="s">
        <v>2729</v>
      </c>
    </row>
    <row r="1577" spans="1:7">
      <c r="A1577" s="58" t="s">
        <v>2730</v>
      </c>
      <c r="B1577" s="58" t="s">
        <v>2545</v>
      </c>
      <c r="C1577" s="58" t="s">
        <v>2731</v>
      </c>
      <c r="D1577" s="58" t="s">
        <v>2809</v>
      </c>
      <c r="E1577" s="59" t="s">
        <v>108</v>
      </c>
      <c r="F1577" s="59" t="s">
        <v>2349</v>
      </c>
      <c r="G1577" s="58" t="s">
        <v>2732</v>
      </c>
    </row>
    <row r="1578" spans="1:7">
      <c r="A1578" s="58" t="s">
        <v>2733</v>
      </c>
      <c r="B1578" s="58" t="s">
        <v>2591</v>
      </c>
      <c r="C1578" s="58" t="s">
        <v>2288</v>
      </c>
      <c r="D1578" s="58" t="s">
        <v>2809</v>
      </c>
      <c r="E1578" s="59" t="s">
        <v>2288</v>
      </c>
      <c r="F1578" s="59" t="s">
        <v>2349</v>
      </c>
      <c r="G1578" s="58" t="s">
        <v>2734</v>
      </c>
    </row>
    <row r="1579" spans="1:7" ht="17.25">
      <c r="A1579" s="76" t="s">
        <v>2816</v>
      </c>
      <c r="B1579" s="76"/>
      <c r="C1579" s="76"/>
      <c r="D1579" s="76"/>
      <c r="E1579" s="77"/>
      <c r="F1579" s="76"/>
      <c r="G1579" s="76"/>
    </row>
    <row r="1580" spans="1:7">
      <c r="A1580" s="57" t="s">
        <v>2546</v>
      </c>
      <c r="B1580" s="57" t="s">
        <v>2546</v>
      </c>
      <c r="C1580" s="57" t="s">
        <v>2135</v>
      </c>
      <c r="D1580" s="57" t="s">
        <v>2809</v>
      </c>
      <c r="E1580" s="75" t="s">
        <v>2136</v>
      </c>
      <c r="F1580" s="57" t="s">
        <v>1868</v>
      </c>
      <c r="G1580" s="57" t="s">
        <v>2580</v>
      </c>
    </row>
    <row r="1581" spans="1:7">
      <c r="A1581" s="57" t="s">
        <v>2736</v>
      </c>
      <c r="B1581" s="57" t="s">
        <v>2579</v>
      </c>
      <c r="C1581" s="57" t="s">
        <v>2737</v>
      </c>
      <c r="D1581" s="57" t="s">
        <v>2809</v>
      </c>
      <c r="E1581" s="75" t="s">
        <v>2288</v>
      </c>
      <c r="F1581" s="57" t="s">
        <v>1868</v>
      </c>
      <c r="G1581" s="57" t="s">
        <v>2739</v>
      </c>
    </row>
    <row r="1582" spans="1:7">
      <c r="A1582" s="58" t="s">
        <v>2740</v>
      </c>
      <c r="B1582" s="58" t="s">
        <v>2559</v>
      </c>
      <c r="C1582" s="58" t="s">
        <v>2741</v>
      </c>
      <c r="D1582" s="58" t="s">
        <v>2809</v>
      </c>
      <c r="E1582" s="59" t="s">
        <v>108</v>
      </c>
      <c r="F1582" s="59" t="s">
        <v>2349</v>
      </c>
      <c r="G1582" s="58" t="s">
        <v>2742</v>
      </c>
    </row>
    <row r="1583" spans="1:7">
      <c r="A1583" s="58" t="s">
        <v>2743</v>
      </c>
      <c r="B1583" s="58" t="s">
        <v>2571</v>
      </c>
      <c r="C1583" s="58" t="s">
        <v>2744</v>
      </c>
      <c r="D1583" s="58" t="s">
        <v>2809</v>
      </c>
      <c r="E1583" s="59" t="s">
        <v>2288</v>
      </c>
      <c r="F1583" s="59" t="s">
        <v>2349</v>
      </c>
      <c r="G1583" s="58" t="s">
        <v>2745</v>
      </c>
    </row>
    <row r="1584" spans="1:7">
      <c r="A1584" s="58" t="s">
        <v>2746</v>
      </c>
      <c r="B1584" s="58" t="s">
        <v>2571</v>
      </c>
      <c r="C1584" s="58" t="s">
        <v>2744</v>
      </c>
      <c r="D1584" s="58" t="s">
        <v>2809</v>
      </c>
      <c r="E1584" s="59" t="s">
        <v>2288</v>
      </c>
      <c r="F1584" s="59" t="s">
        <v>2349</v>
      </c>
      <c r="G1584" s="58" t="s">
        <v>2745</v>
      </c>
    </row>
    <row r="1585" spans="1:7">
      <c r="A1585" s="58" t="s">
        <v>2747</v>
      </c>
      <c r="B1585" s="58" t="s">
        <v>2533</v>
      </c>
      <c r="C1585" s="58" t="s">
        <v>2288</v>
      </c>
      <c r="D1585" s="58" t="s">
        <v>2809</v>
      </c>
      <c r="E1585" s="59" t="s">
        <v>2288</v>
      </c>
      <c r="F1585" s="59" t="s">
        <v>2349</v>
      </c>
      <c r="G1585" s="58" t="s">
        <v>2748</v>
      </c>
    </row>
    <row r="1586" spans="1:7">
      <c r="A1586" s="58" t="s">
        <v>2749</v>
      </c>
      <c r="B1586" s="58" t="s">
        <v>2579</v>
      </c>
      <c r="C1586" s="58" t="s">
        <v>2288</v>
      </c>
      <c r="D1586" s="58" t="s">
        <v>2809</v>
      </c>
      <c r="E1586" s="59" t="s">
        <v>2288</v>
      </c>
      <c r="F1586" s="59" t="s">
        <v>2349</v>
      </c>
      <c r="G1586" s="58" t="s">
        <v>2750</v>
      </c>
    </row>
    <row r="1587" spans="1:7">
      <c r="A1587" s="58" t="s">
        <v>2751</v>
      </c>
      <c r="B1587" s="58" t="s">
        <v>2571</v>
      </c>
      <c r="C1587" s="58" t="s">
        <v>2288</v>
      </c>
      <c r="D1587" s="58" t="s">
        <v>2809</v>
      </c>
      <c r="E1587" s="59" t="s">
        <v>2288</v>
      </c>
      <c r="F1587" s="59" t="s">
        <v>2349</v>
      </c>
      <c r="G1587" s="58" t="s">
        <v>2752</v>
      </c>
    </row>
    <row r="1588" spans="1:7">
      <c r="A1588" s="58" t="s">
        <v>2753</v>
      </c>
      <c r="B1588" s="58" t="s">
        <v>2537</v>
      </c>
      <c r="C1588" s="58" t="s">
        <v>2288</v>
      </c>
      <c r="D1588" s="58" t="s">
        <v>2809</v>
      </c>
      <c r="E1588" s="59" t="s">
        <v>2288</v>
      </c>
      <c r="F1588" s="59" t="s">
        <v>2349</v>
      </c>
      <c r="G1588" s="58" t="s">
        <v>2754</v>
      </c>
    </row>
    <row r="1589" spans="1:7">
      <c r="A1589" s="58" t="s">
        <v>2755</v>
      </c>
      <c r="B1589" s="58" t="s">
        <v>2579</v>
      </c>
      <c r="C1589" s="58" t="s">
        <v>2288</v>
      </c>
      <c r="D1589" s="58" t="s">
        <v>2809</v>
      </c>
      <c r="E1589" s="59" t="s">
        <v>2288</v>
      </c>
      <c r="F1589" s="59" t="s">
        <v>2349</v>
      </c>
      <c r="G1589" s="58" t="s">
        <v>2756</v>
      </c>
    </row>
    <row r="1590" spans="1:7">
      <c r="A1590" s="58" t="s">
        <v>2757</v>
      </c>
      <c r="B1590" s="58" t="s">
        <v>2619</v>
      </c>
      <c r="C1590" s="58" t="s">
        <v>2288</v>
      </c>
      <c r="D1590" s="58" t="s">
        <v>2809</v>
      </c>
      <c r="E1590" s="59" t="s">
        <v>2288</v>
      </c>
      <c r="F1590" s="59" t="s">
        <v>2349</v>
      </c>
      <c r="G1590" s="58" t="s">
        <v>2758</v>
      </c>
    </row>
    <row r="1591" spans="1:7">
      <c r="A1591" s="58" t="s">
        <v>2759</v>
      </c>
      <c r="B1591" s="58" t="s">
        <v>2537</v>
      </c>
      <c r="C1591" s="58" t="s">
        <v>2288</v>
      </c>
      <c r="D1591" s="58" t="s">
        <v>2809</v>
      </c>
      <c r="E1591" s="59" t="s">
        <v>2288</v>
      </c>
      <c r="F1591" s="59" t="s">
        <v>2349</v>
      </c>
      <c r="G1591" s="58" t="s">
        <v>2760</v>
      </c>
    </row>
    <row r="1592" spans="1:7">
      <c r="A1592" s="58" t="s">
        <v>2761</v>
      </c>
      <c r="B1592" s="58" t="s">
        <v>2582</v>
      </c>
      <c r="C1592" s="58" t="s">
        <v>2762</v>
      </c>
      <c r="D1592" s="58" t="s">
        <v>2809</v>
      </c>
      <c r="E1592" s="59" t="s">
        <v>108</v>
      </c>
      <c r="F1592" s="59" t="s">
        <v>2349</v>
      </c>
      <c r="G1592" s="58" t="s">
        <v>2763</v>
      </c>
    </row>
    <row r="1593" spans="1:7">
      <c r="A1593" s="58" t="s">
        <v>2765</v>
      </c>
      <c r="B1593" s="58" t="s">
        <v>2563</v>
      </c>
      <c r="C1593" s="58" t="s">
        <v>2288</v>
      </c>
      <c r="D1593" s="58" t="s">
        <v>2809</v>
      </c>
      <c r="E1593" s="59" t="s">
        <v>2288</v>
      </c>
      <c r="F1593" s="59" t="s">
        <v>2349</v>
      </c>
      <c r="G1593" s="58" t="s">
        <v>2712</v>
      </c>
    </row>
    <row r="1594" spans="1:7" ht="17.25">
      <c r="A1594" s="76" t="s">
        <v>2817</v>
      </c>
      <c r="B1594" s="76"/>
      <c r="C1594" s="76"/>
      <c r="D1594" s="76"/>
      <c r="E1594" s="77"/>
      <c r="F1594" s="76"/>
      <c r="G1594" s="76"/>
    </row>
    <row r="1595" spans="1:7">
      <c r="A1595" s="58" t="s">
        <v>2114</v>
      </c>
      <c r="B1595" s="58" t="s">
        <v>2115</v>
      </c>
      <c r="C1595" s="58" t="s">
        <v>1559</v>
      </c>
      <c r="D1595" s="58" t="s">
        <v>2809</v>
      </c>
      <c r="E1595" s="59" t="s">
        <v>108</v>
      </c>
      <c r="F1595" s="59" t="s">
        <v>2349</v>
      </c>
      <c r="G1595" s="58" t="s">
        <v>2117</v>
      </c>
    </row>
    <row r="1596" spans="1:7">
      <c r="A1596" s="58" t="s">
        <v>2118</v>
      </c>
      <c r="B1596" s="58"/>
      <c r="C1596" s="58" t="s">
        <v>2119</v>
      </c>
      <c r="D1596" s="58" t="s">
        <v>2809</v>
      </c>
      <c r="E1596" s="59" t="s">
        <v>108</v>
      </c>
      <c r="F1596" s="59" t="s">
        <v>2349</v>
      </c>
      <c r="G1596" s="58" t="s">
        <v>2120</v>
      </c>
    </row>
    <row r="1597" spans="1:7">
      <c r="A1597" s="58" t="s">
        <v>2121</v>
      </c>
      <c r="B1597" s="58" t="s">
        <v>2122</v>
      </c>
      <c r="C1597" s="58" t="s">
        <v>108</v>
      </c>
      <c r="D1597" s="58" t="s">
        <v>2809</v>
      </c>
      <c r="E1597" s="59" t="s">
        <v>108</v>
      </c>
      <c r="F1597" s="59" t="s">
        <v>2349</v>
      </c>
      <c r="G1597" s="58" t="s">
        <v>2120</v>
      </c>
    </row>
    <row r="1598" spans="1:7">
      <c r="A1598" s="58" t="s">
        <v>2123</v>
      </c>
      <c r="B1598" s="58" t="s">
        <v>2124</v>
      </c>
      <c r="C1598" s="58" t="s">
        <v>108</v>
      </c>
      <c r="D1598" s="58" t="s">
        <v>2809</v>
      </c>
      <c r="E1598" s="59" t="s">
        <v>108</v>
      </c>
      <c r="F1598" s="59" t="s">
        <v>2349</v>
      </c>
      <c r="G1598" s="58" t="s">
        <v>2125</v>
      </c>
    </row>
    <row r="1599" spans="1:7">
      <c r="A1599" s="58" t="s">
        <v>2126</v>
      </c>
      <c r="B1599" s="58"/>
      <c r="C1599" s="58" t="s">
        <v>108</v>
      </c>
      <c r="D1599" s="58" t="s">
        <v>2809</v>
      </c>
      <c r="E1599" s="59" t="s">
        <v>108</v>
      </c>
      <c r="F1599" s="59" t="s">
        <v>2349</v>
      </c>
      <c r="G1599" s="58" t="s">
        <v>2120</v>
      </c>
    </row>
    <row r="1600" spans="1:7" ht="17.25">
      <c r="A1600" s="76" t="s">
        <v>2818</v>
      </c>
      <c r="B1600" s="76"/>
      <c r="C1600" s="76"/>
      <c r="D1600" s="76"/>
      <c r="E1600" s="77"/>
      <c r="F1600" s="76"/>
      <c r="G1600" s="76"/>
    </row>
    <row r="1601" spans="1:7">
      <c r="A1601" s="58" t="s">
        <v>2128</v>
      </c>
      <c r="B1601" s="58" t="s">
        <v>2129</v>
      </c>
      <c r="C1601" s="58" t="s">
        <v>108</v>
      </c>
      <c r="D1601" s="58" t="s">
        <v>2809</v>
      </c>
      <c r="E1601" s="59" t="s">
        <v>108</v>
      </c>
      <c r="F1601" s="59" t="s">
        <v>2349</v>
      </c>
      <c r="G1601" s="58" t="s">
        <v>2120</v>
      </c>
    </row>
    <row r="1602" spans="1:7">
      <c r="A1602" s="58" t="s">
        <v>2130</v>
      </c>
      <c r="B1602" s="58" t="s">
        <v>2131</v>
      </c>
      <c r="C1602" s="58" t="s">
        <v>108</v>
      </c>
      <c r="D1602" s="58" t="s">
        <v>2809</v>
      </c>
      <c r="E1602" s="59" t="s">
        <v>108</v>
      </c>
      <c r="F1602" s="59" t="s">
        <v>2349</v>
      </c>
      <c r="G1602" s="58" t="s">
        <v>2132</v>
      </c>
    </row>
    <row r="1603" spans="1:7">
      <c r="A1603" s="58" t="s">
        <v>2133</v>
      </c>
      <c r="B1603" s="58" t="s">
        <v>2131</v>
      </c>
      <c r="C1603" s="58" t="s">
        <v>108</v>
      </c>
      <c r="D1603" s="58" t="s">
        <v>2809</v>
      </c>
      <c r="E1603" s="59" t="s">
        <v>108</v>
      </c>
      <c r="F1603" s="59" t="s">
        <v>2349</v>
      </c>
      <c r="G1603" s="58" t="s">
        <v>2120</v>
      </c>
    </row>
    <row r="1604" spans="1:7">
      <c r="A1604" s="57" t="s">
        <v>2134</v>
      </c>
      <c r="B1604" s="57"/>
      <c r="C1604" s="57" t="s">
        <v>2135</v>
      </c>
      <c r="D1604" s="57" t="s">
        <v>2809</v>
      </c>
      <c r="E1604" s="75" t="s">
        <v>2136</v>
      </c>
      <c r="F1604" s="57" t="s">
        <v>1868</v>
      </c>
      <c r="G1604" s="57" t="s">
        <v>2137</v>
      </c>
    </row>
    <row r="1605" spans="1:7">
      <c r="A1605" s="58" t="s">
        <v>2138</v>
      </c>
      <c r="B1605" s="58" t="s">
        <v>2139</v>
      </c>
      <c r="C1605" s="58" t="s">
        <v>108</v>
      </c>
      <c r="D1605" s="58" t="s">
        <v>2809</v>
      </c>
      <c r="E1605" s="59" t="s">
        <v>108</v>
      </c>
      <c r="F1605" s="59" t="s">
        <v>2349</v>
      </c>
      <c r="G1605" s="58" t="s">
        <v>2140</v>
      </c>
    </row>
    <row r="1606" spans="1:7" ht="17.25">
      <c r="A1606" s="76" t="s">
        <v>2819</v>
      </c>
      <c r="B1606" s="76"/>
      <c r="C1606" s="76"/>
      <c r="D1606" s="76"/>
      <c r="E1606" s="77"/>
      <c r="F1606" s="76"/>
      <c r="G1606" s="76"/>
    </row>
    <row r="1607" spans="1:7">
      <c r="A1607" s="58" t="s">
        <v>2142</v>
      </c>
      <c r="B1607" s="58" t="s">
        <v>2143</v>
      </c>
      <c r="C1607" s="58" t="s">
        <v>108</v>
      </c>
      <c r="D1607" s="58" t="s">
        <v>2809</v>
      </c>
      <c r="E1607" s="59" t="s">
        <v>108</v>
      </c>
      <c r="F1607" s="59" t="s">
        <v>2349</v>
      </c>
      <c r="G1607" s="58" t="s">
        <v>2120</v>
      </c>
    </row>
    <row r="1608" spans="1:7">
      <c r="A1608" s="58" t="s">
        <v>2144</v>
      </c>
      <c r="B1608" s="58" t="s">
        <v>2143</v>
      </c>
      <c r="C1608" s="58" t="s">
        <v>2145</v>
      </c>
      <c r="D1608" s="58" t="s">
        <v>2809</v>
      </c>
      <c r="E1608" s="59" t="s">
        <v>108</v>
      </c>
      <c r="F1608" s="59" t="s">
        <v>2349</v>
      </c>
      <c r="G1608" s="58" t="s">
        <v>2120</v>
      </c>
    </row>
    <row r="1609" spans="1:7">
      <c r="A1609" s="58" t="s">
        <v>2146</v>
      </c>
      <c r="B1609" s="58" t="s">
        <v>2143</v>
      </c>
      <c r="C1609" s="58" t="s">
        <v>2147</v>
      </c>
      <c r="D1609" s="58" t="s">
        <v>2809</v>
      </c>
      <c r="E1609" s="59" t="s">
        <v>108</v>
      </c>
      <c r="F1609" s="59" t="s">
        <v>2349</v>
      </c>
      <c r="G1609" s="58" t="s">
        <v>2148</v>
      </c>
    </row>
    <row r="1610" spans="1:7">
      <c r="A1610" s="58" t="s">
        <v>2149</v>
      </c>
      <c r="B1610" s="58" t="s">
        <v>2143</v>
      </c>
      <c r="C1610" s="58" t="s">
        <v>108</v>
      </c>
      <c r="D1610" s="58" t="s">
        <v>2809</v>
      </c>
      <c r="E1610" s="59" t="s">
        <v>108</v>
      </c>
      <c r="F1610" s="59" t="s">
        <v>2349</v>
      </c>
      <c r="G1610" s="58" t="s">
        <v>2120</v>
      </c>
    </row>
    <row r="1611" spans="1:7" ht="17.25">
      <c r="A1611" s="76" t="s">
        <v>2820</v>
      </c>
      <c r="B1611" s="76"/>
      <c r="C1611" s="76"/>
      <c r="D1611" s="76"/>
      <c r="E1611" s="77"/>
      <c r="F1611" s="76"/>
      <c r="G1611" s="76"/>
    </row>
    <row r="1612" spans="1:7">
      <c r="A1612" s="58" t="s">
        <v>2151</v>
      </c>
      <c r="B1612" s="58" t="s">
        <v>2152</v>
      </c>
      <c r="C1612" s="58" t="s">
        <v>2153</v>
      </c>
      <c r="D1612" s="58" t="s">
        <v>2809</v>
      </c>
      <c r="E1612" s="59" t="s">
        <v>108</v>
      </c>
      <c r="F1612" s="59" t="s">
        <v>2349</v>
      </c>
      <c r="G1612" s="58" t="s">
        <v>2120</v>
      </c>
    </row>
    <row r="1613" spans="1:7">
      <c r="A1613" s="58" t="s">
        <v>2154</v>
      </c>
      <c r="B1613" s="58" t="s">
        <v>2155</v>
      </c>
      <c r="C1613" s="58" t="s">
        <v>108</v>
      </c>
      <c r="D1613" s="58" t="s">
        <v>2809</v>
      </c>
      <c r="E1613" s="59" t="s">
        <v>108</v>
      </c>
      <c r="F1613" s="59" t="s">
        <v>2349</v>
      </c>
      <c r="G1613" s="58" t="s">
        <v>2120</v>
      </c>
    </row>
    <row r="1614" spans="1:7">
      <c r="A1614" s="58" t="s">
        <v>2156</v>
      </c>
      <c r="B1614" s="58" t="s">
        <v>2152</v>
      </c>
      <c r="C1614" s="58" t="s">
        <v>2157</v>
      </c>
      <c r="D1614" s="58" t="s">
        <v>2809</v>
      </c>
      <c r="E1614" s="59" t="s">
        <v>108</v>
      </c>
      <c r="F1614" s="59" t="s">
        <v>2349</v>
      </c>
      <c r="G1614" s="58" t="s">
        <v>2120</v>
      </c>
    </row>
    <row r="1615" spans="1:7">
      <c r="A1615" s="58" t="s">
        <v>2158</v>
      </c>
      <c r="B1615" s="58" t="s">
        <v>2155</v>
      </c>
      <c r="C1615" s="58" t="s">
        <v>2159</v>
      </c>
      <c r="D1615" s="58" t="s">
        <v>2809</v>
      </c>
      <c r="E1615" s="59" t="s">
        <v>108</v>
      </c>
      <c r="F1615" s="59" t="s">
        <v>2349</v>
      </c>
      <c r="G1615" s="58" t="s">
        <v>2160</v>
      </c>
    </row>
    <row r="1616" spans="1:7">
      <c r="A1616" s="58" t="s">
        <v>2161</v>
      </c>
      <c r="B1616" s="58" t="s">
        <v>2162</v>
      </c>
      <c r="C1616" s="58" t="s">
        <v>108</v>
      </c>
      <c r="D1616" s="58" t="s">
        <v>2809</v>
      </c>
      <c r="E1616" s="59" t="s">
        <v>108</v>
      </c>
      <c r="F1616" s="59" t="s">
        <v>2349</v>
      </c>
      <c r="G1616" s="58" t="s">
        <v>2163</v>
      </c>
    </row>
    <row r="1617" spans="1:7">
      <c r="A1617" s="58" t="s">
        <v>2164</v>
      </c>
      <c r="B1617" s="58" t="s">
        <v>2162</v>
      </c>
      <c r="C1617" s="58" t="s">
        <v>108</v>
      </c>
      <c r="D1617" s="58" t="s">
        <v>2809</v>
      </c>
      <c r="E1617" s="59" t="s">
        <v>108</v>
      </c>
      <c r="F1617" s="59" t="s">
        <v>2349</v>
      </c>
      <c r="G1617" s="58" t="s">
        <v>2120</v>
      </c>
    </row>
    <row r="1618" spans="1:7" ht="17.25">
      <c r="A1618" s="76" t="s">
        <v>2821</v>
      </c>
      <c r="B1618" s="76"/>
      <c r="C1618" s="76"/>
      <c r="D1618" s="76"/>
      <c r="E1618" s="77"/>
      <c r="F1618" s="76"/>
      <c r="G1618" s="76"/>
    </row>
    <row r="1619" spans="1:7">
      <c r="A1619" s="58" t="s">
        <v>2166</v>
      </c>
      <c r="B1619" s="58" t="s">
        <v>2167</v>
      </c>
      <c r="C1619" s="58" t="s">
        <v>108</v>
      </c>
      <c r="D1619" s="58" t="s">
        <v>2809</v>
      </c>
      <c r="E1619" s="59" t="s">
        <v>108</v>
      </c>
      <c r="F1619" s="59" t="s">
        <v>2349</v>
      </c>
      <c r="G1619" s="58" t="s">
        <v>2168</v>
      </c>
    </row>
    <row r="1620" spans="1:7">
      <c r="A1620" s="57" t="s">
        <v>2169</v>
      </c>
      <c r="B1620" s="57" t="s">
        <v>2129</v>
      </c>
      <c r="C1620" s="57" t="s">
        <v>2170</v>
      </c>
      <c r="D1620" s="57" t="s">
        <v>2809</v>
      </c>
      <c r="E1620" s="75" t="s">
        <v>2136</v>
      </c>
      <c r="F1620" s="57" t="s">
        <v>1868</v>
      </c>
      <c r="G1620" s="57" t="s">
        <v>2120</v>
      </c>
    </row>
    <row r="1621" spans="1:7">
      <c r="A1621" s="57" t="s">
        <v>2171</v>
      </c>
      <c r="B1621" s="57" t="s">
        <v>2129</v>
      </c>
      <c r="C1621" s="57" t="s">
        <v>2135</v>
      </c>
      <c r="D1621" s="57" t="s">
        <v>2809</v>
      </c>
      <c r="E1621" s="75" t="s">
        <v>2136</v>
      </c>
      <c r="F1621" s="57" t="s">
        <v>1868</v>
      </c>
      <c r="G1621" s="57" t="s">
        <v>2120</v>
      </c>
    </row>
    <row r="1622" spans="1:7">
      <c r="A1622" s="57" t="s">
        <v>2172</v>
      </c>
      <c r="B1622" s="57" t="s">
        <v>2129</v>
      </c>
      <c r="C1622" s="57" t="s">
        <v>2135</v>
      </c>
      <c r="D1622" s="57" t="s">
        <v>2809</v>
      </c>
      <c r="E1622" s="75" t="s">
        <v>2136</v>
      </c>
      <c r="F1622" s="57" t="s">
        <v>1868</v>
      </c>
      <c r="G1622" s="57" t="s">
        <v>2120</v>
      </c>
    </row>
    <row r="1623" spans="1:7">
      <c r="A1623" s="57" t="s">
        <v>2173</v>
      </c>
      <c r="B1623" s="57" t="s">
        <v>2174</v>
      </c>
      <c r="C1623" s="57" t="s">
        <v>2135</v>
      </c>
      <c r="D1623" s="57" t="s">
        <v>2809</v>
      </c>
      <c r="E1623" s="75" t="s">
        <v>2136</v>
      </c>
      <c r="F1623" s="57" t="s">
        <v>1868</v>
      </c>
      <c r="G1623" s="57" t="s">
        <v>2120</v>
      </c>
    </row>
    <row r="1624" spans="1:7">
      <c r="A1624" s="57" t="s">
        <v>2175</v>
      </c>
      <c r="B1624" s="57"/>
      <c r="C1624" s="57" t="s">
        <v>2135</v>
      </c>
      <c r="D1624" s="57" t="s">
        <v>2809</v>
      </c>
      <c r="E1624" s="75" t="s">
        <v>2136</v>
      </c>
      <c r="F1624" s="57" t="s">
        <v>1868</v>
      </c>
      <c r="G1624" s="57" t="s">
        <v>2120</v>
      </c>
    </row>
    <row r="1625" spans="1:7">
      <c r="A1625" s="57" t="s">
        <v>2176</v>
      </c>
      <c r="B1625" s="57"/>
      <c r="C1625" s="57" t="s">
        <v>2135</v>
      </c>
      <c r="D1625" s="57" t="s">
        <v>2809</v>
      </c>
      <c r="E1625" s="75" t="s">
        <v>2136</v>
      </c>
      <c r="F1625" s="57" t="s">
        <v>1868</v>
      </c>
      <c r="G1625" s="57" t="s">
        <v>2120</v>
      </c>
    </row>
    <row r="1626" spans="1:7">
      <c r="A1626" s="57" t="s">
        <v>2177</v>
      </c>
      <c r="B1626" s="57"/>
      <c r="C1626" s="57" t="s">
        <v>2135</v>
      </c>
      <c r="D1626" s="57" t="s">
        <v>2809</v>
      </c>
      <c r="E1626" s="75" t="s">
        <v>2136</v>
      </c>
      <c r="F1626" s="57" t="s">
        <v>1868</v>
      </c>
      <c r="G1626" s="57" t="s">
        <v>2120</v>
      </c>
    </row>
    <row r="1627" spans="1:7" ht="17.25">
      <c r="A1627" s="76" t="s">
        <v>2822</v>
      </c>
      <c r="B1627" s="76"/>
      <c r="C1627" s="76"/>
      <c r="D1627" s="76"/>
      <c r="E1627" s="77"/>
      <c r="F1627" s="76"/>
      <c r="G1627" s="76"/>
    </row>
    <row r="1628" spans="1:7">
      <c r="A1628" s="58" t="s">
        <v>2179</v>
      </c>
      <c r="B1628" s="58" t="s">
        <v>2180</v>
      </c>
      <c r="C1628" s="58" t="s">
        <v>108</v>
      </c>
      <c r="D1628" s="58" t="s">
        <v>2809</v>
      </c>
      <c r="E1628" s="59" t="s">
        <v>108</v>
      </c>
      <c r="F1628" s="59" t="s">
        <v>2349</v>
      </c>
      <c r="G1628" s="58" t="s">
        <v>2120</v>
      </c>
    </row>
    <row r="1629" spans="1:7">
      <c r="A1629" s="58" t="s">
        <v>2181</v>
      </c>
      <c r="B1629" s="58" t="s">
        <v>2182</v>
      </c>
      <c r="C1629" s="58" t="s">
        <v>108</v>
      </c>
      <c r="D1629" s="58" t="s">
        <v>2809</v>
      </c>
      <c r="E1629" s="59" t="s">
        <v>108</v>
      </c>
      <c r="F1629" s="59" t="s">
        <v>2349</v>
      </c>
      <c r="G1629" s="58" t="s">
        <v>2120</v>
      </c>
    </row>
    <row r="1630" spans="1:7">
      <c r="A1630" s="58" t="s">
        <v>2183</v>
      </c>
      <c r="B1630" s="58" t="s">
        <v>2182</v>
      </c>
      <c r="C1630" s="58" t="s">
        <v>2184</v>
      </c>
      <c r="D1630" s="58" t="s">
        <v>2809</v>
      </c>
      <c r="E1630" s="59" t="s">
        <v>108</v>
      </c>
      <c r="F1630" s="59" t="s">
        <v>2349</v>
      </c>
      <c r="G1630" s="58" t="s">
        <v>2185</v>
      </c>
    </row>
    <row r="1631" spans="1:7">
      <c r="A1631" s="58" t="s">
        <v>2186</v>
      </c>
      <c r="B1631" s="58" t="s">
        <v>2187</v>
      </c>
      <c r="C1631" s="58" t="s">
        <v>108</v>
      </c>
      <c r="D1631" s="58" t="s">
        <v>2809</v>
      </c>
      <c r="E1631" s="59" t="s">
        <v>108</v>
      </c>
      <c r="F1631" s="59" t="s">
        <v>2349</v>
      </c>
      <c r="G1631" s="58" t="s">
        <v>2120</v>
      </c>
    </row>
    <row r="1632" spans="1:7">
      <c r="A1632" s="58" t="s">
        <v>2188</v>
      </c>
      <c r="B1632" s="58"/>
      <c r="C1632" s="58" t="s">
        <v>2189</v>
      </c>
      <c r="D1632" s="58" t="s">
        <v>2809</v>
      </c>
      <c r="E1632" s="59" t="s">
        <v>108</v>
      </c>
      <c r="F1632" s="59" t="s">
        <v>2349</v>
      </c>
      <c r="G1632" s="58" t="s">
        <v>2120</v>
      </c>
    </row>
    <row r="1633" spans="1:7">
      <c r="A1633" s="57" t="s">
        <v>2190</v>
      </c>
      <c r="B1633" s="57"/>
      <c r="C1633" s="57" t="s">
        <v>2135</v>
      </c>
      <c r="D1633" s="57" t="s">
        <v>2809</v>
      </c>
      <c r="E1633" s="75" t="s">
        <v>2136</v>
      </c>
      <c r="F1633" s="57" t="s">
        <v>1868</v>
      </c>
      <c r="G1633" s="57" t="s">
        <v>2120</v>
      </c>
    </row>
    <row r="1634" spans="1:7">
      <c r="A1634" s="57" t="s">
        <v>2191</v>
      </c>
      <c r="B1634" s="57"/>
      <c r="C1634" s="57" t="s">
        <v>2135</v>
      </c>
      <c r="D1634" s="57" t="s">
        <v>2809</v>
      </c>
      <c r="E1634" s="75" t="s">
        <v>2136</v>
      </c>
      <c r="F1634" s="57" t="s">
        <v>1868</v>
      </c>
      <c r="G1634" s="57" t="s">
        <v>2120</v>
      </c>
    </row>
    <row r="1635" spans="1:7">
      <c r="A1635" s="58" t="s">
        <v>2192</v>
      </c>
      <c r="B1635" s="58" t="s">
        <v>2182</v>
      </c>
      <c r="C1635" s="58" t="s">
        <v>2193</v>
      </c>
      <c r="D1635" s="58" t="s">
        <v>2809</v>
      </c>
      <c r="E1635" s="59" t="s">
        <v>2193</v>
      </c>
      <c r="F1635" s="59" t="s">
        <v>2349</v>
      </c>
      <c r="G1635" s="58" t="s">
        <v>2120</v>
      </c>
    </row>
    <row r="1636" spans="1:7">
      <c r="A1636" s="58" t="s">
        <v>2194</v>
      </c>
      <c r="B1636" s="58" t="s">
        <v>2187</v>
      </c>
      <c r="C1636" s="58" t="s">
        <v>108</v>
      </c>
      <c r="D1636" s="58" t="s">
        <v>2809</v>
      </c>
      <c r="E1636" s="59" t="s">
        <v>108</v>
      </c>
      <c r="F1636" s="59" t="s">
        <v>2349</v>
      </c>
      <c r="G1636" s="58" t="s">
        <v>2120</v>
      </c>
    </row>
    <row r="1637" spans="1:7" ht="17.25">
      <c r="A1637" s="76" t="s">
        <v>2823</v>
      </c>
      <c r="B1637" s="76"/>
      <c r="C1637" s="76"/>
      <c r="D1637" s="76"/>
      <c r="E1637" s="77"/>
      <c r="F1637" s="76"/>
      <c r="G1637" s="76"/>
    </row>
    <row r="1638" spans="1:7">
      <c r="A1638" s="58" t="s">
        <v>2196</v>
      </c>
      <c r="B1638" s="58"/>
      <c r="C1638" s="58" t="s">
        <v>2193</v>
      </c>
      <c r="D1638" s="58" t="s">
        <v>2809</v>
      </c>
      <c r="E1638" s="59" t="s">
        <v>2193</v>
      </c>
      <c r="F1638" s="59" t="s">
        <v>2349</v>
      </c>
      <c r="G1638" s="58" t="s">
        <v>2120</v>
      </c>
    </row>
    <row r="1639" spans="1:7">
      <c r="A1639" s="58" t="s">
        <v>2197</v>
      </c>
      <c r="B1639" s="58"/>
      <c r="C1639" s="58" t="s">
        <v>2193</v>
      </c>
      <c r="D1639" s="58" t="s">
        <v>2809</v>
      </c>
      <c r="E1639" s="59" t="s">
        <v>2193</v>
      </c>
      <c r="F1639" s="59" t="s">
        <v>2349</v>
      </c>
      <c r="G1639" s="58" t="s">
        <v>2120</v>
      </c>
    </row>
    <row r="1640" spans="1:7">
      <c r="A1640" s="58" t="s">
        <v>2198</v>
      </c>
      <c r="B1640" s="58"/>
      <c r="C1640" s="58" t="s">
        <v>2199</v>
      </c>
      <c r="D1640" s="58" t="s">
        <v>2809</v>
      </c>
      <c r="E1640" s="59" t="s">
        <v>2193</v>
      </c>
      <c r="F1640" s="59" t="s">
        <v>2349</v>
      </c>
      <c r="G1640" s="58" t="s">
        <v>2120</v>
      </c>
    </row>
    <row r="1641" spans="1:7">
      <c r="A1641" s="58" t="s">
        <v>2200</v>
      </c>
      <c r="B1641" s="58" t="s">
        <v>2182</v>
      </c>
      <c r="C1641" s="58" t="s">
        <v>108</v>
      </c>
      <c r="D1641" s="58" t="s">
        <v>2809</v>
      </c>
      <c r="E1641" s="59" t="s">
        <v>108</v>
      </c>
      <c r="F1641" s="59" t="s">
        <v>2349</v>
      </c>
      <c r="G1641" s="58" t="s">
        <v>2120</v>
      </c>
    </row>
    <row r="1642" spans="1:7">
      <c r="A1642" s="58" t="s">
        <v>2201</v>
      </c>
      <c r="B1642" s="58" t="s">
        <v>2182</v>
      </c>
      <c r="C1642" s="58" t="s">
        <v>108</v>
      </c>
      <c r="D1642" s="58" t="s">
        <v>2809</v>
      </c>
      <c r="E1642" s="59" t="s">
        <v>108</v>
      </c>
      <c r="F1642" s="59" t="s">
        <v>2349</v>
      </c>
      <c r="G1642" s="58" t="s">
        <v>2120</v>
      </c>
    </row>
    <row r="1643" spans="1:7">
      <c r="A1643" s="58" t="s">
        <v>2202</v>
      </c>
      <c r="B1643" s="58" t="s">
        <v>2174</v>
      </c>
      <c r="C1643" s="58" t="s">
        <v>108</v>
      </c>
      <c r="D1643" s="58" t="s">
        <v>2809</v>
      </c>
      <c r="E1643" s="59" t="s">
        <v>108</v>
      </c>
      <c r="F1643" s="59" t="s">
        <v>2349</v>
      </c>
      <c r="G1643" s="58" t="s">
        <v>2120</v>
      </c>
    </row>
    <row r="1644" spans="1:7">
      <c r="A1644" s="58" t="s">
        <v>2203</v>
      </c>
      <c r="B1644" s="58" t="s">
        <v>2204</v>
      </c>
      <c r="C1644" s="58" t="s">
        <v>2193</v>
      </c>
      <c r="D1644" s="58" t="s">
        <v>2809</v>
      </c>
      <c r="E1644" s="59" t="s">
        <v>2193</v>
      </c>
      <c r="F1644" s="59" t="s">
        <v>2349</v>
      </c>
      <c r="G1644" s="58" t="s">
        <v>2120</v>
      </c>
    </row>
    <row r="1645" spans="1:7">
      <c r="A1645" s="58" t="s">
        <v>2205</v>
      </c>
      <c r="B1645" s="58" t="s">
        <v>2204</v>
      </c>
      <c r="C1645" s="58" t="s">
        <v>2193</v>
      </c>
      <c r="D1645" s="58" t="s">
        <v>2809</v>
      </c>
      <c r="E1645" s="59" t="s">
        <v>2193</v>
      </c>
      <c r="F1645" s="59" t="s">
        <v>2349</v>
      </c>
      <c r="G1645" s="58" t="s">
        <v>2120</v>
      </c>
    </row>
    <row r="1646" spans="1:7">
      <c r="A1646" s="57" t="s">
        <v>2206</v>
      </c>
      <c r="B1646" s="57"/>
      <c r="C1646" s="57" t="s">
        <v>2135</v>
      </c>
      <c r="D1646" s="57" t="s">
        <v>2809</v>
      </c>
      <c r="E1646" s="75" t="s">
        <v>2136</v>
      </c>
      <c r="F1646" s="57" t="s">
        <v>1868</v>
      </c>
      <c r="G1646" s="57" t="s">
        <v>2120</v>
      </c>
    </row>
    <row r="1647" spans="1:7">
      <c r="A1647" s="58" t="s">
        <v>2207</v>
      </c>
      <c r="B1647" s="58" t="s">
        <v>2204</v>
      </c>
      <c r="C1647" s="58" t="s">
        <v>108</v>
      </c>
      <c r="D1647" s="58" t="s">
        <v>2809</v>
      </c>
      <c r="E1647" s="59" t="s">
        <v>108</v>
      </c>
      <c r="F1647" s="59" t="s">
        <v>2349</v>
      </c>
      <c r="G1647" s="58" t="s">
        <v>2208</v>
      </c>
    </row>
    <row r="1648" spans="1:7" ht="17.25">
      <c r="A1648" s="76" t="s">
        <v>2824</v>
      </c>
      <c r="B1648" s="76"/>
      <c r="C1648" s="76"/>
      <c r="D1648" s="76"/>
      <c r="E1648" s="77"/>
      <c r="F1648" s="76"/>
      <c r="G1648" s="76"/>
    </row>
    <row r="1649" spans="1:7">
      <c r="A1649" s="58" t="s">
        <v>2210</v>
      </c>
      <c r="B1649" s="58" t="s">
        <v>2211</v>
      </c>
      <c r="C1649" s="58" t="s">
        <v>108</v>
      </c>
      <c r="D1649" s="58" t="s">
        <v>2809</v>
      </c>
      <c r="E1649" s="59" t="s">
        <v>108</v>
      </c>
      <c r="F1649" s="59" t="s">
        <v>2349</v>
      </c>
      <c r="G1649" s="58" t="s">
        <v>2120</v>
      </c>
    </row>
    <row r="1650" spans="1:7">
      <c r="A1650" s="58" t="s">
        <v>2212</v>
      </c>
      <c r="B1650" s="58" t="s">
        <v>2213</v>
      </c>
      <c r="C1650" s="58" t="s">
        <v>108</v>
      </c>
      <c r="D1650" s="58" t="s">
        <v>2809</v>
      </c>
      <c r="E1650" s="59" t="s">
        <v>108</v>
      </c>
      <c r="F1650" s="59" t="s">
        <v>2349</v>
      </c>
      <c r="G1650" s="58" t="s">
        <v>2120</v>
      </c>
    </row>
    <row r="1651" spans="1:7">
      <c r="A1651" s="58" t="s">
        <v>2214</v>
      </c>
      <c r="B1651" s="58" t="s">
        <v>2213</v>
      </c>
      <c r="C1651" s="58" t="s">
        <v>108</v>
      </c>
      <c r="D1651" s="58" t="s">
        <v>2809</v>
      </c>
      <c r="E1651" s="59" t="s">
        <v>108</v>
      </c>
      <c r="F1651" s="59" t="s">
        <v>2349</v>
      </c>
      <c r="G1651" s="58" t="s">
        <v>2120</v>
      </c>
    </row>
    <row r="1652" spans="1:7" ht="17.25">
      <c r="A1652" s="76" t="s">
        <v>2825</v>
      </c>
      <c r="B1652" s="76"/>
      <c r="C1652" s="76"/>
      <c r="D1652" s="76"/>
      <c r="E1652" s="77"/>
      <c r="F1652" s="76"/>
      <c r="G1652" s="76"/>
    </row>
    <row r="1653" spans="1:7">
      <c r="A1653" s="58" t="s">
        <v>2216</v>
      </c>
      <c r="B1653" s="58" t="s">
        <v>2217</v>
      </c>
      <c r="C1653" s="58" t="s">
        <v>2193</v>
      </c>
      <c r="D1653" s="58" t="s">
        <v>2809</v>
      </c>
      <c r="E1653" s="59" t="s">
        <v>2193</v>
      </c>
      <c r="F1653" s="59" t="s">
        <v>2349</v>
      </c>
      <c r="G1653" s="58" t="s">
        <v>2218</v>
      </c>
    </row>
    <row r="1654" spans="1:7">
      <c r="A1654" s="58" t="s">
        <v>2219</v>
      </c>
      <c r="B1654" s="58" t="s">
        <v>2220</v>
      </c>
      <c r="C1654" s="58" t="s">
        <v>108</v>
      </c>
      <c r="D1654" s="58" t="s">
        <v>2809</v>
      </c>
      <c r="E1654" s="59" t="s">
        <v>108</v>
      </c>
      <c r="F1654" s="59" t="s">
        <v>2349</v>
      </c>
      <c r="G1654" s="58" t="s">
        <v>2221</v>
      </c>
    </row>
    <row r="1655" spans="1:7">
      <c r="A1655" s="58" t="s">
        <v>2222</v>
      </c>
      <c r="B1655" s="58" t="s">
        <v>2223</v>
      </c>
      <c r="C1655" s="58" t="s">
        <v>108</v>
      </c>
      <c r="D1655" s="58" t="s">
        <v>2809</v>
      </c>
      <c r="E1655" s="59" t="s">
        <v>108</v>
      </c>
      <c r="F1655" s="59" t="s">
        <v>2349</v>
      </c>
      <c r="G1655" s="58" t="s">
        <v>2224</v>
      </c>
    </row>
    <row r="1656" spans="1:7">
      <c r="A1656" s="58" t="s">
        <v>2225</v>
      </c>
      <c r="B1656" s="58" t="s">
        <v>2226</v>
      </c>
      <c r="C1656" s="58" t="s">
        <v>108</v>
      </c>
      <c r="D1656" s="58" t="s">
        <v>2809</v>
      </c>
      <c r="E1656" s="59" t="s">
        <v>108</v>
      </c>
      <c r="F1656" s="59" t="s">
        <v>2349</v>
      </c>
      <c r="G1656" s="58" t="s">
        <v>2227</v>
      </c>
    </row>
    <row r="1657" spans="1:7">
      <c r="A1657" s="57" t="s">
        <v>2228</v>
      </c>
      <c r="B1657" s="57"/>
      <c r="C1657" s="57" t="s">
        <v>2135</v>
      </c>
      <c r="D1657" s="57" t="s">
        <v>2809</v>
      </c>
      <c r="E1657" s="75" t="s">
        <v>2136</v>
      </c>
      <c r="F1657" s="57" t="s">
        <v>1868</v>
      </c>
      <c r="G1657" s="57" t="s">
        <v>2120</v>
      </c>
    </row>
    <row r="1658" spans="1:7" ht="17.25">
      <c r="A1658" s="76" t="s">
        <v>2826</v>
      </c>
      <c r="B1658" s="76"/>
      <c r="C1658" s="76"/>
      <c r="D1658" s="76"/>
      <c r="E1658" s="77"/>
      <c r="F1658" s="76"/>
      <c r="G1658" s="76"/>
    </row>
    <row r="1659" spans="1:7">
      <c r="A1659" s="58" t="s">
        <v>2230</v>
      </c>
      <c r="B1659" s="58" t="s">
        <v>2220</v>
      </c>
      <c r="C1659" s="58" t="s">
        <v>108</v>
      </c>
      <c r="D1659" s="58" t="s">
        <v>2809</v>
      </c>
      <c r="E1659" s="59" t="s">
        <v>108</v>
      </c>
      <c r="F1659" s="59" t="s">
        <v>2349</v>
      </c>
      <c r="G1659" s="58" t="s">
        <v>2231</v>
      </c>
    </row>
    <row r="1660" spans="1:7">
      <c r="A1660" s="58" t="s">
        <v>2232</v>
      </c>
      <c r="B1660" s="58" t="s">
        <v>2220</v>
      </c>
      <c r="C1660" s="58" t="s">
        <v>108</v>
      </c>
      <c r="D1660" s="58" t="s">
        <v>2809</v>
      </c>
      <c r="E1660" s="59" t="s">
        <v>108</v>
      </c>
      <c r="F1660" s="59" t="s">
        <v>2349</v>
      </c>
      <c r="G1660" s="58" t="s">
        <v>2120</v>
      </c>
    </row>
    <row r="1661" spans="1:7">
      <c r="A1661" s="58" t="s">
        <v>2233</v>
      </c>
      <c r="B1661" s="58" t="s">
        <v>2234</v>
      </c>
      <c r="C1661" s="58" t="s">
        <v>108</v>
      </c>
      <c r="D1661" s="58" t="s">
        <v>2809</v>
      </c>
      <c r="E1661" s="59" t="s">
        <v>108</v>
      </c>
      <c r="F1661" s="59" t="s">
        <v>2349</v>
      </c>
      <c r="G1661" s="58" t="s">
        <v>2235</v>
      </c>
    </row>
    <row r="1662" spans="1:7">
      <c r="A1662" s="58" t="s">
        <v>2236</v>
      </c>
      <c r="B1662" s="58" t="s">
        <v>2237</v>
      </c>
      <c r="C1662" s="58" t="s">
        <v>108</v>
      </c>
      <c r="D1662" s="58" t="s">
        <v>2809</v>
      </c>
      <c r="E1662" s="59" t="s">
        <v>108</v>
      </c>
      <c r="F1662" s="59" t="s">
        <v>2349</v>
      </c>
      <c r="G1662" s="58" t="s">
        <v>2231</v>
      </c>
    </row>
    <row r="1663" spans="1:7">
      <c r="A1663" s="58" t="s">
        <v>2238</v>
      </c>
      <c r="B1663" s="58" t="s">
        <v>2237</v>
      </c>
      <c r="C1663" s="58" t="s">
        <v>108</v>
      </c>
      <c r="D1663" s="58" t="s">
        <v>2809</v>
      </c>
      <c r="E1663" s="59" t="s">
        <v>108</v>
      </c>
      <c r="F1663" s="59" t="s">
        <v>2349</v>
      </c>
      <c r="G1663" s="58" t="s">
        <v>2239</v>
      </c>
    </row>
    <row r="1664" spans="1:7">
      <c r="A1664" s="58" t="s">
        <v>2240</v>
      </c>
      <c r="B1664" s="58" t="s">
        <v>2241</v>
      </c>
      <c r="C1664" s="58" t="s">
        <v>2193</v>
      </c>
      <c r="D1664" s="58" t="s">
        <v>2809</v>
      </c>
      <c r="E1664" s="59" t="s">
        <v>2193</v>
      </c>
      <c r="F1664" s="59" t="s">
        <v>2349</v>
      </c>
      <c r="G1664" s="58" t="s">
        <v>2120</v>
      </c>
    </row>
    <row r="1665" spans="1:7">
      <c r="A1665" s="58" t="s">
        <v>2242</v>
      </c>
      <c r="B1665" s="58" t="s">
        <v>2220</v>
      </c>
      <c r="C1665" s="58" t="s">
        <v>2243</v>
      </c>
      <c r="D1665" s="58" t="s">
        <v>2809</v>
      </c>
      <c r="E1665" s="59" t="s">
        <v>108</v>
      </c>
      <c r="F1665" s="59" t="s">
        <v>2349</v>
      </c>
      <c r="G1665" s="58" t="s">
        <v>2244</v>
      </c>
    </row>
    <row r="1666" spans="1:7">
      <c r="A1666" s="58" t="s">
        <v>2245</v>
      </c>
      <c r="B1666" s="58" t="s">
        <v>2241</v>
      </c>
      <c r="C1666" s="58" t="s">
        <v>2246</v>
      </c>
      <c r="D1666" s="58" t="s">
        <v>2809</v>
      </c>
      <c r="E1666" s="59" t="s">
        <v>108</v>
      </c>
      <c r="F1666" s="59" t="s">
        <v>2349</v>
      </c>
      <c r="G1666" s="58" t="s">
        <v>2120</v>
      </c>
    </row>
    <row r="1667" spans="1:7">
      <c r="A1667" s="58" t="s">
        <v>2247</v>
      </c>
      <c r="B1667" s="58" t="s">
        <v>2248</v>
      </c>
      <c r="C1667" s="58" t="s">
        <v>108</v>
      </c>
      <c r="D1667" s="58" t="s">
        <v>2809</v>
      </c>
      <c r="E1667" s="59" t="s">
        <v>108</v>
      </c>
      <c r="F1667" s="59" t="s">
        <v>2349</v>
      </c>
      <c r="G1667" s="58" t="s">
        <v>2249</v>
      </c>
    </row>
    <row r="1668" spans="1:7" ht="17.25">
      <c r="A1668" s="76" t="s">
        <v>2827</v>
      </c>
      <c r="B1668" s="76"/>
      <c r="C1668" s="76"/>
      <c r="D1668" s="76"/>
      <c r="E1668" s="77"/>
      <c r="F1668" s="76"/>
      <c r="G1668" s="76"/>
    </row>
    <row r="1669" spans="1:7">
      <c r="A1669" s="58" t="s">
        <v>2251</v>
      </c>
      <c r="B1669" s="58" t="s">
        <v>2252</v>
      </c>
      <c r="C1669" s="58" t="s">
        <v>108</v>
      </c>
      <c r="D1669" s="58" t="s">
        <v>2809</v>
      </c>
      <c r="E1669" s="59" t="s">
        <v>108</v>
      </c>
      <c r="F1669" s="59" t="s">
        <v>2349</v>
      </c>
      <c r="G1669" s="58" t="s">
        <v>2120</v>
      </c>
    </row>
    <row r="1670" spans="1:7">
      <c r="A1670" s="58" t="s">
        <v>2253</v>
      </c>
      <c r="B1670" s="58" t="s">
        <v>2252</v>
      </c>
      <c r="C1670" s="58" t="s">
        <v>2193</v>
      </c>
      <c r="D1670" s="58" t="s">
        <v>2809</v>
      </c>
      <c r="E1670" s="59" t="s">
        <v>2193</v>
      </c>
      <c r="F1670" s="59" t="s">
        <v>2349</v>
      </c>
      <c r="G1670" s="58" t="s">
        <v>2254</v>
      </c>
    </row>
    <row r="1671" spans="1:7">
      <c r="A1671" s="58" t="s">
        <v>2255</v>
      </c>
      <c r="B1671" s="58" t="s">
        <v>2256</v>
      </c>
      <c r="C1671" s="58" t="s">
        <v>2257</v>
      </c>
      <c r="D1671" s="58" t="s">
        <v>2809</v>
      </c>
      <c r="E1671" s="59" t="s">
        <v>108</v>
      </c>
      <c r="F1671" s="59" t="s">
        <v>2349</v>
      </c>
      <c r="G1671" s="58" t="s">
        <v>2120</v>
      </c>
    </row>
    <row r="1672" spans="1:7">
      <c r="A1672" s="58" t="s">
        <v>2258</v>
      </c>
      <c r="B1672" s="58" t="s">
        <v>2259</v>
      </c>
      <c r="C1672" s="58" t="s">
        <v>2260</v>
      </c>
      <c r="D1672" s="58" t="s">
        <v>2809</v>
      </c>
      <c r="E1672" s="59" t="s">
        <v>108</v>
      </c>
      <c r="F1672" s="59" t="s">
        <v>2349</v>
      </c>
      <c r="G1672" s="58" t="s">
        <v>2261</v>
      </c>
    </row>
    <row r="1673" spans="1:7">
      <c r="A1673" s="58" t="s">
        <v>2262</v>
      </c>
      <c r="B1673" s="58" t="s">
        <v>2259</v>
      </c>
      <c r="C1673" s="58" t="s">
        <v>2147</v>
      </c>
      <c r="D1673" s="58" t="s">
        <v>2809</v>
      </c>
      <c r="E1673" s="59" t="s">
        <v>108</v>
      </c>
      <c r="F1673" s="59" t="s">
        <v>2349</v>
      </c>
      <c r="G1673" s="58" t="s">
        <v>2263</v>
      </c>
    </row>
    <row r="1674" spans="1:7">
      <c r="A1674" s="58" t="s">
        <v>2264</v>
      </c>
      <c r="B1674" s="58" t="s">
        <v>2252</v>
      </c>
      <c r="C1674" s="58" t="s">
        <v>2265</v>
      </c>
      <c r="D1674" s="58" t="s">
        <v>2809</v>
      </c>
      <c r="E1674" s="59" t="s">
        <v>108</v>
      </c>
      <c r="F1674" s="59" t="s">
        <v>2349</v>
      </c>
      <c r="G1674" s="58" t="s">
        <v>2120</v>
      </c>
    </row>
    <row r="1675" spans="1:7">
      <c r="A1675" s="58" t="s">
        <v>2266</v>
      </c>
      <c r="B1675" s="58" t="s">
        <v>2252</v>
      </c>
      <c r="C1675" s="58" t="s">
        <v>2267</v>
      </c>
      <c r="D1675" s="58" t="s">
        <v>2809</v>
      </c>
      <c r="E1675" s="59" t="s">
        <v>108</v>
      </c>
      <c r="F1675" s="59" t="s">
        <v>2349</v>
      </c>
      <c r="G1675" s="58" t="s">
        <v>2268</v>
      </c>
    </row>
    <row r="1676" spans="1:7">
      <c r="A1676" s="58" t="s">
        <v>2269</v>
      </c>
      <c r="B1676" s="58" t="s">
        <v>2252</v>
      </c>
      <c r="C1676" s="58" t="s">
        <v>2270</v>
      </c>
      <c r="D1676" s="58" t="s">
        <v>2809</v>
      </c>
      <c r="E1676" s="59" t="s">
        <v>108</v>
      </c>
      <c r="F1676" s="59" t="s">
        <v>2349</v>
      </c>
      <c r="G1676" s="58" t="s">
        <v>2120</v>
      </c>
    </row>
    <row r="1677" spans="1:7" ht="17.25">
      <c r="A1677" s="76" t="s">
        <v>2828</v>
      </c>
      <c r="B1677" s="76"/>
      <c r="C1677" s="76"/>
      <c r="D1677" s="76"/>
      <c r="E1677" s="77"/>
      <c r="F1677" s="76"/>
      <c r="G1677" s="76"/>
    </row>
    <row r="1678" spans="1:7">
      <c r="A1678" s="58" t="s">
        <v>2272</v>
      </c>
      <c r="B1678" s="58" t="s">
        <v>2273</v>
      </c>
      <c r="C1678" s="58" t="s">
        <v>2274</v>
      </c>
      <c r="D1678" s="58" t="s">
        <v>2809</v>
      </c>
      <c r="E1678" s="59" t="s">
        <v>108</v>
      </c>
      <c r="F1678" s="59" t="s">
        <v>2349</v>
      </c>
      <c r="G1678" s="58" t="s">
        <v>2275</v>
      </c>
    </row>
    <row r="1679" spans="1:7">
      <c r="A1679" s="58" t="s">
        <v>2276</v>
      </c>
      <c r="B1679" s="58" t="s">
        <v>2248</v>
      </c>
      <c r="C1679" s="58" t="s">
        <v>2277</v>
      </c>
      <c r="D1679" s="58" t="s">
        <v>2809</v>
      </c>
      <c r="E1679" s="59" t="s">
        <v>108</v>
      </c>
      <c r="F1679" s="59" t="s">
        <v>2349</v>
      </c>
      <c r="G1679" s="58" t="s">
        <v>2278</v>
      </c>
    </row>
    <row r="1680" spans="1:7">
      <c r="A1680" s="58" t="s">
        <v>2279</v>
      </c>
      <c r="B1680" s="58" t="s">
        <v>2280</v>
      </c>
      <c r="C1680" s="58" t="s">
        <v>2281</v>
      </c>
      <c r="D1680" s="58" t="s">
        <v>2809</v>
      </c>
      <c r="E1680" s="59" t="s">
        <v>108</v>
      </c>
      <c r="F1680" s="59" t="s">
        <v>2349</v>
      </c>
      <c r="G1680" s="58" t="s">
        <v>2282</v>
      </c>
    </row>
    <row r="1681" spans="1:7">
      <c r="A1681" s="58" t="s">
        <v>2283</v>
      </c>
      <c r="B1681" s="58" t="s">
        <v>2273</v>
      </c>
      <c r="C1681" s="58" t="s">
        <v>108</v>
      </c>
      <c r="D1681" s="58" t="s">
        <v>2809</v>
      </c>
      <c r="E1681" s="59" t="s">
        <v>108</v>
      </c>
      <c r="F1681" s="59" t="s">
        <v>2349</v>
      </c>
      <c r="G1681" s="58" t="s">
        <v>2284</v>
      </c>
    </row>
    <row r="1682" spans="1:7">
      <c r="A1682" s="57" t="s">
        <v>2285</v>
      </c>
      <c r="B1682" s="57"/>
      <c r="C1682" s="57" t="s">
        <v>2135</v>
      </c>
      <c r="D1682" s="57" t="s">
        <v>2809</v>
      </c>
      <c r="E1682" s="75" t="s">
        <v>2136</v>
      </c>
      <c r="F1682" s="57" t="s">
        <v>1868</v>
      </c>
      <c r="G1682" s="57" t="s">
        <v>2120</v>
      </c>
    </row>
    <row r="1683" spans="1:7">
      <c r="A1683" s="58" t="s">
        <v>2286</v>
      </c>
      <c r="B1683" s="58"/>
      <c r="C1683" s="58" t="s">
        <v>108</v>
      </c>
      <c r="D1683" s="58" t="s">
        <v>2809</v>
      </c>
      <c r="E1683" s="59" t="s">
        <v>108</v>
      </c>
      <c r="F1683" s="59" t="s">
        <v>2349</v>
      </c>
      <c r="G1683" s="58" t="s">
        <v>2120</v>
      </c>
    </row>
    <row r="1684" spans="1:7">
      <c r="A1684" s="58" t="s">
        <v>2287</v>
      </c>
      <c r="B1684" s="58" t="s">
        <v>2273</v>
      </c>
      <c r="C1684" s="58" t="s">
        <v>2288</v>
      </c>
      <c r="D1684" s="58" t="s">
        <v>2809</v>
      </c>
      <c r="E1684" s="59" t="s">
        <v>2288</v>
      </c>
      <c r="F1684" s="59" t="s">
        <v>2349</v>
      </c>
      <c r="G1684" s="58" t="s">
        <v>2289</v>
      </c>
    </row>
    <row r="1685" spans="1:7" ht="17.25">
      <c r="A1685" s="76" t="s">
        <v>2829</v>
      </c>
      <c r="B1685" s="76"/>
      <c r="C1685" s="76"/>
      <c r="D1685" s="76"/>
      <c r="E1685" s="77"/>
      <c r="F1685" s="76"/>
      <c r="G1685" s="76"/>
    </row>
    <row r="1686" spans="1:7">
      <c r="A1686" s="57" t="s">
        <v>2291</v>
      </c>
      <c r="B1686" s="57"/>
      <c r="C1686" s="57" t="s">
        <v>2135</v>
      </c>
      <c r="D1686" s="57" t="s">
        <v>2809</v>
      </c>
      <c r="E1686" s="75" t="s">
        <v>2136</v>
      </c>
      <c r="F1686" s="57" t="s">
        <v>1868</v>
      </c>
      <c r="G1686" s="57" t="s">
        <v>2292</v>
      </c>
    </row>
    <row r="1687" spans="1:7">
      <c r="A1687" s="58" t="s">
        <v>2293</v>
      </c>
      <c r="B1687" s="58" t="s">
        <v>2294</v>
      </c>
      <c r="C1687" s="58" t="s">
        <v>2295</v>
      </c>
      <c r="D1687" s="58" t="s">
        <v>2809</v>
      </c>
      <c r="E1687" s="59" t="s">
        <v>108</v>
      </c>
      <c r="F1687" s="59" t="s">
        <v>2349</v>
      </c>
      <c r="G1687" s="58" t="s">
        <v>2296</v>
      </c>
    </row>
    <row r="1688" spans="1:7">
      <c r="A1688" s="58" t="s">
        <v>2297</v>
      </c>
      <c r="B1688" s="58" t="s">
        <v>2298</v>
      </c>
      <c r="C1688" s="58" t="s">
        <v>108</v>
      </c>
      <c r="D1688" s="58" t="s">
        <v>2809</v>
      </c>
      <c r="E1688" s="59" t="s">
        <v>108</v>
      </c>
      <c r="F1688" s="59" t="s">
        <v>2349</v>
      </c>
      <c r="G1688" s="58" t="s">
        <v>2299</v>
      </c>
    </row>
    <row r="1689" spans="1:7">
      <c r="A1689" s="58" t="s">
        <v>2300</v>
      </c>
      <c r="B1689" s="58" t="s">
        <v>2294</v>
      </c>
      <c r="C1689" s="58" t="s">
        <v>108</v>
      </c>
      <c r="D1689" s="58" t="s">
        <v>2809</v>
      </c>
      <c r="E1689" s="59" t="s">
        <v>108</v>
      </c>
      <c r="F1689" s="59" t="s">
        <v>2349</v>
      </c>
      <c r="G1689" s="58" t="s">
        <v>2299</v>
      </c>
    </row>
    <row r="1690" spans="1:7">
      <c r="A1690" s="58" t="s">
        <v>2301</v>
      </c>
      <c r="B1690" s="58" t="s">
        <v>2302</v>
      </c>
      <c r="C1690" s="58" t="s">
        <v>2193</v>
      </c>
      <c r="D1690" s="58" t="s">
        <v>2809</v>
      </c>
      <c r="E1690" s="59" t="s">
        <v>2193</v>
      </c>
      <c r="F1690" s="59" t="s">
        <v>2349</v>
      </c>
      <c r="G1690" s="58" t="s">
        <v>2303</v>
      </c>
    </row>
    <row r="1691" spans="1:7">
      <c r="A1691" s="58" t="s">
        <v>2304</v>
      </c>
      <c r="B1691" s="58" t="s">
        <v>2305</v>
      </c>
      <c r="C1691" s="58" t="s">
        <v>2257</v>
      </c>
      <c r="D1691" s="58" t="s">
        <v>2809</v>
      </c>
      <c r="E1691" s="59" t="s">
        <v>108</v>
      </c>
      <c r="F1691" s="59" t="s">
        <v>2349</v>
      </c>
      <c r="G1691" s="58" t="s">
        <v>2306</v>
      </c>
    </row>
    <row r="1692" spans="1:7" ht="17.25">
      <c r="A1692" s="76" t="s">
        <v>2830</v>
      </c>
      <c r="B1692" s="76"/>
      <c r="C1692" s="76"/>
      <c r="D1692" s="76"/>
      <c r="E1692" s="77"/>
      <c r="F1692" s="76"/>
      <c r="G1692" s="76"/>
    </row>
    <row r="1693" spans="1:7">
      <c r="A1693" s="58" t="s">
        <v>2532</v>
      </c>
      <c r="B1693" s="58" t="s">
        <v>2533</v>
      </c>
      <c r="C1693" s="58" t="s">
        <v>1559</v>
      </c>
      <c r="D1693" s="58" t="s">
        <v>2831</v>
      </c>
      <c r="E1693" s="59" t="s">
        <v>1559</v>
      </c>
      <c r="F1693" s="59" t="s">
        <v>2349</v>
      </c>
      <c r="G1693" s="58" t="s">
        <v>2535</v>
      </c>
    </row>
    <row r="1694" spans="1:7">
      <c r="A1694" s="58" t="s">
        <v>2536</v>
      </c>
      <c r="B1694" s="58" t="s">
        <v>2537</v>
      </c>
      <c r="C1694" s="58" t="s">
        <v>2538</v>
      </c>
      <c r="D1694" s="58" t="s">
        <v>2831</v>
      </c>
      <c r="E1694" s="59" t="s">
        <v>2504</v>
      </c>
      <c r="F1694" s="59" t="s">
        <v>2349</v>
      </c>
      <c r="G1694" s="58" t="s">
        <v>2539</v>
      </c>
    </row>
    <row r="1695" spans="1:7">
      <c r="A1695" s="58" t="s">
        <v>2540</v>
      </c>
      <c r="B1695" s="58" t="s">
        <v>2537</v>
      </c>
      <c r="C1695" s="58" t="s">
        <v>2193</v>
      </c>
      <c r="D1695" s="58" t="s">
        <v>2831</v>
      </c>
      <c r="E1695" s="59" t="s">
        <v>2193</v>
      </c>
      <c r="F1695" s="59" t="s">
        <v>2349</v>
      </c>
      <c r="G1695" s="58" t="s">
        <v>2541</v>
      </c>
    </row>
    <row r="1696" spans="1:7">
      <c r="A1696" s="58" t="s">
        <v>2542</v>
      </c>
      <c r="B1696" s="58" t="s">
        <v>2533</v>
      </c>
      <c r="C1696" s="58" t="s">
        <v>108</v>
      </c>
      <c r="D1696" s="58" t="s">
        <v>2831</v>
      </c>
      <c r="E1696" s="59" t="s">
        <v>108</v>
      </c>
      <c r="F1696" s="59" t="s">
        <v>2349</v>
      </c>
      <c r="G1696" s="58" t="s">
        <v>2543</v>
      </c>
    </row>
    <row r="1697" spans="1:7">
      <c r="A1697" s="58" t="s">
        <v>2544</v>
      </c>
      <c r="B1697" s="58" t="s">
        <v>2545</v>
      </c>
      <c r="C1697" s="58" t="s">
        <v>2193</v>
      </c>
      <c r="D1697" s="58" t="s">
        <v>2831</v>
      </c>
      <c r="E1697" s="59" t="s">
        <v>2193</v>
      </c>
      <c r="F1697" s="59" t="s">
        <v>2349</v>
      </c>
      <c r="G1697" s="58" t="s">
        <v>2541</v>
      </c>
    </row>
    <row r="1698" spans="1:7">
      <c r="A1698" s="57" t="s">
        <v>2546</v>
      </c>
      <c r="B1698" s="57" t="s">
        <v>2546</v>
      </c>
      <c r="C1698" s="57" t="s">
        <v>2135</v>
      </c>
      <c r="D1698" s="57" t="s">
        <v>2831</v>
      </c>
      <c r="E1698" s="75" t="s">
        <v>2355</v>
      </c>
      <c r="F1698" s="57" t="s">
        <v>2074</v>
      </c>
      <c r="G1698" s="57" t="s">
        <v>2547</v>
      </c>
    </row>
    <row r="1699" spans="1:7">
      <c r="A1699" s="58" t="s">
        <v>2832</v>
      </c>
      <c r="B1699" s="58" t="s">
        <v>2591</v>
      </c>
      <c r="C1699" s="58" t="s">
        <v>543</v>
      </c>
      <c r="D1699" s="58" t="s">
        <v>2831</v>
      </c>
      <c r="E1699" s="59" t="s">
        <v>543</v>
      </c>
      <c r="F1699" s="59" t="s">
        <v>2349</v>
      </c>
      <c r="G1699" s="58" t="s">
        <v>2833</v>
      </c>
    </row>
    <row r="1700" spans="1:7">
      <c r="A1700" s="58" t="s">
        <v>2834</v>
      </c>
      <c r="B1700" s="58" t="s">
        <v>2554</v>
      </c>
      <c r="C1700" s="58" t="s">
        <v>543</v>
      </c>
      <c r="D1700" s="58" t="s">
        <v>2831</v>
      </c>
      <c r="E1700" s="59" t="s">
        <v>543</v>
      </c>
      <c r="F1700" s="59" t="s">
        <v>2349</v>
      </c>
      <c r="G1700" s="58" t="s">
        <v>2835</v>
      </c>
    </row>
    <row r="1701" spans="1:7" ht="17.25">
      <c r="A1701" s="76" t="s">
        <v>2836</v>
      </c>
      <c r="B1701" s="76"/>
      <c r="C1701" s="76"/>
      <c r="D1701" s="76"/>
      <c r="E1701" s="77"/>
      <c r="F1701" s="76"/>
      <c r="G1701" s="76"/>
    </row>
    <row r="1702" spans="1:7">
      <c r="A1702" s="58" t="s">
        <v>2549</v>
      </c>
      <c r="B1702" s="58" t="s">
        <v>2537</v>
      </c>
      <c r="C1702" s="58" t="s">
        <v>2288</v>
      </c>
      <c r="D1702" s="58" t="s">
        <v>2831</v>
      </c>
      <c r="E1702" s="59" t="s">
        <v>2288</v>
      </c>
      <c r="F1702" s="59" t="s">
        <v>2349</v>
      </c>
      <c r="G1702" s="58" t="s">
        <v>2550</v>
      </c>
    </row>
    <row r="1703" spans="1:7">
      <c r="A1703" s="57" t="s">
        <v>2551</v>
      </c>
      <c r="B1703" s="57" t="s">
        <v>2537</v>
      </c>
      <c r="C1703" s="57" t="s">
        <v>2135</v>
      </c>
      <c r="D1703" s="57" t="s">
        <v>2831</v>
      </c>
      <c r="E1703" s="75" t="s">
        <v>2355</v>
      </c>
      <c r="F1703" s="57" t="s">
        <v>2074</v>
      </c>
      <c r="G1703" s="57" t="s">
        <v>2552</v>
      </c>
    </row>
    <row r="1704" spans="1:7">
      <c r="A1704" s="57" t="s">
        <v>2553</v>
      </c>
      <c r="B1704" s="57" t="s">
        <v>2554</v>
      </c>
      <c r="C1704" s="57" t="s">
        <v>2135</v>
      </c>
      <c r="D1704" s="57" t="s">
        <v>2831</v>
      </c>
      <c r="E1704" s="75" t="s">
        <v>2355</v>
      </c>
      <c r="F1704" s="57" t="s">
        <v>2074</v>
      </c>
      <c r="G1704" s="57" t="s">
        <v>2555</v>
      </c>
    </row>
    <row r="1705" spans="1:7">
      <c r="A1705" s="58" t="s">
        <v>2837</v>
      </c>
      <c r="B1705" s="58" t="s">
        <v>2537</v>
      </c>
      <c r="C1705" s="58" t="s">
        <v>2838</v>
      </c>
      <c r="D1705" s="58" t="s">
        <v>2831</v>
      </c>
      <c r="E1705" s="59" t="s">
        <v>543</v>
      </c>
      <c r="F1705" s="59" t="s">
        <v>2349</v>
      </c>
      <c r="G1705" s="58" t="s">
        <v>2839</v>
      </c>
    </row>
    <row r="1706" spans="1:7">
      <c r="A1706" s="58" t="s">
        <v>2556</v>
      </c>
      <c r="B1706" s="58" t="s">
        <v>2533</v>
      </c>
      <c r="C1706" s="58" t="s">
        <v>2288</v>
      </c>
      <c r="D1706" s="58" t="s">
        <v>2831</v>
      </c>
      <c r="E1706" s="59" t="s">
        <v>2288</v>
      </c>
      <c r="F1706" s="59" t="s">
        <v>2349</v>
      </c>
      <c r="G1706" s="58" t="s">
        <v>2557</v>
      </c>
    </row>
    <row r="1707" spans="1:7">
      <c r="A1707" s="58" t="s">
        <v>2840</v>
      </c>
      <c r="B1707" s="58" t="s">
        <v>2563</v>
      </c>
      <c r="C1707" s="58" t="s">
        <v>543</v>
      </c>
      <c r="D1707" s="58" t="s">
        <v>2831</v>
      </c>
      <c r="E1707" s="59" t="s">
        <v>543</v>
      </c>
      <c r="F1707" s="59" t="s">
        <v>2349</v>
      </c>
      <c r="G1707" s="58" t="s">
        <v>2120</v>
      </c>
    </row>
    <row r="1708" spans="1:7">
      <c r="A1708" s="58" t="s">
        <v>2558</v>
      </c>
      <c r="B1708" s="58" t="s">
        <v>2559</v>
      </c>
      <c r="C1708" s="58" t="s">
        <v>2560</v>
      </c>
      <c r="D1708" s="58" t="s">
        <v>2831</v>
      </c>
      <c r="E1708" s="59" t="s">
        <v>2288</v>
      </c>
      <c r="F1708" s="59" t="s">
        <v>2349</v>
      </c>
      <c r="G1708" s="58" t="s">
        <v>2561</v>
      </c>
    </row>
    <row r="1709" spans="1:7">
      <c r="A1709" s="58" t="s">
        <v>2562</v>
      </c>
      <c r="B1709" s="58" t="s">
        <v>2563</v>
      </c>
      <c r="C1709" s="58" t="s">
        <v>2564</v>
      </c>
      <c r="D1709" s="58" t="s">
        <v>2831</v>
      </c>
      <c r="E1709" s="59" t="s">
        <v>1201</v>
      </c>
      <c r="F1709" s="59" t="s">
        <v>2349</v>
      </c>
      <c r="G1709" s="58" t="s">
        <v>2565</v>
      </c>
    </row>
    <row r="1710" spans="1:7">
      <c r="A1710" s="57" t="s">
        <v>2566</v>
      </c>
      <c r="B1710" s="57" t="s">
        <v>2545</v>
      </c>
      <c r="C1710" s="57" t="s">
        <v>2567</v>
      </c>
      <c r="D1710" s="57" t="s">
        <v>2831</v>
      </c>
      <c r="E1710" s="75" t="s">
        <v>108</v>
      </c>
      <c r="F1710" s="57" t="s">
        <v>2074</v>
      </c>
      <c r="G1710" s="57" t="s">
        <v>2569</v>
      </c>
    </row>
    <row r="1711" spans="1:7">
      <c r="A1711" s="57" t="s">
        <v>2570</v>
      </c>
      <c r="B1711" s="57" t="s">
        <v>2571</v>
      </c>
      <c r="C1711" s="57" t="s">
        <v>2135</v>
      </c>
      <c r="D1711" s="57" t="s">
        <v>2831</v>
      </c>
      <c r="E1711" s="75" t="s">
        <v>2355</v>
      </c>
      <c r="F1711" s="57" t="s">
        <v>2074</v>
      </c>
      <c r="G1711" s="57" t="s">
        <v>2120</v>
      </c>
    </row>
    <row r="1712" spans="1:7">
      <c r="A1712" s="57" t="s">
        <v>2575</v>
      </c>
      <c r="B1712" s="57" t="s">
        <v>2533</v>
      </c>
      <c r="C1712" s="57" t="s">
        <v>2135</v>
      </c>
      <c r="D1712" s="57" t="s">
        <v>2831</v>
      </c>
      <c r="E1712" s="75" t="s">
        <v>2355</v>
      </c>
      <c r="F1712" s="57" t="s">
        <v>2074</v>
      </c>
      <c r="G1712" s="57" t="s">
        <v>2120</v>
      </c>
    </row>
    <row r="1713" spans="1:7">
      <c r="A1713" s="58" t="s">
        <v>2576</v>
      </c>
      <c r="B1713" s="58" t="s">
        <v>2571</v>
      </c>
      <c r="C1713" s="58" t="s">
        <v>108</v>
      </c>
      <c r="D1713" s="58" t="s">
        <v>2831</v>
      </c>
      <c r="E1713" s="59" t="s">
        <v>108</v>
      </c>
      <c r="F1713" s="59" t="s">
        <v>2349</v>
      </c>
      <c r="G1713" s="58" t="s">
        <v>2577</v>
      </c>
    </row>
    <row r="1714" spans="1:7">
      <c r="A1714" s="58" t="s">
        <v>2578</v>
      </c>
      <c r="B1714" s="58" t="s">
        <v>2579</v>
      </c>
      <c r="C1714" s="58" t="s">
        <v>2564</v>
      </c>
      <c r="D1714" s="58" t="s">
        <v>2831</v>
      </c>
      <c r="E1714" s="59" t="s">
        <v>1201</v>
      </c>
      <c r="F1714" s="59" t="s">
        <v>2349</v>
      </c>
      <c r="G1714" s="58" t="s">
        <v>2565</v>
      </c>
    </row>
    <row r="1715" spans="1:7">
      <c r="A1715" s="57" t="s">
        <v>2546</v>
      </c>
      <c r="B1715" s="57" t="s">
        <v>2546</v>
      </c>
      <c r="C1715" s="57" t="s">
        <v>2135</v>
      </c>
      <c r="D1715" s="57" t="s">
        <v>2831</v>
      </c>
      <c r="E1715" s="75" t="s">
        <v>2355</v>
      </c>
      <c r="F1715" s="57" t="s">
        <v>2074</v>
      </c>
      <c r="G1715" s="57" t="s">
        <v>2580</v>
      </c>
    </row>
    <row r="1716" spans="1:7">
      <c r="A1716" s="57" t="s">
        <v>2581</v>
      </c>
      <c r="B1716" s="57" t="s">
        <v>2582</v>
      </c>
      <c r="C1716" s="57" t="s">
        <v>2135</v>
      </c>
      <c r="D1716" s="57" t="s">
        <v>2831</v>
      </c>
      <c r="E1716" s="75" t="s">
        <v>2355</v>
      </c>
      <c r="F1716" s="57" t="s">
        <v>2074</v>
      </c>
      <c r="G1716" s="57" t="s">
        <v>2583</v>
      </c>
    </row>
    <row r="1717" spans="1:7">
      <c r="A1717" s="58" t="s">
        <v>2841</v>
      </c>
      <c r="B1717" s="58" t="s">
        <v>2554</v>
      </c>
      <c r="C1717" s="58" t="s">
        <v>543</v>
      </c>
      <c r="D1717" s="58" t="s">
        <v>2831</v>
      </c>
      <c r="E1717" s="59" t="s">
        <v>543</v>
      </c>
      <c r="F1717" s="59" t="s">
        <v>2349</v>
      </c>
      <c r="G1717" s="58" t="s">
        <v>2842</v>
      </c>
    </row>
    <row r="1718" spans="1:7">
      <c r="A1718" s="58" t="s">
        <v>2584</v>
      </c>
      <c r="B1718" s="58" t="s">
        <v>2545</v>
      </c>
      <c r="C1718" s="58" t="s">
        <v>2585</v>
      </c>
      <c r="D1718" s="58" t="s">
        <v>2831</v>
      </c>
      <c r="E1718" s="59" t="s">
        <v>2843</v>
      </c>
      <c r="F1718" s="59" t="s">
        <v>2349</v>
      </c>
      <c r="G1718" s="58" t="s">
        <v>2586</v>
      </c>
    </row>
    <row r="1719" spans="1:7">
      <c r="A1719" s="58" t="s">
        <v>2587</v>
      </c>
      <c r="B1719" s="58" t="s">
        <v>2554</v>
      </c>
      <c r="C1719" s="58" t="s">
        <v>2288</v>
      </c>
      <c r="D1719" s="58" t="s">
        <v>2831</v>
      </c>
      <c r="E1719" s="59" t="s">
        <v>2288</v>
      </c>
      <c r="F1719" s="59" t="s">
        <v>2349</v>
      </c>
      <c r="G1719" s="58" t="s">
        <v>2588</v>
      </c>
    </row>
    <row r="1720" spans="1:7">
      <c r="A1720" s="58" t="s">
        <v>2844</v>
      </c>
      <c r="B1720" s="58" t="s">
        <v>2554</v>
      </c>
      <c r="C1720" s="58" t="s">
        <v>2845</v>
      </c>
      <c r="D1720" s="58" t="s">
        <v>2831</v>
      </c>
      <c r="E1720" s="59" t="s">
        <v>543</v>
      </c>
      <c r="F1720" s="59" t="s">
        <v>2349</v>
      </c>
      <c r="G1720" s="58" t="s">
        <v>2846</v>
      </c>
    </row>
    <row r="1721" spans="1:7" ht="17.25">
      <c r="A1721" s="76" t="s">
        <v>2847</v>
      </c>
      <c r="B1721" s="76"/>
      <c r="C1721" s="76"/>
      <c r="D1721" s="76"/>
      <c r="E1721" s="77"/>
      <c r="F1721" s="76"/>
      <c r="G1721" s="76"/>
    </row>
    <row r="1722" spans="1:7">
      <c r="A1722" s="57" t="s">
        <v>2546</v>
      </c>
      <c r="B1722" s="57" t="s">
        <v>2546</v>
      </c>
      <c r="C1722" s="57" t="s">
        <v>2135</v>
      </c>
      <c r="D1722" s="57" t="s">
        <v>2831</v>
      </c>
      <c r="E1722" s="75" t="s">
        <v>2355</v>
      </c>
      <c r="F1722" s="57" t="s">
        <v>2074</v>
      </c>
      <c r="G1722" s="57" t="s">
        <v>2547</v>
      </c>
    </row>
    <row r="1723" spans="1:7">
      <c r="A1723" s="58" t="s">
        <v>2590</v>
      </c>
      <c r="B1723" s="58" t="s">
        <v>2591</v>
      </c>
      <c r="C1723" s="58" t="s">
        <v>2592</v>
      </c>
      <c r="D1723" s="58" t="s">
        <v>2831</v>
      </c>
      <c r="E1723" s="59" t="s">
        <v>2288</v>
      </c>
      <c r="F1723" s="59" t="s">
        <v>2349</v>
      </c>
      <c r="G1723" s="58" t="s">
        <v>2593</v>
      </c>
    </row>
    <row r="1724" spans="1:7">
      <c r="A1724" s="58" t="s">
        <v>2848</v>
      </c>
      <c r="B1724" s="58" t="s">
        <v>2545</v>
      </c>
      <c r="C1724" s="58" t="s">
        <v>543</v>
      </c>
      <c r="D1724" s="58" t="s">
        <v>2831</v>
      </c>
      <c r="E1724" s="59" t="s">
        <v>543</v>
      </c>
      <c r="F1724" s="59" t="s">
        <v>2349</v>
      </c>
      <c r="G1724" s="58" t="s">
        <v>2849</v>
      </c>
    </row>
    <row r="1725" spans="1:7">
      <c r="A1725" s="58" t="s">
        <v>2594</v>
      </c>
      <c r="B1725" s="58" t="s">
        <v>2533</v>
      </c>
      <c r="C1725" s="58" t="s">
        <v>2288</v>
      </c>
      <c r="D1725" s="58" t="s">
        <v>2831</v>
      </c>
      <c r="E1725" s="59" t="s">
        <v>2288</v>
      </c>
      <c r="F1725" s="59" t="s">
        <v>2349</v>
      </c>
      <c r="G1725" s="58" t="s">
        <v>2595</v>
      </c>
    </row>
    <row r="1726" spans="1:7">
      <c r="A1726" s="58" t="s">
        <v>2596</v>
      </c>
      <c r="B1726" s="58" t="s">
        <v>2582</v>
      </c>
      <c r="C1726" s="58" t="s">
        <v>108</v>
      </c>
      <c r="D1726" s="58" t="s">
        <v>2831</v>
      </c>
      <c r="E1726" s="59" t="s">
        <v>108</v>
      </c>
      <c r="F1726" s="59" t="s">
        <v>2349</v>
      </c>
      <c r="G1726" s="58" t="s">
        <v>2120</v>
      </c>
    </row>
    <row r="1727" spans="1:7">
      <c r="A1727" s="58" t="s">
        <v>2597</v>
      </c>
      <c r="B1727" s="58" t="s">
        <v>2537</v>
      </c>
      <c r="C1727" s="58" t="s">
        <v>108</v>
      </c>
      <c r="D1727" s="58" t="s">
        <v>2831</v>
      </c>
      <c r="E1727" s="59" t="s">
        <v>108</v>
      </c>
      <c r="F1727" s="59" t="s">
        <v>2349</v>
      </c>
      <c r="G1727" s="58" t="s">
        <v>2598</v>
      </c>
    </row>
    <row r="1728" spans="1:7">
      <c r="A1728" s="58" t="s">
        <v>2599</v>
      </c>
      <c r="B1728" s="58" t="s">
        <v>2559</v>
      </c>
      <c r="C1728" s="58" t="s">
        <v>2288</v>
      </c>
      <c r="D1728" s="58" t="s">
        <v>2831</v>
      </c>
      <c r="E1728" s="59" t="s">
        <v>2288</v>
      </c>
      <c r="F1728" s="59" t="s">
        <v>2349</v>
      </c>
      <c r="G1728" s="58" t="s">
        <v>2600</v>
      </c>
    </row>
    <row r="1729" spans="1:7">
      <c r="A1729" s="58" t="s">
        <v>2601</v>
      </c>
      <c r="B1729" s="58" t="s">
        <v>2533</v>
      </c>
      <c r="C1729" s="58" t="s">
        <v>2288</v>
      </c>
      <c r="D1729" s="58" t="s">
        <v>2831</v>
      </c>
      <c r="E1729" s="59" t="s">
        <v>2288</v>
      </c>
      <c r="F1729" s="59" t="s">
        <v>2349</v>
      </c>
      <c r="G1729" s="58" t="s">
        <v>2602</v>
      </c>
    </row>
    <row r="1730" spans="1:7">
      <c r="A1730" s="58" t="s">
        <v>2603</v>
      </c>
      <c r="B1730" s="58" t="s">
        <v>2559</v>
      </c>
      <c r="C1730" s="58" t="s">
        <v>2604</v>
      </c>
      <c r="D1730" s="58" t="s">
        <v>2831</v>
      </c>
      <c r="E1730" s="59" t="s">
        <v>2193</v>
      </c>
      <c r="F1730" s="59" t="s">
        <v>2349</v>
      </c>
      <c r="G1730" s="58" t="s">
        <v>2606</v>
      </c>
    </row>
    <row r="1731" spans="1:7">
      <c r="A1731" s="58" t="s">
        <v>2607</v>
      </c>
      <c r="B1731" s="58" t="s">
        <v>2563</v>
      </c>
      <c r="C1731" s="58" t="s">
        <v>2608</v>
      </c>
      <c r="D1731" s="58" t="s">
        <v>2831</v>
      </c>
      <c r="E1731" s="59" t="s">
        <v>2288</v>
      </c>
      <c r="F1731" s="59" t="s">
        <v>2349</v>
      </c>
      <c r="G1731" s="58" t="s">
        <v>2609</v>
      </c>
    </row>
    <row r="1732" spans="1:7">
      <c r="A1732" s="58" t="s">
        <v>2610</v>
      </c>
      <c r="B1732" s="58" t="s">
        <v>2545</v>
      </c>
      <c r="C1732" s="58" t="s">
        <v>108</v>
      </c>
      <c r="D1732" s="58" t="s">
        <v>2831</v>
      </c>
      <c r="E1732" s="59" t="s">
        <v>108</v>
      </c>
      <c r="F1732" s="59" t="s">
        <v>2349</v>
      </c>
      <c r="G1732" s="58" t="s">
        <v>2120</v>
      </c>
    </row>
    <row r="1733" spans="1:7">
      <c r="A1733" s="58" t="s">
        <v>2850</v>
      </c>
      <c r="B1733" s="58" t="s">
        <v>2545</v>
      </c>
      <c r="C1733" s="58" t="s">
        <v>543</v>
      </c>
      <c r="D1733" s="58" t="s">
        <v>2831</v>
      </c>
      <c r="E1733" s="59" t="s">
        <v>543</v>
      </c>
      <c r="F1733" s="59" t="s">
        <v>2349</v>
      </c>
      <c r="G1733" s="58" t="s">
        <v>2851</v>
      </c>
    </row>
    <row r="1734" spans="1:7">
      <c r="A1734" s="58" t="s">
        <v>2611</v>
      </c>
      <c r="B1734" s="58" t="s">
        <v>2545</v>
      </c>
      <c r="C1734" s="58" t="s">
        <v>2288</v>
      </c>
      <c r="D1734" s="58" t="s">
        <v>2831</v>
      </c>
      <c r="E1734" s="59" t="s">
        <v>2288</v>
      </c>
      <c r="F1734" s="59" t="s">
        <v>2349</v>
      </c>
      <c r="G1734" s="58" t="s">
        <v>2612</v>
      </c>
    </row>
    <row r="1735" spans="1:7" ht="17.25">
      <c r="A1735" s="76" t="s">
        <v>2852</v>
      </c>
      <c r="B1735" s="76"/>
      <c r="C1735" s="76"/>
      <c r="D1735" s="76"/>
      <c r="E1735" s="77"/>
      <c r="F1735" s="76"/>
      <c r="G1735" s="76"/>
    </row>
    <row r="1736" spans="1:7">
      <c r="A1736" s="57" t="s">
        <v>2546</v>
      </c>
      <c r="B1736" s="57" t="s">
        <v>2546</v>
      </c>
      <c r="C1736" s="57" t="s">
        <v>2135</v>
      </c>
      <c r="D1736" s="57" t="s">
        <v>2831</v>
      </c>
      <c r="E1736" s="75" t="s">
        <v>2355</v>
      </c>
      <c r="F1736" s="57" t="s">
        <v>2074</v>
      </c>
      <c r="G1736" s="57" t="s">
        <v>2614</v>
      </c>
    </row>
    <row r="1737" spans="1:7">
      <c r="A1737" s="58" t="s">
        <v>2615</v>
      </c>
      <c r="B1737" s="58" t="s">
        <v>2537</v>
      </c>
      <c r="C1737" s="58" t="s">
        <v>2616</v>
      </c>
      <c r="D1737" s="58" t="s">
        <v>2831</v>
      </c>
      <c r="E1737" s="59" t="s">
        <v>2288</v>
      </c>
      <c r="F1737" s="59" t="s">
        <v>2349</v>
      </c>
      <c r="G1737" s="58" t="s">
        <v>2617</v>
      </c>
    </row>
    <row r="1738" spans="1:7">
      <c r="A1738" s="57" t="s">
        <v>2618</v>
      </c>
      <c r="B1738" s="57" t="s">
        <v>2619</v>
      </c>
      <c r="C1738" s="57" t="s">
        <v>2135</v>
      </c>
      <c r="D1738" s="57" t="s">
        <v>2831</v>
      </c>
      <c r="E1738" s="75" t="s">
        <v>2355</v>
      </c>
      <c r="F1738" s="57" t="s">
        <v>2074</v>
      </c>
      <c r="G1738" s="57" t="s">
        <v>2120</v>
      </c>
    </row>
    <row r="1739" spans="1:7">
      <c r="A1739" s="58" t="s">
        <v>2620</v>
      </c>
      <c r="B1739" s="58" t="s">
        <v>2554</v>
      </c>
      <c r="C1739" s="58" t="s">
        <v>2288</v>
      </c>
      <c r="D1739" s="58" t="s">
        <v>2831</v>
      </c>
      <c r="E1739" s="59" t="s">
        <v>2288</v>
      </c>
      <c r="F1739" s="59" t="s">
        <v>2349</v>
      </c>
      <c r="G1739" s="58" t="s">
        <v>2621</v>
      </c>
    </row>
    <row r="1740" spans="1:7">
      <c r="A1740" s="57" t="s">
        <v>2622</v>
      </c>
      <c r="B1740" s="57" t="s">
        <v>2582</v>
      </c>
      <c r="C1740" s="57" t="s">
        <v>2135</v>
      </c>
      <c r="D1740" s="57" t="s">
        <v>2831</v>
      </c>
      <c r="E1740" s="75" t="s">
        <v>2355</v>
      </c>
      <c r="F1740" s="57" t="s">
        <v>2074</v>
      </c>
      <c r="G1740" s="57" t="s">
        <v>2120</v>
      </c>
    </row>
    <row r="1741" spans="1:7">
      <c r="A1741" s="58" t="s">
        <v>2853</v>
      </c>
      <c r="B1741" s="58" t="s">
        <v>2571</v>
      </c>
      <c r="C1741" s="58" t="s">
        <v>543</v>
      </c>
      <c r="D1741" s="58" t="s">
        <v>2831</v>
      </c>
      <c r="E1741" s="59" t="s">
        <v>543</v>
      </c>
      <c r="F1741" s="59" t="s">
        <v>2349</v>
      </c>
      <c r="G1741" s="58" t="s">
        <v>2854</v>
      </c>
    </row>
    <row r="1742" spans="1:7">
      <c r="A1742" s="58" t="s">
        <v>2623</v>
      </c>
      <c r="B1742" s="58" t="s">
        <v>2533</v>
      </c>
      <c r="C1742" s="58" t="s">
        <v>2288</v>
      </c>
      <c r="D1742" s="58" t="s">
        <v>2831</v>
      </c>
      <c r="E1742" s="59" t="s">
        <v>2288</v>
      </c>
      <c r="F1742" s="59" t="s">
        <v>2349</v>
      </c>
      <c r="G1742" s="58" t="s">
        <v>2624</v>
      </c>
    </row>
    <row r="1743" spans="1:7">
      <c r="A1743" s="58" t="s">
        <v>2855</v>
      </c>
      <c r="B1743" s="58" t="s">
        <v>2582</v>
      </c>
      <c r="C1743" s="58" t="s">
        <v>543</v>
      </c>
      <c r="D1743" s="58" t="s">
        <v>2831</v>
      </c>
      <c r="E1743" s="59" t="s">
        <v>543</v>
      </c>
      <c r="F1743" s="59" t="s">
        <v>2349</v>
      </c>
      <c r="G1743" s="58" t="s">
        <v>2856</v>
      </c>
    </row>
    <row r="1744" spans="1:7">
      <c r="A1744" s="58" t="s">
        <v>2625</v>
      </c>
      <c r="B1744" s="58" t="s">
        <v>2533</v>
      </c>
      <c r="C1744" s="58" t="s">
        <v>2288</v>
      </c>
      <c r="D1744" s="58" t="s">
        <v>2831</v>
      </c>
      <c r="E1744" s="59" t="s">
        <v>2288</v>
      </c>
      <c r="F1744" s="59" t="s">
        <v>2349</v>
      </c>
      <c r="G1744" s="58" t="s">
        <v>2120</v>
      </c>
    </row>
    <row r="1745" spans="1:7">
      <c r="A1745" s="58" t="s">
        <v>2626</v>
      </c>
      <c r="B1745" s="58" t="s">
        <v>2579</v>
      </c>
      <c r="C1745" s="58" t="s">
        <v>1201</v>
      </c>
      <c r="D1745" s="58" t="s">
        <v>2831</v>
      </c>
      <c r="E1745" s="59" t="s">
        <v>1201</v>
      </c>
      <c r="F1745" s="59" t="s">
        <v>2349</v>
      </c>
      <c r="G1745" s="58" t="s">
        <v>2627</v>
      </c>
    </row>
    <row r="1746" spans="1:7">
      <c r="A1746" s="58" t="s">
        <v>2628</v>
      </c>
      <c r="B1746" s="58" t="s">
        <v>2533</v>
      </c>
      <c r="C1746" s="58" t="s">
        <v>2629</v>
      </c>
      <c r="D1746" s="58" t="s">
        <v>2831</v>
      </c>
      <c r="E1746" s="59" t="s">
        <v>2629</v>
      </c>
      <c r="F1746" s="59" t="s">
        <v>2349</v>
      </c>
      <c r="G1746" s="58" t="s">
        <v>2630</v>
      </c>
    </row>
    <row r="1747" spans="1:7">
      <c r="A1747" s="57" t="s">
        <v>2631</v>
      </c>
      <c r="B1747" s="57" t="s">
        <v>2537</v>
      </c>
      <c r="C1747" s="57" t="s">
        <v>2135</v>
      </c>
      <c r="D1747" s="57" t="s">
        <v>2831</v>
      </c>
      <c r="E1747" s="75" t="s">
        <v>2355</v>
      </c>
      <c r="F1747" s="57" t="s">
        <v>2074</v>
      </c>
      <c r="G1747" s="57" t="s">
        <v>2632</v>
      </c>
    </row>
    <row r="1748" spans="1:7">
      <c r="A1748" s="57" t="s">
        <v>2633</v>
      </c>
      <c r="B1748" s="57" t="s">
        <v>2571</v>
      </c>
      <c r="C1748" s="57" t="s">
        <v>2135</v>
      </c>
      <c r="D1748" s="57" t="s">
        <v>2831</v>
      </c>
      <c r="E1748" s="75" t="s">
        <v>2355</v>
      </c>
      <c r="F1748" s="57" t="s">
        <v>2074</v>
      </c>
      <c r="G1748" s="57" t="s">
        <v>2632</v>
      </c>
    </row>
    <row r="1749" spans="1:7">
      <c r="A1749" s="58" t="s">
        <v>2634</v>
      </c>
      <c r="B1749" s="58" t="s">
        <v>2563</v>
      </c>
      <c r="C1749" s="58" t="s">
        <v>2288</v>
      </c>
      <c r="D1749" s="58" t="s">
        <v>2831</v>
      </c>
      <c r="E1749" s="59" t="s">
        <v>2288</v>
      </c>
      <c r="F1749" s="59" t="s">
        <v>2349</v>
      </c>
      <c r="G1749" s="58" t="s">
        <v>2635</v>
      </c>
    </row>
    <row r="1750" spans="1:7">
      <c r="A1750" s="58" t="s">
        <v>2857</v>
      </c>
      <c r="B1750" s="58" t="s">
        <v>2533</v>
      </c>
      <c r="C1750" s="58" t="s">
        <v>2858</v>
      </c>
      <c r="D1750" s="58" t="s">
        <v>2831</v>
      </c>
      <c r="E1750" s="59" t="s">
        <v>543</v>
      </c>
      <c r="F1750" s="59" t="s">
        <v>2349</v>
      </c>
      <c r="G1750" s="58" t="s">
        <v>2859</v>
      </c>
    </row>
    <row r="1751" spans="1:7">
      <c r="A1751" s="58" t="s">
        <v>2860</v>
      </c>
      <c r="B1751" s="58" t="s">
        <v>2591</v>
      </c>
      <c r="C1751" s="58" t="s">
        <v>2861</v>
      </c>
      <c r="D1751" s="58" t="s">
        <v>2831</v>
      </c>
      <c r="E1751" s="59" t="s">
        <v>543</v>
      </c>
      <c r="F1751" s="59" t="s">
        <v>2349</v>
      </c>
      <c r="G1751" s="58" t="s">
        <v>2862</v>
      </c>
    </row>
    <row r="1752" spans="1:7">
      <c r="A1752" s="58" t="s">
        <v>2863</v>
      </c>
      <c r="B1752" s="58" t="s">
        <v>2533</v>
      </c>
      <c r="C1752" s="58" t="s">
        <v>543</v>
      </c>
      <c r="D1752" s="58" t="s">
        <v>2831</v>
      </c>
      <c r="E1752" s="59" t="s">
        <v>543</v>
      </c>
      <c r="F1752" s="59" t="s">
        <v>2349</v>
      </c>
      <c r="G1752" s="58" t="s">
        <v>2864</v>
      </c>
    </row>
    <row r="1753" spans="1:7">
      <c r="A1753" s="57" t="s">
        <v>2636</v>
      </c>
      <c r="B1753" s="57" t="s">
        <v>2582</v>
      </c>
      <c r="C1753" s="57" t="s">
        <v>2135</v>
      </c>
      <c r="D1753" s="57" t="s">
        <v>2831</v>
      </c>
      <c r="E1753" s="75" t="s">
        <v>2355</v>
      </c>
      <c r="F1753" s="57" t="s">
        <v>2074</v>
      </c>
      <c r="G1753" s="57" t="s">
        <v>2120</v>
      </c>
    </row>
    <row r="1754" spans="1:7">
      <c r="A1754" s="57" t="s">
        <v>2637</v>
      </c>
      <c r="B1754" s="57" t="s">
        <v>2619</v>
      </c>
      <c r="C1754" s="57" t="s">
        <v>2338</v>
      </c>
      <c r="D1754" s="57" t="s">
        <v>2831</v>
      </c>
      <c r="E1754" s="75" t="s">
        <v>2379</v>
      </c>
      <c r="F1754" s="57" t="s">
        <v>2074</v>
      </c>
      <c r="G1754" s="57" t="s">
        <v>2120</v>
      </c>
    </row>
    <row r="1755" spans="1:7">
      <c r="A1755" s="57" t="s">
        <v>2638</v>
      </c>
      <c r="B1755" s="57" t="s">
        <v>2537</v>
      </c>
      <c r="C1755" s="57" t="s">
        <v>2338</v>
      </c>
      <c r="D1755" s="57" t="s">
        <v>2831</v>
      </c>
      <c r="E1755" s="75" t="s">
        <v>2379</v>
      </c>
      <c r="F1755" s="57" t="s">
        <v>2074</v>
      </c>
      <c r="G1755" s="57" t="s">
        <v>2639</v>
      </c>
    </row>
    <row r="1756" spans="1:7" ht="17.25">
      <c r="A1756" s="76" t="s">
        <v>2865</v>
      </c>
      <c r="B1756" s="76"/>
      <c r="C1756" s="76"/>
      <c r="D1756" s="76"/>
      <c r="E1756" s="77"/>
      <c r="F1756" s="76"/>
      <c r="G1756" s="76"/>
    </row>
    <row r="1757" spans="1:7">
      <c r="A1757" s="57" t="s">
        <v>2546</v>
      </c>
      <c r="B1757" s="57" t="s">
        <v>2546</v>
      </c>
      <c r="C1757" s="57" t="s">
        <v>2135</v>
      </c>
      <c r="D1757" s="57" t="s">
        <v>2831</v>
      </c>
      <c r="E1757" s="75" t="s">
        <v>2355</v>
      </c>
      <c r="F1757" s="57" t="s">
        <v>2074</v>
      </c>
      <c r="G1757" s="57" t="s">
        <v>2580</v>
      </c>
    </row>
    <row r="1758" spans="1:7">
      <c r="A1758" s="58" t="s">
        <v>2643</v>
      </c>
      <c r="B1758" s="58" t="s">
        <v>2579</v>
      </c>
      <c r="C1758" s="58" t="s">
        <v>2288</v>
      </c>
      <c r="D1758" s="58" t="s">
        <v>2831</v>
      </c>
      <c r="E1758" s="59" t="s">
        <v>2288</v>
      </c>
      <c r="F1758" s="59" t="s">
        <v>2349</v>
      </c>
      <c r="G1758" s="58" t="s">
        <v>2644</v>
      </c>
    </row>
    <row r="1759" spans="1:7">
      <c r="A1759" s="58" t="s">
        <v>2645</v>
      </c>
      <c r="B1759" s="58" t="s">
        <v>2537</v>
      </c>
      <c r="C1759" s="58" t="s">
        <v>2288</v>
      </c>
      <c r="D1759" s="58" t="s">
        <v>2831</v>
      </c>
      <c r="E1759" s="59" t="s">
        <v>2288</v>
      </c>
      <c r="F1759" s="59" t="s">
        <v>2349</v>
      </c>
      <c r="G1759" s="58" t="s">
        <v>2646</v>
      </c>
    </row>
    <row r="1760" spans="1:7">
      <c r="A1760" s="57" t="s">
        <v>2647</v>
      </c>
      <c r="B1760" s="57" t="s">
        <v>2591</v>
      </c>
      <c r="C1760" s="57" t="s">
        <v>2135</v>
      </c>
      <c r="D1760" s="57" t="s">
        <v>2831</v>
      </c>
      <c r="E1760" s="75" t="s">
        <v>2355</v>
      </c>
      <c r="F1760" s="57" t="s">
        <v>2074</v>
      </c>
      <c r="G1760" s="57" t="s">
        <v>2120</v>
      </c>
    </row>
    <row r="1761" spans="1:7">
      <c r="A1761" s="58" t="s">
        <v>2648</v>
      </c>
      <c r="B1761" s="58" t="s">
        <v>2591</v>
      </c>
      <c r="C1761" s="58" t="s">
        <v>2288</v>
      </c>
      <c r="D1761" s="58" t="s">
        <v>2831</v>
      </c>
      <c r="E1761" s="59" t="s">
        <v>2288</v>
      </c>
      <c r="F1761" s="59" t="s">
        <v>2349</v>
      </c>
      <c r="G1761" s="58" t="s">
        <v>2649</v>
      </c>
    </row>
    <row r="1762" spans="1:7">
      <c r="A1762" s="58" t="s">
        <v>2650</v>
      </c>
      <c r="B1762" s="58" t="s">
        <v>2571</v>
      </c>
      <c r="C1762" s="58" t="s">
        <v>2651</v>
      </c>
      <c r="D1762" s="58" t="s">
        <v>2831</v>
      </c>
      <c r="E1762" s="59" t="s">
        <v>2288</v>
      </c>
      <c r="F1762" s="59" t="s">
        <v>2349</v>
      </c>
      <c r="G1762" s="58" t="s">
        <v>2652</v>
      </c>
    </row>
    <row r="1763" spans="1:7">
      <c r="A1763" s="58" t="s">
        <v>2866</v>
      </c>
      <c r="B1763" s="58" t="s">
        <v>2591</v>
      </c>
      <c r="C1763" s="58" t="s">
        <v>543</v>
      </c>
      <c r="D1763" s="58" t="s">
        <v>2831</v>
      </c>
      <c r="E1763" s="59" t="s">
        <v>543</v>
      </c>
      <c r="F1763" s="59" t="s">
        <v>2349</v>
      </c>
      <c r="G1763" s="58" t="s">
        <v>2867</v>
      </c>
    </row>
    <row r="1764" spans="1:7">
      <c r="A1764" s="58" t="s">
        <v>2653</v>
      </c>
      <c r="B1764" s="58" t="s">
        <v>2533</v>
      </c>
      <c r="C1764" s="58" t="s">
        <v>2288</v>
      </c>
      <c r="D1764" s="58" t="s">
        <v>2831</v>
      </c>
      <c r="E1764" s="59" t="s">
        <v>2288</v>
      </c>
      <c r="F1764" s="59" t="s">
        <v>2349</v>
      </c>
      <c r="G1764" s="58" t="s">
        <v>2654</v>
      </c>
    </row>
    <row r="1765" spans="1:7">
      <c r="A1765" s="58" t="s">
        <v>2655</v>
      </c>
      <c r="B1765" s="58" t="s">
        <v>2571</v>
      </c>
      <c r="C1765" s="58" t="s">
        <v>2288</v>
      </c>
      <c r="D1765" s="58" t="s">
        <v>2831</v>
      </c>
      <c r="E1765" s="59" t="s">
        <v>2288</v>
      </c>
      <c r="F1765" s="59" t="s">
        <v>2349</v>
      </c>
      <c r="G1765" s="58" t="s">
        <v>2656</v>
      </c>
    </row>
    <row r="1766" spans="1:7">
      <c r="A1766" s="58" t="s">
        <v>2657</v>
      </c>
      <c r="B1766" s="58" t="s">
        <v>2533</v>
      </c>
      <c r="C1766" s="58" t="s">
        <v>2288</v>
      </c>
      <c r="D1766" s="58" t="s">
        <v>2831</v>
      </c>
      <c r="E1766" s="59" t="s">
        <v>2288</v>
      </c>
      <c r="F1766" s="59" t="s">
        <v>2349</v>
      </c>
      <c r="G1766" s="58" t="s">
        <v>2658</v>
      </c>
    </row>
    <row r="1767" spans="1:7">
      <c r="A1767" s="58" t="s">
        <v>2659</v>
      </c>
      <c r="B1767" s="58" t="s">
        <v>2559</v>
      </c>
      <c r="C1767" s="58" t="s">
        <v>2288</v>
      </c>
      <c r="D1767" s="58" t="s">
        <v>2831</v>
      </c>
      <c r="E1767" s="59" t="s">
        <v>2288</v>
      </c>
      <c r="F1767" s="59" t="s">
        <v>2349</v>
      </c>
      <c r="G1767" s="58" t="s">
        <v>2660</v>
      </c>
    </row>
    <row r="1768" spans="1:7">
      <c r="A1768" s="57" t="s">
        <v>2661</v>
      </c>
      <c r="B1768" s="57" t="s">
        <v>2559</v>
      </c>
      <c r="C1768" s="57" t="s">
        <v>2135</v>
      </c>
      <c r="D1768" s="57" t="s">
        <v>2831</v>
      </c>
      <c r="E1768" s="75" t="s">
        <v>2355</v>
      </c>
      <c r="F1768" s="57" t="s">
        <v>2074</v>
      </c>
      <c r="G1768" s="57" t="s">
        <v>2662</v>
      </c>
    </row>
    <row r="1769" spans="1:7">
      <c r="A1769" s="58" t="s">
        <v>2663</v>
      </c>
      <c r="B1769" s="58" t="s">
        <v>2559</v>
      </c>
      <c r="C1769" s="58" t="s">
        <v>2288</v>
      </c>
      <c r="D1769" s="58" t="s">
        <v>2831</v>
      </c>
      <c r="E1769" s="59" t="s">
        <v>2288</v>
      </c>
      <c r="F1769" s="59" t="s">
        <v>2349</v>
      </c>
      <c r="G1769" s="58" t="s">
        <v>2664</v>
      </c>
    </row>
    <row r="1770" spans="1:7">
      <c r="A1770" s="58" t="s">
        <v>2665</v>
      </c>
      <c r="B1770" s="58" t="s">
        <v>2563</v>
      </c>
      <c r="C1770" s="58" t="s">
        <v>2288</v>
      </c>
      <c r="D1770" s="58" t="s">
        <v>2831</v>
      </c>
      <c r="E1770" s="59" t="s">
        <v>2288</v>
      </c>
      <c r="F1770" s="59" t="s">
        <v>2349</v>
      </c>
      <c r="G1770" s="58" t="s">
        <v>2666</v>
      </c>
    </row>
    <row r="1771" spans="1:7">
      <c r="A1771" s="58" t="s">
        <v>2667</v>
      </c>
      <c r="B1771" s="58" t="s">
        <v>2571</v>
      </c>
      <c r="C1771" s="58" t="s">
        <v>2668</v>
      </c>
      <c r="D1771" s="58" t="s">
        <v>2831</v>
      </c>
      <c r="E1771" s="59" t="s">
        <v>2669</v>
      </c>
      <c r="F1771" s="59" t="s">
        <v>2349</v>
      </c>
      <c r="G1771" s="58" t="s">
        <v>2670</v>
      </c>
    </row>
    <row r="1772" spans="1:7">
      <c r="A1772" s="58" t="s">
        <v>2671</v>
      </c>
      <c r="B1772" s="58" t="s">
        <v>2591</v>
      </c>
      <c r="C1772" s="58" t="s">
        <v>2288</v>
      </c>
      <c r="D1772" s="58" t="s">
        <v>2831</v>
      </c>
      <c r="E1772" s="59" t="s">
        <v>2288</v>
      </c>
      <c r="F1772" s="59" t="s">
        <v>2349</v>
      </c>
      <c r="G1772" s="58" t="s">
        <v>2672</v>
      </c>
    </row>
    <row r="1773" spans="1:7">
      <c r="A1773" s="58" t="s">
        <v>2868</v>
      </c>
      <c r="B1773" s="58" t="s">
        <v>2563</v>
      </c>
      <c r="C1773" s="58" t="s">
        <v>543</v>
      </c>
      <c r="D1773" s="58" t="s">
        <v>2831</v>
      </c>
      <c r="E1773" s="59" t="s">
        <v>543</v>
      </c>
      <c r="F1773" s="59" t="s">
        <v>2349</v>
      </c>
      <c r="G1773" s="58" t="s">
        <v>2869</v>
      </c>
    </row>
    <row r="1774" spans="1:7">
      <c r="A1774" s="57" t="s">
        <v>2673</v>
      </c>
      <c r="B1774" s="57" t="s">
        <v>2537</v>
      </c>
      <c r="C1774" s="57" t="s">
        <v>2338</v>
      </c>
      <c r="D1774" s="57" t="s">
        <v>2831</v>
      </c>
      <c r="E1774" s="75" t="s">
        <v>2379</v>
      </c>
      <c r="F1774" s="57" t="s">
        <v>2074</v>
      </c>
      <c r="G1774" s="57" t="s">
        <v>2120</v>
      </c>
    </row>
    <row r="1775" spans="1:7">
      <c r="A1775" s="58" t="s">
        <v>2674</v>
      </c>
      <c r="B1775" s="58" t="s">
        <v>2533</v>
      </c>
      <c r="C1775" s="58" t="s">
        <v>1201</v>
      </c>
      <c r="D1775" s="58" t="s">
        <v>2831</v>
      </c>
      <c r="E1775" s="59" t="s">
        <v>1201</v>
      </c>
      <c r="F1775" s="59" t="s">
        <v>2349</v>
      </c>
      <c r="G1775" s="58" t="s">
        <v>2675</v>
      </c>
    </row>
    <row r="1776" spans="1:7" ht="17.25">
      <c r="A1776" s="76" t="s">
        <v>2870</v>
      </c>
      <c r="B1776" s="76"/>
      <c r="C1776" s="76"/>
      <c r="D1776" s="76"/>
      <c r="E1776" s="77"/>
      <c r="F1776" s="76"/>
      <c r="G1776" s="76"/>
    </row>
    <row r="1777" spans="1:7">
      <c r="A1777" s="57" t="s">
        <v>2546</v>
      </c>
      <c r="B1777" s="57" t="s">
        <v>2546</v>
      </c>
      <c r="C1777" s="57" t="s">
        <v>2135</v>
      </c>
      <c r="D1777" s="57" t="s">
        <v>2831</v>
      </c>
      <c r="E1777" s="75" t="s">
        <v>2355</v>
      </c>
      <c r="F1777" s="57" t="s">
        <v>2074</v>
      </c>
      <c r="G1777" s="57" t="s">
        <v>2580</v>
      </c>
    </row>
    <row r="1778" spans="1:7">
      <c r="A1778" s="58" t="s">
        <v>2677</v>
      </c>
      <c r="B1778" s="58" t="s">
        <v>2533</v>
      </c>
      <c r="C1778" s="58" t="s">
        <v>2288</v>
      </c>
      <c r="D1778" s="58" t="s">
        <v>2831</v>
      </c>
      <c r="E1778" s="59" t="s">
        <v>2288</v>
      </c>
      <c r="F1778" s="59" t="s">
        <v>2349</v>
      </c>
      <c r="G1778" s="58" t="s">
        <v>2678</v>
      </c>
    </row>
    <row r="1779" spans="1:7">
      <c r="A1779" s="58" t="s">
        <v>2871</v>
      </c>
      <c r="B1779" s="58" t="s">
        <v>2537</v>
      </c>
      <c r="C1779" s="58" t="s">
        <v>2872</v>
      </c>
      <c r="D1779" s="58" t="s">
        <v>2831</v>
      </c>
      <c r="E1779" s="59" t="s">
        <v>543</v>
      </c>
      <c r="F1779" s="59" t="s">
        <v>2349</v>
      </c>
      <c r="G1779" s="58" t="s">
        <v>2873</v>
      </c>
    </row>
    <row r="1780" spans="1:7">
      <c r="A1780" s="58" t="s">
        <v>2874</v>
      </c>
      <c r="B1780" s="58" t="s">
        <v>2554</v>
      </c>
      <c r="C1780" s="58" t="s">
        <v>543</v>
      </c>
      <c r="D1780" s="58" t="s">
        <v>2831</v>
      </c>
      <c r="E1780" s="59" t="s">
        <v>543</v>
      </c>
      <c r="F1780" s="59" t="s">
        <v>2349</v>
      </c>
      <c r="G1780" s="58" t="s">
        <v>2120</v>
      </c>
    </row>
    <row r="1781" spans="1:7">
      <c r="A1781" s="58" t="s">
        <v>2679</v>
      </c>
      <c r="B1781" s="58" t="s">
        <v>2537</v>
      </c>
      <c r="C1781" s="58" t="s">
        <v>2288</v>
      </c>
      <c r="D1781" s="58" t="s">
        <v>2831</v>
      </c>
      <c r="E1781" s="59" t="s">
        <v>2288</v>
      </c>
      <c r="F1781" s="59" t="s">
        <v>2349</v>
      </c>
      <c r="G1781" s="58" t="s">
        <v>2680</v>
      </c>
    </row>
    <row r="1782" spans="1:7">
      <c r="A1782" s="58" t="s">
        <v>2681</v>
      </c>
      <c r="B1782" s="58" t="s">
        <v>2563</v>
      </c>
      <c r="C1782" s="58" t="s">
        <v>108</v>
      </c>
      <c r="D1782" s="58" t="s">
        <v>2831</v>
      </c>
      <c r="E1782" s="59" t="s">
        <v>108</v>
      </c>
      <c r="F1782" s="59" t="s">
        <v>2349</v>
      </c>
      <c r="G1782" s="58" t="s">
        <v>2682</v>
      </c>
    </row>
    <row r="1783" spans="1:7">
      <c r="A1783" s="57" t="s">
        <v>2683</v>
      </c>
      <c r="B1783" s="57" t="s">
        <v>2537</v>
      </c>
      <c r="C1783" s="57" t="s">
        <v>2684</v>
      </c>
      <c r="D1783" s="57" t="s">
        <v>2831</v>
      </c>
      <c r="E1783" s="75" t="s">
        <v>2875</v>
      </c>
      <c r="F1783" s="57" t="s">
        <v>2074</v>
      </c>
      <c r="G1783" s="57" t="s">
        <v>2686</v>
      </c>
    </row>
    <row r="1784" spans="1:7">
      <c r="A1784" s="58" t="s">
        <v>2687</v>
      </c>
      <c r="B1784" s="58" t="s">
        <v>2554</v>
      </c>
      <c r="C1784" s="58" t="s">
        <v>2288</v>
      </c>
      <c r="D1784" s="58" t="s">
        <v>2831</v>
      </c>
      <c r="E1784" s="59" t="s">
        <v>2288</v>
      </c>
      <c r="F1784" s="59" t="s">
        <v>2349</v>
      </c>
      <c r="G1784" s="58" t="s">
        <v>2688</v>
      </c>
    </row>
    <row r="1785" spans="1:7">
      <c r="A1785" s="58" t="s">
        <v>2876</v>
      </c>
      <c r="B1785" s="58" t="s">
        <v>2554</v>
      </c>
      <c r="C1785" s="58" t="s">
        <v>2877</v>
      </c>
      <c r="D1785" s="58" t="s">
        <v>2831</v>
      </c>
      <c r="E1785" s="59" t="s">
        <v>543</v>
      </c>
      <c r="F1785" s="59" t="s">
        <v>2349</v>
      </c>
      <c r="G1785" s="58" t="s">
        <v>2878</v>
      </c>
    </row>
    <row r="1786" spans="1:7">
      <c r="A1786" s="58" t="s">
        <v>2689</v>
      </c>
      <c r="B1786" s="58" t="s">
        <v>2554</v>
      </c>
      <c r="C1786" s="58" t="s">
        <v>2288</v>
      </c>
      <c r="D1786" s="58" t="s">
        <v>2831</v>
      </c>
      <c r="E1786" s="59" t="s">
        <v>2288</v>
      </c>
      <c r="F1786" s="59" t="s">
        <v>2349</v>
      </c>
      <c r="G1786" s="58" t="s">
        <v>2690</v>
      </c>
    </row>
    <row r="1787" spans="1:7">
      <c r="A1787" s="58" t="s">
        <v>2879</v>
      </c>
      <c r="B1787" s="58" t="s">
        <v>2537</v>
      </c>
      <c r="C1787" s="58" t="s">
        <v>543</v>
      </c>
      <c r="D1787" s="58" t="s">
        <v>2831</v>
      </c>
      <c r="E1787" s="59" t="s">
        <v>543</v>
      </c>
      <c r="F1787" s="59" t="s">
        <v>2349</v>
      </c>
      <c r="G1787" s="58" t="s">
        <v>2880</v>
      </c>
    </row>
    <row r="1788" spans="1:7">
      <c r="A1788" s="57" t="s">
        <v>2691</v>
      </c>
      <c r="B1788" s="57" t="s">
        <v>2533</v>
      </c>
      <c r="C1788" s="57" t="s">
        <v>2135</v>
      </c>
      <c r="D1788" s="57" t="s">
        <v>2831</v>
      </c>
      <c r="E1788" s="75" t="s">
        <v>2355</v>
      </c>
      <c r="F1788" s="57" t="s">
        <v>2074</v>
      </c>
      <c r="G1788" s="57" t="s">
        <v>2692</v>
      </c>
    </row>
    <row r="1789" spans="1:7">
      <c r="A1789" s="58" t="s">
        <v>2881</v>
      </c>
      <c r="B1789" s="58" t="s">
        <v>2591</v>
      </c>
      <c r="C1789" s="58" t="s">
        <v>2882</v>
      </c>
      <c r="D1789" s="58" t="s">
        <v>2831</v>
      </c>
      <c r="E1789" s="59" t="s">
        <v>543</v>
      </c>
      <c r="F1789" s="59" t="s">
        <v>2349</v>
      </c>
      <c r="G1789" s="58" t="s">
        <v>2883</v>
      </c>
    </row>
    <row r="1790" spans="1:7">
      <c r="A1790" s="58" t="s">
        <v>2693</v>
      </c>
      <c r="B1790" s="58" t="s">
        <v>2533</v>
      </c>
      <c r="C1790" s="58" t="s">
        <v>2288</v>
      </c>
      <c r="D1790" s="58" t="s">
        <v>2831</v>
      </c>
      <c r="E1790" s="59" t="s">
        <v>2288</v>
      </c>
      <c r="F1790" s="59" t="s">
        <v>2349</v>
      </c>
      <c r="G1790" s="58" t="s">
        <v>2694</v>
      </c>
    </row>
    <row r="1791" spans="1:7">
      <c r="A1791" s="58" t="s">
        <v>2695</v>
      </c>
      <c r="B1791" s="58" t="s">
        <v>2591</v>
      </c>
      <c r="C1791" s="58" t="s">
        <v>2288</v>
      </c>
      <c r="D1791" s="58" t="s">
        <v>2831</v>
      </c>
      <c r="E1791" s="59" t="s">
        <v>2288</v>
      </c>
      <c r="F1791" s="59" t="s">
        <v>2349</v>
      </c>
      <c r="G1791" s="58" t="s">
        <v>2696</v>
      </c>
    </row>
    <row r="1792" spans="1:7">
      <c r="A1792" s="58" t="s">
        <v>2697</v>
      </c>
      <c r="B1792" s="58" t="s">
        <v>2582</v>
      </c>
      <c r="C1792" s="58" t="s">
        <v>2367</v>
      </c>
      <c r="D1792" s="58" t="s">
        <v>2831</v>
      </c>
      <c r="E1792" s="59" t="s">
        <v>2367</v>
      </c>
      <c r="F1792" s="59" t="s">
        <v>2349</v>
      </c>
      <c r="G1792" s="58" t="s">
        <v>2698</v>
      </c>
    </row>
    <row r="1793" spans="1:7">
      <c r="A1793" s="58" t="s">
        <v>2699</v>
      </c>
      <c r="B1793" s="58" t="s">
        <v>2571</v>
      </c>
      <c r="C1793" s="58" t="s">
        <v>2288</v>
      </c>
      <c r="D1793" s="58" t="s">
        <v>2831</v>
      </c>
      <c r="E1793" s="59" t="s">
        <v>2288</v>
      </c>
      <c r="F1793" s="59" t="s">
        <v>2349</v>
      </c>
      <c r="G1793" s="58" t="s">
        <v>2700</v>
      </c>
    </row>
    <row r="1794" spans="1:7">
      <c r="A1794" s="58" t="s">
        <v>2701</v>
      </c>
      <c r="B1794" s="58" t="s">
        <v>2559</v>
      </c>
      <c r="C1794" s="58" t="s">
        <v>2193</v>
      </c>
      <c r="D1794" s="58" t="s">
        <v>2831</v>
      </c>
      <c r="E1794" s="59" t="s">
        <v>2193</v>
      </c>
      <c r="F1794" s="59" t="s">
        <v>2349</v>
      </c>
      <c r="G1794" s="58" t="s">
        <v>2702</v>
      </c>
    </row>
    <row r="1795" spans="1:7">
      <c r="A1795" s="58" t="s">
        <v>2703</v>
      </c>
      <c r="B1795" s="58" t="s">
        <v>2554</v>
      </c>
      <c r="C1795" s="58" t="s">
        <v>2193</v>
      </c>
      <c r="D1795" s="58" t="s">
        <v>2831</v>
      </c>
      <c r="E1795" s="59" t="s">
        <v>2193</v>
      </c>
      <c r="F1795" s="59" t="s">
        <v>2349</v>
      </c>
      <c r="G1795" s="58" t="s">
        <v>2704</v>
      </c>
    </row>
    <row r="1796" spans="1:7">
      <c r="A1796" s="58" t="s">
        <v>2884</v>
      </c>
      <c r="B1796" s="58" t="s">
        <v>2591</v>
      </c>
      <c r="C1796" s="58" t="s">
        <v>543</v>
      </c>
      <c r="D1796" s="58" t="s">
        <v>2831</v>
      </c>
      <c r="E1796" s="59" t="s">
        <v>543</v>
      </c>
      <c r="F1796" s="59" t="s">
        <v>2349</v>
      </c>
      <c r="G1796" s="58" t="s">
        <v>2885</v>
      </c>
    </row>
    <row r="1797" spans="1:7">
      <c r="A1797" s="57" t="s">
        <v>2705</v>
      </c>
      <c r="B1797" s="57" t="s">
        <v>2554</v>
      </c>
      <c r="C1797" s="57" t="s">
        <v>2338</v>
      </c>
      <c r="D1797" s="57" t="s">
        <v>2831</v>
      </c>
      <c r="E1797" s="75" t="s">
        <v>2379</v>
      </c>
      <c r="F1797" s="57" t="s">
        <v>2074</v>
      </c>
      <c r="G1797" s="57" t="s">
        <v>2120</v>
      </c>
    </row>
    <row r="1798" spans="1:7">
      <c r="A1798" s="58" t="s">
        <v>2706</v>
      </c>
      <c r="B1798" s="58" t="s">
        <v>2591</v>
      </c>
      <c r="C1798" s="58" t="s">
        <v>108</v>
      </c>
      <c r="D1798" s="58" t="s">
        <v>2831</v>
      </c>
      <c r="E1798" s="59" t="s">
        <v>108</v>
      </c>
      <c r="F1798" s="59" t="s">
        <v>2349</v>
      </c>
      <c r="G1798" s="58" t="s">
        <v>2707</v>
      </c>
    </row>
    <row r="1799" spans="1:7" ht="17.25">
      <c r="A1799" s="76" t="s">
        <v>2886</v>
      </c>
      <c r="B1799" s="76"/>
      <c r="C1799" s="76"/>
      <c r="D1799" s="76"/>
      <c r="E1799" s="77"/>
      <c r="F1799" s="76"/>
      <c r="G1799" s="76"/>
    </row>
    <row r="1800" spans="1:7">
      <c r="A1800" s="57" t="s">
        <v>2546</v>
      </c>
      <c r="B1800" s="57" t="s">
        <v>2546</v>
      </c>
      <c r="C1800" s="57" t="s">
        <v>2135</v>
      </c>
      <c r="D1800" s="57" t="s">
        <v>2831</v>
      </c>
      <c r="E1800" s="75" t="s">
        <v>2355</v>
      </c>
      <c r="F1800" s="57" t="s">
        <v>2074</v>
      </c>
      <c r="G1800" s="57" t="s">
        <v>2580</v>
      </c>
    </row>
    <row r="1801" spans="1:7">
      <c r="A1801" s="58" t="s">
        <v>2709</v>
      </c>
      <c r="B1801" s="58" t="s">
        <v>2582</v>
      </c>
      <c r="C1801" s="58" t="s">
        <v>2710</v>
      </c>
      <c r="D1801" s="58" t="s">
        <v>2831</v>
      </c>
      <c r="E1801" s="59" t="s">
        <v>2669</v>
      </c>
      <c r="F1801" s="59" t="s">
        <v>2349</v>
      </c>
      <c r="G1801" s="58" t="s">
        <v>2120</v>
      </c>
    </row>
    <row r="1802" spans="1:7">
      <c r="A1802" s="58" t="s">
        <v>2711</v>
      </c>
      <c r="B1802" s="58" t="s">
        <v>2579</v>
      </c>
      <c r="C1802" s="58" t="s">
        <v>2288</v>
      </c>
      <c r="D1802" s="58" t="s">
        <v>2831</v>
      </c>
      <c r="E1802" s="59" t="s">
        <v>2288</v>
      </c>
      <c r="F1802" s="59" t="s">
        <v>2349</v>
      </c>
      <c r="G1802" s="58" t="s">
        <v>2712</v>
      </c>
    </row>
    <row r="1803" spans="1:7">
      <c r="A1803" s="58" t="s">
        <v>2788</v>
      </c>
      <c r="B1803" s="58" t="s">
        <v>2533</v>
      </c>
      <c r="C1803" s="58" t="s">
        <v>2789</v>
      </c>
      <c r="D1803" s="58" t="s">
        <v>2831</v>
      </c>
      <c r="E1803" s="59" t="s">
        <v>2790</v>
      </c>
      <c r="F1803" s="59" t="s">
        <v>2349</v>
      </c>
      <c r="G1803" s="58" t="s">
        <v>2791</v>
      </c>
    </row>
    <row r="1804" spans="1:7">
      <c r="A1804" s="58" t="s">
        <v>2713</v>
      </c>
      <c r="B1804" s="58" t="s">
        <v>2591</v>
      </c>
      <c r="C1804" s="58" t="s">
        <v>2288</v>
      </c>
      <c r="D1804" s="58" t="s">
        <v>2831</v>
      </c>
      <c r="E1804" s="59" t="s">
        <v>2288</v>
      </c>
      <c r="F1804" s="59" t="s">
        <v>2349</v>
      </c>
      <c r="G1804" s="58" t="s">
        <v>2714</v>
      </c>
    </row>
    <row r="1805" spans="1:7">
      <c r="A1805" s="58" t="s">
        <v>2715</v>
      </c>
      <c r="B1805" s="58" t="s">
        <v>2571</v>
      </c>
      <c r="C1805" s="58" t="s">
        <v>2288</v>
      </c>
      <c r="D1805" s="58" t="s">
        <v>2831</v>
      </c>
      <c r="E1805" s="59" t="s">
        <v>2288</v>
      </c>
      <c r="F1805" s="59" t="s">
        <v>2349</v>
      </c>
      <c r="G1805" s="58" t="s">
        <v>2716</v>
      </c>
    </row>
    <row r="1806" spans="1:7">
      <c r="A1806" s="58" t="s">
        <v>2717</v>
      </c>
      <c r="B1806" s="58" t="s">
        <v>2559</v>
      </c>
      <c r="C1806" s="58" t="s">
        <v>2288</v>
      </c>
      <c r="D1806" s="58" t="s">
        <v>2831</v>
      </c>
      <c r="E1806" s="59" t="s">
        <v>2288</v>
      </c>
      <c r="F1806" s="59" t="s">
        <v>2349</v>
      </c>
      <c r="G1806" s="58" t="s">
        <v>2718</v>
      </c>
    </row>
    <row r="1807" spans="1:7">
      <c r="A1807" s="58" t="s">
        <v>2719</v>
      </c>
      <c r="B1807" s="58" t="s">
        <v>2559</v>
      </c>
      <c r="C1807" s="58" t="s">
        <v>108</v>
      </c>
      <c r="D1807" s="58" t="s">
        <v>2831</v>
      </c>
      <c r="E1807" s="59" t="s">
        <v>108</v>
      </c>
      <c r="F1807" s="59" t="s">
        <v>2349</v>
      </c>
      <c r="G1807" s="58" t="s">
        <v>2720</v>
      </c>
    </row>
    <row r="1808" spans="1:7">
      <c r="A1808" s="58" t="s">
        <v>2721</v>
      </c>
      <c r="B1808" s="58" t="s">
        <v>2591</v>
      </c>
      <c r="C1808" s="58" t="s">
        <v>2288</v>
      </c>
      <c r="D1808" s="58" t="s">
        <v>2831</v>
      </c>
      <c r="E1808" s="59" t="s">
        <v>2288</v>
      </c>
      <c r="F1808" s="59" t="s">
        <v>2349</v>
      </c>
      <c r="G1808" s="58" t="s">
        <v>2716</v>
      </c>
    </row>
    <row r="1809" spans="1:7">
      <c r="A1809" s="58" t="s">
        <v>2725</v>
      </c>
      <c r="B1809" s="58" t="s">
        <v>2582</v>
      </c>
      <c r="C1809" s="58" t="s">
        <v>2193</v>
      </c>
      <c r="D1809" s="58" t="s">
        <v>2831</v>
      </c>
      <c r="E1809" s="59" t="s">
        <v>2193</v>
      </c>
      <c r="F1809" s="59" t="s">
        <v>2349</v>
      </c>
      <c r="G1809" s="58" t="s">
        <v>2120</v>
      </c>
    </row>
    <row r="1810" spans="1:7">
      <c r="A1810" s="58" t="s">
        <v>2726</v>
      </c>
      <c r="B1810" s="58" t="s">
        <v>2591</v>
      </c>
      <c r="C1810" s="58" t="s">
        <v>108</v>
      </c>
      <c r="D1810" s="58" t="s">
        <v>2831</v>
      </c>
      <c r="E1810" s="59" t="s">
        <v>108</v>
      </c>
      <c r="F1810" s="59" t="s">
        <v>2349</v>
      </c>
      <c r="G1810" s="58" t="s">
        <v>2727</v>
      </c>
    </row>
    <row r="1811" spans="1:7">
      <c r="A1811" s="58" t="s">
        <v>2728</v>
      </c>
      <c r="B1811" s="58" t="s">
        <v>2545</v>
      </c>
      <c r="C1811" s="58" t="s">
        <v>2288</v>
      </c>
      <c r="D1811" s="58" t="s">
        <v>2831</v>
      </c>
      <c r="E1811" s="59" t="s">
        <v>2288</v>
      </c>
      <c r="F1811" s="59" t="s">
        <v>2349</v>
      </c>
      <c r="G1811" s="58" t="s">
        <v>2729</v>
      </c>
    </row>
    <row r="1812" spans="1:7">
      <c r="A1812" s="58" t="s">
        <v>2887</v>
      </c>
      <c r="B1812" s="58" t="s">
        <v>2563</v>
      </c>
      <c r="C1812" s="58" t="s">
        <v>543</v>
      </c>
      <c r="D1812" s="58" t="s">
        <v>2831</v>
      </c>
      <c r="E1812" s="59" t="s">
        <v>543</v>
      </c>
      <c r="F1812" s="59" t="s">
        <v>2349</v>
      </c>
      <c r="G1812" s="58" t="s">
        <v>2888</v>
      </c>
    </row>
    <row r="1813" spans="1:7">
      <c r="A1813" s="58" t="s">
        <v>2730</v>
      </c>
      <c r="B1813" s="58" t="s">
        <v>2545</v>
      </c>
      <c r="C1813" s="58" t="s">
        <v>2731</v>
      </c>
      <c r="D1813" s="58" t="s">
        <v>2831</v>
      </c>
      <c r="E1813" s="59" t="s">
        <v>108</v>
      </c>
      <c r="F1813" s="59" t="s">
        <v>2349</v>
      </c>
      <c r="G1813" s="58" t="s">
        <v>2732</v>
      </c>
    </row>
    <row r="1814" spans="1:7">
      <c r="A1814" s="58" t="s">
        <v>2733</v>
      </c>
      <c r="B1814" s="58" t="s">
        <v>2591</v>
      </c>
      <c r="C1814" s="58" t="s">
        <v>2288</v>
      </c>
      <c r="D1814" s="58" t="s">
        <v>2831</v>
      </c>
      <c r="E1814" s="59" t="s">
        <v>2288</v>
      </c>
      <c r="F1814" s="59" t="s">
        <v>2349</v>
      </c>
      <c r="G1814" s="58" t="s">
        <v>2734</v>
      </c>
    </row>
    <row r="1815" spans="1:7" ht="17.25">
      <c r="A1815" s="76" t="s">
        <v>2889</v>
      </c>
      <c r="B1815" s="76"/>
      <c r="C1815" s="76"/>
      <c r="D1815" s="76"/>
      <c r="E1815" s="77"/>
      <c r="F1815" s="76"/>
      <c r="G1815" s="76"/>
    </row>
    <row r="1816" spans="1:7">
      <c r="A1816" s="57" t="s">
        <v>2546</v>
      </c>
      <c r="B1816" s="57" t="s">
        <v>2546</v>
      </c>
      <c r="C1816" s="57" t="s">
        <v>2135</v>
      </c>
      <c r="D1816" s="57" t="s">
        <v>2831</v>
      </c>
      <c r="E1816" s="75" t="s">
        <v>2355</v>
      </c>
      <c r="F1816" s="57" t="s">
        <v>2074</v>
      </c>
      <c r="G1816" s="57" t="s">
        <v>2580</v>
      </c>
    </row>
    <row r="1817" spans="1:7">
      <c r="A1817" s="57" t="s">
        <v>2736</v>
      </c>
      <c r="B1817" s="57" t="s">
        <v>2579</v>
      </c>
      <c r="C1817" s="57" t="s">
        <v>2737</v>
      </c>
      <c r="D1817" s="57" t="s">
        <v>2831</v>
      </c>
      <c r="E1817" s="75" t="s">
        <v>2288</v>
      </c>
      <c r="F1817" s="57" t="s">
        <v>2074</v>
      </c>
      <c r="G1817" s="57" t="s">
        <v>2739</v>
      </c>
    </row>
    <row r="1818" spans="1:7">
      <c r="A1818" s="58" t="s">
        <v>2740</v>
      </c>
      <c r="B1818" s="58" t="s">
        <v>2559</v>
      </c>
      <c r="C1818" s="58" t="s">
        <v>2741</v>
      </c>
      <c r="D1818" s="58" t="s">
        <v>2831</v>
      </c>
      <c r="E1818" s="59" t="s">
        <v>2504</v>
      </c>
      <c r="F1818" s="59" t="s">
        <v>2349</v>
      </c>
      <c r="G1818" s="58" t="s">
        <v>2742</v>
      </c>
    </row>
    <row r="1819" spans="1:7">
      <c r="A1819" s="58" t="s">
        <v>2743</v>
      </c>
      <c r="B1819" s="58" t="s">
        <v>2571</v>
      </c>
      <c r="C1819" s="58" t="s">
        <v>2744</v>
      </c>
      <c r="D1819" s="58" t="s">
        <v>2831</v>
      </c>
      <c r="E1819" s="59" t="s">
        <v>2288</v>
      </c>
      <c r="F1819" s="59" t="s">
        <v>2349</v>
      </c>
      <c r="G1819" s="58" t="s">
        <v>2745</v>
      </c>
    </row>
    <row r="1820" spans="1:7">
      <c r="A1820" s="58" t="s">
        <v>2746</v>
      </c>
      <c r="B1820" s="58" t="s">
        <v>2571</v>
      </c>
      <c r="C1820" s="58" t="s">
        <v>2744</v>
      </c>
      <c r="D1820" s="58" t="s">
        <v>2831</v>
      </c>
      <c r="E1820" s="59" t="s">
        <v>2288</v>
      </c>
      <c r="F1820" s="59" t="s">
        <v>2349</v>
      </c>
      <c r="G1820" s="58" t="s">
        <v>2745</v>
      </c>
    </row>
    <row r="1821" spans="1:7">
      <c r="A1821" s="58" t="s">
        <v>2747</v>
      </c>
      <c r="B1821" s="58" t="s">
        <v>2533</v>
      </c>
      <c r="C1821" s="58" t="s">
        <v>2288</v>
      </c>
      <c r="D1821" s="58" t="s">
        <v>2831</v>
      </c>
      <c r="E1821" s="59" t="s">
        <v>2288</v>
      </c>
      <c r="F1821" s="59" t="s">
        <v>2349</v>
      </c>
      <c r="G1821" s="58" t="s">
        <v>2748</v>
      </c>
    </row>
    <row r="1822" spans="1:7">
      <c r="A1822" s="58" t="s">
        <v>2749</v>
      </c>
      <c r="B1822" s="58" t="s">
        <v>2579</v>
      </c>
      <c r="C1822" s="58" t="s">
        <v>2288</v>
      </c>
      <c r="D1822" s="58" t="s">
        <v>2831</v>
      </c>
      <c r="E1822" s="59" t="s">
        <v>2288</v>
      </c>
      <c r="F1822" s="59" t="s">
        <v>2349</v>
      </c>
      <c r="G1822" s="58" t="s">
        <v>2750</v>
      </c>
    </row>
    <row r="1823" spans="1:7">
      <c r="A1823" s="58" t="s">
        <v>2751</v>
      </c>
      <c r="B1823" s="58" t="s">
        <v>2571</v>
      </c>
      <c r="C1823" s="58" t="s">
        <v>2288</v>
      </c>
      <c r="D1823" s="58" t="s">
        <v>2831</v>
      </c>
      <c r="E1823" s="59" t="s">
        <v>2288</v>
      </c>
      <c r="F1823" s="59" t="s">
        <v>2349</v>
      </c>
      <c r="G1823" s="58" t="s">
        <v>2752</v>
      </c>
    </row>
    <row r="1824" spans="1:7">
      <c r="A1824" s="58" t="s">
        <v>2753</v>
      </c>
      <c r="B1824" s="58" t="s">
        <v>2537</v>
      </c>
      <c r="C1824" s="58" t="s">
        <v>2288</v>
      </c>
      <c r="D1824" s="58" t="s">
        <v>2831</v>
      </c>
      <c r="E1824" s="59" t="s">
        <v>2288</v>
      </c>
      <c r="F1824" s="59" t="s">
        <v>2349</v>
      </c>
      <c r="G1824" s="58" t="s">
        <v>2754</v>
      </c>
    </row>
    <row r="1825" spans="1:7">
      <c r="A1825" s="58" t="s">
        <v>2755</v>
      </c>
      <c r="B1825" s="58" t="s">
        <v>2579</v>
      </c>
      <c r="C1825" s="58" t="s">
        <v>2288</v>
      </c>
      <c r="D1825" s="58" t="s">
        <v>2831</v>
      </c>
      <c r="E1825" s="59" t="s">
        <v>2288</v>
      </c>
      <c r="F1825" s="59" t="s">
        <v>2349</v>
      </c>
      <c r="G1825" s="58" t="s">
        <v>2756</v>
      </c>
    </row>
    <row r="1826" spans="1:7">
      <c r="A1826" s="58" t="s">
        <v>2757</v>
      </c>
      <c r="B1826" s="58" t="s">
        <v>2619</v>
      </c>
      <c r="C1826" s="58" t="s">
        <v>2288</v>
      </c>
      <c r="D1826" s="58" t="s">
        <v>2831</v>
      </c>
      <c r="E1826" s="59" t="s">
        <v>2288</v>
      </c>
      <c r="F1826" s="59" t="s">
        <v>2349</v>
      </c>
      <c r="G1826" s="58" t="s">
        <v>2758</v>
      </c>
    </row>
    <row r="1827" spans="1:7">
      <c r="A1827" s="58" t="s">
        <v>2759</v>
      </c>
      <c r="B1827" s="58" t="s">
        <v>2537</v>
      </c>
      <c r="C1827" s="58" t="s">
        <v>2288</v>
      </c>
      <c r="D1827" s="58" t="s">
        <v>2831</v>
      </c>
      <c r="E1827" s="59" t="s">
        <v>2288</v>
      </c>
      <c r="F1827" s="59" t="s">
        <v>2349</v>
      </c>
      <c r="G1827" s="58" t="s">
        <v>2760</v>
      </c>
    </row>
    <row r="1828" spans="1:7">
      <c r="A1828" s="58" t="s">
        <v>2761</v>
      </c>
      <c r="B1828" s="58" t="s">
        <v>2582</v>
      </c>
      <c r="C1828" s="58" t="s">
        <v>2762</v>
      </c>
      <c r="D1828" s="58" t="s">
        <v>2831</v>
      </c>
      <c r="E1828" s="59" t="s">
        <v>2504</v>
      </c>
      <c r="F1828" s="59" t="s">
        <v>2349</v>
      </c>
      <c r="G1828" s="58" t="s">
        <v>2763</v>
      </c>
    </row>
    <row r="1829" spans="1:7">
      <c r="A1829" s="58" t="s">
        <v>2764</v>
      </c>
      <c r="B1829" s="58" t="s">
        <v>2582</v>
      </c>
      <c r="C1829" s="58" t="s">
        <v>1201</v>
      </c>
      <c r="D1829" s="58" t="s">
        <v>2831</v>
      </c>
      <c r="E1829" s="59" t="s">
        <v>1201</v>
      </c>
      <c r="F1829" s="59" t="s">
        <v>2349</v>
      </c>
      <c r="G1829" s="58" t="s">
        <v>2120</v>
      </c>
    </row>
    <row r="1830" spans="1:7">
      <c r="A1830" s="58" t="s">
        <v>2765</v>
      </c>
      <c r="B1830" s="58" t="s">
        <v>2563</v>
      </c>
      <c r="C1830" s="58" t="s">
        <v>2288</v>
      </c>
      <c r="D1830" s="58" t="s">
        <v>2831</v>
      </c>
      <c r="E1830" s="59" t="s">
        <v>2288</v>
      </c>
      <c r="F1830" s="59" t="s">
        <v>2349</v>
      </c>
      <c r="G1830" s="58" t="s">
        <v>2712</v>
      </c>
    </row>
    <row r="1831" spans="1:7" ht="17.25">
      <c r="A1831" s="76" t="s">
        <v>2890</v>
      </c>
      <c r="B1831" s="76"/>
      <c r="C1831" s="76"/>
      <c r="D1831" s="76"/>
      <c r="E1831" s="77"/>
      <c r="F1831" s="76"/>
      <c r="G1831" s="76"/>
    </row>
    <row r="1832" spans="1:7">
      <c r="A1832" s="58" t="s">
        <v>2114</v>
      </c>
      <c r="B1832" s="58" t="s">
        <v>2115</v>
      </c>
      <c r="C1832" s="58" t="s">
        <v>1559</v>
      </c>
      <c r="D1832" s="58" t="s">
        <v>2831</v>
      </c>
      <c r="E1832" s="59" t="s">
        <v>543</v>
      </c>
      <c r="F1832" s="59" t="s">
        <v>2349</v>
      </c>
      <c r="G1832" s="58" t="s">
        <v>2117</v>
      </c>
    </row>
    <row r="1833" spans="1:7" ht="17.25">
      <c r="A1833" s="76" t="s">
        <v>2891</v>
      </c>
      <c r="B1833" s="76"/>
      <c r="C1833" s="76"/>
      <c r="D1833" s="76"/>
      <c r="E1833" s="77"/>
      <c r="F1833" s="76"/>
      <c r="G1833" s="76"/>
    </row>
    <row r="1834" spans="1:7">
      <c r="A1834" s="57" t="s">
        <v>2134</v>
      </c>
      <c r="B1834" s="57"/>
      <c r="C1834" s="57" t="s">
        <v>2135</v>
      </c>
      <c r="D1834" s="57" t="s">
        <v>2831</v>
      </c>
      <c r="E1834" s="75" t="s">
        <v>2461</v>
      </c>
      <c r="F1834" s="57" t="s">
        <v>2074</v>
      </c>
      <c r="G1834" s="57" t="s">
        <v>2137</v>
      </c>
    </row>
    <row r="1835" spans="1:7" ht="17.25">
      <c r="A1835" s="76" t="s">
        <v>2892</v>
      </c>
      <c r="B1835" s="76"/>
      <c r="C1835" s="76"/>
      <c r="D1835" s="76"/>
      <c r="E1835" s="77"/>
      <c r="F1835" s="76"/>
      <c r="G1835" s="76"/>
    </row>
    <row r="1836" spans="1:7">
      <c r="A1836" s="58" t="s">
        <v>2358</v>
      </c>
      <c r="B1836" s="58"/>
      <c r="C1836" s="58" t="s">
        <v>543</v>
      </c>
      <c r="D1836" s="58" t="s">
        <v>2831</v>
      </c>
      <c r="E1836" s="59" t="s">
        <v>543</v>
      </c>
      <c r="F1836" s="59" t="s">
        <v>2349</v>
      </c>
      <c r="G1836" s="58" t="s">
        <v>2359</v>
      </c>
    </row>
    <row r="1837" spans="1:7">
      <c r="A1837" s="58" t="s">
        <v>2360</v>
      </c>
      <c r="B1837" s="58" t="s">
        <v>2155</v>
      </c>
      <c r="C1837" s="58" t="s">
        <v>543</v>
      </c>
      <c r="D1837" s="58" t="s">
        <v>2831</v>
      </c>
      <c r="E1837" s="59" t="s">
        <v>543</v>
      </c>
      <c r="F1837" s="59" t="s">
        <v>2349</v>
      </c>
      <c r="G1837" s="58" t="s">
        <v>2361</v>
      </c>
    </row>
    <row r="1838" spans="1:7">
      <c r="A1838" s="58" t="s">
        <v>2158</v>
      </c>
      <c r="B1838" s="58" t="s">
        <v>2155</v>
      </c>
      <c r="C1838" s="58" t="s">
        <v>2159</v>
      </c>
      <c r="D1838" s="58" t="s">
        <v>2831</v>
      </c>
      <c r="E1838" s="59" t="s">
        <v>543</v>
      </c>
      <c r="F1838" s="59" t="s">
        <v>2349</v>
      </c>
      <c r="G1838" s="58" t="s">
        <v>2160</v>
      </c>
    </row>
    <row r="1839" spans="1:7" ht="17.25">
      <c r="A1839" s="76" t="s">
        <v>2893</v>
      </c>
      <c r="B1839" s="76"/>
      <c r="C1839" s="76"/>
      <c r="D1839" s="76"/>
      <c r="E1839" s="77"/>
      <c r="F1839" s="76"/>
      <c r="G1839" s="76"/>
    </row>
    <row r="1840" spans="1:7">
      <c r="A1840" s="57" t="s">
        <v>2169</v>
      </c>
      <c r="B1840" s="57" t="s">
        <v>2129</v>
      </c>
      <c r="C1840" s="57" t="s">
        <v>2170</v>
      </c>
      <c r="D1840" s="57" t="s">
        <v>2831</v>
      </c>
      <c r="E1840" s="75" t="s">
        <v>2461</v>
      </c>
      <c r="F1840" s="57" t="s">
        <v>2074</v>
      </c>
      <c r="G1840" s="57" t="s">
        <v>2120</v>
      </c>
    </row>
    <row r="1841" spans="1:7">
      <c r="A1841" s="57" t="s">
        <v>2171</v>
      </c>
      <c r="B1841" s="57" t="s">
        <v>2129</v>
      </c>
      <c r="C1841" s="57" t="s">
        <v>2135</v>
      </c>
      <c r="D1841" s="57" t="s">
        <v>2831</v>
      </c>
      <c r="E1841" s="75" t="s">
        <v>2461</v>
      </c>
      <c r="F1841" s="57" t="s">
        <v>2074</v>
      </c>
      <c r="G1841" s="57" t="s">
        <v>2120</v>
      </c>
    </row>
    <row r="1842" spans="1:7">
      <c r="A1842" s="57" t="s">
        <v>2172</v>
      </c>
      <c r="B1842" s="57" t="s">
        <v>2129</v>
      </c>
      <c r="C1842" s="57" t="s">
        <v>2135</v>
      </c>
      <c r="D1842" s="57" t="s">
        <v>2831</v>
      </c>
      <c r="E1842" s="75" t="s">
        <v>2461</v>
      </c>
      <c r="F1842" s="57" t="s">
        <v>2074</v>
      </c>
      <c r="G1842" s="57" t="s">
        <v>2120</v>
      </c>
    </row>
    <row r="1843" spans="1:7">
      <c r="A1843" s="57" t="s">
        <v>2173</v>
      </c>
      <c r="B1843" s="57" t="s">
        <v>2174</v>
      </c>
      <c r="C1843" s="57" t="s">
        <v>2135</v>
      </c>
      <c r="D1843" s="57" t="s">
        <v>2831</v>
      </c>
      <c r="E1843" s="75" t="s">
        <v>2461</v>
      </c>
      <c r="F1843" s="57" t="s">
        <v>2074</v>
      </c>
      <c r="G1843" s="57" t="s">
        <v>2120</v>
      </c>
    </row>
    <row r="1844" spans="1:7">
      <c r="A1844" s="57" t="s">
        <v>2175</v>
      </c>
      <c r="B1844" s="57"/>
      <c r="C1844" s="57" t="s">
        <v>2135</v>
      </c>
      <c r="D1844" s="57" t="s">
        <v>2831</v>
      </c>
      <c r="E1844" s="75" t="s">
        <v>2461</v>
      </c>
      <c r="F1844" s="57" t="s">
        <v>2074</v>
      </c>
      <c r="G1844" s="57" t="s">
        <v>2120</v>
      </c>
    </row>
    <row r="1845" spans="1:7">
      <c r="A1845" s="57" t="s">
        <v>2176</v>
      </c>
      <c r="B1845" s="57"/>
      <c r="C1845" s="57" t="s">
        <v>2135</v>
      </c>
      <c r="D1845" s="57" t="s">
        <v>2831</v>
      </c>
      <c r="E1845" s="75" t="s">
        <v>2461</v>
      </c>
      <c r="F1845" s="57" t="s">
        <v>2074</v>
      </c>
      <c r="G1845" s="57" t="s">
        <v>2120</v>
      </c>
    </row>
    <row r="1846" spans="1:7">
      <c r="A1846" s="57" t="s">
        <v>2177</v>
      </c>
      <c r="B1846" s="57"/>
      <c r="C1846" s="57" t="s">
        <v>2135</v>
      </c>
      <c r="D1846" s="57" t="s">
        <v>2831</v>
      </c>
      <c r="E1846" s="75" t="s">
        <v>2461</v>
      </c>
      <c r="F1846" s="57" t="s">
        <v>2074</v>
      </c>
      <c r="G1846" s="57" t="s">
        <v>2120</v>
      </c>
    </row>
    <row r="1847" spans="1:7" ht="17.25">
      <c r="A1847" s="76" t="s">
        <v>2894</v>
      </c>
      <c r="B1847" s="76"/>
      <c r="C1847" s="76"/>
      <c r="D1847" s="76"/>
      <c r="E1847" s="77"/>
      <c r="F1847" s="76"/>
      <c r="G1847" s="76"/>
    </row>
    <row r="1848" spans="1:7">
      <c r="A1848" s="57" t="s">
        <v>2190</v>
      </c>
      <c r="B1848" s="57"/>
      <c r="C1848" s="57" t="s">
        <v>2135</v>
      </c>
      <c r="D1848" s="57" t="s">
        <v>2831</v>
      </c>
      <c r="E1848" s="75" t="s">
        <v>2461</v>
      </c>
      <c r="F1848" s="57" t="s">
        <v>2074</v>
      </c>
      <c r="G1848" s="57" t="s">
        <v>2120</v>
      </c>
    </row>
    <row r="1849" spans="1:7">
      <c r="A1849" s="57" t="s">
        <v>2191</v>
      </c>
      <c r="B1849" s="57"/>
      <c r="C1849" s="57" t="s">
        <v>2135</v>
      </c>
      <c r="D1849" s="57" t="s">
        <v>2831</v>
      </c>
      <c r="E1849" s="75" t="s">
        <v>2461</v>
      </c>
      <c r="F1849" s="57" t="s">
        <v>2074</v>
      </c>
      <c r="G1849" s="57" t="s">
        <v>2120</v>
      </c>
    </row>
    <row r="1850" spans="1:7">
      <c r="A1850" s="58" t="s">
        <v>2364</v>
      </c>
      <c r="B1850" s="58"/>
      <c r="C1850" s="58" t="s">
        <v>543</v>
      </c>
      <c r="D1850" s="58" t="s">
        <v>2831</v>
      </c>
      <c r="E1850" s="59" t="s">
        <v>543</v>
      </c>
      <c r="F1850" s="59" t="s">
        <v>2349</v>
      </c>
      <c r="G1850" s="58" t="s">
        <v>2365</v>
      </c>
    </row>
    <row r="1851" spans="1:7" ht="17.25">
      <c r="A1851" s="76" t="s">
        <v>2895</v>
      </c>
      <c r="B1851" s="76"/>
      <c r="C1851" s="76"/>
      <c r="D1851" s="76"/>
      <c r="E1851" s="77"/>
      <c r="F1851" s="76"/>
      <c r="G1851" s="76"/>
    </row>
    <row r="1852" spans="1:7">
      <c r="A1852" s="58" t="s">
        <v>2198</v>
      </c>
      <c r="B1852" s="58"/>
      <c r="C1852" s="58" t="s">
        <v>2199</v>
      </c>
      <c r="D1852" s="58" t="s">
        <v>2831</v>
      </c>
      <c r="E1852" s="59" t="s">
        <v>543</v>
      </c>
      <c r="F1852" s="59" t="s">
        <v>2349</v>
      </c>
      <c r="G1852" s="58" t="s">
        <v>2120</v>
      </c>
    </row>
    <row r="1853" spans="1:7">
      <c r="A1853" s="57" t="s">
        <v>2206</v>
      </c>
      <c r="B1853" s="57"/>
      <c r="C1853" s="57" t="s">
        <v>2135</v>
      </c>
      <c r="D1853" s="57" t="s">
        <v>2831</v>
      </c>
      <c r="E1853" s="75" t="s">
        <v>2461</v>
      </c>
      <c r="F1853" s="57" t="s">
        <v>2074</v>
      </c>
      <c r="G1853" s="57" t="s">
        <v>2120</v>
      </c>
    </row>
    <row r="1854" spans="1:7" ht="17.25">
      <c r="A1854" s="76" t="s">
        <v>2896</v>
      </c>
      <c r="B1854" s="76"/>
      <c r="C1854" s="76"/>
      <c r="D1854" s="76"/>
      <c r="E1854" s="77"/>
      <c r="F1854" s="76"/>
      <c r="G1854" s="76"/>
    </row>
    <row r="1855" spans="1:7">
      <c r="A1855" s="58" t="s">
        <v>2370</v>
      </c>
      <c r="B1855" s="58" t="s">
        <v>2223</v>
      </c>
      <c r="C1855" s="58" t="s">
        <v>543</v>
      </c>
      <c r="D1855" s="58" t="s">
        <v>2831</v>
      </c>
      <c r="E1855" s="59" t="s">
        <v>543</v>
      </c>
      <c r="F1855" s="59" t="s">
        <v>2349</v>
      </c>
      <c r="G1855" s="58" t="s">
        <v>2371</v>
      </c>
    </row>
    <row r="1856" spans="1:7">
      <c r="A1856" s="58" t="s">
        <v>2372</v>
      </c>
      <c r="B1856" s="58" t="s">
        <v>2220</v>
      </c>
      <c r="C1856" s="58" t="s">
        <v>2373</v>
      </c>
      <c r="D1856" s="58" t="s">
        <v>2831</v>
      </c>
      <c r="E1856" s="59" t="s">
        <v>543</v>
      </c>
      <c r="F1856" s="59" t="s">
        <v>2349</v>
      </c>
      <c r="G1856" s="58" t="s">
        <v>2374</v>
      </c>
    </row>
    <row r="1857" spans="1:7">
      <c r="A1857" s="57" t="s">
        <v>2228</v>
      </c>
      <c r="B1857" s="57"/>
      <c r="C1857" s="57" t="s">
        <v>2135</v>
      </c>
      <c r="D1857" s="57" t="s">
        <v>2831</v>
      </c>
      <c r="E1857" s="75" t="s">
        <v>2461</v>
      </c>
      <c r="F1857" s="57" t="s">
        <v>2074</v>
      </c>
      <c r="G1857" s="57" t="s">
        <v>2120</v>
      </c>
    </row>
    <row r="1858" spans="1:7" ht="17.25">
      <c r="A1858" s="76" t="s">
        <v>2897</v>
      </c>
      <c r="B1858" s="76"/>
      <c r="C1858" s="76"/>
      <c r="D1858" s="76"/>
      <c r="E1858" s="77"/>
      <c r="F1858" s="76"/>
      <c r="G1858" s="76"/>
    </row>
    <row r="1859" spans="1:7">
      <c r="A1859" s="58" t="s">
        <v>2376</v>
      </c>
      <c r="B1859" s="58" t="s">
        <v>2237</v>
      </c>
      <c r="C1859" s="58" t="s">
        <v>543</v>
      </c>
      <c r="D1859" s="58" t="s">
        <v>2831</v>
      </c>
      <c r="E1859" s="59" t="s">
        <v>543</v>
      </c>
      <c r="F1859" s="59" t="s">
        <v>2349</v>
      </c>
      <c r="G1859" s="58" t="s">
        <v>2120</v>
      </c>
    </row>
    <row r="1860" spans="1:7">
      <c r="A1860" s="58" t="s">
        <v>2378</v>
      </c>
      <c r="B1860" s="58"/>
      <c r="C1860" s="58" t="s">
        <v>543</v>
      </c>
      <c r="D1860" s="58" t="s">
        <v>2831</v>
      </c>
      <c r="E1860" s="59" t="s">
        <v>543</v>
      </c>
      <c r="F1860" s="59" t="s">
        <v>2349</v>
      </c>
      <c r="G1860" s="58" t="s">
        <v>2336</v>
      </c>
    </row>
    <row r="1861" spans="1:7">
      <c r="A1861" s="57" t="s">
        <v>2337</v>
      </c>
      <c r="B1861" s="57" t="s">
        <v>2248</v>
      </c>
      <c r="C1861" s="57" t="s">
        <v>2338</v>
      </c>
      <c r="D1861" s="57" t="s">
        <v>2831</v>
      </c>
      <c r="E1861" s="75" t="s">
        <v>2379</v>
      </c>
      <c r="F1861" s="57" t="s">
        <v>2074</v>
      </c>
      <c r="G1861" s="57" t="s">
        <v>2120</v>
      </c>
    </row>
    <row r="1862" spans="1:7" ht="17.25">
      <c r="A1862" s="76" t="s">
        <v>2898</v>
      </c>
      <c r="B1862" s="76"/>
      <c r="C1862" s="76"/>
      <c r="D1862" s="76"/>
      <c r="E1862" s="77"/>
      <c r="F1862" s="76"/>
      <c r="G1862" s="76"/>
    </row>
    <row r="1863" spans="1:7">
      <c r="A1863" s="58" t="s">
        <v>2381</v>
      </c>
      <c r="B1863" s="58"/>
      <c r="C1863" s="58" t="s">
        <v>543</v>
      </c>
      <c r="D1863" s="58" t="s">
        <v>2831</v>
      </c>
      <c r="E1863" s="59" t="s">
        <v>543</v>
      </c>
      <c r="F1863" s="59" t="s">
        <v>2349</v>
      </c>
      <c r="G1863" s="58" t="s">
        <v>2120</v>
      </c>
    </row>
    <row r="1864" spans="1:7" ht="17.25">
      <c r="A1864" s="76" t="s">
        <v>2899</v>
      </c>
      <c r="B1864" s="76"/>
      <c r="C1864" s="76"/>
      <c r="D1864" s="76"/>
      <c r="E1864" s="77"/>
      <c r="F1864" s="76"/>
      <c r="G1864" s="76"/>
    </row>
    <row r="1865" spans="1:7">
      <c r="A1865" s="58" t="s">
        <v>2272</v>
      </c>
      <c r="B1865" s="58" t="s">
        <v>2273</v>
      </c>
      <c r="C1865" s="58" t="s">
        <v>2274</v>
      </c>
      <c r="D1865" s="58" t="s">
        <v>2831</v>
      </c>
      <c r="E1865" s="59" t="s">
        <v>543</v>
      </c>
      <c r="F1865" s="59" t="s">
        <v>2349</v>
      </c>
      <c r="G1865" s="58" t="s">
        <v>2275</v>
      </c>
    </row>
    <row r="1866" spans="1:7">
      <c r="A1866" s="57" t="s">
        <v>2285</v>
      </c>
      <c r="B1866" s="57"/>
      <c r="C1866" s="57" t="s">
        <v>2135</v>
      </c>
      <c r="D1866" s="57" t="s">
        <v>2831</v>
      </c>
      <c r="E1866" s="75" t="s">
        <v>2461</v>
      </c>
      <c r="F1866" s="57" t="s">
        <v>2074</v>
      </c>
      <c r="G1866" s="57" t="s">
        <v>2120</v>
      </c>
    </row>
    <row r="1867" spans="1:7" ht="17.25">
      <c r="A1867" s="76" t="s">
        <v>2900</v>
      </c>
      <c r="B1867" s="76"/>
      <c r="C1867" s="76"/>
      <c r="D1867" s="76"/>
      <c r="E1867" s="77"/>
      <c r="F1867" s="76"/>
      <c r="G1867" s="76"/>
    </row>
    <row r="1868" spans="1:7">
      <c r="A1868" s="57" t="s">
        <v>2291</v>
      </c>
      <c r="B1868" s="57"/>
      <c r="C1868" s="57" t="s">
        <v>2135</v>
      </c>
      <c r="D1868" s="57" t="s">
        <v>2831</v>
      </c>
      <c r="E1868" s="75" t="s">
        <v>2461</v>
      </c>
      <c r="F1868" s="57" t="s">
        <v>2074</v>
      </c>
      <c r="G1868" s="57" t="s">
        <v>2292</v>
      </c>
    </row>
    <row r="1869" spans="1:7">
      <c r="A1869" s="58" t="s">
        <v>2385</v>
      </c>
      <c r="B1869" s="58" t="s">
        <v>2298</v>
      </c>
      <c r="C1869" s="58" t="s">
        <v>543</v>
      </c>
      <c r="D1869" s="58" t="s">
        <v>2831</v>
      </c>
      <c r="E1869" s="59" t="s">
        <v>543</v>
      </c>
      <c r="F1869" s="59" t="s">
        <v>2349</v>
      </c>
      <c r="G1869" s="58" t="s">
        <v>2386</v>
      </c>
    </row>
    <row r="1870" spans="1:7" ht="17.25">
      <c r="A1870" s="76" t="s">
        <v>2901</v>
      </c>
      <c r="B1870" s="76"/>
      <c r="C1870" s="76"/>
      <c r="D1870" s="76"/>
      <c r="E1870" s="77"/>
      <c r="F1870" s="76"/>
      <c r="G1870" s="76"/>
    </row>
    <row r="1871" spans="1:7">
      <c r="A1871" s="57" t="s">
        <v>2546</v>
      </c>
      <c r="B1871" s="57" t="s">
        <v>2546</v>
      </c>
      <c r="C1871" s="57" t="s">
        <v>2135</v>
      </c>
      <c r="D1871" s="57" t="s">
        <v>2902</v>
      </c>
      <c r="E1871" s="75" t="s">
        <v>2318</v>
      </c>
      <c r="F1871" s="57" t="s">
        <v>2089</v>
      </c>
      <c r="G1871" s="57" t="s">
        <v>2547</v>
      </c>
    </row>
    <row r="1872" spans="1:7" ht="17.25">
      <c r="A1872" s="76" t="s">
        <v>2903</v>
      </c>
      <c r="B1872" s="76"/>
      <c r="C1872" s="76"/>
      <c r="D1872" s="76"/>
      <c r="E1872" s="77"/>
      <c r="F1872" s="76"/>
      <c r="G1872" s="76"/>
    </row>
    <row r="1873" spans="1:7">
      <c r="A1873" s="57" t="s">
        <v>2551</v>
      </c>
      <c r="B1873" s="57" t="s">
        <v>2537</v>
      </c>
      <c r="C1873" s="57" t="s">
        <v>2135</v>
      </c>
      <c r="D1873" s="57" t="s">
        <v>2902</v>
      </c>
      <c r="E1873" s="75" t="s">
        <v>2318</v>
      </c>
      <c r="F1873" s="57" t="s">
        <v>2089</v>
      </c>
      <c r="G1873" s="57" t="s">
        <v>2552</v>
      </c>
    </row>
    <row r="1874" spans="1:7">
      <c r="A1874" s="57" t="s">
        <v>2553</v>
      </c>
      <c r="B1874" s="57" t="s">
        <v>2554</v>
      </c>
      <c r="C1874" s="57" t="s">
        <v>2135</v>
      </c>
      <c r="D1874" s="57" t="s">
        <v>2902</v>
      </c>
      <c r="E1874" s="75" t="s">
        <v>2318</v>
      </c>
      <c r="F1874" s="57" t="s">
        <v>2089</v>
      </c>
      <c r="G1874" s="57" t="s">
        <v>2555</v>
      </c>
    </row>
    <row r="1875" spans="1:7">
      <c r="A1875" s="57" t="s">
        <v>2566</v>
      </c>
      <c r="B1875" s="57" t="s">
        <v>2545</v>
      </c>
      <c r="C1875" s="57" t="s">
        <v>2567</v>
      </c>
      <c r="D1875" s="57" t="s">
        <v>2902</v>
      </c>
      <c r="E1875" s="75" t="s">
        <v>2311</v>
      </c>
      <c r="F1875" s="57" t="s">
        <v>2089</v>
      </c>
      <c r="G1875" s="57" t="s">
        <v>2569</v>
      </c>
    </row>
    <row r="1876" spans="1:7">
      <c r="A1876" s="57" t="s">
        <v>2570</v>
      </c>
      <c r="B1876" s="57" t="s">
        <v>2571</v>
      </c>
      <c r="C1876" s="57" t="s">
        <v>2135</v>
      </c>
      <c r="D1876" s="57" t="s">
        <v>2902</v>
      </c>
      <c r="E1876" s="75" t="s">
        <v>2318</v>
      </c>
      <c r="F1876" s="57" t="s">
        <v>2089</v>
      </c>
      <c r="G1876" s="57" t="s">
        <v>2120</v>
      </c>
    </row>
    <row r="1877" spans="1:7">
      <c r="A1877" s="57" t="s">
        <v>2572</v>
      </c>
      <c r="B1877" s="57" t="s">
        <v>2571</v>
      </c>
      <c r="C1877" s="57" t="s">
        <v>2309</v>
      </c>
      <c r="D1877" s="57" t="s">
        <v>2902</v>
      </c>
      <c r="E1877" s="75" t="s">
        <v>2311</v>
      </c>
      <c r="F1877" s="57" t="s">
        <v>2089</v>
      </c>
      <c r="G1877" s="57" t="s">
        <v>2573</v>
      </c>
    </row>
    <row r="1878" spans="1:7">
      <c r="A1878" s="57" t="s">
        <v>2574</v>
      </c>
      <c r="B1878" s="57" t="s">
        <v>2563</v>
      </c>
      <c r="C1878" s="57" t="s">
        <v>2309</v>
      </c>
      <c r="D1878" s="57" t="s">
        <v>2902</v>
      </c>
      <c r="E1878" s="75" t="s">
        <v>2311</v>
      </c>
      <c r="F1878" s="57" t="s">
        <v>2089</v>
      </c>
      <c r="G1878" s="57" t="s">
        <v>2573</v>
      </c>
    </row>
    <row r="1879" spans="1:7">
      <c r="A1879" s="57" t="s">
        <v>2575</v>
      </c>
      <c r="B1879" s="57" t="s">
        <v>2533</v>
      </c>
      <c r="C1879" s="57" t="s">
        <v>2135</v>
      </c>
      <c r="D1879" s="57" t="s">
        <v>2902</v>
      </c>
      <c r="E1879" s="75" t="s">
        <v>2318</v>
      </c>
      <c r="F1879" s="57" t="s">
        <v>2089</v>
      </c>
      <c r="G1879" s="57" t="s">
        <v>2120</v>
      </c>
    </row>
    <row r="1880" spans="1:7">
      <c r="A1880" s="57" t="s">
        <v>2546</v>
      </c>
      <c r="B1880" s="57" t="s">
        <v>2546</v>
      </c>
      <c r="C1880" s="57" t="s">
        <v>2135</v>
      </c>
      <c r="D1880" s="57" t="s">
        <v>2902</v>
      </c>
      <c r="E1880" s="75" t="s">
        <v>2318</v>
      </c>
      <c r="F1880" s="57" t="s">
        <v>2089</v>
      </c>
      <c r="G1880" s="57" t="s">
        <v>2580</v>
      </c>
    </row>
    <row r="1881" spans="1:7">
      <c r="A1881" s="57" t="s">
        <v>2581</v>
      </c>
      <c r="B1881" s="57" t="s">
        <v>2582</v>
      </c>
      <c r="C1881" s="57" t="s">
        <v>2135</v>
      </c>
      <c r="D1881" s="57" t="s">
        <v>2902</v>
      </c>
      <c r="E1881" s="75" t="s">
        <v>2318</v>
      </c>
      <c r="F1881" s="57" t="s">
        <v>2089</v>
      </c>
      <c r="G1881" s="57" t="s">
        <v>2583</v>
      </c>
    </row>
    <row r="1882" spans="1:7" ht="17.25">
      <c r="A1882" s="76" t="s">
        <v>2904</v>
      </c>
      <c r="B1882" s="76"/>
      <c r="C1882" s="76"/>
      <c r="D1882" s="76"/>
      <c r="E1882" s="77"/>
      <c r="F1882" s="76"/>
      <c r="G1882" s="76"/>
    </row>
    <row r="1883" spans="1:7">
      <c r="A1883" s="57" t="s">
        <v>2546</v>
      </c>
      <c r="B1883" s="57" t="s">
        <v>2546</v>
      </c>
      <c r="C1883" s="57" t="s">
        <v>2135</v>
      </c>
      <c r="D1883" s="57" t="s">
        <v>2902</v>
      </c>
      <c r="E1883" s="75" t="s">
        <v>2318</v>
      </c>
      <c r="F1883" s="57" t="s">
        <v>2089</v>
      </c>
      <c r="G1883" s="57" t="s">
        <v>2547</v>
      </c>
    </row>
    <row r="1884" spans="1:7" ht="17.25">
      <c r="A1884" s="76" t="s">
        <v>2905</v>
      </c>
      <c r="B1884" s="76"/>
      <c r="C1884" s="76"/>
      <c r="D1884" s="76"/>
      <c r="E1884" s="77"/>
      <c r="F1884" s="76"/>
      <c r="G1884" s="76"/>
    </row>
    <row r="1885" spans="1:7">
      <c r="A1885" s="57" t="s">
        <v>2546</v>
      </c>
      <c r="B1885" s="57" t="s">
        <v>2546</v>
      </c>
      <c r="C1885" s="57" t="s">
        <v>2135</v>
      </c>
      <c r="D1885" s="57" t="s">
        <v>2902</v>
      </c>
      <c r="E1885" s="75" t="s">
        <v>2318</v>
      </c>
      <c r="F1885" s="57" t="s">
        <v>2089</v>
      </c>
      <c r="G1885" s="57" t="s">
        <v>2614</v>
      </c>
    </row>
    <row r="1886" spans="1:7">
      <c r="A1886" s="57" t="s">
        <v>2618</v>
      </c>
      <c r="B1886" s="57" t="s">
        <v>2619</v>
      </c>
      <c r="C1886" s="57" t="s">
        <v>2135</v>
      </c>
      <c r="D1886" s="57" t="s">
        <v>2902</v>
      </c>
      <c r="E1886" s="75" t="s">
        <v>2318</v>
      </c>
      <c r="F1886" s="57" t="s">
        <v>2089</v>
      </c>
      <c r="G1886" s="57" t="s">
        <v>2120</v>
      </c>
    </row>
    <row r="1887" spans="1:7">
      <c r="A1887" s="57" t="s">
        <v>2622</v>
      </c>
      <c r="B1887" s="57" t="s">
        <v>2582</v>
      </c>
      <c r="C1887" s="57" t="s">
        <v>2135</v>
      </c>
      <c r="D1887" s="57" t="s">
        <v>2902</v>
      </c>
      <c r="E1887" s="75" t="s">
        <v>2318</v>
      </c>
      <c r="F1887" s="57" t="s">
        <v>2089</v>
      </c>
      <c r="G1887" s="57" t="s">
        <v>2120</v>
      </c>
    </row>
    <row r="1888" spans="1:7">
      <c r="A1888" s="57" t="s">
        <v>2631</v>
      </c>
      <c r="B1888" s="57" t="s">
        <v>2537</v>
      </c>
      <c r="C1888" s="57" t="s">
        <v>2135</v>
      </c>
      <c r="D1888" s="57" t="s">
        <v>2902</v>
      </c>
      <c r="E1888" s="75" t="s">
        <v>2318</v>
      </c>
      <c r="F1888" s="57" t="s">
        <v>2089</v>
      </c>
      <c r="G1888" s="57" t="s">
        <v>2632</v>
      </c>
    </row>
    <row r="1889" spans="1:7">
      <c r="A1889" s="57" t="s">
        <v>2633</v>
      </c>
      <c r="B1889" s="57" t="s">
        <v>2571</v>
      </c>
      <c r="C1889" s="57" t="s">
        <v>2135</v>
      </c>
      <c r="D1889" s="57" t="s">
        <v>2902</v>
      </c>
      <c r="E1889" s="75" t="s">
        <v>2318</v>
      </c>
      <c r="F1889" s="57" t="s">
        <v>2089</v>
      </c>
      <c r="G1889" s="57" t="s">
        <v>2632</v>
      </c>
    </row>
    <row r="1890" spans="1:7">
      <c r="A1890" s="57" t="s">
        <v>2636</v>
      </c>
      <c r="B1890" s="57" t="s">
        <v>2582</v>
      </c>
      <c r="C1890" s="57" t="s">
        <v>2135</v>
      </c>
      <c r="D1890" s="57" t="s">
        <v>2902</v>
      </c>
      <c r="E1890" s="75" t="s">
        <v>2318</v>
      </c>
      <c r="F1890" s="57" t="s">
        <v>2089</v>
      </c>
      <c r="G1890" s="57" t="s">
        <v>2120</v>
      </c>
    </row>
    <row r="1891" spans="1:7">
      <c r="A1891" s="57" t="s">
        <v>2637</v>
      </c>
      <c r="B1891" s="57" t="s">
        <v>2619</v>
      </c>
      <c r="C1891" s="57" t="s">
        <v>2338</v>
      </c>
      <c r="D1891" s="57" t="s">
        <v>2902</v>
      </c>
      <c r="E1891" s="75" t="s">
        <v>2339</v>
      </c>
      <c r="F1891" s="57" t="s">
        <v>2089</v>
      </c>
      <c r="G1891" s="57" t="s">
        <v>2120</v>
      </c>
    </row>
    <row r="1892" spans="1:7">
      <c r="A1892" s="57" t="s">
        <v>2638</v>
      </c>
      <c r="B1892" s="57" t="s">
        <v>2537</v>
      </c>
      <c r="C1892" s="57" t="s">
        <v>2338</v>
      </c>
      <c r="D1892" s="57" t="s">
        <v>2902</v>
      </c>
      <c r="E1892" s="75" t="s">
        <v>2339</v>
      </c>
      <c r="F1892" s="57" t="s">
        <v>2089</v>
      </c>
      <c r="G1892" s="57" t="s">
        <v>2639</v>
      </c>
    </row>
    <row r="1893" spans="1:7">
      <c r="A1893" s="57" t="s">
        <v>2640</v>
      </c>
      <c r="B1893" s="57" t="s">
        <v>2619</v>
      </c>
      <c r="C1893" s="57" t="s">
        <v>2309</v>
      </c>
      <c r="D1893" s="57" t="s">
        <v>2902</v>
      </c>
      <c r="E1893" s="75" t="s">
        <v>2311</v>
      </c>
      <c r="F1893" s="57" t="s">
        <v>2089</v>
      </c>
      <c r="G1893" s="57" t="s">
        <v>2641</v>
      </c>
    </row>
    <row r="1894" spans="1:7" ht="17.25">
      <c r="A1894" s="76" t="s">
        <v>2906</v>
      </c>
      <c r="B1894" s="76"/>
      <c r="C1894" s="76"/>
      <c r="D1894" s="76"/>
      <c r="E1894" s="77"/>
      <c r="F1894" s="76"/>
      <c r="G1894" s="76"/>
    </row>
    <row r="1895" spans="1:7">
      <c r="A1895" s="57" t="s">
        <v>2546</v>
      </c>
      <c r="B1895" s="57" t="s">
        <v>2546</v>
      </c>
      <c r="C1895" s="57" t="s">
        <v>2135</v>
      </c>
      <c r="D1895" s="57" t="s">
        <v>2902</v>
      </c>
      <c r="E1895" s="75" t="s">
        <v>2318</v>
      </c>
      <c r="F1895" s="57" t="s">
        <v>2089</v>
      </c>
      <c r="G1895" s="57" t="s">
        <v>2580</v>
      </c>
    </row>
    <row r="1896" spans="1:7">
      <c r="A1896" s="57" t="s">
        <v>2647</v>
      </c>
      <c r="B1896" s="57" t="s">
        <v>2591</v>
      </c>
      <c r="C1896" s="57" t="s">
        <v>2135</v>
      </c>
      <c r="D1896" s="57" t="s">
        <v>2902</v>
      </c>
      <c r="E1896" s="75" t="s">
        <v>2318</v>
      </c>
      <c r="F1896" s="57" t="s">
        <v>2089</v>
      </c>
      <c r="G1896" s="57" t="s">
        <v>2120</v>
      </c>
    </row>
    <row r="1897" spans="1:7">
      <c r="A1897" s="57" t="s">
        <v>2661</v>
      </c>
      <c r="B1897" s="57" t="s">
        <v>2559</v>
      </c>
      <c r="C1897" s="57" t="s">
        <v>2135</v>
      </c>
      <c r="D1897" s="57" t="s">
        <v>2902</v>
      </c>
      <c r="E1897" s="75" t="s">
        <v>2318</v>
      </c>
      <c r="F1897" s="57" t="s">
        <v>2089</v>
      </c>
      <c r="G1897" s="57" t="s">
        <v>2662</v>
      </c>
    </row>
    <row r="1898" spans="1:7">
      <c r="A1898" s="57" t="s">
        <v>2673</v>
      </c>
      <c r="B1898" s="57" t="s">
        <v>2537</v>
      </c>
      <c r="C1898" s="57" t="s">
        <v>2338</v>
      </c>
      <c r="D1898" s="57" t="s">
        <v>2902</v>
      </c>
      <c r="E1898" s="75" t="s">
        <v>2339</v>
      </c>
      <c r="F1898" s="57" t="s">
        <v>2089</v>
      </c>
      <c r="G1898" s="57" t="s">
        <v>2120</v>
      </c>
    </row>
    <row r="1899" spans="1:7" ht="17.25">
      <c r="A1899" s="76" t="s">
        <v>2907</v>
      </c>
      <c r="B1899" s="76"/>
      <c r="C1899" s="76"/>
      <c r="D1899" s="76"/>
      <c r="E1899" s="77"/>
      <c r="F1899" s="76"/>
      <c r="G1899" s="76"/>
    </row>
    <row r="1900" spans="1:7">
      <c r="A1900" s="57" t="s">
        <v>2546</v>
      </c>
      <c r="B1900" s="57" t="s">
        <v>2546</v>
      </c>
      <c r="C1900" s="57" t="s">
        <v>2135</v>
      </c>
      <c r="D1900" s="57" t="s">
        <v>2902</v>
      </c>
      <c r="E1900" s="75" t="s">
        <v>2318</v>
      </c>
      <c r="F1900" s="57" t="s">
        <v>2089</v>
      </c>
      <c r="G1900" s="57" t="s">
        <v>2580</v>
      </c>
    </row>
    <row r="1901" spans="1:7">
      <c r="A1901" s="57" t="s">
        <v>2683</v>
      </c>
      <c r="B1901" s="57" t="s">
        <v>2537</v>
      </c>
      <c r="C1901" s="57" t="s">
        <v>2684</v>
      </c>
      <c r="D1901" s="57" t="s">
        <v>2902</v>
      </c>
      <c r="E1901" s="75" t="s">
        <v>2318</v>
      </c>
      <c r="F1901" s="57" t="s">
        <v>2089</v>
      </c>
      <c r="G1901" s="57" t="s">
        <v>2686</v>
      </c>
    </row>
    <row r="1902" spans="1:7">
      <c r="A1902" s="57" t="s">
        <v>2691</v>
      </c>
      <c r="B1902" s="57" t="s">
        <v>2533</v>
      </c>
      <c r="C1902" s="57" t="s">
        <v>2135</v>
      </c>
      <c r="D1902" s="57" t="s">
        <v>2902</v>
      </c>
      <c r="E1902" s="75" t="s">
        <v>2318</v>
      </c>
      <c r="F1902" s="57" t="s">
        <v>2089</v>
      </c>
      <c r="G1902" s="57" t="s">
        <v>2692</v>
      </c>
    </row>
    <row r="1903" spans="1:7">
      <c r="A1903" s="57" t="s">
        <v>2705</v>
      </c>
      <c r="B1903" s="57" t="s">
        <v>2554</v>
      </c>
      <c r="C1903" s="57" t="s">
        <v>2338</v>
      </c>
      <c r="D1903" s="57" t="s">
        <v>2902</v>
      </c>
      <c r="E1903" s="75" t="s">
        <v>2339</v>
      </c>
      <c r="F1903" s="57" t="s">
        <v>2089</v>
      </c>
      <c r="G1903" s="57" t="s">
        <v>2120</v>
      </c>
    </row>
    <row r="1904" spans="1:7" ht="17.25">
      <c r="A1904" s="76" t="s">
        <v>2908</v>
      </c>
      <c r="B1904" s="76"/>
      <c r="C1904" s="76"/>
      <c r="D1904" s="76"/>
      <c r="E1904" s="77"/>
      <c r="F1904" s="76"/>
      <c r="G1904" s="76"/>
    </row>
    <row r="1905" spans="1:7">
      <c r="A1905" s="57" t="s">
        <v>2546</v>
      </c>
      <c r="B1905" s="57" t="s">
        <v>2546</v>
      </c>
      <c r="C1905" s="57" t="s">
        <v>2135</v>
      </c>
      <c r="D1905" s="57" t="s">
        <v>2902</v>
      </c>
      <c r="E1905" s="75" t="s">
        <v>2318</v>
      </c>
      <c r="F1905" s="57" t="s">
        <v>2089</v>
      </c>
      <c r="G1905" s="57" t="s">
        <v>2580</v>
      </c>
    </row>
    <row r="1906" spans="1:7" ht="17.25">
      <c r="A1906" s="76" t="s">
        <v>2909</v>
      </c>
      <c r="B1906" s="76"/>
      <c r="C1906" s="76"/>
      <c r="D1906" s="76"/>
      <c r="E1906" s="77"/>
      <c r="F1906" s="76"/>
      <c r="G1906" s="76"/>
    </row>
    <row r="1907" spans="1:7">
      <c r="A1907" s="57" t="s">
        <v>2546</v>
      </c>
      <c r="B1907" s="57" t="s">
        <v>2546</v>
      </c>
      <c r="C1907" s="57" t="s">
        <v>2135</v>
      </c>
      <c r="D1907" s="57" t="s">
        <v>2902</v>
      </c>
      <c r="E1907" s="75" t="s">
        <v>2318</v>
      </c>
      <c r="F1907" s="57" t="s">
        <v>2089</v>
      </c>
      <c r="G1907" s="57" t="s">
        <v>2580</v>
      </c>
    </row>
    <row r="1908" spans="1:7">
      <c r="A1908" s="57" t="s">
        <v>2736</v>
      </c>
      <c r="B1908" s="57" t="s">
        <v>2579</v>
      </c>
      <c r="C1908" s="57" t="s">
        <v>2737</v>
      </c>
      <c r="D1908" s="57" t="s">
        <v>2902</v>
      </c>
      <c r="E1908" s="75" t="s">
        <v>2311</v>
      </c>
      <c r="F1908" s="57" t="s">
        <v>2089</v>
      </c>
      <c r="G1908" s="57" t="s">
        <v>2739</v>
      </c>
    </row>
    <row r="1909" spans="1:7" ht="17.25">
      <c r="A1909" s="76" t="s">
        <v>2910</v>
      </c>
      <c r="B1909" s="76"/>
      <c r="C1909" s="76"/>
      <c r="D1909" s="76"/>
      <c r="E1909" s="77"/>
      <c r="F1909" s="76"/>
      <c r="G1909" s="76"/>
    </row>
    <row r="1910" spans="1:7">
      <c r="A1910" s="57" t="s">
        <v>2308</v>
      </c>
      <c r="B1910" s="57" t="s">
        <v>2122</v>
      </c>
      <c r="C1910" s="57" t="s">
        <v>2309</v>
      </c>
      <c r="D1910" s="57" t="s">
        <v>2902</v>
      </c>
      <c r="E1910" s="75" t="s">
        <v>2311</v>
      </c>
      <c r="F1910" s="57" t="s">
        <v>2089</v>
      </c>
      <c r="G1910" s="57" t="s">
        <v>2312</v>
      </c>
    </row>
    <row r="1911" spans="1:7">
      <c r="A1911" s="57" t="s">
        <v>2313</v>
      </c>
      <c r="B1911" s="57" t="s">
        <v>2314</v>
      </c>
      <c r="C1911" s="57" t="s">
        <v>2309</v>
      </c>
      <c r="D1911" s="57" t="s">
        <v>2902</v>
      </c>
      <c r="E1911" s="75" t="s">
        <v>2311</v>
      </c>
      <c r="F1911" s="57" t="s">
        <v>2089</v>
      </c>
      <c r="G1911" s="57" t="s">
        <v>2120</v>
      </c>
    </row>
    <row r="1912" spans="1:7">
      <c r="A1912" s="57" t="s">
        <v>2315</v>
      </c>
      <c r="B1912" s="57" t="s">
        <v>2314</v>
      </c>
      <c r="C1912" s="57" t="s">
        <v>2309</v>
      </c>
      <c r="D1912" s="57" t="s">
        <v>2902</v>
      </c>
      <c r="E1912" s="75" t="s">
        <v>2311</v>
      </c>
      <c r="F1912" s="57" t="s">
        <v>2089</v>
      </c>
      <c r="G1912" s="57" t="s">
        <v>2120</v>
      </c>
    </row>
    <row r="1913" spans="1:7">
      <c r="A1913" s="57" t="s">
        <v>2316</v>
      </c>
      <c r="B1913" s="57" t="s">
        <v>2124</v>
      </c>
      <c r="C1913" s="57" t="s">
        <v>2309</v>
      </c>
      <c r="D1913" s="57" t="s">
        <v>2902</v>
      </c>
      <c r="E1913" s="75" t="s">
        <v>2311</v>
      </c>
      <c r="F1913" s="57" t="s">
        <v>2089</v>
      </c>
      <c r="G1913" s="57" t="s">
        <v>2120</v>
      </c>
    </row>
    <row r="1914" spans="1:7" ht="17.25">
      <c r="A1914" s="76" t="s">
        <v>2911</v>
      </c>
      <c r="B1914" s="76"/>
      <c r="C1914" s="76"/>
      <c r="D1914" s="76"/>
      <c r="E1914" s="77"/>
      <c r="F1914" s="76"/>
      <c r="G1914" s="76"/>
    </row>
    <row r="1915" spans="1:7">
      <c r="A1915" s="57" t="s">
        <v>2134</v>
      </c>
      <c r="B1915" s="57"/>
      <c r="C1915" s="57" t="s">
        <v>2135</v>
      </c>
      <c r="D1915" s="57" t="s">
        <v>2902</v>
      </c>
      <c r="E1915" s="75" t="s">
        <v>2318</v>
      </c>
      <c r="F1915" s="57" t="s">
        <v>2089</v>
      </c>
      <c r="G1915" s="57" t="s">
        <v>2137</v>
      </c>
    </row>
    <row r="1916" spans="1:7" ht="17.25">
      <c r="A1916" s="76" t="s">
        <v>2912</v>
      </c>
      <c r="B1916" s="76"/>
      <c r="C1916" s="76"/>
      <c r="D1916" s="76"/>
      <c r="E1916" s="77"/>
      <c r="F1916" s="76"/>
      <c r="G1916" s="76"/>
    </row>
    <row r="1917" spans="1:7">
      <c r="A1917" s="57" t="s">
        <v>2169</v>
      </c>
      <c r="B1917" s="57" t="s">
        <v>2129</v>
      </c>
      <c r="C1917" s="57" t="s">
        <v>2170</v>
      </c>
      <c r="D1917" s="57" t="s">
        <v>2902</v>
      </c>
      <c r="E1917" s="75" t="s">
        <v>2318</v>
      </c>
      <c r="F1917" s="57" t="s">
        <v>2089</v>
      </c>
      <c r="G1917" s="57" t="s">
        <v>2120</v>
      </c>
    </row>
    <row r="1918" spans="1:7">
      <c r="A1918" s="57" t="s">
        <v>2171</v>
      </c>
      <c r="B1918" s="57" t="s">
        <v>2129</v>
      </c>
      <c r="C1918" s="57" t="s">
        <v>2135</v>
      </c>
      <c r="D1918" s="57" t="s">
        <v>2902</v>
      </c>
      <c r="E1918" s="75" t="s">
        <v>2318</v>
      </c>
      <c r="F1918" s="57" t="s">
        <v>2089</v>
      </c>
      <c r="G1918" s="57" t="s">
        <v>2120</v>
      </c>
    </row>
    <row r="1919" spans="1:7">
      <c r="A1919" s="57" t="s">
        <v>2172</v>
      </c>
      <c r="B1919" s="57" t="s">
        <v>2129</v>
      </c>
      <c r="C1919" s="57" t="s">
        <v>2135</v>
      </c>
      <c r="D1919" s="57" t="s">
        <v>2902</v>
      </c>
      <c r="E1919" s="75" t="s">
        <v>2318</v>
      </c>
      <c r="F1919" s="57" t="s">
        <v>2089</v>
      </c>
      <c r="G1919" s="57" t="s">
        <v>2120</v>
      </c>
    </row>
    <row r="1920" spans="1:7">
      <c r="A1920" s="57" t="s">
        <v>2173</v>
      </c>
      <c r="B1920" s="57" t="s">
        <v>2174</v>
      </c>
      <c r="C1920" s="57" t="s">
        <v>2135</v>
      </c>
      <c r="D1920" s="57" t="s">
        <v>2902</v>
      </c>
      <c r="E1920" s="75" t="s">
        <v>2318</v>
      </c>
      <c r="F1920" s="57" t="s">
        <v>2089</v>
      </c>
      <c r="G1920" s="57" t="s">
        <v>2120</v>
      </c>
    </row>
    <row r="1921" spans="1:7">
      <c r="A1921" s="57" t="s">
        <v>2175</v>
      </c>
      <c r="B1921" s="57"/>
      <c r="C1921" s="57" t="s">
        <v>2135</v>
      </c>
      <c r="D1921" s="57" t="s">
        <v>2902</v>
      </c>
      <c r="E1921" s="75" t="s">
        <v>2318</v>
      </c>
      <c r="F1921" s="57" t="s">
        <v>2089</v>
      </c>
      <c r="G1921" s="57" t="s">
        <v>2120</v>
      </c>
    </row>
    <row r="1922" spans="1:7">
      <c r="A1922" s="57" t="s">
        <v>2176</v>
      </c>
      <c r="B1922" s="57"/>
      <c r="C1922" s="57" t="s">
        <v>2135</v>
      </c>
      <c r="D1922" s="57" t="s">
        <v>2902</v>
      </c>
      <c r="E1922" s="75" t="s">
        <v>2318</v>
      </c>
      <c r="F1922" s="57" t="s">
        <v>2089</v>
      </c>
      <c r="G1922" s="57" t="s">
        <v>2120</v>
      </c>
    </row>
    <row r="1923" spans="1:7">
      <c r="A1923" s="57" t="s">
        <v>2177</v>
      </c>
      <c r="B1923" s="57"/>
      <c r="C1923" s="57" t="s">
        <v>2135</v>
      </c>
      <c r="D1923" s="57" t="s">
        <v>2902</v>
      </c>
      <c r="E1923" s="75" t="s">
        <v>2318</v>
      </c>
      <c r="F1923" s="57" t="s">
        <v>2089</v>
      </c>
      <c r="G1923" s="57" t="s">
        <v>2120</v>
      </c>
    </row>
    <row r="1924" spans="1:7" ht="17.25">
      <c r="A1924" s="76" t="s">
        <v>2913</v>
      </c>
      <c r="B1924" s="76"/>
      <c r="C1924" s="76"/>
      <c r="D1924" s="76"/>
      <c r="E1924" s="77"/>
      <c r="F1924" s="76"/>
      <c r="G1924" s="76"/>
    </row>
    <row r="1925" spans="1:7">
      <c r="A1925" s="57" t="s">
        <v>2190</v>
      </c>
      <c r="B1925" s="57"/>
      <c r="C1925" s="57" t="s">
        <v>2135</v>
      </c>
      <c r="D1925" s="57" t="s">
        <v>2902</v>
      </c>
      <c r="E1925" s="75" t="s">
        <v>2318</v>
      </c>
      <c r="F1925" s="57" t="s">
        <v>2089</v>
      </c>
      <c r="G1925" s="57" t="s">
        <v>2120</v>
      </c>
    </row>
    <row r="1926" spans="1:7">
      <c r="A1926" s="57" t="s">
        <v>2191</v>
      </c>
      <c r="B1926" s="57"/>
      <c r="C1926" s="57" t="s">
        <v>2135</v>
      </c>
      <c r="D1926" s="57" t="s">
        <v>2902</v>
      </c>
      <c r="E1926" s="75" t="s">
        <v>2318</v>
      </c>
      <c r="F1926" s="57" t="s">
        <v>2089</v>
      </c>
      <c r="G1926" s="57" t="s">
        <v>2120</v>
      </c>
    </row>
    <row r="1927" spans="1:7" ht="17.25">
      <c r="A1927" s="76" t="s">
        <v>2914</v>
      </c>
      <c r="B1927" s="76"/>
      <c r="C1927" s="76"/>
      <c r="D1927" s="76"/>
      <c r="E1927" s="77"/>
      <c r="F1927" s="76"/>
      <c r="G1927" s="76"/>
    </row>
    <row r="1928" spans="1:7">
      <c r="A1928" s="57" t="s">
        <v>2206</v>
      </c>
      <c r="B1928" s="57"/>
      <c r="C1928" s="57" t="s">
        <v>2135</v>
      </c>
      <c r="D1928" s="57" t="s">
        <v>2902</v>
      </c>
      <c r="E1928" s="75" t="s">
        <v>2318</v>
      </c>
      <c r="F1928" s="57" t="s">
        <v>2089</v>
      </c>
      <c r="G1928" s="57" t="s">
        <v>2120</v>
      </c>
    </row>
    <row r="1929" spans="1:7" ht="17.25">
      <c r="A1929" s="76" t="s">
        <v>2915</v>
      </c>
      <c r="B1929" s="76"/>
      <c r="C1929" s="76"/>
      <c r="D1929" s="76"/>
      <c r="E1929" s="77"/>
      <c r="F1929" s="76"/>
      <c r="G1929" s="76"/>
    </row>
    <row r="1930" spans="1:7">
      <c r="A1930" s="58" t="s">
        <v>2372</v>
      </c>
      <c r="B1930" s="58" t="s">
        <v>2220</v>
      </c>
      <c r="C1930" s="58" t="s">
        <v>2373</v>
      </c>
      <c r="D1930" s="58" t="s">
        <v>2902</v>
      </c>
      <c r="E1930" s="59" t="s">
        <v>2916</v>
      </c>
      <c r="F1930" s="59" t="s">
        <v>2349</v>
      </c>
      <c r="G1930" s="58" t="s">
        <v>2374</v>
      </c>
    </row>
    <row r="1931" spans="1:7">
      <c r="A1931" s="57" t="s">
        <v>2328</v>
      </c>
      <c r="B1931" s="57" t="s">
        <v>2217</v>
      </c>
      <c r="C1931" s="57" t="s">
        <v>2309</v>
      </c>
      <c r="D1931" s="57" t="s">
        <v>2902</v>
      </c>
      <c r="E1931" s="75" t="s">
        <v>2311</v>
      </c>
      <c r="F1931" s="57" t="s">
        <v>2089</v>
      </c>
      <c r="G1931" s="57" t="s">
        <v>2329</v>
      </c>
    </row>
    <row r="1932" spans="1:7">
      <c r="A1932" s="57" t="s">
        <v>2330</v>
      </c>
      <c r="B1932" s="57" t="s">
        <v>2331</v>
      </c>
      <c r="C1932" s="57" t="s">
        <v>2309</v>
      </c>
      <c r="D1932" s="57" t="s">
        <v>2902</v>
      </c>
      <c r="E1932" s="75" t="s">
        <v>2311</v>
      </c>
      <c r="F1932" s="57" t="s">
        <v>2089</v>
      </c>
      <c r="G1932" s="57" t="s">
        <v>2332</v>
      </c>
    </row>
    <row r="1933" spans="1:7">
      <c r="A1933" s="57" t="s">
        <v>2228</v>
      </c>
      <c r="B1933" s="57"/>
      <c r="C1933" s="57" t="s">
        <v>2135</v>
      </c>
      <c r="D1933" s="57" t="s">
        <v>2902</v>
      </c>
      <c r="E1933" s="75" t="s">
        <v>2318</v>
      </c>
      <c r="F1933" s="57" t="s">
        <v>2089</v>
      </c>
      <c r="G1933" s="57" t="s">
        <v>2120</v>
      </c>
    </row>
    <row r="1934" spans="1:7" ht="17.25">
      <c r="A1934" s="76" t="s">
        <v>2917</v>
      </c>
      <c r="B1934" s="76"/>
      <c r="C1934" s="76"/>
      <c r="D1934" s="76"/>
      <c r="E1934" s="77"/>
      <c r="F1934" s="76"/>
      <c r="G1934" s="76"/>
    </row>
    <row r="1935" spans="1:7">
      <c r="A1935" s="57" t="s">
        <v>2335</v>
      </c>
      <c r="B1935" s="57"/>
      <c r="C1935" s="57" t="s">
        <v>2309</v>
      </c>
      <c r="D1935" s="57" t="s">
        <v>2902</v>
      </c>
      <c r="E1935" s="75" t="s">
        <v>2311</v>
      </c>
      <c r="F1935" s="57" t="s">
        <v>2089</v>
      </c>
      <c r="G1935" s="57" t="s">
        <v>2336</v>
      </c>
    </row>
    <row r="1936" spans="1:7">
      <c r="A1936" s="57" t="s">
        <v>2337</v>
      </c>
      <c r="B1936" s="57" t="s">
        <v>2248</v>
      </c>
      <c r="C1936" s="57" t="s">
        <v>2338</v>
      </c>
      <c r="D1936" s="57" t="s">
        <v>2902</v>
      </c>
      <c r="E1936" s="75" t="s">
        <v>2339</v>
      </c>
      <c r="F1936" s="57" t="s">
        <v>2089</v>
      </c>
      <c r="G1936" s="57" t="s">
        <v>2120</v>
      </c>
    </row>
    <row r="1937" spans="1:7" ht="17.25">
      <c r="A1937" s="76" t="s">
        <v>2918</v>
      </c>
      <c r="B1937" s="76"/>
      <c r="C1937" s="76"/>
      <c r="D1937" s="76"/>
      <c r="E1937" s="77"/>
      <c r="F1937" s="76"/>
      <c r="G1937" s="76"/>
    </row>
    <row r="1938" spans="1:7">
      <c r="A1938" s="58" t="s">
        <v>2269</v>
      </c>
      <c r="B1938" s="58" t="s">
        <v>2252</v>
      </c>
      <c r="C1938" s="58" t="s">
        <v>2270</v>
      </c>
      <c r="D1938" s="58" t="s">
        <v>2902</v>
      </c>
      <c r="E1938" s="59" t="s">
        <v>436</v>
      </c>
      <c r="F1938" s="59" t="s">
        <v>2349</v>
      </c>
      <c r="G1938" s="58" t="s">
        <v>2120</v>
      </c>
    </row>
    <row r="1939" spans="1:7" ht="17.25">
      <c r="A1939" s="76" t="s">
        <v>2919</v>
      </c>
      <c r="B1939" s="76"/>
      <c r="C1939" s="76"/>
      <c r="D1939" s="76"/>
      <c r="E1939" s="77"/>
      <c r="F1939" s="76"/>
      <c r="G1939" s="76"/>
    </row>
    <row r="1940" spans="1:7">
      <c r="A1940" s="57" t="s">
        <v>2342</v>
      </c>
      <c r="B1940" s="57"/>
      <c r="C1940" s="57" t="s">
        <v>2309</v>
      </c>
      <c r="D1940" s="57" t="s">
        <v>2902</v>
      </c>
      <c r="E1940" s="75" t="s">
        <v>2311</v>
      </c>
      <c r="F1940" s="57" t="s">
        <v>2089</v>
      </c>
      <c r="G1940" s="57" t="s">
        <v>2343</v>
      </c>
    </row>
    <row r="1941" spans="1:7">
      <c r="A1941" s="57" t="s">
        <v>2344</v>
      </c>
      <c r="B1941" s="57" t="s">
        <v>2273</v>
      </c>
      <c r="C1941" s="57" t="s">
        <v>2309</v>
      </c>
      <c r="D1941" s="57" t="s">
        <v>2902</v>
      </c>
      <c r="E1941" s="75" t="s">
        <v>2311</v>
      </c>
      <c r="F1941" s="57" t="s">
        <v>2089</v>
      </c>
      <c r="G1941" s="57" t="s">
        <v>2345</v>
      </c>
    </row>
    <row r="1942" spans="1:7">
      <c r="A1942" s="57" t="s">
        <v>2285</v>
      </c>
      <c r="B1942" s="57"/>
      <c r="C1942" s="57" t="s">
        <v>2135</v>
      </c>
      <c r="D1942" s="57" t="s">
        <v>2902</v>
      </c>
      <c r="E1942" s="75" t="s">
        <v>2318</v>
      </c>
      <c r="F1942" s="57" t="s">
        <v>2089</v>
      </c>
      <c r="G1942" s="57" t="s">
        <v>2120</v>
      </c>
    </row>
    <row r="1943" spans="1:7" ht="17.25">
      <c r="A1943" s="76" t="s">
        <v>2920</v>
      </c>
      <c r="B1943" s="76"/>
      <c r="C1943" s="76"/>
      <c r="D1943" s="76"/>
      <c r="E1943" s="77"/>
      <c r="F1943" s="76"/>
      <c r="G1943" s="76"/>
    </row>
    <row r="1944" spans="1:7">
      <c r="A1944" s="57" t="s">
        <v>2291</v>
      </c>
      <c r="B1944" s="57"/>
      <c r="C1944" s="57" t="s">
        <v>2135</v>
      </c>
      <c r="D1944" s="57" t="s">
        <v>2902</v>
      </c>
      <c r="E1944" s="75" t="s">
        <v>2318</v>
      </c>
      <c r="F1944" s="57" t="s">
        <v>2089</v>
      </c>
      <c r="G1944" s="57" t="s">
        <v>2292</v>
      </c>
    </row>
    <row r="1945" spans="1:7">
      <c r="A1945" s="58" t="s">
        <v>2347</v>
      </c>
      <c r="B1945" s="58" t="s">
        <v>2213</v>
      </c>
      <c r="C1945" s="58" t="s">
        <v>2348</v>
      </c>
      <c r="D1945" s="58" t="s">
        <v>2902</v>
      </c>
      <c r="E1945" s="59" t="s">
        <v>2348</v>
      </c>
      <c r="F1945" s="59" t="s">
        <v>2349</v>
      </c>
      <c r="G1945" s="58" t="s">
        <v>2296</v>
      </c>
    </row>
    <row r="1946" spans="1:7" ht="17.25">
      <c r="A1946" s="76" t="s">
        <v>2921</v>
      </c>
      <c r="B1946" s="76"/>
      <c r="C1946" s="76"/>
      <c r="D1946" s="76"/>
      <c r="E1946" s="77"/>
      <c r="F1946" s="76"/>
      <c r="G1946" s="76"/>
    </row>
    <row r="1947" spans="1:7">
      <c r="A1947" s="58" t="s">
        <v>2532</v>
      </c>
      <c r="B1947" s="58" t="s">
        <v>2533</v>
      </c>
      <c r="C1947" s="58" t="s">
        <v>1559</v>
      </c>
      <c r="D1947" s="58" t="s">
        <v>2922</v>
      </c>
      <c r="E1947" s="59" t="s">
        <v>108</v>
      </c>
      <c r="F1947" s="59" t="s">
        <v>2349</v>
      </c>
      <c r="G1947" s="58" t="s">
        <v>2535</v>
      </c>
    </row>
    <row r="1948" spans="1:7">
      <c r="A1948" s="58" t="s">
        <v>2536</v>
      </c>
      <c r="B1948" s="58" t="s">
        <v>2537</v>
      </c>
      <c r="C1948" s="58" t="s">
        <v>2538</v>
      </c>
      <c r="D1948" s="58" t="s">
        <v>2922</v>
      </c>
      <c r="E1948" s="59" t="s">
        <v>108</v>
      </c>
      <c r="F1948" s="59" t="s">
        <v>2349</v>
      </c>
      <c r="G1948" s="58" t="s">
        <v>2539</v>
      </c>
    </row>
    <row r="1949" spans="1:7">
      <c r="A1949" s="58" t="s">
        <v>2540</v>
      </c>
      <c r="B1949" s="58" t="s">
        <v>2537</v>
      </c>
      <c r="C1949" s="58" t="s">
        <v>2193</v>
      </c>
      <c r="D1949" s="58" t="s">
        <v>2922</v>
      </c>
      <c r="E1949" s="59" t="s">
        <v>2193</v>
      </c>
      <c r="F1949" s="59" t="s">
        <v>2349</v>
      </c>
      <c r="G1949" s="58" t="s">
        <v>2541</v>
      </c>
    </row>
    <row r="1950" spans="1:7">
      <c r="A1950" s="58" t="s">
        <v>2542</v>
      </c>
      <c r="B1950" s="58" t="s">
        <v>2533</v>
      </c>
      <c r="C1950" s="58" t="s">
        <v>108</v>
      </c>
      <c r="D1950" s="58" t="s">
        <v>2922</v>
      </c>
      <c r="E1950" s="59" t="s">
        <v>108</v>
      </c>
      <c r="F1950" s="59" t="s">
        <v>2349</v>
      </c>
      <c r="G1950" s="58" t="s">
        <v>2543</v>
      </c>
    </row>
    <row r="1951" spans="1:7">
      <c r="A1951" s="58" t="s">
        <v>2544</v>
      </c>
      <c r="B1951" s="58" t="s">
        <v>2545</v>
      </c>
      <c r="C1951" s="58" t="s">
        <v>2193</v>
      </c>
      <c r="D1951" s="58" t="s">
        <v>2922</v>
      </c>
      <c r="E1951" s="59" t="s">
        <v>2193</v>
      </c>
      <c r="F1951" s="59" t="s">
        <v>2349</v>
      </c>
      <c r="G1951" s="58" t="s">
        <v>2541</v>
      </c>
    </row>
    <row r="1952" spans="1:7" ht="17.25">
      <c r="A1952" s="76" t="s">
        <v>2923</v>
      </c>
      <c r="B1952" s="76"/>
      <c r="C1952" s="76"/>
      <c r="D1952" s="76"/>
      <c r="E1952" s="77"/>
      <c r="F1952" s="76"/>
      <c r="G1952" s="76"/>
    </row>
    <row r="1953" spans="1:7">
      <c r="A1953" s="58" t="s">
        <v>2549</v>
      </c>
      <c r="B1953" s="58" t="s">
        <v>2537</v>
      </c>
      <c r="C1953" s="58" t="s">
        <v>2288</v>
      </c>
      <c r="D1953" s="58" t="s">
        <v>2922</v>
      </c>
      <c r="E1953" s="59" t="s">
        <v>2288</v>
      </c>
      <c r="F1953" s="59" t="s">
        <v>2349</v>
      </c>
      <c r="G1953" s="58" t="s">
        <v>2550</v>
      </c>
    </row>
    <row r="1954" spans="1:7">
      <c r="A1954" s="58" t="s">
        <v>2556</v>
      </c>
      <c r="B1954" s="58" t="s">
        <v>2533</v>
      </c>
      <c r="C1954" s="58" t="s">
        <v>2288</v>
      </c>
      <c r="D1954" s="58" t="s">
        <v>2922</v>
      </c>
      <c r="E1954" s="59" t="s">
        <v>2288</v>
      </c>
      <c r="F1954" s="59" t="s">
        <v>2349</v>
      </c>
      <c r="G1954" s="58" t="s">
        <v>2557</v>
      </c>
    </row>
    <row r="1955" spans="1:7">
      <c r="A1955" s="58" t="s">
        <v>2558</v>
      </c>
      <c r="B1955" s="58" t="s">
        <v>2559</v>
      </c>
      <c r="C1955" s="58" t="s">
        <v>2560</v>
      </c>
      <c r="D1955" s="58" t="s">
        <v>2922</v>
      </c>
      <c r="E1955" s="59" t="s">
        <v>2288</v>
      </c>
      <c r="F1955" s="59" t="s">
        <v>2349</v>
      </c>
      <c r="G1955" s="58" t="s">
        <v>2561</v>
      </c>
    </row>
    <row r="1956" spans="1:7">
      <c r="A1956" s="57" t="s">
        <v>2566</v>
      </c>
      <c r="B1956" s="57" t="s">
        <v>2545</v>
      </c>
      <c r="C1956" s="57" t="s">
        <v>2567</v>
      </c>
      <c r="D1956" s="57" t="s">
        <v>2922</v>
      </c>
      <c r="E1956" s="75" t="s">
        <v>108</v>
      </c>
      <c r="F1956" s="57" t="s">
        <v>2100</v>
      </c>
      <c r="G1956" s="57" t="s">
        <v>2569</v>
      </c>
    </row>
    <row r="1957" spans="1:7">
      <c r="A1957" s="58" t="s">
        <v>2576</v>
      </c>
      <c r="B1957" s="58" t="s">
        <v>2571</v>
      </c>
      <c r="C1957" s="58" t="s">
        <v>108</v>
      </c>
      <c r="D1957" s="58" t="s">
        <v>2922</v>
      </c>
      <c r="E1957" s="59" t="s">
        <v>108</v>
      </c>
      <c r="F1957" s="59" t="s">
        <v>2349</v>
      </c>
      <c r="G1957" s="58" t="s">
        <v>2577</v>
      </c>
    </row>
    <row r="1958" spans="1:7">
      <c r="A1958" s="58" t="s">
        <v>2584</v>
      </c>
      <c r="B1958" s="58" t="s">
        <v>2545</v>
      </c>
      <c r="C1958" s="58" t="s">
        <v>2585</v>
      </c>
      <c r="D1958" s="58" t="s">
        <v>2922</v>
      </c>
      <c r="E1958" s="59" t="s">
        <v>108</v>
      </c>
      <c r="F1958" s="59" t="s">
        <v>2349</v>
      </c>
      <c r="G1958" s="58" t="s">
        <v>2586</v>
      </c>
    </row>
    <row r="1959" spans="1:7">
      <c r="A1959" s="58" t="s">
        <v>2587</v>
      </c>
      <c r="B1959" s="58" t="s">
        <v>2554</v>
      </c>
      <c r="C1959" s="58" t="s">
        <v>2288</v>
      </c>
      <c r="D1959" s="58" t="s">
        <v>2922</v>
      </c>
      <c r="E1959" s="59" t="s">
        <v>2288</v>
      </c>
      <c r="F1959" s="59" t="s">
        <v>2349</v>
      </c>
      <c r="G1959" s="58" t="s">
        <v>2588</v>
      </c>
    </row>
    <row r="1960" spans="1:7" ht="17.25">
      <c r="A1960" s="76" t="s">
        <v>2924</v>
      </c>
      <c r="B1960" s="76"/>
      <c r="C1960" s="76"/>
      <c r="D1960" s="76"/>
      <c r="E1960" s="77"/>
      <c r="F1960" s="76"/>
      <c r="G1960" s="76"/>
    </row>
    <row r="1961" spans="1:7">
      <c r="A1961" s="58" t="s">
        <v>2590</v>
      </c>
      <c r="B1961" s="58" t="s">
        <v>2591</v>
      </c>
      <c r="C1961" s="58" t="s">
        <v>2592</v>
      </c>
      <c r="D1961" s="58" t="s">
        <v>2922</v>
      </c>
      <c r="E1961" s="59" t="s">
        <v>2288</v>
      </c>
      <c r="F1961" s="59" t="s">
        <v>2349</v>
      </c>
      <c r="G1961" s="58" t="s">
        <v>2593</v>
      </c>
    </row>
    <row r="1962" spans="1:7">
      <c r="A1962" s="58" t="s">
        <v>2594</v>
      </c>
      <c r="B1962" s="58" t="s">
        <v>2533</v>
      </c>
      <c r="C1962" s="58" t="s">
        <v>2288</v>
      </c>
      <c r="D1962" s="58" t="s">
        <v>2922</v>
      </c>
      <c r="E1962" s="59" t="s">
        <v>2288</v>
      </c>
      <c r="F1962" s="59" t="s">
        <v>2349</v>
      </c>
      <c r="G1962" s="58" t="s">
        <v>2595</v>
      </c>
    </row>
    <row r="1963" spans="1:7">
      <c r="A1963" s="58" t="s">
        <v>2596</v>
      </c>
      <c r="B1963" s="58" t="s">
        <v>2582</v>
      </c>
      <c r="C1963" s="58" t="s">
        <v>108</v>
      </c>
      <c r="D1963" s="58" t="s">
        <v>2922</v>
      </c>
      <c r="E1963" s="59" t="s">
        <v>108</v>
      </c>
      <c r="F1963" s="59" t="s">
        <v>2349</v>
      </c>
      <c r="G1963" s="58" t="s">
        <v>2120</v>
      </c>
    </row>
    <row r="1964" spans="1:7">
      <c r="A1964" s="58" t="s">
        <v>2597</v>
      </c>
      <c r="B1964" s="58" t="s">
        <v>2537</v>
      </c>
      <c r="C1964" s="58" t="s">
        <v>108</v>
      </c>
      <c r="D1964" s="58" t="s">
        <v>2922</v>
      </c>
      <c r="E1964" s="59" t="s">
        <v>108</v>
      </c>
      <c r="F1964" s="59" t="s">
        <v>2349</v>
      </c>
      <c r="G1964" s="58" t="s">
        <v>2598</v>
      </c>
    </row>
    <row r="1965" spans="1:7">
      <c r="A1965" s="58" t="s">
        <v>2599</v>
      </c>
      <c r="B1965" s="58" t="s">
        <v>2559</v>
      </c>
      <c r="C1965" s="58" t="s">
        <v>2288</v>
      </c>
      <c r="D1965" s="58" t="s">
        <v>2922</v>
      </c>
      <c r="E1965" s="59" t="s">
        <v>2288</v>
      </c>
      <c r="F1965" s="59" t="s">
        <v>2349</v>
      </c>
      <c r="G1965" s="58" t="s">
        <v>2600</v>
      </c>
    </row>
    <row r="1966" spans="1:7">
      <c r="A1966" s="58" t="s">
        <v>2601</v>
      </c>
      <c r="B1966" s="58" t="s">
        <v>2533</v>
      </c>
      <c r="C1966" s="58" t="s">
        <v>2288</v>
      </c>
      <c r="D1966" s="58" t="s">
        <v>2922</v>
      </c>
      <c r="E1966" s="59" t="s">
        <v>2288</v>
      </c>
      <c r="F1966" s="59" t="s">
        <v>2349</v>
      </c>
      <c r="G1966" s="58" t="s">
        <v>2602</v>
      </c>
    </row>
    <row r="1967" spans="1:7">
      <c r="A1967" s="58" t="s">
        <v>2603</v>
      </c>
      <c r="B1967" s="58" t="s">
        <v>2559</v>
      </c>
      <c r="C1967" s="58" t="s">
        <v>2604</v>
      </c>
      <c r="D1967" s="58" t="s">
        <v>2922</v>
      </c>
      <c r="E1967" s="59" t="s">
        <v>2193</v>
      </c>
      <c r="F1967" s="59" t="s">
        <v>2349</v>
      </c>
      <c r="G1967" s="58" t="s">
        <v>2606</v>
      </c>
    </row>
    <row r="1968" spans="1:7">
      <c r="A1968" s="58" t="s">
        <v>2607</v>
      </c>
      <c r="B1968" s="58" t="s">
        <v>2563</v>
      </c>
      <c r="C1968" s="58" t="s">
        <v>2608</v>
      </c>
      <c r="D1968" s="58" t="s">
        <v>2922</v>
      </c>
      <c r="E1968" s="59" t="s">
        <v>2288</v>
      </c>
      <c r="F1968" s="59" t="s">
        <v>2349</v>
      </c>
      <c r="G1968" s="58" t="s">
        <v>2609</v>
      </c>
    </row>
    <row r="1969" spans="1:7">
      <c r="A1969" s="58" t="s">
        <v>2610</v>
      </c>
      <c r="B1969" s="58" t="s">
        <v>2545</v>
      </c>
      <c r="C1969" s="58" t="s">
        <v>108</v>
      </c>
      <c r="D1969" s="58" t="s">
        <v>2922</v>
      </c>
      <c r="E1969" s="59" t="s">
        <v>108</v>
      </c>
      <c r="F1969" s="59" t="s">
        <v>2349</v>
      </c>
      <c r="G1969" s="58" t="s">
        <v>2120</v>
      </c>
    </row>
    <row r="1970" spans="1:7">
      <c r="A1970" s="58" t="s">
        <v>2611</v>
      </c>
      <c r="B1970" s="58" t="s">
        <v>2545</v>
      </c>
      <c r="C1970" s="58" t="s">
        <v>2288</v>
      </c>
      <c r="D1970" s="58" t="s">
        <v>2922</v>
      </c>
      <c r="E1970" s="59" t="s">
        <v>2288</v>
      </c>
      <c r="F1970" s="59" t="s">
        <v>2349</v>
      </c>
      <c r="G1970" s="58" t="s">
        <v>2612</v>
      </c>
    </row>
    <row r="1971" spans="1:7" ht="17.25">
      <c r="A1971" s="76" t="s">
        <v>2925</v>
      </c>
      <c r="B1971" s="76"/>
      <c r="C1971" s="76"/>
      <c r="D1971" s="76"/>
      <c r="E1971" s="77"/>
      <c r="F1971" s="76"/>
      <c r="G1971" s="76"/>
    </row>
    <row r="1972" spans="1:7">
      <c r="A1972" s="58" t="s">
        <v>2615</v>
      </c>
      <c r="B1972" s="58" t="s">
        <v>2537</v>
      </c>
      <c r="C1972" s="58" t="s">
        <v>2616</v>
      </c>
      <c r="D1972" s="58" t="s">
        <v>2922</v>
      </c>
      <c r="E1972" s="59" t="s">
        <v>2288</v>
      </c>
      <c r="F1972" s="59" t="s">
        <v>2349</v>
      </c>
      <c r="G1972" s="58" t="s">
        <v>2617</v>
      </c>
    </row>
    <row r="1973" spans="1:7">
      <c r="A1973" s="58" t="s">
        <v>2620</v>
      </c>
      <c r="B1973" s="58" t="s">
        <v>2554</v>
      </c>
      <c r="C1973" s="58" t="s">
        <v>2288</v>
      </c>
      <c r="D1973" s="58" t="s">
        <v>2922</v>
      </c>
      <c r="E1973" s="59" t="s">
        <v>2288</v>
      </c>
      <c r="F1973" s="59" t="s">
        <v>2349</v>
      </c>
      <c r="G1973" s="58" t="s">
        <v>2621</v>
      </c>
    </row>
    <row r="1974" spans="1:7">
      <c r="A1974" s="58" t="s">
        <v>2623</v>
      </c>
      <c r="B1974" s="58" t="s">
        <v>2533</v>
      </c>
      <c r="C1974" s="58" t="s">
        <v>2288</v>
      </c>
      <c r="D1974" s="58" t="s">
        <v>2922</v>
      </c>
      <c r="E1974" s="59" t="s">
        <v>2288</v>
      </c>
      <c r="F1974" s="59" t="s">
        <v>2349</v>
      </c>
      <c r="G1974" s="58" t="s">
        <v>2624</v>
      </c>
    </row>
    <row r="1975" spans="1:7">
      <c r="A1975" s="58" t="s">
        <v>2625</v>
      </c>
      <c r="B1975" s="58" t="s">
        <v>2533</v>
      </c>
      <c r="C1975" s="58" t="s">
        <v>2288</v>
      </c>
      <c r="D1975" s="58" t="s">
        <v>2922</v>
      </c>
      <c r="E1975" s="59" t="s">
        <v>2288</v>
      </c>
      <c r="F1975" s="59" t="s">
        <v>2349</v>
      </c>
      <c r="G1975" s="58" t="s">
        <v>2120</v>
      </c>
    </row>
    <row r="1976" spans="1:7">
      <c r="A1976" s="58" t="s">
        <v>2628</v>
      </c>
      <c r="B1976" s="58" t="s">
        <v>2533</v>
      </c>
      <c r="C1976" s="58" t="s">
        <v>2629</v>
      </c>
      <c r="D1976" s="58" t="s">
        <v>2922</v>
      </c>
      <c r="E1976" s="59" t="s">
        <v>2288</v>
      </c>
      <c r="F1976" s="59" t="s">
        <v>2349</v>
      </c>
      <c r="G1976" s="58" t="s">
        <v>2630</v>
      </c>
    </row>
    <row r="1977" spans="1:7">
      <c r="A1977" s="58" t="s">
        <v>2634</v>
      </c>
      <c r="B1977" s="58" t="s">
        <v>2563</v>
      </c>
      <c r="C1977" s="58" t="s">
        <v>2288</v>
      </c>
      <c r="D1977" s="58" t="s">
        <v>2922</v>
      </c>
      <c r="E1977" s="59" t="s">
        <v>2288</v>
      </c>
      <c r="F1977" s="59" t="s">
        <v>2349</v>
      </c>
      <c r="G1977" s="58" t="s">
        <v>2635</v>
      </c>
    </row>
    <row r="1978" spans="1:7" ht="17.25">
      <c r="A1978" s="76" t="s">
        <v>2926</v>
      </c>
      <c r="B1978" s="76"/>
      <c r="C1978" s="76"/>
      <c r="D1978" s="76"/>
      <c r="E1978" s="77"/>
      <c r="F1978" s="76"/>
      <c r="G1978" s="76"/>
    </row>
    <row r="1979" spans="1:7">
      <c r="A1979" s="58" t="s">
        <v>2643</v>
      </c>
      <c r="B1979" s="58" t="s">
        <v>2579</v>
      </c>
      <c r="C1979" s="58" t="s">
        <v>2288</v>
      </c>
      <c r="D1979" s="58" t="s">
        <v>2922</v>
      </c>
      <c r="E1979" s="59" t="s">
        <v>2288</v>
      </c>
      <c r="F1979" s="59" t="s">
        <v>2349</v>
      </c>
      <c r="G1979" s="58" t="s">
        <v>2644</v>
      </c>
    </row>
    <row r="1980" spans="1:7">
      <c r="A1980" s="58" t="s">
        <v>2645</v>
      </c>
      <c r="B1980" s="58" t="s">
        <v>2537</v>
      </c>
      <c r="C1980" s="58" t="s">
        <v>2288</v>
      </c>
      <c r="D1980" s="58" t="s">
        <v>2922</v>
      </c>
      <c r="E1980" s="59" t="s">
        <v>2288</v>
      </c>
      <c r="F1980" s="59" t="s">
        <v>2349</v>
      </c>
      <c r="G1980" s="58" t="s">
        <v>2646</v>
      </c>
    </row>
    <row r="1981" spans="1:7">
      <c r="A1981" s="58" t="s">
        <v>2648</v>
      </c>
      <c r="B1981" s="58" t="s">
        <v>2591</v>
      </c>
      <c r="C1981" s="58" t="s">
        <v>2288</v>
      </c>
      <c r="D1981" s="58" t="s">
        <v>2922</v>
      </c>
      <c r="E1981" s="59" t="s">
        <v>2288</v>
      </c>
      <c r="F1981" s="59" t="s">
        <v>2349</v>
      </c>
      <c r="G1981" s="58" t="s">
        <v>2649</v>
      </c>
    </row>
    <row r="1982" spans="1:7">
      <c r="A1982" s="58" t="s">
        <v>2650</v>
      </c>
      <c r="B1982" s="58" t="s">
        <v>2571</v>
      </c>
      <c r="C1982" s="58" t="s">
        <v>2651</v>
      </c>
      <c r="D1982" s="58" t="s">
        <v>2922</v>
      </c>
      <c r="E1982" s="59" t="s">
        <v>2288</v>
      </c>
      <c r="F1982" s="59" t="s">
        <v>2349</v>
      </c>
      <c r="G1982" s="58" t="s">
        <v>2652</v>
      </c>
    </row>
    <row r="1983" spans="1:7">
      <c r="A1983" s="58" t="s">
        <v>2653</v>
      </c>
      <c r="B1983" s="58" t="s">
        <v>2533</v>
      </c>
      <c r="C1983" s="58" t="s">
        <v>2288</v>
      </c>
      <c r="D1983" s="58" t="s">
        <v>2922</v>
      </c>
      <c r="E1983" s="59" t="s">
        <v>2288</v>
      </c>
      <c r="F1983" s="59" t="s">
        <v>2349</v>
      </c>
      <c r="G1983" s="58" t="s">
        <v>2654</v>
      </c>
    </row>
    <row r="1984" spans="1:7">
      <c r="A1984" s="58" t="s">
        <v>2655</v>
      </c>
      <c r="B1984" s="58" t="s">
        <v>2571</v>
      </c>
      <c r="C1984" s="58" t="s">
        <v>2288</v>
      </c>
      <c r="D1984" s="58" t="s">
        <v>2922</v>
      </c>
      <c r="E1984" s="59" t="s">
        <v>2288</v>
      </c>
      <c r="F1984" s="59" t="s">
        <v>2349</v>
      </c>
      <c r="G1984" s="58" t="s">
        <v>2656</v>
      </c>
    </row>
    <row r="1985" spans="1:7">
      <c r="A1985" s="58" t="s">
        <v>2657</v>
      </c>
      <c r="B1985" s="58" t="s">
        <v>2533</v>
      </c>
      <c r="C1985" s="58" t="s">
        <v>2288</v>
      </c>
      <c r="D1985" s="58" t="s">
        <v>2922</v>
      </c>
      <c r="E1985" s="59" t="s">
        <v>2288</v>
      </c>
      <c r="F1985" s="59" t="s">
        <v>2349</v>
      </c>
      <c r="G1985" s="58" t="s">
        <v>2658</v>
      </c>
    </row>
    <row r="1986" spans="1:7">
      <c r="A1986" s="58" t="s">
        <v>2659</v>
      </c>
      <c r="B1986" s="58" t="s">
        <v>2559</v>
      </c>
      <c r="C1986" s="58" t="s">
        <v>2288</v>
      </c>
      <c r="D1986" s="58" t="s">
        <v>2922</v>
      </c>
      <c r="E1986" s="59" t="s">
        <v>2288</v>
      </c>
      <c r="F1986" s="59" t="s">
        <v>2349</v>
      </c>
      <c r="G1986" s="58" t="s">
        <v>2660</v>
      </c>
    </row>
    <row r="1987" spans="1:7">
      <c r="A1987" s="58" t="s">
        <v>2663</v>
      </c>
      <c r="B1987" s="58" t="s">
        <v>2559</v>
      </c>
      <c r="C1987" s="58" t="s">
        <v>2288</v>
      </c>
      <c r="D1987" s="58" t="s">
        <v>2922</v>
      </c>
      <c r="E1987" s="59" t="s">
        <v>2288</v>
      </c>
      <c r="F1987" s="59" t="s">
        <v>2349</v>
      </c>
      <c r="G1987" s="58" t="s">
        <v>2664</v>
      </c>
    </row>
    <row r="1988" spans="1:7">
      <c r="A1988" s="58" t="s">
        <v>2665</v>
      </c>
      <c r="B1988" s="58" t="s">
        <v>2563</v>
      </c>
      <c r="C1988" s="58" t="s">
        <v>2288</v>
      </c>
      <c r="D1988" s="58" t="s">
        <v>2922</v>
      </c>
      <c r="E1988" s="59" t="s">
        <v>2288</v>
      </c>
      <c r="F1988" s="59" t="s">
        <v>2349</v>
      </c>
      <c r="G1988" s="58" t="s">
        <v>2666</v>
      </c>
    </row>
    <row r="1989" spans="1:7">
      <c r="A1989" s="58" t="s">
        <v>2667</v>
      </c>
      <c r="B1989" s="58" t="s">
        <v>2571</v>
      </c>
      <c r="C1989" s="58" t="s">
        <v>2668</v>
      </c>
      <c r="D1989" s="58" t="s">
        <v>2922</v>
      </c>
      <c r="E1989" s="59" t="s">
        <v>2669</v>
      </c>
      <c r="F1989" s="59" t="s">
        <v>2349</v>
      </c>
      <c r="G1989" s="58" t="s">
        <v>2670</v>
      </c>
    </row>
    <row r="1990" spans="1:7">
      <c r="A1990" s="58" t="s">
        <v>2671</v>
      </c>
      <c r="B1990" s="58" t="s">
        <v>2591</v>
      </c>
      <c r="C1990" s="58" t="s">
        <v>2288</v>
      </c>
      <c r="D1990" s="58" t="s">
        <v>2922</v>
      </c>
      <c r="E1990" s="59" t="s">
        <v>2288</v>
      </c>
      <c r="F1990" s="59" t="s">
        <v>2349</v>
      </c>
      <c r="G1990" s="58" t="s">
        <v>2672</v>
      </c>
    </row>
    <row r="1991" spans="1:7" ht="17.25">
      <c r="A1991" s="76" t="s">
        <v>2927</v>
      </c>
      <c r="B1991" s="76"/>
      <c r="C1991" s="76"/>
      <c r="D1991" s="76"/>
      <c r="E1991" s="77"/>
      <c r="F1991" s="76"/>
      <c r="G1991" s="76"/>
    </row>
    <row r="1992" spans="1:7">
      <c r="A1992" s="58" t="s">
        <v>2677</v>
      </c>
      <c r="B1992" s="58" t="s">
        <v>2533</v>
      </c>
      <c r="C1992" s="58" t="s">
        <v>2288</v>
      </c>
      <c r="D1992" s="58" t="s">
        <v>2922</v>
      </c>
      <c r="E1992" s="59" t="s">
        <v>2288</v>
      </c>
      <c r="F1992" s="59" t="s">
        <v>2349</v>
      </c>
      <c r="G1992" s="58" t="s">
        <v>2678</v>
      </c>
    </row>
    <row r="1993" spans="1:7">
      <c r="A1993" s="58" t="s">
        <v>2679</v>
      </c>
      <c r="B1993" s="58" t="s">
        <v>2537</v>
      </c>
      <c r="C1993" s="58" t="s">
        <v>2288</v>
      </c>
      <c r="D1993" s="58" t="s">
        <v>2922</v>
      </c>
      <c r="E1993" s="59" t="s">
        <v>2288</v>
      </c>
      <c r="F1993" s="59" t="s">
        <v>2349</v>
      </c>
      <c r="G1993" s="58" t="s">
        <v>2680</v>
      </c>
    </row>
    <row r="1994" spans="1:7">
      <c r="A1994" s="58" t="s">
        <v>2681</v>
      </c>
      <c r="B1994" s="58" t="s">
        <v>2563</v>
      </c>
      <c r="C1994" s="58" t="s">
        <v>108</v>
      </c>
      <c r="D1994" s="58" t="s">
        <v>2922</v>
      </c>
      <c r="E1994" s="59" t="s">
        <v>108</v>
      </c>
      <c r="F1994" s="59" t="s">
        <v>2349</v>
      </c>
      <c r="G1994" s="58" t="s">
        <v>2682</v>
      </c>
    </row>
    <row r="1995" spans="1:7">
      <c r="A1995" s="57" t="s">
        <v>2683</v>
      </c>
      <c r="B1995" s="57" t="s">
        <v>2537</v>
      </c>
      <c r="C1995" s="57" t="s">
        <v>2684</v>
      </c>
      <c r="D1995" s="57" t="s">
        <v>2922</v>
      </c>
      <c r="E1995" s="75" t="s">
        <v>108</v>
      </c>
      <c r="F1995" s="57" t="s">
        <v>2100</v>
      </c>
      <c r="G1995" s="57" t="s">
        <v>2686</v>
      </c>
    </row>
    <row r="1996" spans="1:7">
      <c r="A1996" s="58" t="s">
        <v>2687</v>
      </c>
      <c r="B1996" s="58" t="s">
        <v>2554</v>
      </c>
      <c r="C1996" s="58" t="s">
        <v>2288</v>
      </c>
      <c r="D1996" s="58" t="s">
        <v>2922</v>
      </c>
      <c r="E1996" s="59" t="s">
        <v>2288</v>
      </c>
      <c r="F1996" s="59" t="s">
        <v>2349</v>
      </c>
      <c r="G1996" s="58" t="s">
        <v>2688</v>
      </c>
    </row>
    <row r="1997" spans="1:7">
      <c r="A1997" s="58" t="s">
        <v>2689</v>
      </c>
      <c r="B1997" s="58" t="s">
        <v>2554</v>
      </c>
      <c r="C1997" s="58" t="s">
        <v>2288</v>
      </c>
      <c r="D1997" s="58" t="s">
        <v>2922</v>
      </c>
      <c r="E1997" s="59" t="s">
        <v>2288</v>
      </c>
      <c r="F1997" s="59" t="s">
        <v>2349</v>
      </c>
      <c r="G1997" s="58" t="s">
        <v>2690</v>
      </c>
    </row>
    <row r="1998" spans="1:7">
      <c r="A1998" s="58" t="s">
        <v>2693</v>
      </c>
      <c r="B1998" s="58" t="s">
        <v>2533</v>
      </c>
      <c r="C1998" s="58" t="s">
        <v>2288</v>
      </c>
      <c r="D1998" s="58" t="s">
        <v>2922</v>
      </c>
      <c r="E1998" s="59" t="s">
        <v>2288</v>
      </c>
      <c r="F1998" s="59" t="s">
        <v>2349</v>
      </c>
      <c r="G1998" s="58" t="s">
        <v>2694</v>
      </c>
    </row>
    <row r="1999" spans="1:7">
      <c r="A1999" s="58" t="s">
        <v>2695</v>
      </c>
      <c r="B1999" s="58" t="s">
        <v>2591</v>
      </c>
      <c r="C1999" s="58" t="s">
        <v>2288</v>
      </c>
      <c r="D1999" s="58" t="s">
        <v>2922</v>
      </c>
      <c r="E1999" s="59" t="s">
        <v>2288</v>
      </c>
      <c r="F1999" s="59" t="s">
        <v>2349</v>
      </c>
      <c r="G1999" s="58" t="s">
        <v>2696</v>
      </c>
    </row>
    <row r="2000" spans="1:7">
      <c r="A2000" s="58" t="s">
        <v>2697</v>
      </c>
      <c r="B2000" s="58" t="s">
        <v>2582</v>
      </c>
      <c r="C2000" s="58" t="s">
        <v>2367</v>
      </c>
      <c r="D2000" s="58" t="s">
        <v>2922</v>
      </c>
      <c r="E2000" s="59" t="s">
        <v>2193</v>
      </c>
      <c r="F2000" s="59" t="s">
        <v>2349</v>
      </c>
      <c r="G2000" s="58" t="s">
        <v>2698</v>
      </c>
    </row>
    <row r="2001" spans="1:7">
      <c r="A2001" s="58" t="s">
        <v>2699</v>
      </c>
      <c r="B2001" s="58" t="s">
        <v>2571</v>
      </c>
      <c r="C2001" s="58" t="s">
        <v>2288</v>
      </c>
      <c r="D2001" s="58" t="s">
        <v>2922</v>
      </c>
      <c r="E2001" s="59" t="s">
        <v>2288</v>
      </c>
      <c r="F2001" s="59" t="s">
        <v>2349</v>
      </c>
      <c r="G2001" s="58" t="s">
        <v>2700</v>
      </c>
    </row>
    <row r="2002" spans="1:7">
      <c r="A2002" s="58" t="s">
        <v>2701</v>
      </c>
      <c r="B2002" s="58" t="s">
        <v>2559</v>
      </c>
      <c r="C2002" s="58" t="s">
        <v>2193</v>
      </c>
      <c r="D2002" s="58" t="s">
        <v>2922</v>
      </c>
      <c r="E2002" s="59" t="s">
        <v>2193</v>
      </c>
      <c r="F2002" s="59" t="s">
        <v>2349</v>
      </c>
      <c r="G2002" s="58" t="s">
        <v>2702</v>
      </c>
    </row>
    <row r="2003" spans="1:7">
      <c r="A2003" s="58" t="s">
        <v>2703</v>
      </c>
      <c r="B2003" s="58" t="s">
        <v>2554</v>
      </c>
      <c r="C2003" s="58" t="s">
        <v>2193</v>
      </c>
      <c r="D2003" s="58" t="s">
        <v>2922</v>
      </c>
      <c r="E2003" s="59" t="s">
        <v>2193</v>
      </c>
      <c r="F2003" s="59" t="s">
        <v>2349</v>
      </c>
      <c r="G2003" s="58" t="s">
        <v>2704</v>
      </c>
    </row>
    <row r="2004" spans="1:7">
      <c r="A2004" s="58" t="s">
        <v>2706</v>
      </c>
      <c r="B2004" s="58" t="s">
        <v>2591</v>
      </c>
      <c r="C2004" s="58" t="s">
        <v>108</v>
      </c>
      <c r="D2004" s="58" t="s">
        <v>2922</v>
      </c>
      <c r="E2004" s="59" t="s">
        <v>108</v>
      </c>
      <c r="F2004" s="59" t="s">
        <v>2349</v>
      </c>
      <c r="G2004" s="58" t="s">
        <v>2707</v>
      </c>
    </row>
    <row r="2005" spans="1:7" ht="17.25">
      <c r="A2005" s="76" t="s">
        <v>2928</v>
      </c>
      <c r="B2005" s="76"/>
      <c r="C2005" s="76"/>
      <c r="D2005" s="76"/>
      <c r="E2005" s="77"/>
      <c r="F2005" s="76"/>
      <c r="G2005" s="76"/>
    </row>
    <row r="2006" spans="1:7">
      <c r="A2006" s="58" t="s">
        <v>2709</v>
      </c>
      <c r="B2006" s="58" t="s">
        <v>2582</v>
      </c>
      <c r="C2006" s="58" t="s">
        <v>2710</v>
      </c>
      <c r="D2006" s="58" t="s">
        <v>2922</v>
      </c>
      <c r="E2006" s="59" t="s">
        <v>2669</v>
      </c>
      <c r="F2006" s="59" t="s">
        <v>2349</v>
      </c>
      <c r="G2006" s="58" t="s">
        <v>2120</v>
      </c>
    </row>
    <row r="2007" spans="1:7">
      <c r="A2007" s="58" t="s">
        <v>2711</v>
      </c>
      <c r="B2007" s="58" t="s">
        <v>2579</v>
      </c>
      <c r="C2007" s="58" t="s">
        <v>2288</v>
      </c>
      <c r="D2007" s="58" t="s">
        <v>2922</v>
      </c>
      <c r="E2007" s="59" t="s">
        <v>2288</v>
      </c>
      <c r="F2007" s="59" t="s">
        <v>2349</v>
      </c>
      <c r="G2007" s="58" t="s">
        <v>2712</v>
      </c>
    </row>
    <row r="2008" spans="1:7">
      <c r="A2008" s="58" t="s">
        <v>2713</v>
      </c>
      <c r="B2008" s="58" t="s">
        <v>2591</v>
      </c>
      <c r="C2008" s="58" t="s">
        <v>2288</v>
      </c>
      <c r="D2008" s="58" t="s">
        <v>2922</v>
      </c>
      <c r="E2008" s="59" t="s">
        <v>2288</v>
      </c>
      <c r="F2008" s="59" t="s">
        <v>2349</v>
      </c>
      <c r="G2008" s="58" t="s">
        <v>2714</v>
      </c>
    </row>
    <row r="2009" spans="1:7">
      <c r="A2009" s="58" t="s">
        <v>2715</v>
      </c>
      <c r="B2009" s="58" t="s">
        <v>2571</v>
      </c>
      <c r="C2009" s="58" t="s">
        <v>2288</v>
      </c>
      <c r="D2009" s="58" t="s">
        <v>2922</v>
      </c>
      <c r="E2009" s="59" t="s">
        <v>2288</v>
      </c>
      <c r="F2009" s="59" t="s">
        <v>2349</v>
      </c>
      <c r="G2009" s="58" t="s">
        <v>2716</v>
      </c>
    </row>
    <row r="2010" spans="1:7">
      <c r="A2010" s="58" t="s">
        <v>2792</v>
      </c>
      <c r="B2010" s="58" t="s">
        <v>2582</v>
      </c>
      <c r="C2010" s="58" t="s">
        <v>2793</v>
      </c>
      <c r="D2010" s="58" t="s">
        <v>2922</v>
      </c>
      <c r="E2010" s="59" t="s">
        <v>227</v>
      </c>
      <c r="F2010" s="59" t="s">
        <v>2349</v>
      </c>
      <c r="G2010" s="58" t="s">
        <v>2120</v>
      </c>
    </row>
    <row r="2011" spans="1:7">
      <c r="A2011" s="58" t="s">
        <v>2717</v>
      </c>
      <c r="B2011" s="58" t="s">
        <v>2559</v>
      </c>
      <c r="C2011" s="58" t="s">
        <v>2288</v>
      </c>
      <c r="D2011" s="58" t="s">
        <v>2922</v>
      </c>
      <c r="E2011" s="59" t="s">
        <v>2288</v>
      </c>
      <c r="F2011" s="59" t="s">
        <v>2349</v>
      </c>
      <c r="G2011" s="58" t="s">
        <v>2718</v>
      </c>
    </row>
    <row r="2012" spans="1:7">
      <c r="A2012" s="58" t="s">
        <v>2719</v>
      </c>
      <c r="B2012" s="58" t="s">
        <v>2559</v>
      </c>
      <c r="C2012" s="58" t="s">
        <v>108</v>
      </c>
      <c r="D2012" s="58" t="s">
        <v>2922</v>
      </c>
      <c r="E2012" s="59" t="s">
        <v>108</v>
      </c>
      <c r="F2012" s="59" t="s">
        <v>2349</v>
      </c>
      <c r="G2012" s="58" t="s">
        <v>2720</v>
      </c>
    </row>
    <row r="2013" spans="1:7">
      <c r="A2013" s="58" t="s">
        <v>2721</v>
      </c>
      <c r="B2013" s="58" t="s">
        <v>2591</v>
      </c>
      <c r="C2013" s="58" t="s">
        <v>2288</v>
      </c>
      <c r="D2013" s="58" t="s">
        <v>2922</v>
      </c>
      <c r="E2013" s="59" t="s">
        <v>2288</v>
      </c>
      <c r="F2013" s="59" t="s">
        <v>2349</v>
      </c>
      <c r="G2013" s="58" t="s">
        <v>2716</v>
      </c>
    </row>
    <row r="2014" spans="1:7">
      <c r="A2014" s="58" t="s">
        <v>2725</v>
      </c>
      <c r="B2014" s="58" t="s">
        <v>2582</v>
      </c>
      <c r="C2014" s="58" t="s">
        <v>2193</v>
      </c>
      <c r="D2014" s="58" t="s">
        <v>2922</v>
      </c>
      <c r="E2014" s="59" t="s">
        <v>2193</v>
      </c>
      <c r="F2014" s="59" t="s">
        <v>2349</v>
      </c>
      <c r="G2014" s="58" t="s">
        <v>2120</v>
      </c>
    </row>
    <row r="2015" spans="1:7">
      <c r="A2015" s="58" t="s">
        <v>2726</v>
      </c>
      <c r="B2015" s="58" t="s">
        <v>2591</v>
      </c>
      <c r="C2015" s="58" t="s">
        <v>108</v>
      </c>
      <c r="D2015" s="58" t="s">
        <v>2922</v>
      </c>
      <c r="E2015" s="59" t="s">
        <v>108</v>
      </c>
      <c r="F2015" s="59" t="s">
        <v>2349</v>
      </c>
      <c r="G2015" s="58" t="s">
        <v>2727</v>
      </c>
    </row>
    <row r="2016" spans="1:7">
      <c r="A2016" s="58" t="s">
        <v>2728</v>
      </c>
      <c r="B2016" s="58" t="s">
        <v>2545</v>
      </c>
      <c r="C2016" s="58" t="s">
        <v>2288</v>
      </c>
      <c r="D2016" s="58" t="s">
        <v>2922</v>
      </c>
      <c r="E2016" s="59" t="s">
        <v>2288</v>
      </c>
      <c r="F2016" s="59" t="s">
        <v>2349</v>
      </c>
      <c r="G2016" s="58" t="s">
        <v>2729</v>
      </c>
    </row>
    <row r="2017" spans="1:7">
      <c r="A2017" s="58" t="s">
        <v>2730</v>
      </c>
      <c r="B2017" s="58" t="s">
        <v>2545</v>
      </c>
      <c r="C2017" s="58" t="s">
        <v>2731</v>
      </c>
      <c r="D2017" s="58" t="s">
        <v>2922</v>
      </c>
      <c r="E2017" s="59" t="s">
        <v>108</v>
      </c>
      <c r="F2017" s="59" t="s">
        <v>2349</v>
      </c>
      <c r="G2017" s="58" t="s">
        <v>2732</v>
      </c>
    </row>
    <row r="2018" spans="1:7">
      <c r="A2018" s="58" t="s">
        <v>2733</v>
      </c>
      <c r="B2018" s="58" t="s">
        <v>2591</v>
      </c>
      <c r="C2018" s="58" t="s">
        <v>2288</v>
      </c>
      <c r="D2018" s="58" t="s">
        <v>2922</v>
      </c>
      <c r="E2018" s="59" t="s">
        <v>2288</v>
      </c>
      <c r="F2018" s="59" t="s">
        <v>2349</v>
      </c>
      <c r="G2018" s="58" t="s">
        <v>2734</v>
      </c>
    </row>
    <row r="2019" spans="1:7" ht="17.25">
      <c r="A2019" s="76" t="s">
        <v>2929</v>
      </c>
      <c r="B2019" s="76"/>
      <c r="C2019" s="76"/>
      <c r="D2019" s="76"/>
      <c r="E2019" s="77"/>
      <c r="F2019" s="76"/>
      <c r="G2019" s="76"/>
    </row>
    <row r="2020" spans="1:7">
      <c r="A2020" s="57" t="s">
        <v>2736</v>
      </c>
      <c r="B2020" s="57" t="s">
        <v>2579</v>
      </c>
      <c r="C2020" s="57" t="s">
        <v>2737</v>
      </c>
      <c r="D2020" s="57" t="s">
        <v>2922</v>
      </c>
      <c r="E2020" s="75" t="s">
        <v>2288</v>
      </c>
      <c r="F2020" s="57" t="s">
        <v>2100</v>
      </c>
      <c r="G2020" s="57" t="s">
        <v>2739</v>
      </c>
    </row>
    <row r="2021" spans="1:7">
      <c r="A2021" s="58" t="s">
        <v>2740</v>
      </c>
      <c r="B2021" s="58" t="s">
        <v>2559</v>
      </c>
      <c r="C2021" s="58" t="s">
        <v>2741</v>
      </c>
      <c r="D2021" s="58" t="s">
        <v>2922</v>
      </c>
      <c r="E2021" s="59" t="s">
        <v>108</v>
      </c>
      <c r="F2021" s="59" t="s">
        <v>2349</v>
      </c>
      <c r="G2021" s="58" t="s">
        <v>2742</v>
      </c>
    </row>
    <row r="2022" spans="1:7">
      <c r="A2022" s="58" t="s">
        <v>2743</v>
      </c>
      <c r="B2022" s="58" t="s">
        <v>2571</v>
      </c>
      <c r="C2022" s="58" t="s">
        <v>2744</v>
      </c>
      <c r="D2022" s="58" t="s">
        <v>2922</v>
      </c>
      <c r="E2022" s="59" t="s">
        <v>2288</v>
      </c>
      <c r="F2022" s="59" t="s">
        <v>2349</v>
      </c>
      <c r="G2022" s="58" t="s">
        <v>2745</v>
      </c>
    </row>
    <row r="2023" spans="1:7">
      <c r="A2023" s="58" t="s">
        <v>2746</v>
      </c>
      <c r="B2023" s="58" t="s">
        <v>2571</v>
      </c>
      <c r="C2023" s="58" t="s">
        <v>2744</v>
      </c>
      <c r="D2023" s="58" t="s">
        <v>2922</v>
      </c>
      <c r="E2023" s="59" t="s">
        <v>2288</v>
      </c>
      <c r="F2023" s="59" t="s">
        <v>2349</v>
      </c>
      <c r="G2023" s="58" t="s">
        <v>2745</v>
      </c>
    </row>
    <row r="2024" spans="1:7">
      <c r="A2024" s="58" t="s">
        <v>2747</v>
      </c>
      <c r="B2024" s="58" t="s">
        <v>2533</v>
      </c>
      <c r="C2024" s="58" t="s">
        <v>2288</v>
      </c>
      <c r="D2024" s="58" t="s">
        <v>2922</v>
      </c>
      <c r="E2024" s="59" t="s">
        <v>2288</v>
      </c>
      <c r="F2024" s="59" t="s">
        <v>2349</v>
      </c>
      <c r="G2024" s="58" t="s">
        <v>2748</v>
      </c>
    </row>
    <row r="2025" spans="1:7">
      <c r="A2025" s="58" t="s">
        <v>2749</v>
      </c>
      <c r="B2025" s="58" t="s">
        <v>2579</v>
      </c>
      <c r="C2025" s="58" t="s">
        <v>2288</v>
      </c>
      <c r="D2025" s="58" t="s">
        <v>2922</v>
      </c>
      <c r="E2025" s="59" t="s">
        <v>2288</v>
      </c>
      <c r="F2025" s="59" t="s">
        <v>2349</v>
      </c>
      <c r="G2025" s="58" t="s">
        <v>2750</v>
      </c>
    </row>
    <row r="2026" spans="1:7">
      <c r="A2026" s="58" t="s">
        <v>2751</v>
      </c>
      <c r="B2026" s="58" t="s">
        <v>2571</v>
      </c>
      <c r="C2026" s="58" t="s">
        <v>2288</v>
      </c>
      <c r="D2026" s="58" t="s">
        <v>2922</v>
      </c>
      <c r="E2026" s="59" t="s">
        <v>2288</v>
      </c>
      <c r="F2026" s="59" t="s">
        <v>2349</v>
      </c>
      <c r="G2026" s="58" t="s">
        <v>2752</v>
      </c>
    </row>
    <row r="2027" spans="1:7">
      <c r="A2027" s="58" t="s">
        <v>2753</v>
      </c>
      <c r="B2027" s="58" t="s">
        <v>2537</v>
      </c>
      <c r="C2027" s="58" t="s">
        <v>2288</v>
      </c>
      <c r="D2027" s="58" t="s">
        <v>2922</v>
      </c>
      <c r="E2027" s="59" t="s">
        <v>2288</v>
      </c>
      <c r="F2027" s="59" t="s">
        <v>2349</v>
      </c>
      <c r="G2027" s="58" t="s">
        <v>2754</v>
      </c>
    </row>
    <row r="2028" spans="1:7">
      <c r="A2028" s="58" t="s">
        <v>2755</v>
      </c>
      <c r="B2028" s="58" t="s">
        <v>2579</v>
      </c>
      <c r="C2028" s="58" t="s">
        <v>2288</v>
      </c>
      <c r="D2028" s="58" t="s">
        <v>2922</v>
      </c>
      <c r="E2028" s="59" t="s">
        <v>2288</v>
      </c>
      <c r="F2028" s="59" t="s">
        <v>2349</v>
      </c>
      <c r="G2028" s="58" t="s">
        <v>2756</v>
      </c>
    </row>
    <row r="2029" spans="1:7">
      <c r="A2029" s="58" t="s">
        <v>2757</v>
      </c>
      <c r="B2029" s="58" t="s">
        <v>2619</v>
      </c>
      <c r="C2029" s="58" t="s">
        <v>2288</v>
      </c>
      <c r="D2029" s="58" t="s">
        <v>2922</v>
      </c>
      <c r="E2029" s="59" t="s">
        <v>2288</v>
      </c>
      <c r="F2029" s="59" t="s">
        <v>2349</v>
      </c>
      <c r="G2029" s="58" t="s">
        <v>2758</v>
      </c>
    </row>
    <row r="2030" spans="1:7">
      <c r="A2030" s="58" t="s">
        <v>2759</v>
      </c>
      <c r="B2030" s="58" t="s">
        <v>2537</v>
      </c>
      <c r="C2030" s="58" t="s">
        <v>2288</v>
      </c>
      <c r="D2030" s="58" t="s">
        <v>2922</v>
      </c>
      <c r="E2030" s="59" t="s">
        <v>2288</v>
      </c>
      <c r="F2030" s="59" t="s">
        <v>2349</v>
      </c>
      <c r="G2030" s="58" t="s">
        <v>2760</v>
      </c>
    </row>
    <row r="2031" spans="1:7">
      <c r="A2031" s="58" t="s">
        <v>2761</v>
      </c>
      <c r="B2031" s="58" t="s">
        <v>2582</v>
      </c>
      <c r="C2031" s="58" t="s">
        <v>2762</v>
      </c>
      <c r="D2031" s="58" t="s">
        <v>2922</v>
      </c>
      <c r="E2031" s="59" t="s">
        <v>108</v>
      </c>
      <c r="F2031" s="59" t="s">
        <v>2349</v>
      </c>
      <c r="G2031" s="58" t="s">
        <v>2763</v>
      </c>
    </row>
    <row r="2032" spans="1:7">
      <c r="A2032" s="58" t="s">
        <v>2765</v>
      </c>
      <c r="B2032" s="58" t="s">
        <v>2563</v>
      </c>
      <c r="C2032" s="58" t="s">
        <v>2288</v>
      </c>
      <c r="D2032" s="58" t="s">
        <v>2922</v>
      </c>
      <c r="E2032" s="59" t="s">
        <v>2288</v>
      </c>
      <c r="F2032" s="59" t="s">
        <v>2349</v>
      </c>
      <c r="G2032" s="58" t="s">
        <v>2712</v>
      </c>
    </row>
    <row r="2033" spans="1:7" ht="17.25">
      <c r="A2033" s="76" t="s">
        <v>2930</v>
      </c>
      <c r="B2033" s="76"/>
      <c r="C2033" s="76"/>
      <c r="D2033" s="76"/>
      <c r="E2033" s="77"/>
      <c r="F2033" s="76"/>
      <c r="G2033" s="76"/>
    </row>
    <row r="2034" spans="1:7">
      <c r="A2034" s="58" t="s">
        <v>2114</v>
      </c>
      <c r="B2034" s="58" t="s">
        <v>2115</v>
      </c>
      <c r="C2034" s="58" t="s">
        <v>1559</v>
      </c>
      <c r="D2034" s="58" t="s">
        <v>2922</v>
      </c>
      <c r="E2034" s="59" t="s">
        <v>108</v>
      </c>
      <c r="F2034" s="59" t="s">
        <v>2349</v>
      </c>
      <c r="G2034" s="58" t="s">
        <v>2117</v>
      </c>
    </row>
    <row r="2035" spans="1:7">
      <c r="A2035" s="58" t="s">
        <v>2118</v>
      </c>
      <c r="B2035" s="58"/>
      <c r="C2035" s="58" t="s">
        <v>2119</v>
      </c>
      <c r="D2035" s="58" t="s">
        <v>2922</v>
      </c>
      <c r="E2035" s="59" t="s">
        <v>108</v>
      </c>
      <c r="F2035" s="59" t="s">
        <v>2349</v>
      </c>
      <c r="G2035" s="58" t="s">
        <v>2120</v>
      </c>
    </row>
    <row r="2036" spans="1:7">
      <c r="A2036" s="58" t="s">
        <v>2121</v>
      </c>
      <c r="B2036" s="58" t="s">
        <v>2122</v>
      </c>
      <c r="C2036" s="58" t="s">
        <v>108</v>
      </c>
      <c r="D2036" s="58" t="s">
        <v>2922</v>
      </c>
      <c r="E2036" s="59" t="s">
        <v>108</v>
      </c>
      <c r="F2036" s="59" t="s">
        <v>2349</v>
      </c>
      <c r="G2036" s="58" t="s">
        <v>2120</v>
      </c>
    </row>
    <row r="2037" spans="1:7">
      <c r="A2037" s="58" t="s">
        <v>2123</v>
      </c>
      <c r="B2037" s="58" t="s">
        <v>2124</v>
      </c>
      <c r="C2037" s="58" t="s">
        <v>108</v>
      </c>
      <c r="D2037" s="58" t="s">
        <v>2922</v>
      </c>
      <c r="E2037" s="59" t="s">
        <v>108</v>
      </c>
      <c r="F2037" s="59" t="s">
        <v>2349</v>
      </c>
      <c r="G2037" s="58" t="s">
        <v>2125</v>
      </c>
    </row>
    <row r="2038" spans="1:7">
      <c r="A2038" s="58" t="s">
        <v>2126</v>
      </c>
      <c r="B2038" s="58"/>
      <c r="C2038" s="58" t="s">
        <v>108</v>
      </c>
      <c r="D2038" s="58" t="s">
        <v>2922</v>
      </c>
      <c r="E2038" s="59" t="s">
        <v>108</v>
      </c>
      <c r="F2038" s="59" t="s">
        <v>2349</v>
      </c>
      <c r="G2038" s="58" t="s">
        <v>2120</v>
      </c>
    </row>
    <row r="2039" spans="1:7" ht="17.25">
      <c r="A2039" s="76" t="s">
        <v>2931</v>
      </c>
      <c r="B2039" s="76"/>
      <c r="C2039" s="76"/>
      <c r="D2039" s="76"/>
      <c r="E2039" s="77"/>
      <c r="F2039" s="76"/>
      <c r="G2039" s="76"/>
    </row>
    <row r="2040" spans="1:7">
      <c r="A2040" s="58" t="s">
        <v>2128</v>
      </c>
      <c r="B2040" s="58" t="s">
        <v>2129</v>
      </c>
      <c r="C2040" s="58" t="s">
        <v>108</v>
      </c>
      <c r="D2040" s="58" t="s">
        <v>2922</v>
      </c>
      <c r="E2040" s="59" t="s">
        <v>108</v>
      </c>
      <c r="F2040" s="59" t="s">
        <v>2349</v>
      </c>
      <c r="G2040" s="58" t="s">
        <v>2120</v>
      </c>
    </row>
    <row r="2041" spans="1:7">
      <c r="A2041" s="58" t="s">
        <v>2130</v>
      </c>
      <c r="B2041" s="58" t="s">
        <v>2131</v>
      </c>
      <c r="C2041" s="58" t="s">
        <v>108</v>
      </c>
      <c r="D2041" s="58" t="s">
        <v>2922</v>
      </c>
      <c r="E2041" s="59" t="s">
        <v>108</v>
      </c>
      <c r="F2041" s="59" t="s">
        <v>2349</v>
      </c>
      <c r="G2041" s="58" t="s">
        <v>2132</v>
      </c>
    </row>
    <row r="2042" spans="1:7">
      <c r="A2042" s="58" t="s">
        <v>2133</v>
      </c>
      <c r="B2042" s="58" t="s">
        <v>2131</v>
      </c>
      <c r="C2042" s="58" t="s">
        <v>108</v>
      </c>
      <c r="D2042" s="58" t="s">
        <v>2922</v>
      </c>
      <c r="E2042" s="59" t="s">
        <v>108</v>
      </c>
      <c r="F2042" s="59" t="s">
        <v>2349</v>
      </c>
      <c r="G2042" s="58" t="s">
        <v>2120</v>
      </c>
    </row>
    <row r="2043" spans="1:7">
      <c r="A2043" s="58" t="s">
        <v>2138</v>
      </c>
      <c r="B2043" s="58" t="s">
        <v>2139</v>
      </c>
      <c r="C2043" s="58" t="s">
        <v>108</v>
      </c>
      <c r="D2043" s="58" t="s">
        <v>2922</v>
      </c>
      <c r="E2043" s="59" t="s">
        <v>108</v>
      </c>
      <c r="F2043" s="59" t="s">
        <v>2349</v>
      </c>
      <c r="G2043" s="58" t="s">
        <v>2140</v>
      </c>
    </row>
    <row r="2044" spans="1:7" ht="17.25">
      <c r="A2044" s="76" t="s">
        <v>2932</v>
      </c>
      <c r="B2044" s="76"/>
      <c r="C2044" s="76"/>
      <c r="D2044" s="76"/>
      <c r="E2044" s="77"/>
      <c r="F2044" s="76"/>
      <c r="G2044" s="76"/>
    </row>
    <row r="2045" spans="1:7">
      <c r="A2045" s="58" t="s">
        <v>2142</v>
      </c>
      <c r="B2045" s="58" t="s">
        <v>2143</v>
      </c>
      <c r="C2045" s="58" t="s">
        <v>108</v>
      </c>
      <c r="D2045" s="58" t="s">
        <v>2922</v>
      </c>
      <c r="E2045" s="59" t="s">
        <v>108</v>
      </c>
      <c r="F2045" s="59" t="s">
        <v>2349</v>
      </c>
      <c r="G2045" s="58" t="s">
        <v>2120</v>
      </c>
    </row>
    <row r="2046" spans="1:7">
      <c r="A2046" s="58" t="s">
        <v>2144</v>
      </c>
      <c r="B2046" s="58" t="s">
        <v>2143</v>
      </c>
      <c r="C2046" s="58" t="s">
        <v>2145</v>
      </c>
      <c r="D2046" s="58" t="s">
        <v>2922</v>
      </c>
      <c r="E2046" s="59" t="s">
        <v>108</v>
      </c>
      <c r="F2046" s="59" t="s">
        <v>2349</v>
      </c>
      <c r="G2046" s="58" t="s">
        <v>2120</v>
      </c>
    </row>
    <row r="2047" spans="1:7">
      <c r="A2047" s="58" t="s">
        <v>2146</v>
      </c>
      <c r="B2047" s="58" t="s">
        <v>2143</v>
      </c>
      <c r="C2047" s="58" t="s">
        <v>2147</v>
      </c>
      <c r="D2047" s="58" t="s">
        <v>2922</v>
      </c>
      <c r="E2047" s="59" t="s">
        <v>108</v>
      </c>
      <c r="F2047" s="59" t="s">
        <v>2349</v>
      </c>
      <c r="G2047" s="58" t="s">
        <v>2148</v>
      </c>
    </row>
    <row r="2048" spans="1:7">
      <c r="A2048" s="58" t="s">
        <v>2149</v>
      </c>
      <c r="B2048" s="58" t="s">
        <v>2143</v>
      </c>
      <c r="C2048" s="58" t="s">
        <v>108</v>
      </c>
      <c r="D2048" s="58" t="s">
        <v>2922</v>
      </c>
      <c r="E2048" s="59" t="s">
        <v>108</v>
      </c>
      <c r="F2048" s="59" t="s">
        <v>2349</v>
      </c>
      <c r="G2048" s="58" t="s">
        <v>2120</v>
      </c>
    </row>
    <row r="2049" spans="1:7" ht="17.25">
      <c r="A2049" s="76" t="s">
        <v>2933</v>
      </c>
      <c r="B2049" s="76"/>
      <c r="C2049" s="76"/>
      <c r="D2049" s="76"/>
      <c r="E2049" s="77"/>
      <c r="F2049" s="76"/>
      <c r="G2049" s="76"/>
    </row>
    <row r="2050" spans="1:7">
      <c r="A2050" s="58" t="s">
        <v>2151</v>
      </c>
      <c r="B2050" s="58" t="s">
        <v>2152</v>
      </c>
      <c r="C2050" s="58" t="s">
        <v>2153</v>
      </c>
      <c r="D2050" s="58" t="s">
        <v>2922</v>
      </c>
      <c r="E2050" s="59" t="s">
        <v>108</v>
      </c>
      <c r="F2050" s="59" t="s">
        <v>2349</v>
      </c>
      <c r="G2050" s="58" t="s">
        <v>2120</v>
      </c>
    </row>
    <row r="2051" spans="1:7">
      <c r="A2051" s="58" t="s">
        <v>2154</v>
      </c>
      <c r="B2051" s="58" t="s">
        <v>2155</v>
      </c>
      <c r="C2051" s="58" t="s">
        <v>108</v>
      </c>
      <c r="D2051" s="58" t="s">
        <v>2922</v>
      </c>
      <c r="E2051" s="59" t="s">
        <v>108</v>
      </c>
      <c r="F2051" s="59" t="s">
        <v>2349</v>
      </c>
      <c r="G2051" s="58" t="s">
        <v>2120</v>
      </c>
    </row>
    <row r="2052" spans="1:7">
      <c r="A2052" s="58" t="s">
        <v>2156</v>
      </c>
      <c r="B2052" s="58" t="s">
        <v>2152</v>
      </c>
      <c r="C2052" s="58" t="s">
        <v>2157</v>
      </c>
      <c r="D2052" s="58" t="s">
        <v>2922</v>
      </c>
      <c r="E2052" s="59" t="s">
        <v>108</v>
      </c>
      <c r="F2052" s="59" t="s">
        <v>2349</v>
      </c>
      <c r="G2052" s="58" t="s">
        <v>2120</v>
      </c>
    </row>
    <row r="2053" spans="1:7">
      <c r="A2053" s="58" t="s">
        <v>2158</v>
      </c>
      <c r="B2053" s="58" t="s">
        <v>2155</v>
      </c>
      <c r="C2053" s="58" t="s">
        <v>2159</v>
      </c>
      <c r="D2053" s="58" t="s">
        <v>2922</v>
      </c>
      <c r="E2053" s="59" t="s">
        <v>108</v>
      </c>
      <c r="F2053" s="59" t="s">
        <v>2349</v>
      </c>
      <c r="G2053" s="58" t="s">
        <v>2160</v>
      </c>
    </row>
    <row r="2054" spans="1:7">
      <c r="A2054" s="58" t="s">
        <v>2161</v>
      </c>
      <c r="B2054" s="58" t="s">
        <v>2162</v>
      </c>
      <c r="C2054" s="58" t="s">
        <v>108</v>
      </c>
      <c r="D2054" s="58" t="s">
        <v>2922</v>
      </c>
      <c r="E2054" s="59" t="s">
        <v>108</v>
      </c>
      <c r="F2054" s="59" t="s">
        <v>2349</v>
      </c>
      <c r="G2054" s="58" t="s">
        <v>2163</v>
      </c>
    </row>
    <row r="2055" spans="1:7">
      <c r="A2055" s="58" t="s">
        <v>2164</v>
      </c>
      <c r="B2055" s="58" t="s">
        <v>2162</v>
      </c>
      <c r="C2055" s="58" t="s">
        <v>108</v>
      </c>
      <c r="D2055" s="58" t="s">
        <v>2922</v>
      </c>
      <c r="E2055" s="59" t="s">
        <v>108</v>
      </c>
      <c r="F2055" s="59" t="s">
        <v>2349</v>
      </c>
      <c r="G2055" s="58" t="s">
        <v>2120</v>
      </c>
    </row>
    <row r="2056" spans="1:7" ht="17.25">
      <c r="A2056" s="76" t="s">
        <v>2934</v>
      </c>
      <c r="B2056" s="76"/>
      <c r="C2056" s="76"/>
      <c r="D2056" s="76"/>
      <c r="E2056" s="77"/>
      <c r="F2056" s="76"/>
      <c r="G2056" s="76"/>
    </row>
    <row r="2057" spans="1:7">
      <c r="A2057" s="58" t="s">
        <v>2166</v>
      </c>
      <c r="B2057" s="58" t="s">
        <v>2167</v>
      </c>
      <c r="C2057" s="58" t="s">
        <v>108</v>
      </c>
      <c r="D2057" s="58" t="s">
        <v>2922</v>
      </c>
      <c r="E2057" s="59" t="s">
        <v>108</v>
      </c>
      <c r="F2057" s="59" t="s">
        <v>2349</v>
      </c>
      <c r="G2057" s="58" t="s">
        <v>2168</v>
      </c>
    </row>
    <row r="2058" spans="1:7" ht="17.25">
      <c r="A2058" s="76" t="s">
        <v>2935</v>
      </c>
      <c r="B2058" s="76"/>
      <c r="C2058" s="76"/>
      <c r="D2058" s="76"/>
      <c r="E2058" s="77"/>
      <c r="F2058" s="76"/>
      <c r="G2058" s="76"/>
    </row>
    <row r="2059" spans="1:7">
      <c r="A2059" s="58" t="s">
        <v>2179</v>
      </c>
      <c r="B2059" s="58" t="s">
        <v>2180</v>
      </c>
      <c r="C2059" s="58" t="s">
        <v>108</v>
      </c>
      <c r="D2059" s="58" t="s">
        <v>2922</v>
      </c>
      <c r="E2059" s="59" t="s">
        <v>108</v>
      </c>
      <c r="F2059" s="59" t="s">
        <v>2349</v>
      </c>
      <c r="G2059" s="58" t="s">
        <v>2120</v>
      </c>
    </row>
    <row r="2060" spans="1:7">
      <c r="A2060" s="58" t="s">
        <v>2181</v>
      </c>
      <c r="B2060" s="58" t="s">
        <v>2182</v>
      </c>
      <c r="C2060" s="58" t="s">
        <v>108</v>
      </c>
      <c r="D2060" s="58" t="s">
        <v>2922</v>
      </c>
      <c r="E2060" s="59" t="s">
        <v>108</v>
      </c>
      <c r="F2060" s="59" t="s">
        <v>2349</v>
      </c>
      <c r="G2060" s="58" t="s">
        <v>2120</v>
      </c>
    </row>
    <row r="2061" spans="1:7">
      <c r="A2061" s="58" t="s">
        <v>2183</v>
      </c>
      <c r="B2061" s="58" t="s">
        <v>2182</v>
      </c>
      <c r="C2061" s="58" t="s">
        <v>2184</v>
      </c>
      <c r="D2061" s="58" t="s">
        <v>2922</v>
      </c>
      <c r="E2061" s="59" t="s">
        <v>108</v>
      </c>
      <c r="F2061" s="59" t="s">
        <v>2349</v>
      </c>
      <c r="G2061" s="58" t="s">
        <v>2185</v>
      </c>
    </row>
    <row r="2062" spans="1:7">
      <c r="A2062" s="58" t="s">
        <v>2186</v>
      </c>
      <c r="B2062" s="58" t="s">
        <v>2187</v>
      </c>
      <c r="C2062" s="58" t="s">
        <v>108</v>
      </c>
      <c r="D2062" s="58" t="s">
        <v>2922</v>
      </c>
      <c r="E2062" s="59" t="s">
        <v>108</v>
      </c>
      <c r="F2062" s="59" t="s">
        <v>2349</v>
      </c>
      <c r="G2062" s="58" t="s">
        <v>2120</v>
      </c>
    </row>
    <row r="2063" spans="1:7">
      <c r="A2063" s="58" t="s">
        <v>2188</v>
      </c>
      <c r="B2063" s="58"/>
      <c r="C2063" s="58" t="s">
        <v>2189</v>
      </c>
      <c r="D2063" s="58" t="s">
        <v>2922</v>
      </c>
      <c r="E2063" s="59" t="s">
        <v>108</v>
      </c>
      <c r="F2063" s="59" t="s">
        <v>2349</v>
      </c>
      <c r="G2063" s="58" t="s">
        <v>2120</v>
      </c>
    </row>
    <row r="2064" spans="1:7">
      <c r="A2064" s="58" t="s">
        <v>2323</v>
      </c>
      <c r="B2064" s="58" t="s">
        <v>2180</v>
      </c>
      <c r="C2064" s="58" t="s">
        <v>2324</v>
      </c>
      <c r="D2064" s="58" t="s">
        <v>2922</v>
      </c>
      <c r="E2064" s="59" t="s">
        <v>2324</v>
      </c>
      <c r="F2064" s="59" t="s">
        <v>2349</v>
      </c>
      <c r="G2064" s="58" t="s">
        <v>2120</v>
      </c>
    </row>
    <row r="2065" spans="1:7">
      <c r="A2065" s="58" t="s">
        <v>2192</v>
      </c>
      <c r="B2065" s="58" t="s">
        <v>2182</v>
      </c>
      <c r="C2065" s="58" t="s">
        <v>2193</v>
      </c>
      <c r="D2065" s="58" t="s">
        <v>2922</v>
      </c>
      <c r="E2065" s="59" t="s">
        <v>2193</v>
      </c>
      <c r="F2065" s="59" t="s">
        <v>2349</v>
      </c>
      <c r="G2065" s="58" t="s">
        <v>2120</v>
      </c>
    </row>
    <row r="2066" spans="1:7">
      <c r="A2066" s="58" t="s">
        <v>2194</v>
      </c>
      <c r="B2066" s="58" t="s">
        <v>2187</v>
      </c>
      <c r="C2066" s="58" t="s">
        <v>108</v>
      </c>
      <c r="D2066" s="58" t="s">
        <v>2922</v>
      </c>
      <c r="E2066" s="59" t="s">
        <v>108</v>
      </c>
      <c r="F2066" s="59" t="s">
        <v>2349</v>
      </c>
      <c r="G2066" s="58" t="s">
        <v>2120</v>
      </c>
    </row>
    <row r="2067" spans="1:7" ht="17.25">
      <c r="A2067" s="76" t="s">
        <v>2936</v>
      </c>
      <c r="B2067" s="76"/>
      <c r="C2067" s="76"/>
      <c r="D2067" s="76"/>
      <c r="E2067" s="77"/>
      <c r="F2067" s="76"/>
      <c r="G2067" s="76"/>
    </row>
    <row r="2068" spans="1:7">
      <c r="A2068" s="58" t="s">
        <v>2196</v>
      </c>
      <c r="B2068" s="58"/>
      <c r="C2068" s="58" t="s">
        <v>2193</v>
      </c>
      <c r="D2068" s="58" t="s">
        <v>2922</v>
      </c>
      <c r="E2068" s="59" t="s">
        <v>2193</v>
      </c>
      <c r="F2068" s="59" t="s">
        <v>2349</v>
      </c>
      <c r="G2068" s="58" t="s">
        <v>2120</v>
      </c>
    </row>
    <row r="2069" spans="1:7">
      <c r="A2069" s="58" t="s">
        <v>2197</v>
      </c>
      <c r="B2069" s="58"/>
      <c r="C2069" s="58" t="s">
        <v>2193</v>
      </c>
      <c r="D2069" s="58" t="s">
        <v>2922</v>
      </c>
      <c r="E2069" s="59" t="s">
        <v>2193</v>
      </c>
      <c r="F2069" s="59" t="s">
        <v>2349</v>
      </c>
      <c r="G2069" s="58" t="s">
        <v>2120</v>
      </c>
    </row>
    <row r="2070" spans="1:7">
      <c r="A2070" s="58" t="s">
        <v>2198</v>
      </c>
      <c r="B2070" s="58"/>
      <c r="C2070" s="58" t="s">
        <v>2199</v>
      </c>
      <c r="D2070" s="58" t="s">
        <v>2922</v>
      </c>
      <c r="E2070" s="59" t="s">
        <v>2193</v>
      </c>
      <c r="F2070" s="59" t="s">
        <v>2349</v>
      </c>
      <c r="G2070" s="58" t="s">
        <v>2120</v>
      </c>
    </row>
    <row r="2071" spans="1:7">
      <c r="A2071" s="58" t="s">
        <v>2200</v>
      </c>
      <c r="B2071" s="58" t="s">
        <v>2182</v>
      </c>
      <c r="C2071" s="58" t="s">
        <v>108</v>
      </c>
      <c r="D2071" s="58" t="s">
        <v>2922</v>
      </c>
      <c r="E2071" s="59" t="s">
        <v>108</v>
      </c>
      <c r="F2071" s="59" t="s">
        <v>2349</v>
      </c>
      <c r="G2071" s="58" t="s">
        <v>2120</v>
      </c>
    </row>
    <row r="2072" spans="1:7">
      <c r="A2072" s="58" t="s">
        <v>2201</v>
      </c>
      <c r="B2072" s="58" t="s">
        <v>2182</v>
      </c>
      <c r="C2072" s="58" t="s">
        <v>108</v>
      </c>
      <c r="D2072" s="58" t="s">
        <v>2922</v>
      </c>
      <c r="E2072" s="59" t="s">
        <v>108</v>
      </c>
      <c r="F2072" s="59" t="s">
        <v>2349</v>
      </c>
      <c r="G2072" s="58" t="s">
        <v>2120</v>
      </c>
    </row>
    <row r="2073" spans="1:7">
      <c r="A2073" s="58" t="s">
        <v>2202</v>
      </c>
      <c r="B2073" s="58" t="s">
        <v>2174</v>
      </c>
      <c r="C2073" s="58" t="s">
        <v>108</v>
      </c>
      <c r="D2073" s="58" t="s">
        <v>2922</v>
      </c>
      <c r="E2073" s="59" t="s">
        <v>108</v>
      </c>
      <c r="F2073" s="59" t="s">
        <v>2349</v>
      </c>
      <c r="G2073" s="58" t="s">
        <v>2120</v>
      </c>
    </row>
    <row r="2074" spans="1:7">
      <c r="A2074" s="58" t="s">
        <v>2203</v>
      </c>
      <c r="B2074" s="58" t="s">
        <v>2204</v>
      </c>
      <c r="C2074" s="58" t="s">
        <v>2193</v>
      </c>
      <c r="D2074" s="58" t="s">
        <v>2922</v>
      </c>
      <c r="E2074" s="59" t="s">
        <v>2193</v>
      </c>
      <c r="F2074" s="59" t="s">
        <v>2349</v>
      </c>
      <c r="G2074" s="58" t="s">
        <v>2120</v>
      </c>
    </row>
    <row r="2075" spans="1:7">
      <c r="A2075" s="58" t="s">
        <v>2205</v>
      </c>
      <c r="B2075" s="58" t="s">
        <v>2204</v>
      </c>
      <c r="C2075" s="58" t="s">
        <v>2193</v>
      </c>
      <c r="D2075" s="58" t="s">
        <v>2922</v>
      </c>
      <c r="E2075" s="59" t="s">
        <v>2193</v>
      </c>
      <c r="F2075" s="59" t="s">
        <v>2349</v>
      </c>
      <c r="G2075" s="58" t="s">
        <v>2120</v>
      </c>
    </row>
    <row r="2076" spans="1:7">
      <c r="A2076" s="58" t="s">
        <v>2207</v>
      </c>
      <c r="B2076" s="58" t="s">
        <v>2204</v>
      </c>
      <c r="C2076" s="58" t="s">
        <v>108</v>
      </c>
      <c r="D2076" s="58" t="s">
        <v>2922</v>
      </c>
      <c r="E2076" s="59" t="s">
        <v>108</v>
      </c>
      <c r="F2076" s="59" t="s">
        <v>2349</v>
      </c>
      <c r="G2076" s="58" t="s">
        <v>2208</v>
      </c>
    </row>
    <row r="2077" spans="1:7" ht="17.25">
      <c r="A2077" s="76" t="s">
        <v>2937</v>
      </c>
      <c r="B2077" s="76"/>
      <c r="C2077" s="76"/>
      <c r="D2077" s="76"/>
      <c r="E2077" s="77"/>
      <c r="F2077" s="76"/>
      <c r="G2077" s="76"/>
    </row>
    <row r="2078" spans="1:7">
      <c r="A2078" s="58" t="s">
        <v>2210</v>
      </c>
      <c r="B2078" s="58" t="s">
        <v>2211</v>
      </c>
      <c r="C2078" s="58" t="s">
        <v>108</v>
      </c>
      <c r="D2078" s="58" t="s">
        <v>2922</v>
      </c>
      <c r="E2078" s="59" t="s">
        <v>108</v>
      </c>
      <c r="F2078" s="59" t="s">
        <v>2349</v>
      </c>
      <c r="G2078" s="58" t="s">
        <v>2120</v>
      </c>
    </row>
    <row r="2079" spans="1:7">
      <c r="A2079" s="58" t="s">
        <v>2212</v>
      </c>
      <c r="B2079" s="58" t="s">
        <v>2213</v>
      </c>
      <c r="C2079" s="58" t="s">
        <v>108</v>
      </c>
      <c r="D2079" s="58" t="s">
        <v>2922</v>
      </c>
      <c r="E2079" s="59" t="s">
        <v>108</v>
      </c>
      <c r="F2079" s="59" t="s">
        <v>2349</v>
      </c>
      <c r="G2079" s="58" t="s">
        <v>2120</v>
      </c>
    </row>
    <row r="2080" spans="1:7">
      <c r="A2080" s="58" t="s">
        <v>2214</v>
      </c>
      <c r="B2080" s="58" t="s">
        <v>2213</v>
      </c>
      <c r="C2080" s="58" t="s">
        <v>108</v>
      </c>
      <c r="D2080" s="58" t="s">
        <v>2922</v>
      </c>
      <c r="E2080" s="59" t="s">
        <v>108</v>
      </c>
      <c r="F2080" s="59" t="s">
        <v>2349</v>
      </c>
      <c r="G2080" s="58" t="s">
        <v>2120</v>
      </c>
    </row>
    <row r="2081" spans="1:7" ht="17.25">
      <c r="A2081" s="76" t="s">
        <v>2938</v>
      </c>
      <c r="B2081" s="76"/>
      <c r="C2081" s="76"/>
      <c r="D2081" s="76"/>
      <c r="E2081" s="77"/>
      <c r="F2081" s="76"/>
      <c r="G2081" s="76"/>
    </row>
    <row r="2082" spans="1:7">
      <c r="A2082" s="58" t="s">
        <v>2216</v>
      </c>
      <c r="B2082" s="58" t="s">
        <v>2217</v>
      </c>
      <c r="C2082" s="58" t="s">
        <v>2193</v>
      </c>
      <c r="D2082" s="58" t="s">
        <v>2922</v>
      </c>
      <c r="E2082" s="59" t="s">
        <v>2193</v>
      </c>
      <c r="F2082" s="59" t="s">
        <v>2349</v>
      </c>
      <c r="G2082" s="58" t="s">
        <v>2218</v>
      </c>
    </row>
    <row r="2083" spans="1:7">
      <c r="A2083" s="58" t="s">
        <v>2219</v>
      </c>
      <c r="B2083" s="58" t="s">
        <v>2220</v>
      </c>
      <c r="C2083" s="58" t="s">
        <v>108</v>
      </c>
      <c r="D2083" s="58" t="s">
        <v>2922</v>
      </c>
      <c r="E2083" s="59" t="s">
        <v>108</v>
      </c>
      <c r="F2083" s="59" t="s">
        <v>2349</v>
      </c>
      <c r="G2083" s="58" t="s">
        <v>2221</v>
      </c>
    </row>
    <row r="2084" spans="1:7">
      <c r="A2084" s="58" t="s">
        <v>2222</v>
      </c>
      <c r="B2084" s="58" t="s">
        <v>2223</v>
      </c>
      <c r="C2084" s="58" t="s">
        <v>108</v>
      </c>
      <c r="D2084" s="58" t="s">
        <v>2922</v>
      </c>
      <c r="E2084" s="59" t="s">
        <v>108</v>
      </c>
      <c r="F2084" s="59" t="s">
        <v>2349</v>
      </c>
      <c r="G2084" s="58" t="s">
        <v>2224</v>
      </c>
    </row>
    <row r="2085" spans="1:7">
      <c r="A2085" s="58" t="s">
        <v>2225</v>
      </c>
      <c r="B2085" s="58" t="s">
        <v>2226</v>
      </c>
      <c r="C2085" s="58" t="s">
        <v>108</v>
      </c>
      <c r="D2085" s="58" t="s">
        <v>2922</v>
      </c>
      <c r="E2085" s="59" t="s">
        <v>108</v>
      </c>
      <c r="F2085" s="59" t="s">
        <v>2349</v>
      </c>
      <c r="G2085" s="58" t="s">
        <v>2227</v>
      </c>
    </row>
    <row r="2086" spans="1:7" ht="17.25">
      <c r="A2086" s="76" t="s">
        <v>2939</v>
      </c>
      <c r="B2086" s="76"/>
      <c r="C2086" s="76"/>
      <c r="D2086" s="76"/>
      <c r="E2086" s="77"/>
      <c r="F2086" s="76"/>
      <c r="G2086" s="76"/>
    </row>
    <row r="2087" spans="1:7">
      <c r="A2087" s="58" t="s">
        <v>2230</v>
      </c>
      <c r="B2087" s="58" t="s">
        <v>2220</v>
      </c>
      <c r="C2087" s="58" t="s">
        <v>108</v>
      </c>
      <c r="D2087" s="58" t="s">
        <v>2922</v>
      </c>
      <c r="E2087" s="59" t="s">
        <v>108</v>
      </c>
      <c r="F2087" s="59" t="s">
        <v>2349</v>
      </c>
      <c r="G2087" s="58" t="s">
        <v>2231</v>
      </c>
    </row>
    <row r="2088" spans="1:7">
      <c r="A2088" s="58" t="s">
        <v>2232</v>
      </c>
      <c r="B2088" s="58" t="s">
        <v>2220</v>
      </c>
      <c r="C2088" s="58" t="s">
        <v>108</v>
      </c>
      <c r="D2088" s="58" t="s">
        <v>2922</v>
      </c>
      <c r="E2088" s="59" t="s">
        <v>108</v>
      </c>
      <c r="F2088" s="59" t="s">
        <v>2349</v>
      </c>
      <c r="G2088" s="58" t="s">
        <v>2120</v>
      </c>
    </row>
    <row r="2089" spans="1:7">
      <c r="A2089" s="58" t="s">
        <v>2233</v>
      </c>
      <c r="B2089" s="58" t="s">
        <v>2234</v>
      </c>
      <c r="C2089" s="58" t="s">
        <v>108</v>
      </c>
      <c r="D2089" s="58" t="s">
        <v>2922</v>
      </c>
      <c r="E2089" s="59" t="s">
        <v>108</v>
      </c>
      <c r="F2089" s="59" t="s">
        <v>2349</v>
      </c>
      <c r="G2089" s="58" t="s">
        <v>2235</v>
      </c>
    </row>
    <row r="2090" spans="1:7">
      <c r="A2090" s="58" t="s">
        <v>2236</v>
      </c>
      <c r="B2090" s="58" t="s">
        <v>2237</v>
      </c>
      <c r="C2090" s="58" t="s">
        <v>108</v>
      </c>
      <c r="D2090" s="58" t="s">
        <v>2922</v>
      </c>
      <c r="E2090" s="59" t="s">
        <v>108</v>
      </c>
      <c r="F2090" s="59" t="s">
        <v>2349</v>
      </c>
      <c r="G2090" s="58" t="s">
        <v>2231</v>
      </c>
    </row>
    <row r="2091" spans="1:7">
      <c r="A2091" s="58" t="s">
        <v>2238</v>
      </c>
      <c r="B2091" s="58" t="s">
        <v>2237</v>
      </c>
      <c r="C2091" s="58" t="s">
        <v>108</v>
      </c>
      <c r="D2091" s="58" t="s">
        <v>2922</v>
      </c>
      <c r="E2091" s="59" t="s">
        <v>108</v>
      </c>
      <c r="F2091" s="59" t="s">
        <v>2349</v>
      </c>
      <c r="G2091" s="58" t="s">
        <v>2239</v>
      </c>
    </row>
    <row r="2092" spans="1:7">
      <c r="A2092" s="58" t="s">
        <v>2240</v>
      </c>
      <c r="B2092" s="58" t="s">
        <v>2241</v>
      </c>
      <c r="C2092" s="58" t="s">
        <v>2193</v>
      </c>
      <c r="D2092" s="58" t="s">
        <v>2922</v>
      </c>
      <c r="E2092" s="59" t="s">
        <v>2193</v>
      </c>
      <c r="F2092" s="59" t="s">
        <v>2349</v>
      </c>
      <c r="G2092" s="58" t="s">
        <v>2120</v>
      </c>
    </row>
    <row r="2093" spans="1:7">
      <c r="A2093" s="58" t="s">
        <v>2242</v>
      </c>
      <c r="B2093" s="58" t="s">
        <v>2220</v>
      </c>
      <c r="C2093" s="58" t="s">
        <v>2243</v>
      </c>
      <c r="D2093" s="58" t="s">
        <v>2922</v>
      </c>
      <c r="E2093" s="59" t="s">
        <v>108</v>
      </c>
      <c r="F2093" s="59" t="s">
        <v>2349</v>
      </c>
      <c r="G2093" s="58" t="s">
        <v>2244</v>
      </c>
    </row>
    <row r="2094" spans="1:7">
      <c r="A2094" s="58" t="s">
        <v>2245</v>
      </c>
      <c r="B2094" s="58" t="s">
        <v>2241</v>
      </c>
      <c r="C2094" s="58" t="s">
        <v>2246</v>
      </c>
      <c r="D2094" s="58" t="s">
        <v>2922</v>
      </c>
      <c r="E2094" s="59" t="s">
        <v>108</v>
      </c>
      <c r="F2094" s="59" t="s">
        <v>2349</v>
      </c>
      <c r="G2094" s="58" t="s">
        <v>2120</v>
      </c>
    </row>
    <row r="2095" spans="1:7">
      <c r="A2095" s="58" t="s">
        <v>2247</v>
      </c>
      <c r="B2095" s="58" t="s">
        <v>2248</v>
      </c>
      <c r="C2095" s="58" t="s">
        <v>108</v>
      </c>
      <c r="D2095" s="58" t="s">
        <v>2922</v>
      </c>
      <c r="E2095" s="59" t="s">
        <v>108</v>
      </c>
      <c r="F2095" s="59" t="s">
        <v>2349</v>
      </c>
      <c r="G2095" s="58" t="s">
        <v>2249</v>
      </c>
    </row>
    <row r="2096" spans="1:7" ht="17.25">
      <c r="A2096" s="76" t="s">
        <v>2940</v>
      </c>
      <c r="B2096" s="76"/>
      <c r="C2096" s="76"/>
      <c r="D2096" s="76"/>
      <c r="E2096" s="77"/>
      <c r="F2096" s="76"/>
      <c r="G2096" s="76"/>
    </row>
    <row r="2097" spans="1:7">
      <c r="A2097" s="58" t="s">
        <v>2251</v>
      </c>
      <c r="B2097" s="58" t="s">
        <v>2252</v>
      </c>
      <c r="C2097" s="58" t="s">
        <v>108</v>
      </c>
      <c r="D2097" s="58" t="s">
        <v>2922</v>
      </c>
      <c r="E2097" s="59" t="s">
        <v>108</v>
      </c>
      <c r="F2097" s="59" t="s">
        <v>2349</v>
      </c>
      <c r="G2097" s="58" t="s">
        <v>2120</v>
      </c>
    </row>
    <row r="2098" spans="1:7">
      <c r="A2098" s="58" t="s">
        <v>2253</v>
      </c>
      <c r="B2098" s="58" t="s">
        <v>2252</v>
      </c>
      <c r="C2098" s="58" t="s">
        <v>2193</v>
      </c>
      <c r="D2098" s="58" t="s">
        <v>2922</v>
      </c>
      <c r="E2098" s="59" t="s">
        <v>2193</v>
      </c>
      <c r="F2098" s="59" t="s">
        <v>2349</v>
      </c>
      <c r="G2098" s="58" t="s">
        <v>2254</v>
      </c>
    </row>
    <row r="2099" spans="1:7">
      <c r="A2099" s="58" t="s">
        <v>2255</v>
      </c>
      <c r="B2099" s="58" t="s">
        <v>2256</v>
      </c>
      <c r="C2099" s="58" t="s">
        <v>2257</v>
      </c>
      <c r="D2099" s="58" t="s">
        <v>2922</v>
      </c>
      <c r="E2099" s="59" t="s">
        <v>108</v>
      </c>
      <c r="F2099" s="59" t="s">
        <v>2349</v>
      </c>
      <c r="G2099" s="58" t="s">
        <v>2120</v>
      </c>
    </row>
    <row r="2100" spans="1:7">
      <c r="A2100" s="58" t="s">
        <v>2258</v>
      </c>
      <c r="B2100" s="58" t="s">
        <v>2259</v>
      </c>
      <c r="C2100" s="58" t="s">
        <v>2260</v>
      </c>
      <c r="D2100" s="58" t="s">
        <v>2922</v>
      </c>
      <c r="E2100" s="59" t="s">
        <v>108</v>
      </c>
      <c r="F2100" s="59" t="s">
        <v>2349</v>
      </c>
      <c r="G2100" s="58" t="s">
        <v>2261</v>
      </c>
    </row>
    <row r="2101" spans="1:7">
      <c r="A2101" s="58" t="s">
        <v>2262</v>
      </c>
      <c r="B2101" s="58" t="s">
        <v>2259</v>
      </c>
      <c r="C2101" s="58" t="s">
        <v>2147</v>
      </c>
      <c r="D2101" s="58" t="s">
        <v>2922</v>
      </c>
      <c r="E2101" s="59" t="s">
        <v>108</v>
      </c>
      <c r="F2101" s="59" t="s">
        <v>2349</v>
      </c>
      <c r="G2101" s="58" t="s">
        <v>2263</v>
      </c>
    </row>
    <row r="2102" spans="1:7">
      <c r="A2102" s="58" t="s">
        <v>2264</v>
      </c>
      <c r="B2102" s="58" t="s">
        <v>2252</v>
      </c>
      <c r="C2102" s="58" t="s">
        <v>2265</v>
      </c>
      <c r="D2102" s="58" t="s">
        <v>2922</v>
      </c>
      <c r="E2102" s="59" t="s">
        <v>108</v>
      </c>
      <c r="F2102" s="59" t="s">
        <v>2349</v>
      </c>
      <c r="G2102" s="58" t="s">
        <v>2120</v>
      </c>
    </row>
    <row r="2103" spans="1:7">
      <c r="A2103" s="58" t="s">
        <v>2266</v>
      </c>
      <c r="B2103" s="58" t="s">
        <v>2252</v>
      </c>
      <c r="C2103" s="58" t="s">
        <v>2267</v>
      </c>
      <c r="D2103" s="58" t="s">
        <v>2922</v>
      </c>
      <c r="E2103" s="59" t="s">
        <v>108</v>
      </c>
      <c r="F2103" s="59" t="s">
        <v>2349</v>
      </c>
      <c r="G2103" s="58" t="s">
        <v>2268</v>
      </c>
    </row>
    <row r="2104" spans="1:7">
      <c r="A2104" s="58" t="s">
        <v>2269</v>
      </c>
      <c r="B2104" s="58" t="s">
        <v>2252</v>
      </c>
      <c r="C2104" s="58" t="s">
        <v>2270</v>
      </c>
      <c r="D2104" s="58" t="s">
        <v>2922</v>
      </c>
      <c r="E2104" s="59" t="s">
        <v>108</v>
      </c>
      <c r="F2104" s="59" t="s">
        <v>2349</v>
      </c>
      <c r="G2104" s="58" t="s">
        <v>2120</v>
      </c>
    </row>
    <row r="2105" spans="1:7" ht="17.25">
      <c r="A2105" s="76" t="s">
        <v>2941</v>
      </c>
      <c r="B2105" s="76"/>
      <c r="C2105" s="76"/>
      <c r="D2105" s="76"/>
      <c r="E2105" s="77"/>
      <c r="F2105" s="76"/>
      <c r="G2105" s="76"/>
    </row>
    <row r="2106" spans="1:7">
      <c r="A2106" s="58" t="s">
        <v>2272</v>
      </c>
      <c r="B2106" s="58" t="s">
        <v>2273</v>
      </c>
      <c r="C2106" s="58" t="s">
        <v>2274</v>
      </c>
      <c r="D2106" s="58" t="s">
        <v>2922</v>
      </c>
      <c r="E2106" s="59" t="s">
        <v>108</v>
      </c>
      <c r="F2106" s="59" t="s">
        <v>2349</v>
      </c>
      <c r="G2106" s="58" t="s">
        <v>2275</v>
      </c>
    </row>
    <row r="2107" spans="1:7">
      <c r="A2107" s="58" t="s">
        <v>2276</v>
      </c>
      <c r="B2107" s="58" t="s">
        <v>2248</v>
      </c>
      <c r="C2107" s="58" t="s">
        <v>2277</v>
      </c>
      <c r="D2107" s="58" t="s">
        <v>2922</v>
      </c>
      <c r="E2107" s="59" t="s">
        <v>108</v>
      </c>
      <c r="F2107" s="59" t="s">
        <v>2349</v>
      </c>
      <c r="G2107" s="58" t="s">
        <v>2278</v>
      </c>
    </row>
    <row r="2108" spans="1:7">
      <c r="A2108" s="58" t="s">
        <v>2279</v>
      </c>
      <c r="B2108" s="58" t="s">
        <v>2280</v>
      </c>
      <c r="C2108" s="58" t="s">
        <v>2281</v>
      </c>
      <c r="D2108" s="58" t="s">
        <v>2922</v>
      </c>
      <c r="E2108" s="59" t="s">
        <v>108</v>
      </c>
      <c r="F2108" s="59" t="s">
        <v>2349</v>
      </c>
      <c r="G2108" s="58" t="s">
        <v>2282</v>
      </c>
    </row>
    <row r="2109" spans="1:7">
      <c r="A2109" s="58" t="s">
        <v>2283</v>
      </c>
      <c r="B2109" s="58" t="s">
        <v>2273</v>
      </c>
      <c r="C2109" s="58" t="s">
        <v>108</v>
      </c>
      <c r="D2109" s="58" t="s">
        <v>2922</v>
      </c>
      <c r="E2109" s="59" t="s">
        <v>108</v>
      </c>
      <c r="F2109" s="59" t="s">
        <v>2349</v>
      </c>
      <c r="G2109" s="58" t="s">
        <v>2284</v>
      </c>
    </row>
    <row r="2110" spans="1:7">
      <c r="A2110" s="58" t="s">
        <v>2286</v>
      </c>
      <c r="B2110" s="58"/>
      <c r="C2110" s="58" t="s">
        <v>108</v>
      </c>
      <c r="D2110" s="58" t="s">
        <v>2922</v>
      </c>
      <c r="E2110" s="59" t="s">
        <v>108</v>
      </c>
      <c r="F2110" s="59" t="s">
        <v>2349</v>
      </c>
      <c r="G2110" s="58" t="s">
        <v>2120</v>
      </c>
    </row>
    <row r="2111" spans="1:7">
      <c r="A2111" s="58" t="s">
        <v>2287</v>
      </c>
      <c r="B2111" s="58" t="s">
        <v>2273</v>
      </c>
      <c r="C2111" s="58" t="s">
        <v>2288</v>
      </c>
      <c r="D2111" s="58" t="s">
        <v>2922</v>
      </c>
      <c r="E2111" s="59" t="s">
        <v>2288</v>
      </c>
      <c r="F2111" s="59" t="s">
        <v>2349</v>
      </c>
      <c r="G2111" s="58" t="s">
        <v>2289</v>
      </c>
    </row>
    <row r="2112" spans="1:7" ht="17.25">
      <c r="A2112" s="76" t="s">
        <v>2942</v>
      </c>
      <c r="B2112" s="76"/>
      <c r="C2112" s="76"/>
      <c r="D2112" s="76"/>
      <c r="E2112" s="77"/>
      <c r="F2112" s="76"/>
      <c r="G2112" s="76"/>
    </row>
    <row r="2113" spans="1:7">
      <c r="A2113" s="58" t="s">
        <v>2293</v>
      </c>
      <c r="B2113" s="58" t="s">
        <v>2294</v>
      </c>
      <c r="C2113" s="58" t="s">
        <v>2295</v>
      </c>
      <c r="D2113" s="58" t="s">
        <v>2922</v>
      </c>
      <c r="E2113" s="59" t="s">
        <v>108</v>
      </c>
      <c r="F2113" s="59" t="s">
        <v>2349</v>
      </c>
      <c r="G2113" s="58" t="s">
        <v>2296</v>
      </c>
    </row>
    <row r="2114" spans="1:7">
      <c r="A2114" s="58" t="s">
        <v>2297</v>
      </c>
      <c r="B2114" s="58" t="s">
        <v>2298</v>
      </c>
      <c r="C2114" s="58" t="s">
        <v>108</v>
      </c>
      <c r="D2114" s="58" t="s">
        <v>2922</v>
      </c>
      <c r="E2114" s="59" t="s">
        <v>108</v>
      </c>
      <c r="F2114" s="59" t="s">
        <v>2349</v>
      </c>
      <c r="G2114" s="58" t="s">
        <v>2299</v>
      </c>
    </row>
    <row r="2115" spans="1:7">
      <c r="A2115" s="58" t="s">
        <v>2300</v>
      </c>
      <c r="B2115" s="58" t="s">
        <v>2294</v>
      </c>
      <c r="C2115" s="58" t="s">
        <v>108</v>
      </c>
      <c r="D2115" s="58" t="s">
        <v>2922</v>
      </c>
      <c r="E2115" s="59" t="s">
        <v>108</v>
      </c>
      <c r="F2115" s="59" t="s">
        <v>2349</v>
      </c>
      <c r="G2115" s="58" t="s">
        <v>2299</v>
      </c>
    </row>
    <row r="2116" spans="1:7">
      <c r="A2116" s="58" t="s">
        <v>2301</v>
      </c>
      <c r="B2116" s="58" t="s">
        <v>2302</v>
      </c>
      <c r="C2116" s="58" t="s">
        <v>2193</v>
      </c>
      <c r="D2116" s="58" t="s">
        <v>2922</v>
      </c>
      <c r="E2116" s="59" t="s">
        <v>2193</v>
      </c>
      <c r="F2116" s="59" t="s">
        <v>2349</v>
      </c>
      <c r="G2116" s="58" t="s">
        <v>2303</v>
      </c>
    </row>
    <row r="2117" spans="1:7">
      <c r="A2117" s="58" t="s">
        <v>2304</v>
      </c>
      <c r="B2117" s="58" t="s">
        <v>2305</v>
      </c>
      <c r="C2117" s="58" t="s">
        <v>2257</v>
      </c>
      <c r="D2117" s="58" t="s">
        <v>2922</v>
      </c>
      <c r="E2117" s="59" t="s">
        <v>108</v>
      </c>
      <c r="F2117" s="59" t="s">
        <v>2349</v>
      </c>
      <c r="G2117" s="58" t="s">
        <v>2306</v>
      </c>
    </row>
    <row r="2118" spans="1:7">
      <c r="A2118" s="58" t="s">
        <v>2347</v>
      </c>
      <c r="B2118" s="58" t="s">
        <v>2213</v>
      </c>
      <c r="C2118" s="58" t="s">
        <v>2348</v>
      </c>
      <c r="D2118" s="58" t="s">
        <v>2922</v>
      </c>
      <c r="E2118" s="59" t="s">
        <v>2348</v>
      </c>
      <c r="F2118" s="59" t="s">
        <v>2349</v>
      </c>
      <c r="G2118" s="58" t="s">
        <v>2296</v>
      </c>
    </row>
    <row r="2119" spans="1:7" ht="17.25">
      <c r="A2119" s="76" t="s">
        <v>2943</v>
      </c>
      <c r="B2119" s="76"/>
      <c r="C2119" s="76"/>
      <c r="D2119" s="76"/>
      <c r="E2119" s="77"/>
      <c r="F2119" s="76"/>
      <c r="G2119" s="76"/>
    </row>
    <row r="2120" spans="1:7">
      <c r="A2120" s="58" t="s">
        <v>2532</v>
      </c>
      <c r="B2120" s="58" t="s">
        <v>2533</v>
      </c>
      <c r="C2120" s="58" t="s">
        <v>1559</v>
      </c>
      <c r="D2120" s="58" t="s">
        <v>2500</v>
      </c>
      <c r="E2120" s="59" t="s">
        <v>1559</v>
      </c>
      <c r="F2120" s="59" t="s">
        <v>2349</v>
      </c>
      <c r="G2120" s="58" t="s">
        <v>2535</v>
      </c>
    </row>
    <row r="2121" spans="1:7">
      <c r="A2121" s="58" t="s">
        <v>2536</v>
      </c>
      <c r="B2121" s="58" t="s">
        <v>2537</v>
      </c>
      <c r="C2121" s="58" t="s">
        <v>2538</v>
      </c>
      <c r="D2121" s="58" t="s">
        <v>2500</v>
      </c>
      <c r="E2121" s="59" t="s">
        <v>2504</v>
      </c>
      <c r="F2121" s="59" t="s">
        <v>2349</v>
      </c>
      <c r="G2121" s="58" t="s">
        <v>2539</v>
      </c>
    </row>
    <row r="2122" spans="1:7">
      <c r="A2122" s="58" t="s">
        <v>2540</v>
      </c>
      <c r="B2122" s="58" t="s">
        <v>2537</v>
      </c>
      <c r="C2122" s="58" t="s">
        <v>2193</v>
      </c>
      <c r="D2122" s="58" t="s">
        <v>2500</v>
      </c>
      <c r="E2122" s="59" t="s">
        <v>2193</v>
      </c>
      <c r="F2122" s="59" t="s">
        <v>2349</v>
      </c>
      <c r="G2122" s="58" t="s">
        <v>2541</v>
      </c>
    </row>
    <row r="2123" spans="1:7">
      <c r="A2123" s="58" t="s">
        <v>2542</v>
      </c>
      <c r="B2123" s="58" t="s">
        <v>2533</v>
      </c>
      <c r="C2123" s="58" t="s">
        <v>108</v>
      </c>
      <c r="D2123" s="58" t="s">
        <v>2500</v>
      </c>
      <c r="E2123" s="59" t="s">
        <v>108</v>
      </c>
      <c r="F2123" s="59" t="s">
        <v>2349</v>
      </c>
      <c r="G2123" s="58" t="s">
        <v>2543</v>
      </c>
    </row>
    <row r="2124" spans="1:7">
      <c r="A2124" s="58" t="s">
        <v>2544</v>
      </c>
      <c r="B2124" s="58" t="s">
        <v>2545</v>
      </c>
      <c r="C2124" s="58" t="s">
        <v>2193</v>
      </c>
      <c r="D2124" s="58" t="s">
        <v>2500</v>
      </c>
      <c r="E2124" s="59" t="s">
        <v>2193</v>
      </c>
      <c r="F2124" s="59" t="s">
        <v>2349</v>
      </c>
      <c r="G2124" s="58" t="s">
        <v>2541</v>
      </c>
    </row>
    <row r="2125" spans="1:7">
      <c r="A2125" s="58" t="s">
        <v>2546</v>
      </c>
      <c r="B2125" s="58" t="s">
        <v>2546</v>
      </c>
      <c r="C2125" s="58" t="s">
        <v>2135</v>
      </c>
      <c r="D2125" s="58" t="s">
        <v>2500</v>
      </c>
      <c r="E2125" s="59" t="s">
        <v>2355</v>
      </c>
      <c r="F2125" s="59" t="s">
        <v>2349</v>
      </c>
      <c r="G2125" s="58" t="s">
        <v>2547</v>
      </c>
    </row>
    <row r="2126" spans="1:7">
      <c r="A2126" s="58" t="s">
        <v>2832</v>
      </c>
      <c r="B2126" s="58" t="s">
        <v>2591</v>
      </c>
      <c r="C2126" s="58" t="s">
        <v>543</v>
      </c>
      <c r="D2126" s="58" t="s">
        <v>2500</v>
      </c>
      <c r="E2126" s="59" t="s">
        <v>543</v>
      </c>
      <c r="F2126" s="59" t="s">
        <v>2349</v>
      </c>
      <c r="G2126" s="58" t="s">
        <v>2833</v>
      </c>
    </row>
    <row r="2127" spans="1:7">
      <c r="A2127" s="58" t="s">
        <v>2834</v>
      </c>
      <c r="B2127" s="58" t="s">
        <v>2554</v>
      </c>
      <c r="C2127" s="58" t="s">
        <v>543</v>
      </c>
      <c r="D2127" s="58" t="s">
        <v>2500</v>
      </c>
      <c r="E2127" s="59" t="s">
        <v>543</v>
      </c>
      <c r="F2127" s="59" t="s">
        <v>2349</v>
      </c>
      <c r="G2127" s="58" t="s">
        <v>2835</v>
      </c>
    </row>
    <row r="2128" spans="1:7" ht="17.25">
      <c r="A2128" s="76" t="s">
        <v>2944</v>
      </c>
      <c r="B2128" s="76"/>
      <c r="C2128" s="76"/>
      <c r="D2128" s="76"/>
      <c r="E2128" s="77"/>
      <c r="F2128" s="76"/>
      <c r="G2128" s="76"/>
    </row>
    <row r="2129" spans="1:7">
      <c r="A2129" s="58" t="s">
        <v>2549</v>
      </c>
      <c r="B2129" s="58" t="s">
        <v>2537</v>
      </c>
      <c r="C2129" s="58" t="s">
        <v>2288</v>
      </c>
      <c r="D2129" s="58" t="s">
        <v>2500</v>
      </c>
      <c r="E2129" s="59" t="s">
        <v>2288</v>
      </c>
      <c r="F2129" s="59" t="s">
        <v>2349</v>
      </c>
      <c r="G2129" s="58" t="s">
        <v>2550</v>
      </c>
    </row>
    <row r="2130" spans="1:7">
      <c r="A2130" s="58" t="s">
        <v>2551</v>
      </c>
      <c r="B2130" s="58" t="s">
        <v>2537</v>
      </c>
      <c r="C2130" s="58" t="s">
        <v>2135</v>
      </c>
      <c r="D2130" s="58" t="s">
        <v>2500</v>
      </c>
      <c r="E2130" s="59" t="s">
        <v>2355</v>
      </c>
      <c r="F2130" s="59" t="s">
        <v>2349</v>
      </c>
      <c r="G2130" s="58" t="s">
        <v>2552</v>
      </c>
    </row>
    <row r="2131" spans="1:7">
      <c r="A2131" s="58" t="s">
        <v>2553</v>
      </c>
      <c r="B2131" s="58" t="s">
        <v>2554</v>
      </c>
      <c r="C2131" s="58" t="s">
        <v>2135</v>
      </c>
      <c r="D2131" s="58" t="s">
        <v>2500</v>
      </c>
      <c r="E2131" s="59" t="s">
        <v>2355</v>
      </c>
      <c r="F2131" s="59" t="s">
        <v>2349</v>
      </c>
      <c r="G2131" s="58" t="s">
        <v>2555</v>
      </c>
    </row>
    <row r="2132" spans="1:7">
      <c r="A2132" s="58" t="s">
        <v>2837</v>
      </c>
      <c r="B2132" s="58" t="s">
        <v>2537</v>
      </c>
      <c r="C2132" s="58" t="s">
        <v>2838</v>
      </c>
      <c r="D2132" s="58" t="s">
        <v>2500</v>
      </c>
      <c r="E2132" s="59" t="s">
        <v>543</v>
      </c>
      <c r="F2132" s="59" t="s">
        <v>2349</v>
      </c>
      <c r="G2132" s="58" t="s">
        <v>2839</v>
      </c>
    </row>
    <row r="2133" spans="1:7">
      <c r="A2133" s="58" t="s">
        <v>2556</v>
      </c>
      <c r="B2133" s="58" t="s">
        <v>2533</v>
      </c>
      <c r="C2133" s="58" t="s">
        <v>2288</v>
      </c>
      <c r="D2133" s="58" t="s">
        <v>2500</v>
      </c>
      <c r="E2133" s="59" t="s">
        <v>2288</v>
      </c>
      <c r="F2133" s="59" t="s">
        <v>2349</v>
      </c>
      <c r="G2133" s="58" t="s">
        <v>2557</v>
      </c>
    </row>
    <row r="2134" spans="1:7">
      <c r="A2134" s="58" t="s">
        <v>2840</v>
      </c>
      <c r="B2134" s="58" t="s">
        <v>2563</v>
      </c>
      <c r="C2134" s="58" t="s">
        <v>543</v>
      </c>
      <c r="D2134" s="58" t="s">
        <v>2500</v>
      </c>
      <c r="E2134" s="59" t="s">
        <v>543</v>
      </c>
      <c r="F2134" s="59" t="s">
        <v>2349</v>
      </c>
      <c r="G2134" s="58" t="s">
        <v>2120</v>
      </c>
    </row>
    <row r="2135" spans="1:7">
      <c r="A2135" s="58" t="s">
        <v>2558</v>
      </c>
      <c r="B2135" s="58" t="s">
        <v>2559</v>
      </c>
      <c r="C2135" s="58" t="s">
        <v>2560</v>
      </c>
      <c r="D2135" s="58" t="s">
        <v>2500</v>
      </c>
      <c r="E2135" s="59" t="s">
        <v>2288</v>
      </c>
      <c r="F2135" s="59" t="s">
        <v>2349</v>
      </c>
      <c r="G2135" s="58" t="s">
        <v>2561</v>
      </c>
    </row>
    <row r="2136" spans="1:7">
      <c r="A2136" s="58" t="s">
        <v>2562</v>
      </c>
      <c r="B2136" s="58" t="s">
        <v>2563</v>
      </c>
      <c r="C2136" s="58" t="s">
        <v>2564</v>
      </c>
      <c r="D2136" s="58" t="s">
        <v>2500</v>
      </c>
      <c r="E2136" s="59" t="s">
        <v>1201</v>
      </c>
      <c r="F2136" s="59" t="s">
        <v>2349</v>
      </c>
      <c r="G2136" s="58" t="s">
        <v>2565</v>
      </c>
    </row>
    <row r="2137" spans="1:7">
      <c r="A2137" s="58" t="s">
        <v>2566</v>
      </c>
      <c r="B2137" s="58" t="s">
        <v>2545</v>
      </c>
      <c r="C2137" s="58" t="s">
        <v>2567</v>
      </c>
      <c r="D2137" s="58" t="s">
        <v>2500</v>
      </c>
      <c r="E2137" s="59" t="s">
        <v>108</v>
      </c>
      <c r="F2137" s="59" t="s">
        <v>2349</v>
      </c>
      <c r="G2137" s="58" t="s">
        <v>2569</v>
      </c>
    </row>
    <row r="2138" spans="1:7">
      <c r="A2138" s="58" t="s">
        <v>2570</v>
      </c>
      <c r="B2138" s="58" t="s">
        <v>2571</v>
      </c>
      <c r="C2138" s="58" t="s">
        <v>2135</v>
      </c>
      <c r="D2138" s="58" t="s">
        <v>2500</v>
      </c>
      <c r="E2138" s="59" t="s">
        <v>2355</v>
      </c>
      <c r="F2138" s="59" t="s">
        <v>2349</v>
      </c>
      <c r="G2138" s="58" t="s">
        <v>2120</v>
      </c>
    </row>
    <row r="2139" spans="1:7">
      <c r="A2139" s="58" t="s">
        <v>2575</v>
      </c>
      <c r="B2139" s="58" t="s">
        <v>2533</v>
      </c>
      <c r="C2139" s="58" t="s">
        <v>2135</v>
      </c>
      <c r="D2139" s="58" t="s">
        <v>2500</v>
      </c>
      <c r="E2139" s="59" t="s">
        <v>2355</v>
      </c>
      <c r="F2139" s="59" t="s">
        <v>2349</v>
      </c>
      <c r="G2139" s="58" t="s">
        <v>2120</v>
      </c>
    </row>
    <row r="2140" spans="1:7">
      <c r="A2140" s="58" t="s">
        <v>2576</v>
      </c>
      <c r="B2140" s="58" t="s">
        <v>2571</v>
      </c>
      <c r="C2140" s="58" t="s">
        <v>108</v>
      </c>
      <c r="D2140" s="58" t="s">
        <v>2500</v>
      </c>
      <c r="E2140" s="59" t="s">
        <v>108</v>
      </c>
      <c r="F2140" s="59" t="s">
        <v>2349</v>
      </c>
      <c r="G2140" s="58" t="s">
        <v>2577</v>
      </c>
    </row>
    <row r="2141" spans="1:7">
      <c r="A2141" s="58" t="s">
        <v>2578</v>
      </c>
      <c r="B2141" s="58" t="s">
        <v>2579</v>
      </c>
      <c r="C2141" s="58" t="s">
        <v>2564</v>
      </c>
      <c r="D2141" s="58" t="s">
        <v>2500</v>
      </c>
      <c r="E2141" s="59" t="s">
        <v>1201</v>
      </c>
      <c r="F2141" s="59" t="s">
        <v>2349</v>
      </c>
      <c r="G2141" s="58" t="s">
        <v>2565</v>
      </c>
    </row>
    <row r="2142" spans="1:7">
      <c r="A2142" s="58" t="s">
        <v>2546</v>
      </c>
      <c r="B2142" s="58" t="s">
        <v>2546</v>
      </c>
      <c r="C2142" s="58" t="s">
        <v>2135</v>
      </c>
      <c r="D2142" s="58" t="s">
        <v>2500</v>
      </c>
      <c r="E2142" s="59" t="s">
        <v>2355</v>
      </c>
      <c r="F2142" s="59" t="s">
        <v>2349</v>
      </c>
      <c r="G2142" s="58" t="s">
        <v>2580</v>
      </c>
    </row>
    <row r="2143" spans="1:7">
      <c r="A2143" s="58" t="s">
        <v>2581</v>
      </c>
      <c r="B2143" s="58" t="s">
        <v>2582</v>
      </c>
      <c r="C2143" s="58" t="s">
        <v>2135</v>
      </c>
      <c r="D2143" s="58" t="s">
        <v>2500</v>
      </c>
      <c r="E2143" s="59" t="s">
        <v>2355</v>
      </c>
      <c r="F2143" s="59" t="s">
        <v>2349</v>
      </c>
      <c r="G2143" s="58" t="s">
        <v>2583</v>
      </c>
    </row>
    <row r="2144" spans="1:7">
      <c r="A2144" s="58" t="s">
        <v>2841</v>
      </c>
      <c r="B2144" s="58" t="s">
        <v>2554</v>
      </c>
      <c r="C2144" s="58" t="s">
        <v>543</v>
      </c>
      <c r="D2144" s="58" t="s">
        <v>2500</v>
      </c>
      <c r="E2144" s="59" t="s">
        <v>543</v>
      </c>
      <c r="F2144" s="59" t="s">
        <v>2349</v>
      </c>
      <c r="G2144" s="58" t="s">
        <v>2842</v>
      </c>
    </row>
    <row r="2145" spans="1:7">
      <c r="A2145" s="58" t="s">
        <v>2584</v>
      </c>
      <c r="B2145" s="58" t="s">
        <v>2545</v>
      </c>
      <c r="C2145" s="58" t="s">
        <v>2585</v>
      </c>
      <c r="D2145" s="58" t="s">
        <v>2500</v>
      </c>
      <c r="E2145" s="59" t="s">
        <v>2843</v>
      </c>
      <c r="F2145" s="59" t="s">
        <v>2349</v>
      </c>
      <c r="G2145" s="58" t="s">
        <v>2586</v>
      </c>
    </row>
    <row r="2146" spans="1:7">
      <c r="A2146" s="58" t="s">
        <v>2587</v>
      </c>
      <c r="B2146" s="58" t="s">
        <v>2554</v>
      </c>
      <c r="C2146" s="58" t="s">
        <v>2288</v>
      </c>
      <c r="D2146" s="58" t="s">
        <v>2500</v>
      </c>
      <c r="E2146" s="59" t="s">
        <v>2288</v>
      </c>
      <c r="F2146" s="59" t="s">
        <v>2349</v>
      </c>
      <c r="G2146" s="58" t="s">
        <v>2588</v>
      </c>
    </row>
    <row r="2147" spans="1:7">
      <c r="A2147" s="58" t="s">
        <v>2844</v>
      </c>
      <c r="B2147" s="58" t="s">
        <v>2554</v>
      </c>
      <c r="C2147" s="58" t="s">
        <v>2845</v>
      </c>
      <c r="D2147" s="58" t="s">
        <v>2500</v>
      </c>
      <c r="E2147" s="59" t="s">
        <v>543</v>
      </c>
      <c r="F2147" s="59" t="s">
        <v>2349</v>
      </c>
      <c r="G2147" s="58" t="s">
        <v>2846</v>
      </c>
    </row>
    <row r="2148" spans="1:7" ht="17.25">
      <c r="A2148" s="76" t="s">
        <v>2945</v>
      </c>
      <c r="B2148" s="76"/>
      <c r="C2148" s="76"/>
      <c r="D2148" s="76"/>
      <c r="E2148" s="77"/>
      <c r="F2148" s="76"/>
      <c r="G2148" s="76"/>
    </row>
    <row r="2149" spans="1:7">
      <c r="A2149" s="58" t="s">
        <v>2546</v>
      </c>
      <c r="B2149" s="58" t="s">
        <v>2546</v>
      </c>
      <c r="C2149" s="58" t="s">
        <v>2135</v>
      </c>
      <c r="D2149" s="58" t="s">
        <v>2500</v>
      </c>
      <c r="E2149" s="59" t="s">
        <v>2355</v>
      </c>
      <c r="F2149" s="59" t="s">
        <v>2349</v>
      </c>
      <c r="G2149" s="58" t="s">
        <v>2547</v>
      </c>
    </row>
    <row r="2150" spans="1:7">
      <c r="A2150" s="58" t="s">
        <v>2590</v>
      </c>
      <c r="B2150" s="58" t="s">
        <v>2591</v>
      </c>
      <c r="C2150" s="58" t="s">
        <v>2592</v>
      </c>
      <c r="D2150" s="58" t="s">
        <v>2500</v>
      </c>
      <c r="E2150" s="59" t="s">
        <v>2288</v>
      </c>
      <c r="F2150" s="59" t="s">
        <v>2349</v>
      </c>
      <c r="G2150" s="58" t="s">
        <v>2593</v>
      </c>
    </row>
    <row r="2151" spans="1:7">
      <c r="A2151" s="58" t="s">
        <v>2848</v>
      </c>
      <c r="B2151" s="58" t="s">
        <v>2545</v>
      </c>
      <c r="C2151" s="58" t="s">
        <v>543</v>
      </c>
      <c r="D2151" s="58" t="s">
        <v>2500</v>
      </c>
      <c r="E2151" s="59" t="s">
        <v>543</v>
      </c>
      <c r="F2151" s="59" t="s">
        <v>2349</v>
      </c>
      <c r="G2151" s="58" t="s">
        <v>2849</v>
      </c>
    </row>
    <row r="2152" spans="1:7">
      <c r="A2152" s="58" t="s">
        <v>2594</v>
      </c>
      <c r="B2152" s="58" t="s">
        <v>2533</v>
      </c>
      <c r="C2152" s="58" t="s">
        <v>2288</v>
      </c>
      <c r="D2152" s="58" t="s">
        <v>2500</v>
      </c>
      <c r="E2152" s="59" t="s">
        <v>2288</v>
      </c>
      <c r="F2152" s="59" t="s">
        <v>2349</v>
      </c>
      <c r="G2152" s="58" t="s">
        <v>2595</v>
      </c>
    </row>
    <row r="2153" spans="1:7">
      <c r="A2153" s="58" t="s">
        <v>2596</v>
      </c>
      <c r="B2153" s="58" t="s">
        <v>2582</v>
      </c>
      <c r="C2153" s="58" t="s">
        <v>108</v>
      </c>
      <c r="D2153" s="58" t="s">
        <v>2500</v>
      </c>
      <c r="E2153" s="59" t="s">
        <v>108</v>
      </c>
      <c r="F2153" s="59" t="s">
        <v>2349</v>
      </c>
      <c r="G2153" s="58" t="s">
        <v>2120</v>
      </c>
    </row>
    <row r="2154" spans="1:7">
      <c r="A2154" s="58" t="s">
        <v>2597</v>
      </c>
      <c r="B2154" s="58" t="s">
        <v>2537</v>
      </c>
      <c r="C2154" s="58" t="s">
        <v>108</v>
      </c>
      <c r="D2154" s="58" t="s">
        <v>2500</v>
      </c>
      <c r="E2154" s="59" t="s">
        <v>108</v>
      </c>
      <c r="F2154" s="59" t="s">
        <v>2349</v>
      </c>
      <c r="G2154" s="58" t="s">
        <v>2598</v>
      </c>
    </row>
    <row r="2155" spans="1:7">
      <c r="A2155" s="58" t="s">
        <v>2599</v>
      </c>
      <c r="B2155" s="58" t="s">
        <v>2559</v>
      </c>
      <c r="C2155" s="58" t="s">
        <v>2288</v>
      </c>
      <c r="D2155" s="58" t="s">
        <v>2500</v>
      </c>
      <c r="E2155" s="59" t="s">
        <v>2288</v>
      </c>
      <c r="F2155" s="59" t="s">
        <v>2349</v>
      </c>
      <c r="G2155" s="58" t="s">
        <v>2600</v>
      </c>
    </row>
    <row r="2156" spans="1:7">
      <c r="A2156" s="58" t="s">
        <v>2601</v>
      </c>
      <c r="B2156" s="58" t="s">
        <v>2533</v>
      </c>
      <c r="C2156" s="58" t="s">
        <v>2288</v>
      </c>
      <c r="D2156" s="58" t="s">
        <v>2500</v>
      </c>
      <c r="E2156" s="59" t="s">
        <v>2288</v>
      </c>
      <c r="F2156" s="59" t="s">
        <v>2349</v>
      </c>
      <c r="G2156" s="58" t="s">
        <v>2602</v>
      </c>
    </row>
    <row r="2157" spans="1:7">
      <c r="A2157" s="58" t="s">
        <v>2603</v>
      </c>
      <c r="B2157" s="58" t="s">
        <v>2559</v>
      </c>
      <c r="C2157" s="58" t="s">
        <v>2604</v>
      </c>
      <c r="D2157" s="58" t="s">
        <v>2500</v>
      </c>
      <c r="E2157" s="59" t="s">
        <v>2193</v>
      </c>
      <c r="F2157" s="59" t="s">
        <v>2349</v>
      </c>
      <c r="G2157" s="58" t="s">
        <v>2606</v>
      </c>
    </row>
    <row r="2158" spans="1:7">
      <c r="A2158" s="58" t="s">
        <v>2607</v>
      </c>
      <c r="B2158" s="58" t="s">
        <v>2563</v>
      </c>
      <c r="C2158" s="58" t="s">
        <v>2608</v>
      </c>
      <c r="D2158" s="58" t="s">
        <v>2500</v>
      </c>
      <c r="E2158" s="59" t="s">
        <v>2288</v>
      </c>
      <c r="F2158" s="59" t="s">
        <v>2349</v>
      </c>
      <c r="G2158" s="58" t="s">
        <v>2609</v>
      </c>
    </row>
    <row r="2159" spans="1:7">
      <c r="A2159" s="58" t="s">
        <v>2610</v>
      </c>
      <c r="B2159" s="58" t="s">
        <v>2545</v>
      </c>
      <c r="C2159" s="58" t="s">
        <v>108</v>
      </c>
      <c r="D2159" s="58" t="s">
        <v>2500</v>
      </c>
      <c r="E2159" s="59" t="s">
        <v>108</v>
      </c>
      <c r="F2159" s="59" t="s">
        <v>2349</v>
      </c>
      <c r="G2159" s="58" t="s">
        <v>2120</v>
      </c>
    </row>
    <row r="2160" spans="1:7">
      <c r="A2160" s="58" t="s">
        <v>2850</v>
      </c>
      <c r="B2160" s="58" t="s">
        <v>2545</v>
      </c>
      <c r="C2160" s="58" t="s">
        <v>543</v>
      </c>
      <c r="D2160" s="58" t="s">
        <v>2500</v>
      </c>
      <c r="E2160" s="59" t="s">
        <v>543</v>
      </c>
      <c r="F2160" s="59" t="s">
        <v>2349</v>
      </c>
      <c r="G2160" s="58" t="s">
        <v>2851</v>
      </c>
    </row>
    <row r="2161" spans="1:7">
      <c r="A2161" s="58" t="s">
        <v>2611</v>
      </c>
      <c r="B2161" s="58" t="s">
        <v>2545</v>
      </c>
      <c r="C2161" s="58" t="s">
        <v>2288</v>
      </c>
      <c r="D2161" s="58" t="s">
        <v>2500</v>
      </c>
      <c r="E2161" s="59" t="s">
        <v>2288</v>
      </c>
      <c r="F2161" s="59" t="s">
        <v>2349</v>
      </c>
      <c r="G2161" s="58" t="s">
        <v>2612</v>
      </c>
    </row>
    <row r="2162" spans="1:7" ht="17.25">
      <c r="A2162" s="76" t="s">
        <v>2946</v>
      </c>
      <c r="B2162" s="76"/>
      <c r="C2162" s="76"/>
      <c r="D2162" s="76"/>
      <c r="E2162" s="77"/>
      <c r="F2162" s="76"/>
      <c r="G2162" s="76"/>
    </row>
    <row r="2163" spans="1:7">
      <c r="A2163" s="58" t="s">
        <v>2546</v>
      </c>
      <c r="B2163" s="58" t="s">
        <v>2546</v>
      </c>
      <c r="C2163" s="58" t="s">
        <v>2135</v>
      </c>
      <c r="D2163" s="58" t="s">
        <v>2500</v>
      </c>
      <c r="E2163" s="59" t="s">
        <v>2355</v>
      </c>
      <c r="F2163" s="59" t="s">
        <v>2349</v>
      </c>
      <c r="G2163" s="58" t="s">
        <v>2614</v>
      </c>
    </row>
    <row r="2164" spans="1:7">
      <c r="A2164" s="58" t="s">
        <v>2615</v>
      </c>
      <c r="B2164" s="58" t="s">
        <v>2537</v>
      </c>
      <c r="C2164" s="58" t="s">
        <v>2616</v>
      </c>
      <c r="D2164" s="58" t="s">
        <v>2500</v>
      </c>
      <c r="E2164" s="59" t="s">
        <v>2288</v>
      </c>
      <c r="F2164" s="59" t="s">
        <v>2349</v>
      </c>
      <c r="G2164" s="58" t="s">
        <v>2617</v>
      </c>
    </row>
    <row r="2165" spans="1:7">
      <c r="A2165" s="58" t="s">
        <v>2618</v>
      </c>
      <c r="B2165" s="58" t="s">
        <v>2619</v>
      </c>
      <c r="C2165" s="58" t="s">
        <v>2135</v>
      </c>
      <c r="D2165" s="58" t="s">
        <v>2500</v>
      </c>
      <c r="E2165" s="59" t="s">
        <v>2355</v>
      </c>
      <c r="F2165" s="59" t="s">
        <v>2349</v>
      </c>
      <c r="G2165" s="58" t="s">
        <v>2120</v>
      </c>
    </row>
    <row r="2166" spans="1:7">
      <c r="A2166" s="58" t="s">
        <v>2620</v>
      </c>
      <c r="B2166" s="58" t="s">
        <v>2554</v>
      </c>
      <c r="C2166" s="58" t="s">
        <v>2288</v>
      </c>
      <c r="D2166" s="58" t="s">
        <v>2500</v>
      </c>
      <c r="E2166" s="59" t="s">
        <v>2288</v>
      </c>
      <c r="F2166" s="59" t="s">
        <v>2349</v>
      </c>
      <c r="G2166" s="58" t="s">
        <v>2621</v>
      </c>
    </row>
    <row r="2167" spans="1:7">
      <c r="A2167" s="58" t="s">
        <v>2622</v>
      </c>
      <c r="B2167" s="58" t="s">
        <v>2582</v>
      </c>
      <c r="C2167" s="58" t="s">
        <v>2135</v>
      </c>
      <c r="D2167" s="58" t="s">
        <v>2500</v>
      </c>
      <c r="E2167" s="59" t="s">
        <v>2355</v>
      </c>
      <c r="F2167" s="59" t="s">
        <v>2349</v>
      </c>
      <c r="G2167" s="58" t="s">
        <v>2120</v>
      </c>
    </row>
    <row r="2168" spans="1:7">
      <c r="A2168" s="58" t="s">
        <v>2853</v>
      </c>
      <c r="B2168" s="58" t="s">
        <v>2571</v>
      </c>
      <c r="C2168" s="58" t="s">
        <v>543</v>
      </c>
      <c r="D2168" s="58" t="s">
        <v>2500</v>
      </c>
      <c r="E2168" s="59" t="s">
        <v>543</v>
      </c>
      <c r="F2168" s="59" t="s">
        <v>2349</v>
      </c>
      <c r="G2168" s="58" t="s">
        <v>2854</v>
      </c>
    </row>
    <row r="2169" spans="1:7">
      <c r="A2169" s="58" t="s">
        <v>2623</v>
      </c>
      <c r="B2169" s="58" t="s">
        <v>2533</v>
      </c>
      <c r="C2169" s="58" t="s">
        <v>2288</v>
      </c>
      <c r="D2169" s="58" t="s">
        <v>2500</v>
      </c>
      <c r="E2169" s="59" t="s">
        <v>2288</v>
      </c>
      <c r="F2169" s="59" t="s">
        <v>2349</v>
      </c>
      <c r="G2169" s="58" t="s">
        <v>2624</v>
      </c>
    </row>
    <row r="2170" spans="1:7">
      <c r="A2170" s="58" t="s">
        <v>2855</v>
      </c>
      <c r="B2170" s="58" t="s">
        <v>2582</v>
      </c>
      <c r="C2170" s="58" t="s">
        <v>543</v>
      </c>
      <c r="D2170" s="58" t="s">
        <v>2500</v>
      </c>
      <c r="E2170" s="59" t="s">
        <v>543</v>
      </c>
      <c r="F2170" s="59" t="s">
        <v>2349</v>
      </c>
      <c r="G2170" s="58" t="s">
        <v>2856</v>
      </c>
    </row>
    <row r="2171" spans="1:7">
      <c r="A2171" s="58" t="s">
        <v>2625</v>
      </c>
      <c r="B2171" s="58" t="s">
        <v>2533</v>
      </c>
      <c r="C2171" s="58" t="s">
        <v>2288</v>
      </c>
      <c r="D2171" s="58" t="s">
        <v>2500</v>
      </c>
      <c r="E2171" s="59" t="s">
        <v>2288</v>
      </c>
      <c r="F2171" s="59" t="s">
        <v>2349</v>
      </c>
      <c r="G2171" s="58" t="s">
        <v>2120</v>
      </c>
    </row>
    <row r="2172" spans="1:7">
      <c r="A2172" s="58" t="s">
        <v>2626</v>
      </c>
      <c r="B2172" s="58" t="s">
        <v>2579</v>
      </c>
      <c r="C2172" s="58" t="s">
        <v>1201</v>
      </c>
      <c r="D2172" s="58" t="s">
        <v>2500</v>
      </c>
      <c r="E2172" s="59" t="s">
        <v>1201</v>
      </c>
      <c r="F2172" s="59" t="s">
        <v>2349</v>
      </c>
      <c r="G2172" s="58" t="s">
        <v>2627</v>
      </c>
    </row>
    <row r="2173" spans="1:7">
      <c r="A2173" s="58" t="s">
        <v>2628</v>
      </c>
      <c r="B2173" s="58" t="s">
        <v>2533</v>
      </c>
      <c r="C2173" s="58" t="s">
        <v>2629</v>
      </c>
      <c r="D2173" s="58" t="s">
        <v>2500</v>
      </c>
      <c r="E2173" s="59" t="s">
        <v>2629</v>
      </c>
      <c r="F2173" s="59" t="s">
        <v>2349</v>
      </c>
      <c r="G2173" s="58" t="s">
        <v>2630</v>
      </c>
    </row>
    <row r="2174" spans="1:7">
      <c r="A2174" s="58" t="s">
        <v>2631</v>
      </c>
      <c r="B2174" s="58" t="s">
        <v>2537</v>
      </c>
      <c r="C2174" s="58" t="s">
        <v>2135</v>
      </c>
      <c r="D2174" s="58" t="s">
        <v>2500</v>
      </c>
      <c r="E2174" s="59" t="s">
        <v>2355</v>
      </c>
      <c r="F2174" s="59" t="s">
        <v>2349</v>
      </c>
      <c r="G2174" s="58" t="s">
        <v>2632</v>
      </c>
    </row>
    <row r="2175" spans="1:7">
      <c r="A2175" s="58" t="s">
        <v>2633</v>
      </c>
      <c r="B2175" s="58" t="s">
        <v>2571</v>
      </c>
      <c r="C2175" s="58" t="s">
        <v>2135</v>
      </c>
      <c r="D2175" s="58" t="s">
        <v>2500</v>
      </c>
      <c r="E2175" s="59" t="s">
        <v>2355</v>
      </c>
      <c r="F2175" s="59" t="s">
        <v>2349</v>
      </c>
      <c r="G2175" s="58" t="s">
        <v>2632</v>
      </c>
    </row>
    <row r="2176" spans="1:7">
      <c r="A2176" s="58" t="s">
        <v>2634</v>
      </c>
      <c r="B2176" s="58" t="s">
        <v>2563</v>
      </c>
      <c r="C2176" s="58" t="s">
        <v>2288</v>
      </c>
      <c r="D2176" s="58" t="s">
        <v>2500</v>
      </c>
      <c r="E2176" s="59" t="s">
        <v>2288</v>
      </c>
      <c r="F2176" s="59" t="s">
        <v>2349</v>
      </c>
      <c r="G2176" s="58" t="s">
        <v>2635</v>
      </c>
    </row>
    <row r="2177" spans="1:7">
      <c r="A2177" s="58" t="s">
        <v>2857</v>
      </c>
      <c r="B2177" s="58" t="s">
        <v>2533</v>
      </c>
      <c r="C2177" s="58" t="s">
        <v>2858</v>
      </c>
      <c r="D2177" s="58" t="s">
        <v>2500</v>
      </c>
      <c r="E2177" s="59" t="s">
        <v>543</v>
      </c>
      <c r="F2177" s="59" t="s">
        <v>2349</v>
      </c>
      <c r="G2177" s="58" t="s">
        <v>2859</v>
      </c>
    </row>
    <row r="2178" spans="1:7">
      <c r="A2178" s="58" t="s">
        <v>2860</v>
      </c>
      <c r="B2178" s="58" t="s">
        <v>2591</v>
      </c>
      <c r="C2178" s="58" t="s">
        <v>2861</v>
      </c>
      <c r="D2178" s="58" t="s">
        <v>2500</v>
      </c>
      <c r="E2178" s="59" t="s">
        <v>543</v>
      </c>
      <c r="F2178" s="59" t="s">
        <v>2349</v>
      </c>
      <c r="G2178" s="58" t="s">
        <v>2862</v>
      </c>
    </row>
    <row r="2179" spans="1:7">
      <c r="A2179" s="58" t="s">
        <v>2863</v>
      </c>
      <c r="B2179" s="58" t="s">
        <v>2533</v>
      </c>
      <c r="C2179" s="58" t="s">
        <v>543</v>
      </c>
      <c r="D2179" s="58" t="s">
        <v>2500</v>
      </c>
      <c r="E2179" s="59" t="s">
        <v>543</v>
      </c>
      <c r="F2179" s="59" t="s">
        <v>2349</v>
      </c>
      <c r="G2179" s="58" t="s">
        <v>2864</v>
      </c>
    </row>
    <row r="2180" spans="1:7">
      <c r="A2180" s="58" t="s">
        <v>2636</v>
      </c>
      <c r="B2180" s="58" t="s">
        <v>2582</v>
      </c>
      <c r="C2180" s="58" t="s">
        <v>2135</v>
      </c>
      <c r="D2180" s="58" t="s">
        <v>2500</v>
      </c>
      <c r="E2180" s="59" t="s">
        <v>2355</v>
      </c>
      <c r="F2180" s="59" t="s">
        <v>2349</v>
      </c>
      <c r="G2180" s="58" t="s">
        <v>2120</v>
      </c>
    </row>
    <row r="2181" spans="1:7">
      <c r="A2181" s="58" t="s">
        <v>2637</v>
      </c>
      <c r="B2181" s="58" t="s">
        <v>2619</v>
      </c>
      <c r="C2181" s="58" t="s">
        <v>2338</v>
      </c>
      <c r="D2181" s="58" t="s">
        <v>2500</v>
      </c>
      <c r="E2181" s="59" t="s">
        <v>2379</v>
      </c>
      <c r="F2181" s="59" t="s">
        <v>2349</v>
      </c>
      <c r="G2181" s="58" t="s">
        <v>2120</v>
      </c>
    </row>
    <row r="2182" spans="1:7">
      <c r="A2182" s="58" t="s">
        <v>2638</v>
      </c>
      <c r="B2182" s="58" t="s">
        <v>2537</v>
      </c>
      <c r="C2182" s="58" t="s">
        <v>2338</v>
      </c>
      <c r="D2182" s="58" t="s">
        <v>2500</v>
      </c>
      <c r="E2182" s="59" t="s">
        <v>2379</v>
      </c>
      <c r="F2182" s="59" t="s">
        <v>2349</v>
      </c>
      <c r="G2182" s="58" t="s">
        <v>2639</v>
      </c>
    </row>
    <row r="2183" spans="1:7" ht="17.25">
      <c r="A2183" s="76" t="s">
        <v>2947</v>
      </c>
      <c r="B2183" s="76"/>
      <c r="C2183" s="76"/>
      <c r="D2183" s="76"/>
      <c r="E2183" s="77"/>
      <c r="F2183" s="76"/>
      <c r="G2183" s="76"/>
    </row>
    <row r="2184" spans="1:7">
      <c r="A2184" s="58" t="s">
        <v>2546</v>
      </c>
      <c r="B2184" s="58" t="s">
        <v>2546</v>
      </c>
      <c r="C2184" s="58" t="s">
        <v>2135</v>
      </c>
      <c r="D2184" s="58" t="s">
        <v>2500</v>
      </c>
      <c r="E2184" s="59" t="s">
        <v>2355</v>
      </c>
      <c r="F2184" s="59" t="s">
        <v>2349</v>
      </c>
      <c r="G2184" s="58" t="s">
        <v>2580</v>
      </c>
    </row>
    <row r="2185" spans="1:7">
      <c r="A2185" s="58" t="s">
        <v>2643</v>
      </c>
      <c r="B2185" s="58" t="s">
        <v>2579</v>
      </c>
      <c r="C2185" s="58" t="s">
        <v>2288</v>
      </c>
      <c r="D2185" s="58" t="s">
        <v>2500</v>
      </c>
      <c r="E2185" s="59" t="s">
        <v>2288</v>
      </c>
      <c r="F2185" s="59" t="s">
        <v>2349</v>
      </c>
      <c r="G2185" s="58" t="s">
        <v>2644</v>
      </c>
    </row>
    <row r="2186" spans="1:7">
      <c r="A2186" s="58" t="s">
        <v>2645</v>
      </c>
      <c r="B2186" s="58" t="s">
        <v>2537</v>
      </c>
      <c r="C2186" s="58" t="s">
        <v>2288</v>
      </c>
      <c r="D2186" s="58" t="s">
        <v>2500</v>
      </c>
      <c r="E2186" s="59" t="s">
        <v>2288</v>
      </c>
      <c r="F2186" s="59" t="s">
        <v>2349</v>
      </c>
      <c r="G2186" s="58" t="s">
        <v>2646</v>
      </c>
    </row>
    <row r="2187" spans="1:7">
      <c r="A2187" s="58" t="s">
        <v>2647</v>
      </c>
      <c r="B2187" s="58" t="s">
        <v>2591</v>
      </c>
      <c r="C2187" s="58" t="s">
        <v>2135</v>
      </c>
      <c r="D2187" s="58" t="s">
        <v>2500</v>
      </c>
      <c r="E2187" s="59" t="s">
        <v>2355</v>
      </c>
      <c r="F2187" s="59" t="s">
        <v>2349</v>
      </c>
      <c r="G2187" s="58" t="s">
        <v>2120</v>
      </c>
    </row>
    <row r="2188" spans="1:7">
      <c r="A2188" s="58" t="s">
        <v>2648</v>
      </c>
      <c r="B2188" s="58" t="s">
        <v>2591</v>
      </c>
      <c r="C2188" s="58" t="s">
        <v>2288</v>
      </c>
      <c r="D2188" s="58" t="s">
        <v>2500</v>
      </c>
      <c r="E2188" s="59" t="s">
        <v>2288</v>
      </c>
      <c r="F2188" s="59" t="s">
        <v>2349</v>
      </c>
      <c r="G2188" s="58" t="s">
        <v>2649</v>
      </c>
    </row>
    <row r="2189" spans="1:7">
      <c r="A2189" s="58" t="s">
        <v>2650</v>
      </c>
      <c r="B2189" s="58" t="s">
        <v>2571</v>
      </c>
      <c r="C2189" s="58" t="s">
        <v>2651</v>
      </c>
      <c r="D2189" s="58" t="s">
        <v>2500</v>
      </c>
      <c r="E2189" s="59" t="s">
        <v>2288</v>
      </c>
      <c r="F2189" s="59" t="s">
        <v>2349</v>
      </c>
      <c r="G2189" s="58" t="s">
        <v>2652</v>
      </c>
    </row>
    <row r="2190" spans="1:7">
      <c r="A2190" s="58" t="s">
        <v>2866</v>
      </c>
      <c r="B2190" s="58" t="s">
        <v>2591</v>
      </c>
      <c r="C2190" s="58" t="s">
        <v>543</v>
      </c>
      <c r="D2190" s="58" t="s">
        <v>2500</v>
      </c>
      <c r="E2190" s="59" t="s">
        <v>543</v>
      </c>
      <c r="F2190" s="59" t="s">
        <v>2349</v>
      </c>
      <c r="G2190" s="58" t="s">
        <v>2867</v>
      </c>
    </row>
    <row r="2191" spans="1:7">
      <c r="A2191" s="58" t="s">
        <v>2653</v>
      </c>
      <c r="B2191" s="58" t="s">
        <v>2533</v>
      </c>
      <c r="C2191" s="58" t="s">
        <v>2288</v>
      </c>
      <c r="D2191" s="58" t="s">
        <v>2500</v>
      </c>
      <c r="E2191" s="59" t="s">
        <v>2288</v>
      </c>
      <c r="F2191" s="59" t="s">
        <v>2349</v>
      </c>
      <c r="G2191" s="58" t="s">
        <v>2654</v>
      </c>
    </row>
    <row r="2192" spans="1:7">
      <c r="A2192" s="58" t="s">
        <v>2655</v>
      </c>
      <c r="B2192" s="58" t="s">
        <v>2571</v>
      </c>
      <c r="C2192" s="58" t="s">
        <v>2288</v>
      </c>
      <c r="D2192" s="58" t="s">
        <v>2500</v>
      </c>
      <c r="E2192" s="59" t="s">
        <v>2288</v>
      </c>
      <c r="F2192" s="59" t="s">
        <v>2349</v>
      </c>
      <c r="G2192" s="58" t="s">
        <v>2656</v>
      </c>
    </row>
    <row r="2193" spans="1:7">
      <c r="A2193" s="58" t="s">
        <v>2657</v>
      </c>
      <c r="B2193" s="58" t="s">
        <v>2533</v>
      </c>
      <c r="C2193" s="58" t="s">
        <v>2288</v>
      </c>
      <c r="D2193" s="58" t="s">
        <v>2500</v>
      </c>
      <c r="E2193" s="59" t="s">
        <v>2288</v>
      </c>
      <c r="F2193" s="59" t="s">
        <v>2349</v>
      </c>
      <c r="G2193" s="58" t="s">
        <v>2658</v>
      </c>
    </row>
    <row r="2194" spans="1:7">
      <c r="A2194" s="58" t="s">
        <v>2659</v>
      </c>
      <c r="B2194" s="58" t="s">
        <v>2559</v>
      </c>
      <c r="C2194" s="58" t="s">
        <v>2288</v>
      </c>
      <c r="D2194" s="58" t="s">
        <v>2500</v>
      </c>
      <c r="E2194" s="59" t="s">
        <v>2288</v>
      </c>
      <c r="F2194" s="59" t="s">
        <v>2349</v>
      </c>
      <c r="G2194" s="58" t="s">
        <v>2660</v>
      </c>
    </row>
    <row r="2195" spans="1:7">
      <c r="A2195" s="58" t="s">
        <v>2661</v>
      </c>
      <c r="B2195" s="58" t="s">
        <v>2559</v>
      </c>
      <c r="C2195" s="58" t="s">
        <v>2135</v>
      </c>
      <c r="D2195" s="58" t="s">
        <v>2500</v>
      </c>
      <c r="E2195" s="59" t="s">
        <v>2355</v>
      </c>
      <c r="F2195" s="59" t="s">
        <v>2349</v>
      </c>
      <c r="G2195" s="58" t="s">
        <v>2662</v>
      </c>
    </row>
    <row r="2196" spans="1:7">
      <c r="A2196" s="58" t="s">
        <v>2663</v>
      </c>
      <c r="B2196" s="58" t="s">
        <v>2559</v>
      </c>
      <c r="C2196" s="58" t="s">
        <v>2288</v>
      </c>
      <c r="D2196" s="58" t="s">
        <v>2500</v>
      </c>
      <c r="E2196" s="59" t="s">
        <v>2288</v>
      </c>
      <c r="F2196" s="59" t="s">
        <v>2349</v>
      </c>
      <c r="G2196" s="58" t="s">
        <v>2664</v>
      </c>
    </row>
    <row r="2197" spans="1:7">
      <c r="A2197" s="58" t="s">
        <v>2665</v>
      </c>
      <c r="B2197" s="58" t="s">
        <v>2563</v>
      </c>
      <c r="C2197" s="58" t="s">
        <v>2288</v>
      </c>
      <c r="D2197" s="58" t="s">
        <v>2500</v>
      </c>
      <c r="E2197" s="59" t="s">
        <v>2288</v>
      </c>
      <c r="F2197" s="59" t="s">
        <v>2349</v>
      </c>
      <c r="G2197" s="58" t="s">
        <v>2666</v>
      </c>
    </row>
    <row r="2198" spans="1:7">
      <c r="A2198" s="58" t="s">
        <v>2667</v>
      </c>
      <c r="B2198" s="58" t="s">
        <v>2571</v>
      </c>
      <c r="C2198" s="58" t="s">
        <v>2668</v>
      </c>
      <c r="D2198" s="58" t="s">
        <v>2500</v>
      </c>
      <c r="E2198" s="59" t="s">
        <v>2669</v>
      </c>
      <c r="F2198" s="59" t="s">
        <v>2349</v>
      </c>
      <c r="G2198" s="58" t="s">
        <v>2670</v>
      </c>
    </row>
    <row r="2199" spans="1:7">
      <c r="A2199" s="58" t="s">
        <v>2671</v>
      </c>
      <c r="B2199" s="58" t="s">
        <v>2591</v>
      </c>
      <c r="C2199" s="58" t="s">
        <v>2288</v>
      </c>
      <c r="D2199" s="58" t="s">
        <v>2500</v>
      </c>
      <c r="E2199" s="59" t="s">
        <v>2288</v>
      </c>
      <c r="F2199" s="59" t="s">
        <v>2349</v>
      </c>
      <c r="G2199" s="58" t="s">
        <v>2672</v>
      </c>
    </row>
    <row r="2200" spans="1:7">
      <c r="A2200" s="58" t="s">
        <v>2868</v>
      </c>
      <c r="B2200" s="58" t="s">
        <v>2563</v>
      </c>
      <c r="C2200" s="58" t="s">
        <v>543</v>
      </c>
      <c r="D2200" s="58" t="s">
        <v>2500</v>
      </c>
      <c r="E2200" s="59" t="s">
        <v>543</v>
      </c>
      <c r="F2200" s="59" t="s">
        <v>2349</v>
      </c>
      <c r="G2200" s="58" t="s">
        <v>2869</v>
      </c>
    </row>
    <row r="2201" spans="1:7">
      <c r="A2201" s="58" t="s">
        <v>2673</v>
      </c>
      <c r="B2201" s="58" t="s">
        <v>2537</v>
      </c>
      <c r="C2201" s="58" t="s">
        <v>2338</v>
      </c>
      <c r="D2201" s="58" t="s">
        <v>2500</v>
      </c>
      <c r="E2201" s="59" t="s">
        <v>2379</v>
      </c>
      <c r="F2201" s="59" t="s">
        <v>2349</v>
      </c>
      <c r="G2201" s="58" t="s">
        <v>2120</v>
      </c>
    </row>
    <row r="2202" spans="1:7">
      <c r="A2202" s="58" t="s">
        <v>2674</v>
      </c>
      <c r="B2202" s="58" t="s">
        <v>2533</v>
      </c>
      <c r="C2202" s="58" t="s">
        <v>1201</v>
      </c>
      <c r="D2202" s="58" t="s">
        <v>2500</v>
      </c>
      <c r="E2202" s="59" t="s">
        <v>1201</v>
      </c>
      <c r="F2202" s="59" t="s">
        <v>2349</v>
      </c>
      <c r="G2202" s="58" t="s">
        <v>2675</v>
      </c>
    </row>
    <row r="2203" spans="1:7" ht="17.25">
      <c r="A2203" s="76" t="s">
        <v>2948</v>
      </c>
      <c r="B2203" s="76"/>
      <c r="C2203" s="76"/>
      <c r="D2203" s="76"/>
      <c r="E2203" s="77"/>
      <c r="F2203" s="76"/>
      <c r="G2203" s="76"/>
    </row>
    <row r="2204" spans="1:7">
      <c r="A2204" s="58" t="s">
        <v>2546</v>
      </c>
      <c r="B2204" s="58" t="s">
        <v>2546</v>
      </c>
      <c r="C2204" s="58" t="s">
        <v>2135</v>
      </c>
      <c r="D2204" s="58" t="s">
        <v>2500</v>
      </c>
      <c r="E2204" s="59" t="s">
        <v>2355</v>
      </c>
      <c r="F2204" s="59" t="s">
        <v>2349</v>
      </c>
      <c r="G2204" s="58" t="s">
        <v>2580</v>
      </c>
    </row>
    <row r="2205" spans="1:7">
      <c r="A2205" s="58" t="s">
        <v>2677</v>
      </c>
      <c r="B2205" s="58" t="s">
        <v>2533</v>
      </c>
      <c r="C2205" s="58" t="s">
        <v>2288</v>
      </c>
      <c r="D2205" s="58" t="s">
        <v>2500</v>
      </c>
      <c r="E2205" s="59" t="s">
        <v>2288</v>
      </c>
      <c r="F2205" s="59" t="s">
        <v>2349</v>
      </c>
      <c r="G2205" s="58" t="s">
        <v>2678</v>
      </c>
    </row>
    <row r="2206" spans="1:7">
      <c r="A2206" s="58" t="s">
        <v>2871</v>
      </c>
      <c r="B2206" s="58" t="s">
        <v>2537</v>
      </c>
      <c r="C2206" s="58" t="s">
        <v>2872</v>
      </c>
      <c r="D2206" s="58" t="s">
        <v>2500</v>
      </c>
      <c r="E2206" s="59" t="s">
        <v>543</v>
      </c>
      <c r="F2206" s="59" t="s">
        <v>2349</v>
      </c>
      <c r="G2206" s="58" t="s">
        <v>2873</v>
      </c>
    </row>
    <row r="2207" spans="1:7">
      <c r="A2207" s="58" t="s">
        <v>2874</v>
      </c>
      <c r="B2207" s="58" t="s">
        <v>2554</v>
      </c>
      <c r="C2207" s="58" t="s">
        <v>543</v>
      </c>
      <c r="D2207" s="58" t="s">
        <v>2500</v>
      </c>
      <c r="E2207" s="59" t="s">
        <v>543</v>
      </c>
      <c r="F2207" s="59" t="s">
        <v>2349</v>
      </c>
      <c r="G2207" s="58" t="s">
        <v>2120</v>
      </c>
    </row>
    <row r="2208" spans="1:7">
      <c r="A2208" s="58" t="s">
        <v>2679</v>
      </c>
      <c r="B2208" s="58" t="s">
        <v>2537</v>
      </c>
      <c r="C2208" s="58" t="s">
        <v>2288</v>
      </c>
      <c r="D2208" s="58" t="s">
        <v>2500</v>
      </c>
      <c r="E2208" s="59" t="s">
        <v>2288</v>
      </c>
      <c r="F2208" s="59" t="s">
        <v>2349</v>
      </c>
      <c r="G2208" s="58" t="s">
        <v>2680</v>
      </c>
    </row>
    <row r="2209" spans="1:7">
      <c r="A2209" s="58" t="s">
        <v>2681</v>
      </c>
      <c r="B2209" s="58" t="s">
        <v>2563</v>
      </c>
      <c r="C2209" s="58" t="s">
        <v>108</v>
      </c>
      <c r="D2209" s="58" t="s">
        <v>2500</v>
      </c>
      <c r="E2209" s="59" t="s">
        <v>108</v>
      </c>
      <c r="F2209" s="59" t="s">
        <v>2349</v>
      </c>
      <c r="G2209" s="58" t="s">
        <v>2682</v>
      </c>
    </row>
    <row r="2210" spans="1:7">
      <c r="A2210" s="58" t="s">
        <v>2683</v>
      </c>
      <c r="B2210" s="58" t="s">
        <v>2537</v>
      </c>
      <c r="C2210" s="58" t="s">
        <v>2684</v>
      </c>
      <c r="D2210" s="58" t="s">
        <v>2500</v>
      </c>
      <c r="E2210" s="59" t="s">
        <v>2875</v>
      </c>
      <c r="F2210" s="59" t="s">
        <v>2349</v>
      </c>
      <c r="G2210" s="58" t="s">
        <v>2686</v>
      </c>
    </row>
    <row r="2211" spans="1:7">
      <c r="A2211" s="58" t="s">
        <v>2687</v>
      </c>
      <c r="B2211" s="58" t="s">
        <v>2554</v>
      </c>
      <c r="C2211" s="58" t="s">
        <v>2288</v>
      </c>
      <c r="D2211" s="58" t="s">
        <v>2500</v>
      </c>
      <c r="E2211" s="59" t="s">
        <v>2288</v>
      </c>
      <c r="F2211" s="59" t="s">
        <v>2349</v>
      </c>
      <c r="G2211" s="58" t="s">
        <v>2688</v>
      </c>
    </row>
    <row r="2212" spans="1:7">
      <c r="A2212" s="58" t="s">
        <v>2876</v>
      </c>
      <c r="B2212" s="58" t="s">
        <v>2554</v>
      </c>
      <c r="C2212" s="58" t="s">
        <v>2877</v>
      </c>
      <c r="D2212" s="58" t="s">
        <v>2500</v>
      </c>
      <c r="E2212" s="59" t="s">
        <v>543</v>
      </c>
      <c r="F2212" s="59" t="s">
        <v>2349</v>
      </c>
      <c r="G2212" s="58" t="s">
        <v>2878</v>
      </c>
    </row>
    <row r="2213" spans="1:7">
      <c r="A2213" s="58" t="s">
        <v>2689</v>
      </c>
      <c r="B2213" s="58" t="s">
        <v>2554</v>
      </c>
      <c r="C2213" s="58" t="s">
        <v>2288</v>
      </c>
      <c r="D2213" s="58" t="s">
        <v>2500</v>
      </c>
      <c r="E2213" s="59" t="s">
        <v>2288</v>
      </c>
      <c r="F2213" s="59" t="s">
        <v>2349</v>
      </c>
      <c r="G2213" s="58" t="s">
        <v>2690</v>
      </c>
    </row>
    <row r="2214" spans="1:7">
      <c r="A2214" s="58" t="s">
        <v>2879</v>
      </c>
      <c r="B2214" s="58" t="s">
        <v>2537</v>
      </c>
      <c r="C2214" s="58" t="s">
        <v>543</v>
      </c>
      <c r="D2214" s="58" t="s">
        <v>2500</v>
      </c>
      <c r="E2214" s="59" t="s">
        <v>543</v>
      </c>
      <c r="F2214" s="59" t="s">
        <v>2349</v>
      </c>
      <c r="G2214" s="58" t="s">
        <v>2880</v>
      </c>
    </row>
    <row r="2215" spans="1:7">
      <c r="A2215" s="58" t="s">
        <v>2691</v>
      </c>
      <c r="B2215" s="58" t="s">
        <v>2533</v>
      </c>
      <c r="C2215" s="58" t="s">
        <v>2135</v>
      </c>
      <c r="D2215" s="58" t="s">
        <v>2500</v>
      </c>
      <c r="E2215" s="59" t="s">
        <v>2355</v>
      </c>
      <c r="F2215" s="59" t="s">
        <v>2349</v>
      </c>
      <c r="G2215" s="58" t="s">
        <v>2692</v>
      </c>
    </row>
    <row r="2216" spans="1:7">
      <c r="A2216" s="58" t="s">
        <v>2881</v>
      </c>
      <c r="B2216" s="58" t="s">
        <v>2591</v>
      </c>
      <c r="C2216" s="58" t="s">
        <v>2882</v>
      </c>
      <c r="D2216" s="58" t="s">
        <v>2500</v>
      </c>
      <c r="E2216" s="59" t="s">
        <v>543</v>
      </c>
      <c r="F2216" s="59" t="s">
        <v>2349</v>
      </c>
      <c r="G2216" s="58" t="s">
        <v>2883</v>
      </c>
    </row>
    <row r="2217" spans="1:7">
      <c r="A2217" s="58" t="s">
        <v>2693</v>
      </c>
      <c r="B2217" s="58" t="s">
        <v>2533</v>
      </c>
      <c r="C2217" s="58" t="s">
        <v>2288</v>
      </c>
      <c r="D2217" s="58" t="s">
        <v>2500</v>
      </c>
      <c r="E2217" s="59" t="s">
        <v>2288</v>
      </c>
      <c r="F2217" s="59" t="s">
        <v>2349</v>
      </c>
      <c r="G2217" s="58" t="s">
        <v>2694</v>
      </c>
    </row>
    <row r="2218" spans="1:7">
      <c r="A2218" s="58" t="s">
        <v>2695</v>
      </c>
      <c r="B2218" s="58" t="s">
        <v>2591</v>
      </c>
      <c r="C2218" s="58" t="s">
        <v>2288</v>
      </c>
      <c r="D2218" s="58" t="s">
        <v>2500</v>
      </c>
      <c r="E2218" s="59" t="s">
        <v>2288</v>
      </c>
      <c r="F2218" s="59" t="s">
        <v>2349</v>
      </c>
      <c r="G2218" s="58" t="s">
        <v>2696</v>
      </c>
    </row>
    <row r="2219" spans="1:7">
      <c r="A2219" s="58" t="s">
        <v>2697</v>
      </c>
      <c r="B2219" s="58" t="s">
        <v>2582</v>
      </c>
      <c r="C2219" s="58" t="s">
        <v>2367</v>
      </c>
      <c r="D2219" s="58" t="s">
        <v>2500</v>
      </c>
      <c r="E2219" s="59" t="s">
        <v>2367</v>
      </c>
      <c r="F2219" s="59" t="s">
        <v>2349</v>
      </c>
      <c r="G2219" s="58" t="s">
        <v>2698</v>
      </c>
    </row>
    <row r="2220" spans="1:7">
      <c r="A2220" s="58" t="s">
        <v>2699</v>
      </c>
      <c r="B2220" s="58" t="s">
        <v>2571</v>
      </c>
      <c r="C2220" s="58" t="s">
        <v>2288</v>
      </c>
      <c r="D2220" s="58" t="s">
        <v>2500</v>
      </c>
      <c r="E2220" s="59" t="s">
        <v>2288</v>
      </c>
      <c r="F2220" s="59" t="s">
        <v>2349</v>
      </c>
      <c r="G2220" s="58" t="s">
        <v>2700</v>
      </c>
    </row>
    <row r="2221" spans="1:7">
      <c r="A2221" s="58" t="s">
        <v>2701</v>
      </c>
      <c r="B2221" s="58" t="s">
        <v>2559</v>
      </c>
      <c r="C2221" s="58" t="s">
        <v>2193</v>
      </c>
      <c r="D2221" s="58" t="s">
        <v>2500</v>
      </c>
      <c r="E2221" s="59" t="s">
        <v>2193</v>
      </c>
      <c r="F2221" s="59" t="s">
        <v>2349</v>
      </c>
      <c r="G2221" s="58" t="s">
        <v>2702</v>
      </c>
    </row>
    <row r="2222" spans="1:7">
      <c r="A2222" s="58" t="s">
        <v>2703</v>
      </c>
      <c r="B2222" s="58" t="s">
        <v>2554</v>
      </c>
      <c r="C2222" s="58" t="s">
        <v>2193</v>
      </c>
      <c r="D2222" s="58" t="s">
        <v>2500</v>
      </c>
      <c r="E2222" s="59" t="s">
        <v>2193</v>
      </c>
      <c r="F2222" s="59" t="s">
        <v>2349</v>
      </c>
      <c r="G2222" s="58" t="s">
        <v>2704</v>
      </c>
    </row>
    <row r="2223" spans="1:7">
      <c r="A2223" s="58" t="s">
        <v>2884</v>
      </c>
      <c r="B2223" s="58" t="s">
        <v>2591</v>
      </c>
      <c r="C2223" s="58" t="s">
        <v>543</v>
      </c>
      <c r="D2223" s="58" t="s">
        <v>2500</v>
      </c>
      <c r="E2223" s="59" t="s">
        <v>543</v>
      </c>
      <c r="F2223" s="59" t="s">
        <v>2349</v>
      </c>
      <c r="G2223" s="58" t="s">
        <v>2885</v>
      </c>
    </row>
    <row r="2224" spans="1:7">
      <c r="A2224" s="58" t="s">
        <v>2705</v>
      </c>
      <c r="B2224" s="58" t="s">
        <v>2554</v>
      </c>
      <c r="C2224" s="58" t="s">
        <v>2338</v>
      </c>
      <c r="D2224" s="58" t="s">
        <v>2500</v>
      </c>
      <c r="E2224" s="59" t="s">
        <v>2379</v>
      </c>
      <c r="F2224" s="59" t="s">
        <v>2349</v>
      </c>
      <c r="G2224" s="58" t="s">
        <v>2120</v>
      </c>
    </row>
    <row r="2225" spans="1:7">
      <c r="A2225" s="58" t="s">
        <v>2706</v>
      </c>
      <c r="B2225" s="58" t="s">
        <v>2591</v>
      </c>
      <c r="C2225" s="58" t="s">
        <v>108</v>
      </c>
      <c r="D2225" s="58" t="s">
        <v>2500</v>
      </c>
      <c r="E2225" s="59" t="s">
        <v>108</v>
      </c>
      <c r="F2225" s="59" t="s">
        <v>2349</v>
      </c>
      <c r="G2225" s="58" t="s">
        <v>2707</v>
      </c>
    </row>
    <row r="2226" spans="1:7" ht="17.25">
      <c r="A2226" s="76" t="s">
        <v>2949</v>
      </c>
      <c r="B2226" s="76"/>
      <c r="C2226" s="76"/>
      <c r="D2226" s="76"/>
      <c r="E2226" s="77"/>
      <c r="F2226" s="76"/>
      <c r="G2226" s="76"/>
    </row>
    <row r="2227" spans="1:7">
      <c r="A2227" s="58" t="s">
        <v>2546</v>
      </c>
      <c r="B2227" s="58" t="s">
        <v>2546</v>
      </c>
      <c r="C2227" s="58" t="s">
        <v>2135</v>
      </c>
      <c r="D2227" s="58" t="s">
        <v>2500</v>
      </c>
      <c r="E2227" s="59" t="s">
        <v>2355</v>
      </c>
      <c r="F2227" s="59" t="s">
        <v>2349</v>
      </c>
      <c r="G2227" s="58" t="s">
        <v>2580</v>
      </c>
    </row>
    <row r="2228" spans="1:7">
      <c r="A2228" s="58" t="s">
        <v>2709</v>
      </c>
      <c r="B2228" s="58" t="s">
        <v>2582</v>
      </c>
      <c r="C2228" s="58" t="s">
        <v>2710</v>
      </c>
      <c r="D2228" s="58" t="s">
        <v>2500</v>
      </c>
      <c r="E2228" s="59" t="s">
        <v>2669</v>
      </c>
      <c r="F2228" s="59" t="s">
        <v>2349</v>
      </c>
      <c r="G2228" s="58" t="s">
        <v>2120</v>
      </c>
    </row>
    <row r="2229" spans="1:7">
      <c r="A2229" s="58" t="s">
        <v>2711</v>
      </c>
      <c r="B2229" s="58" t="s">
        <v>2579</v>
      </c>
      <c r="C2229" s="58" t="s">
        <v>2288</v>
      </c>
      <c r="D2229" s="58" t="s">
        <v>2500</v>
      </c>
      <c r="E2229" s="59" t="s">
        <v>2288</v>
      </c>
      <c r="F2229" s="59" t="s">
        <v>2349</v>
      </c>
      <c r="G2229" s="58" t="s">
        <v>2712</v>
      </c>
    </row>
    <row r="2230" spans="1:7">
      <c r="A2230" s="58" t="s">
        <v>2788</v>
      </c>
      <c r="B2230" s="58" t="s">
        <v>2533</v>
      </c>
      <c r="C2230" s="58" t="s">
        <v>2789</v>
      </c>
      <c r="D2230" s="58" t="s">
        <v>2500</v>
      </c>
      <c r="E2230" s="59" t="s">
        <v>2790</v>
      </c>
      <c r="F2230" s="59" t="s">
        <v>2349</v>
      </c>
      <c r="G2230" s="58" t="s">
        <v>2791</v>
      </c>
    </row>
    <row r="2231" spans="1:7">
      <c r="A2231" s="58" t="s">
        <v>2713</v>
      </c>
      <c r="B2231" s="58" t="s">
        <v>2591</v>
      </c>
      <c r="C2231" s="58" t="s">
        <v>2288</v>
      </c>
      <c r="D2231" s="58" t="s">
        <v>2500</v>
      </c>
      <c r="E2231" s="59" t="s">
        <v>2288</v>
      </c>
      <c r="F2231" s="59" t="s">
        <v>2349</v>
      </c>
      <c r="G2231" s="58" t="s">
        <v>2714</v>
      </c>
    </row>
    <row r="2232" spans="1:7">
      <c r="A2232" s="58" t="s">
        <v>2715</v>
      </c>
      <c r="B2232" s="58" t="s">
        <v>2571</v>
      </c>
      <c r="C2232" s="58" t="s">
        <v>2288</v>
      </c>
      <c r="D2232" s="58" t="s">
        <v>2500</v>
      </c>
      <c r="E2232" s="59" t="s">
        <v>2288</v>
      </c>
      <c r="F2232" s="59" t="s">
        <v>2349</v>
      </c>
      <c r="G2232" s="58" t="s">
        <v>2716</v>
      </c>
    </row>
    <row r="2233" spans="1:7">
      <c r="A2233" s="58" t="s">
        <v>2717</v>
      </c>
      <c r="B2233" s="58" t="s">
        <v>2559</v>
      </c>
      <c r="C2233" s="58" t="s">
        <v>2288</v>
      </c>
      <c r="D2233" s="58" t="s">
        <v>2500</v>
      </c>
      <c r="E2233" s="59" t="s">
        <v>2288</v>
      </c>
      <c r="F2233" s="59" t="s">
        <v>2349</v>
      </c>
      <c r="G2233" s="58" t="s">
        <v>2718</v>
      </c>
    </row>
    <row r="2234" spans="1:7">
      <c r="A2234" s="58" t="s">
        <v>2719</v>
      </c>
      <c r="B2234" s="58" t="s">
        <v>2559</v>
      </c>
      <c r="C2234" s="58" t="s">
        <v>108</v>
      </c>
      <c r="D2234" s="58" t="s">
        <v>2500</v>
      </c>
      <c r="E2234" s="59" t="s">
        <v>108</v>
      </c>
      <c r="F2234" s="59" t="s">
        <v>2349</v>
      </c>
      <c r="G2234" s="58" t="s">
        <v>2720</v>
      </c>
    </row>
    <row r="2235" spans="1:7">
      <c r="A2235" s="58" t="s">
        <v>2721</v>
      </c>
      <c r="B2235" s="58" t="s">
        <v>2591</v>
      </c>
      <c r="C2235" s="58" t="s">
        <v>2288</v>
      </c>
      <c r="D2235" s="58" t="s">
        <v>2500</v>
      </c>
      <c r="E2235" s="59" t="s">
        <v>2288</v>
      </c>
      <c r="F2235" s="59" t="s">
        <v>2349</v>
      </c>
      <c r="G2235" s="58" t="s">
        <v>2716</v>
      </c>
    </row>
    <row r="2236" spans="1:7">
      <c r="A2236" s="58" t="s">
        <v>2725</v>
      </c>
      <c r="B2236" s="58" t="s">
        <v>2582</v>
      </c>
      <c r="C2236" s="58" t="s">
        <v>2193</v>
      </c>
      <c r="D2236" s="58" t="s">
        <v>2500</v>
      </c>
      <c r="E2236" s="59" t="s">
        <v>2193</v>
      </c>
      <c r="F2236" s="59" t="s">
        <v>2349</v>
      </c>
      <c r="G2236" s="58" t="s">
        <v>2120</v>
      </c>
    </row>
    <row r="2237" spans="1:7">
      <c r="A2237" s="58" t="s">
        <v>2726</v>
      </c>
      <c r="B2237" s="58" t="s">
        <v>2591</v>
      </c>
      <c r="C2237" s="58" t="s">
        <v>108</v>
      </c>
      <c r="D2237" s="58" t="s">
        <v>2500</v>
      </c>
      <c r="E2237" s="59" t="s">
        <v>108</v>
      </c>
      <c r="F2237" s="59" t="s">
        <v>2349</v>
      </c>
      <c r="G2237" s="58" t="s">
        <v>2727</v>
      </c>
    </row>
    <row r="2238" spans="1:7">
      <c r="A2238" s="58" t="s">
        <v>2728</v>
      </c>
      <c r="B2238" s="58" t="s">
        <v>2545</v>
      </c>
      <c r="C2238" s="58" t="s">
        <v>2288</v>
      </c>
      <c r="D2238" s="58" t="s">
        <v>2500</v>
      </c>
      <c r="E2238" s="59" t="s">
        <v>2288</v>
      </c>
      <c r="F2238" s="59" t="s">
        <v>2349</v>
      </c>
      <c r="G2238" s="58" t="s">
        <v>2729</v>
      </c>
    </row>
    <row r="2239" spans="1:7">
      <c r="A2239" s="58" t="s">
        <v>2887</v>
      </c>
      <c r="B2239" s="58" t="s">
        <v>2563</v>
      </c>
      <c r="C2239" s="58" t="s">
        <v>543</v>
      </c>
      <c r="D2239" s="58" t="s">
        <v>2500</v>
      </c>
      <c r="E2239" s="59" t="s">
        <v>543</v>
      </c>
      <c r="F2239" s="59" t="s">
        <v>2349</v>
      </c>
      <c r="G2239" s="58" t="s">
        <v>2888</v>
      </c>
    </row>
    <row r="2240" spans="1:7">
      <c r="A2240" s="58" t="s">
        <v>2730</v>
      </c>
      <c r="B2240" s="58" t="s">
        <v>2545</v>
      </c>
      <c r="C2240" s="58" t="s">
        <v>2731</v>
      </c>
      <c r="D2240" s="58" t="s">
        <v>2500</v>
      </c>
      <c r="E2240" s="59" t="s">
        <v>108</v>
      </c>
      <c r="F2240" s="59" t="s">
        <v>2349</v>
      </c>
      <c r="G2240" s="58" t="s">
        <v>2732</v>
      </c>
    </row>
    <row r="2241" spans="1:7">
      <c r="A2241" s="58" t="s">
        <v>2733</v>
      </c>
      <c r="B2241" s="58" t="s">
        <v>2591</v>
      </c>
      <c r="C2241" s="58" t="s">
        <v>2288</v>
      </c>
      <c r="D2241" s="58" t="s">
        <v>2500</v>
      </c>
      <c r="E2241" s="59" t="s">
        <v>2288</v>
      </c>
      <c r="F2241" s="59" t="s">
        <v>2349</v>
      </c>
      <c r="G2241" s="58" t="s">
        <v>2734</v>
      </c>
    </row>
    <row r="2242" spans="1:7" ht="17.25">
      <c r="A2242" s="76" t="s">
        <v>2950</v>
      </c>
      <c r="B2242" s="76"/>
      <c r="C2242" s="76"/>
      <c r="D2242" s="76"/>
      <c r="E2242" s="77"/>
      <c r="F2242" s="76"/>
      <c r="G2242" s="76"/>
    </row>
    <row r="2243" spans="1:7">
      <c r="A2243" s="58" t="s">
        <v>2546</v>
      </c>
      <c r="B2243" s="58" t="s">
        <v>2546</v>
      </c>
      <c r="C2243" s="58" t="s">
        <v>2135</v>
      </c>
      <c r="D2243" s="58" t="s">
        <v>2500</v>
      </c>
      <c r="E2243" s="59" t="s">
        <v>2355</v>
      </c>
      <c r="F2243" s="59" t="s">
        <v>2349</v>
      </c>
      <c r="G2243" s="58" t="s">
        <v>2580</v>
      </c>
    </row>
    <row r="2244" spans="1:7">
      <c r="A2244" s="58" t="s">
        <v>2736</v>
      </c>
      <c r="B2244" s="58" t="s">
        <v>2579</v>
      </c>
      <c r="C2244" s="58" t="s">
        <v>2737</v>
      </c>
      <c r="D2244" s="58" t="s">
        <v>2500</v>
      </c>
      <c r="E2244" s="59" t="s">
        <v>2288</v>
      </c>
      <c r="F2244" s="59" t="s">
        <v>2349</v>
      </c>
      <c r="G2244" s="58" t="s">
        <v>2739</v>
      </c>
    </row>
    <row r="2245" spans="1:7">
      <c r="A2245" s="58" t="s">
        <v>2740</v>
      </c>
      <c r="B2245" s="58" t="s">
        <v>2559</v>
      </c>
      <c r="C2245" s="58" t="s">
        <v>2741</v>
      </c>
      <c r="D2245" s="58" t="s">
        <v>2500</v>
      </c>
      <c r="E2245" s="59" t="s">
        <v>2504</v>
      </c>
      <c r="F2245" s="59" t="s">
        <v>2349</v>
      </c>
      <c r="G2245" s="58" t="s">
        <v>2742</v>
      </c>
    </row>
    <row r="2246" spans="1:7">
      <c r="A2246" s="58" t="s">
        <v>2743</v>
      </c>
      <c r="B2246" s="58" t="s">
        <v>2571</v>
      </c>
      <c r="C2246" s="58" t="s">
        <v>2744</v>
      </c>
      <c r="D2246" s="58" t="s">
        <v>2500</v>
      </c>
      <c r="E2246" s="59" t="s">
        <v>2288</v>
      </c>
      <c r="F2246" s="59" t="s">
        <v>2349</v>
      </c>
      <c r="G2246" s="58" t="s">
        <v>2745</v>
      </c>
    </row>
    <row r="2247" spans="1:7">
      <c r="A2247" s="58" t="s">
        <v>2746</v>
      </c>
      <c r="B2247" s="58" t="s">
        <v>2571</v>
      </c>
      <c r="C2247" s="58" t="s">
        <v>2744</v>
      </c>
      <c r="D2247" s="58" t="s">
        <v>2500</v>
      </c>
      <c r="E2247" s="59" t="s">
        <v>2288</v>
      </c>
      <c r="F2247" s="59" t="s">
        <v>2349</v>
      </c>
      <c r="G2247" s="58" t="s">
        <v>2745</v>
      </c>
    </row>
    <row r="2248" spans="1:7">
      <c r="A2248" s="58" t="s">
        <v>2747</v>
      </c>
      <c r="B2248" s="58" t="s">
        <v>2533</v>
      </c>
      <c r="C2248" s="58" t="s">
        <v>2288</v>
      </c>
      <c r="D2248" s="58" t="s">
        <v>2500</v>
      </c>
      <c r="E2248" s="59" t="s">
        <v>2288</v>
      </c>
      <c r="F2248" s="59" t="s">
        <v>2349</v>
      </c>
      <c r="G2248" s="58" t="s">
        <v>2748</v>
      </c>
    </row>
    <row r="2249" spans="1:7">
      <c r="A2249" s="58" t="s">
        <v>2749</v>
      </c>
      <c r="B2249" s="58" t="s">
        <v>2579</v>
      </c>
      <c r="C2249" s="58" t="s">
        <v>2288</v>
      </c>
      <c r="D2249" s="58" t="s">
        <v>2500</v>
      </c>
      <c r="E2249" s="59" t="s">
        <v>2288</v>
      </c>
      <c r="F2249" s="59" t="s">
        <v>2349</v>
      </c>
      <c r="G2249" s="58" t="s">
        <v>2750</v>
      </c>
    </row>
    <row r="2250" spans="1:7">
      <c r="A2250" s="58" t="s">
        <v>2751</v>
      </c>
      <c r="B2250" s="58" t="s">
        <v>2571</v>
      </c>
      <c r="C2250" s="58" t="s">
        <v>2288</v>
      </c>
      <c r="D2250" s="58" t="s">
        <v>2500</v>
      </c>
      <c r="E2250" s="59" t="s">
        <v>2288</v>
      </c>
      <c r="F2250" s="59" t="s">
        <v>2349</v>
      </c>
      <c r="G2250" s="58" t="s">
        <v>2752</v>
      </c>
    </row>
    <row r="2251" spans="1:7">
      <c r="A2251" s="58" t="s">
        <v>2753</v>
      </c>
      <c r="B2251" s="58" t="s">
        <v>2537</v>
      </c>
      <c r="C2251" s="58" t="s">
        <v>2288</v>
      </c>
      <c r="D2251" s="58" t="s">
        <v>2500</v>
      </c>
      <c r="E2251" s="59" t="s">
        <v>2288</v>
      </c>
      <c r="F2251" s="59" t="s">
        <v>2349</v>
      </c>
      <c r="G2251" s="58" t="s">
        <v>2754</v>
      </c>
    </row>
    <row r="2252" spans="1:7">
      <c r="A2252" s="58" t="s">
        <v>2755</v>
      </c>
      <c r="B2252" s="58" t="s">
        <v>2579</v>
      </c>
      <c r="C2252" s="58" t="s">
        <v>2288</v>
      </c>
      <c r="D2252" s="58" t="s">
        <v>2500</v>
      </c>
      <c r="E2252" s="59" t="s">
        <v>2288</v>
      </c>
      <c r="F2252" s="59" t="s">
        <v>2349</v>
      </c>
      <c r="G2252" s="58" t="s">
        <v>2756</v>
      </c>
    </row>
    <row r="2253" spans="1:7">
      <c r="A2253" s="58" t="s">
        <v>2757</v>
      </c>
      <c r="B2253" s="58" t="s">
        <v>2619</v>
      </c>
      <c r="C2253" s="58" t="s">
        <v>2288</v>
      </c>
      <c r="D2253" s="58" t="s">
        <v>2500</v>
      </c>
      <c r="E2253" s="59" t="s">
        <v>2288</v>
      </c>
      <c r="F2253" s="59" t="s">
        <v>2349</v>
      </c>
      <c r="G2253" s="58" t="s">
        <v>2758</v>
      </c>
    </row>
    <row r="2254" spans="1:7">
      <c r="A2254" s="58" t="s">
        <v>2759</v>
      </c>
      <c r="B2254" s="58" t="s">
        <v>2537</v>
      </c>
      <c r="C2254" s="58" t="s">
        <v>2288</v>
      </c>
      <c r="D2254" s="58" t="s">
        <v>2500</v>
      </c>
      <c r="E2254" s="59" t="s">
        <v>2288</v>
      </c>
      <c r="F2254" s="59" t="s">
        <v>2349</v>
      </c>
      <c r="G2254" s="58" t="s">
        <v>2760</v>
      </c>
    </row>
    <row r="2255" spans="1:7">
      <c r="A2255" s="58" t="s">
        <v>2761</v>
      </c>
      <c r="B2255" s="58" t="s">
        <v>2582</v>
      </c>
      <c r="C2255" s="58" t="s">
        <v>2762</v>
      </c>
      <c r="D2255" s="58" t="s">
        <v>2500</v>
      </c>
      <c r="E2255" s="59" t="s">
        <v>2504</v>
      </c>
      <c r="F2255" s="59" t="s">
        <v>2349</v>
      </c>
      <c r="G2255" s="58" t="s">
        <v>2763</v>
      </c>
    </row>
    <row r="2256" spans="1:7">
      <c r="A2256" s="58" t="s">
        <v>2764</v>
      </c>
      <c r="B2256" s="58" t="s">
        <v>2582</v>
      </c>
      <c r="C2256" s="58" t="s">
        <v>1201</v>
      </c>
      <c r="D2256" s="58" t="s">
        <v>2500</v>
      </c>
      <c r="E2256" s="59" t="s">
        <v>1201</v>
      </c>
      <c r="F2256" s="59" t="s">
        <v>2349</v>
      </c>
      <c r="G2256" s="58" t="s">
        <v>2120</v>
      </c>
    </row>
    <row r="2257" spans="1:7">
      <c r="A2257" s="58" t="s">
        <v>2765</v>
      </c>
      <c r="B2257" s="58" t="s">
        <v>2563</v>
      </c>
      <c r="C2257" s="58" t="s">
        <v>2288</v>
      </c>
      <c r="D2257" s="58" t="s">
        <v>2500</v>
      </c>
      <c r="E2257" s="59" t="s">
        <v>2288</v>
      </c>
      <c r="F2257" s="59" t="s">
        <v>2349</v>
      </c>
      <c r="G2257" s="58" t="s">
        <v>2712</v>
      </c>
    </row>
    <row r="2258" spans="1:7" ht="17.25">
      <c r="A2258" s="76" t="s">
        <v>2951</v>
      </c>
      <c r="B2258" s="76"/>
      <c r="C2258" s="76"/>
      <c r="D2258" s="76"/>
      <c r="E2258" s="77"/>
      <c r="F2258" s="76"/>
      <c r="G2258" s="76"/>
    </row>
    <row r="2259" spans="1:7">
      <c r="A2259" s="58" t="s">
        <v>2114</v>
      </c>
      <c r="B2259" s="58" t="s">
        <v>2115</v>
      </c>
      <c r="C2259" s="58" t="s">
        <v>1559</v>
      </c>
      <c r="D2259" s="58" t="s">
        <v>2500</v>
      </c>
      <c r="E2259" s="59" t="s">
        <v>2504</v>
      </c>
      <c r="F2259" s="59" t="s">
        <v>2349</v>
      </c>
      <c r="G2259" s="58" t="s">
        <v>2117</v>
      </c>
    </row>
    <row r="2260" spans="1:7">
      <c r="A2260" s="58" t="s">
        <v>2352</v>
      </c>
      <c r="B2260" s="58"/>
      <c r="C2260" s="58" t="s">
        <v>1201</v>
      </c>
      <c r="D2260" s="58" t="s">
        <v>2500</v>
      </c>
      <c r="E2260" s="59" t="s">
        <v>1201</v>
      </c>
      <c r="F2260" s="59" t="s">
        <v>2349</v>
      </c>
      <c r="G2260" s="58" t="s">
        <v>2120</v>
      </c>
    </row>
    <row r="2261" spans="1:7">
      <c r="A2261" s="58" t="s">
        <v>2118</v>
      </c>
      <c r="B2261" s="58"/>
      <c r="C2261" s="58" t="s">
        <v>2119</v>
      </c>
      <c r="D2261" s="58" t="s">
        <v>2500</v>
      </c>
      <c r="E2261" s="59" t="s">
        <v>2119</v>
      </c>
      <c r="F2261" s="59" t="s">
        <v>2349</v>
      </c>
      <c r="G2261" s="58" t="s">
        <v>2120</v>
      </c>
    </row>
    <row r="2262" spans="1:7">
      <c r="A2262" s="58" t="s">
        <v>2121</v>
      </c>
      <c r="B2262" s="58" t="s">
        <v>2122</v>
      </c>
      <c r="C2262" s="58" t="s">
        <v>108</v>
      </c>
      <c r="D2262" s="58" t="s">
        <v>2500</v>
      </c>
      <c r="E2262" s="59" t="s">
        <v>108</v>
      </c>
      <c r="F2262" s="59" t="s">
        <v>2349</v>
      </c>
      <c r="G2262" s="58" t="s">
        <v>2120</v>
      </c>
    </row>
    <row r="2263" spans="1:7">
      <c r="A2263" s="58" t="s">
        <v>2123</v>
      </c>
      <c r="B2263" s="58" t="s">
        <v>2124</v>
      </c>
      <c r="C2263" s="58" t="s">
        <v>108</v>
      </c>
      <c r="D2263" s="58" t="s">
        <v>2500</v>
      </c>
      <c r="E2263" s="59" t="s">
        <v>108</v>
      </c>
      <c r="F2263" s="59" t="s">
        <v>2349</v>
      </c>
      <c r="G2263" s="58" t="s">
        <v>2125</v>
      </c>
    </row>
    <row r="2264" spans="1:7">
      <c r="A2264" s="58" t="s">
        <v>2126</v>
      </c>
      <c r="B2264" s="58"/>
      <c r="C2264" s="58" t="s">
        <v>108</v>
      </c>
      <c r="D2264" s="58" t="s">
        <v>2500</v>
      </c>
      <c r="E2264" s="59" t="s">
        <v>108</v>
      </c>
      <c r="F2264" s="59" t="s">
        <v>2349</v>
      </c>
      <c r="G2264" s="58" t="s">
        <v>2120</v>
      </c>
    </row>
    <row r="2265" spans="1:7" ht="17.25">
      <c r="A2265" s="76" t="s">
        <v>2952</v>
      </c>
      <c r="B2265" s="76"/>
      <c r="C2265" s="76"/>
      <c r="D2265" s="76"/>
      <c r="E2265" s="77"/>
      <c r="F2265" s="76"/>
      <c r="G2265" s="76"/>
    </row>
    <row r="2266" spans="1:7">
      <c r="A2266" s="58" t="s">
        <v>2128</v>
      </c>
      <c r="B2266" s="58" t="s">
        <v>2129</v>
      </c>
      <c r="C2266" s="58" t="s">
        <v>108</v>
      </c>
      <c r="D2266" s="58" t="s">
        <v>2500</v>
      </c>
      <c r="E2266" s="59" t="s">
        <v>108</v>
      </c>
      <c r="F2266" s="59" t="s">
        <v>2349</v>
      </c>
      <c r="G2266" s="58" t="s">
        <v>2120</v>
      </c>
    </row>
    <row r="2267" spans="1:7">
      <c r="A2267" s="58" t="s">
        <v>2130</v>
      </c>
      <c r="B2267" s="58" t="s">
        <v>2131</v>
      </c>
      <c r="C2267" s="58" t="s">
        <v>108</v>
      </c>
      <c r="D2267" s="58" t="s">
        <v>2500</v>
      </c>
      <c r="E2267" s="59" t="s">
        <v>108</v>
      </c>
      <c r="F2267" s="59" t="s">
        <v>2349</v>
      </c>
      <c r="G2267" s="58" t="s">
        <v>2132</v>
      </c>
    </row>
    <row r="2268" spans="1:7">
      <c r="A2268" s="58" t="s">
        <v>2133</v>
      </c>
      <c r="B2268" s="58" t="s">
        <v>2131</v>
      </c>
      <c r="C2268" s="58" t="s">
        <v>108</v>
      </c>
      <c r="D2268" s="58" t="s">
        <v>2500</v>
      </c>
      <c r="E2268" s="59" t="s">
        <v>108</v>
      </c>
      <c r="F2268" s="59" t="s">
        <v>2349</v>
      </c>
      <c r="G2268" s="58" t="s">
        <v>2120</v>
      </c>
    </row>
    <row r="2269" spans="1:7">
      <c r="A2269" s="58" t="s">
        <v>2134</v>
      </c>
      <c r="B2269" s="58"/>
      <c r="C2269" s="58" t="s">
        <v>2135</v>
      </c>
      <c r="D2269" s="58" t="s">
        <v>2500</v>
      </c>
      <c r="E2269" s="59" t="s">
        <v>2953</v>
      </c>
      <c r="F2269" s="59" t="s">
        <v>2349</v>
      </c>
      <c r="G2269" s="58" t="s">
        <v>2137</v>
      </c>
    </row>
    <row r="2270" spans="1:7">
      <c r="A2270" s="58" t="s">
        <v>2138</v>
      </c>
      <c r="B2270" s="58" t="s">
        <v>2139</v>
      </c>
      <c r="C2270" s="58" t="s">
        <v>108</v>
      </c>
      <c r="D2270" s="58" t="s">
        <v>2500</v>
      </c>
      <c r="E2270" s="59" t="s">
        <v>108</v>
      </c>
      <c r="F2270" s="59" t="s">
        <v>2349</v>
      </c>
      <c r="G2270" s="58" t="s">
        <v>2140</v>
      </c>
    </row>
    <row r="2271" spans="1:7" ht="17.25">
      <c r="A2271" s="76" t="s">
        <v>2954</v>
      </c>
      <c r="B2271" s="76"/>
      <c r="C2271" s="76"/>
      <c r="D2271" s="76"/>
      <c r="E2271" s="77"/>
      <c r="F2271" s="76"/>
      <c r="G2271" s="76"/>
    </row>
    <row r="2272" spans="1:7">
      <c r="A2272" s="58" t="s">
        <v>2142</v>
      </c>
      <c r="B2272" s="58" t="s">
        <v>2143</v>
      </c>
      <c r="C2272" s="58" t="s">
        <v>108</v>
      </c>
      <c r="D2272" s="58" t="s">
        <v>2500</v>
      </c>
      <c r="E2272" s="59" t="s">
        <v>108</v>
      </c>
      <c r="F2272" s="59" t="s">
        <v>2349</v>
      </c>
      <c r="G2272" s="58" t="s">
        <v>2120</v>
      </c>
    </row>
    <row r="2273" spans="1:7">
      <c r="A2273" s="58" t="s">
        <v>2144</v>
      </c>
      <c r="B2273" s="58" t="s">
        <v>2143</v>
      </c>
      <c r="C2273" s="58" t="s">
        <v>2145</v>
      </c>
      <c r="D2273" s="58" t="s">
        <v>2500</v>
      </c>
      <c r="E2273" s="59" t="s">
        <v>108</v>
      </c>
      <c r="F2273" s="59" t="s">
        <v>2349</v>
      </c>
      <c r="G2273" s="58" t="s">
        <v>2120</v>
      </c>
    </row>
    <row r="2274" spans="1:7">
      <c r="A2274" s="58" t="s">
        <v>2146</v>
      </c>
      <c r="B2274" s="58" t="s">
        <v>2143</v>
      </c>
      <c r="C2274" s="58" t="s">
        <v>2147</v>
      </c>
      <c r="D2274" s="58" t="s">
        <v>2500</v>
      </c>
      <c r="E2274" s="59" t="s">
        <v>108</v>
      </c>
      <c r="F2274" s="59" t="s">
        <v>2349</v>
      </c>
      <c r="G2274" s="58" t="s">
        <v>2148</v>
      </c>
    </row>
    <row r="2275" spans="1:7">
      <c r="A2275" s="58" t="s">
        <v>2149</v>
      </c>
      <c r="B2275" s="58" t="s">
        <v>2143</v>
      </c>
      <c r="C2275" s="58" t="s">
        <v>108</v>
      </c>
      <c r="D2275" s="58" t="s">
        <v>2500</v>
      </c>
      <c r="E2275" s="59" t="s">
        <v>108</v>
      </c>
      <c r="F2275" s="59" t="s">
        <v>2349</v>
      </c>
      <c r="G2275" s="58" t="s">
        <v>2120</v>
      </c>
    </row>
    <row r="2276" spans="1:7" ht="17.25">
      <c r="A2276" s="76" t="s">
        <v>2955</v>
      </c>
      <c r="B2276" s="76"/>
      <c r="C2276" s="76"/>
      <c r="D2276" s="76"/>
      <c r="E2276" s="77"/>
      <c r="F2276" s="76"/>
      <c r="G2276" s="76"/>
    </row>
    <row r="2277" spans="1:7">
      <c r="A2277" s="58" t="s">
        <v>2151</v>
      </c>
      <c r="B2277" s="58" t="s">
        <v>2152</v>
      </c>
      <c r="C2277" s="58" t="s">
        <v>2153</v>
      </c>
      <c r="D2277" s="58" t="s">
        <v>2500</v>
      </c>
      <c r="E2277" s="59" t="s">
        <v>108</v>
      </c>
      <c r="F2277" s="59" t="s">
        <v>2349</v>
      </c>
      <c r="G2277" s="58" t="s">
        <v>2120</v>
      </c>
    </row>
    <row r="2278" spans="1:7">
      <c r="A2278" s="58" t="s">
        <v>2358</v>
      </c>
      <c r="B2278" s="58"/>
      <c r="C2278" s="58" t="s">
        <v>543</v>
      </c>
      <c r="D2278" s="58" t="s">
        <v>2500</v>
      </c>
      <c r="E2278" s="59" t="s">
        <v>543</v>
      </c>
      <c r="F2278" s="59" t="s">
        <v>2349</v>
      </c>
      <c r="G2278" s="58" t="s">
        <v>2359</v>
      </c>
    </row>
    <row r="2279" spans="1:7">
      <c r="A2279" s="58" t="s">
        <v>2360</v>
      </c>
      <c r="B2279" s="58" t="s">
        <v>2155</v>
      </c>
      <c r="C2279" s="58" t="s">
        <v>543</v>
      </c>
      <c r="D2279" s="58" t="s">
        <v>2500</v>
      </c>
      <c r="E2279" s="59" t="s">
        <v>543</v>
      </c>
      <c r="F2279" s="59" t="s">
        <v>2349</v>
      </c>
      <c r="G2279" s="58" t="s">
        <v>2361</v>
      </c>
    </row>
    <row r="2280" spans="1:7">
      <c r="A2280" s="58" t="s">
        <v>2154</v>
      </c>
      <c r="B2280" s="58" t="s">
        <v>2155</v>
      </c>
      <c r="C2280" s="58" t="s">
        <v>108</v>
      </c>
      <c r="D2280" s="58" t="s">
        <v>2500</v>
      </c>
      <c r="E2280" s="59" t="s">
        <v>108</v>
      </c>
      <c r="F2280" s="59" t="s">
        <v>2349</v>
      </c>
      <c r="G2280" s="58" t="s">
        <v>2120</v>
      </c>
    </row>
    <row r="2281" spans="1:7">
      <c r="A2281" s="58" t="s">
        <v>2156</v>
      </c>
      <c r="B2281" s="58" t="s">
        <v>2152</v>
      </c>
      <c r="C2281" s="58" t="s">
        <v>2157</v>
      </c>
      <c r="D2281" s="58" t="s">
        <v>2500</v>
      </c>
      <c r="E2281" s="59" t="s">
        <v>108</v>
      </c>
      <c r="F2281" s="59" t="s">
        <v>2349</v>
      </c>
      <c r="G2281" s="58" t="s">
        <v>2120</v>
      </c>
    </row>
    <row r="2282" spans="1:7">
      <c r="A2282" s="58" t="s">
        <v>2158</v>
      </c>
      <c r="B2282" s="58" t="s">
        <v>2155</v>
      </c>
      <c r="C2282" s="58" t="s">
        <v>2159</v>
      </c>
      <c r="D2282" s="58" t="s">
        <v>2500</v>
      </c>
      <c r="E2282" s="59" t="s">
        <v>2504</v>
      </c>
      <c r="F2282" s="59" t="s">
        <v>2349</v>
      </c>
      <c r="G2282" s="58" t="s">
        <v>2160</v>
      </c>
    </row>
    <row r="2283" spans="1:7">
      <c r="A2283" s="58" t="s">
        <v>2161</v>
      </c>
      <c r="B2283" s="58" t="s">
        <v>2162</v>
      </c>
      <c r="C2283" s="58" t="s">
        <v>108</v>
      </c>
      <c r="D2283" s="58" t="s">
        <v>2500</v>
      </c>
      <c r="E2283" s="59" t="s">
        <v>108</v>
      </c>
      <c r="F2283" s="59" t="s">
        <v>2349</v>
      </c>
      <c r="G2283" s="58" t="s">
        <v>2163</v>
      </c>
    </row>
    <row r="2284" spans="1:7">
      <c r="A2284" s="58" t="s">
        <v>2164</v>
      </c>
      <c r="B2284" s="58" t="s">
        <v>2162</v>
      </c>
      <c r="C2284" s="58" t="s">
        <v>108</v>
      </c>
      <c r="D2284" s="58" t="s">
        <v>2500</v>
      </c>
      <c r="E2284" s="59" t="s">
        <v>108</v>
      </c>
      <c r="F2284" s="59" t="s">
        <v>2349</v>
      </c>
      <c r="G2284" s="58" t="s">
        <v>2120</v>
      </c>
    </row>
    <row r="2285" spans="1:7" ht="17.25">
      <c r="A2285" s="76" t="s">
        <v>2956</v>
      </c>
      <c r="B2285" s="76"/>
      <c r="C2285" s="76"/>
      <c r="D2285" s="76"/>
      <c r="E2285" s="77"/>
      <c r="F2285" s="76"/>
      <c r="G2285" s="76"/>
    </row>
    <row r="2286" spans="1:7">
      <c r="A2286" s="58" t="s">
        <v>2166</v>
      </c>
      <c r="B2286" s="58" t="s">
        <v>2167</v>
      </c>
      <c r="C2286" s="58" t="s">
        <v>108</v>
      </c>
      <c r="D2286" s="58" t="s">
        <v>2500</v>
      </c>
      <c r="E2286" s="59" t="s">
        <v>108</v>
      </c>
      <c r="F2286" s="59" t="s">
        <v>2349</v>
      </c>
      <c r="G2286" s="58" t="s">
        <v>2168</v>
      </c>
    </row>
    <row r="2287" spans="1:7">
      <c r="A2287" s="58" t="s">
        <v>2169</v>
      </c>
      <c r="B2287" s="58" t="s">
        <v>2129</v>
      </c>
      <c r="C2287" s="58" t="s">
        <v>2170</v>
      </c>
      <c r="D2287" s="58" t="s">
        <v>2500</v>
      </c>
      <c r="E2287" s="59" t="s">
        <v>2953</v>
      </c>
      <c r="F2287" s="59" t="s">
        <v>2349</v>
      </c>
      <c r="G2287" s="58" t="s">
        <v>2120</v>
      </c>
    </row>
    <row r="2288" spans="1:7">
      <c r="A2288" s="58" t="s">
        <v>2171</v>
      </c>
      <c r="B2288" s="58" t="s">
        <v>2129</v>
      </c>
      <c r="C2288" s="58" t="s">
        <v>2135</v>
      </c>
      <c r="D2288" s="58" t="s">
        <v>2500</v>
      </c>
      <c r="E2288" s="59" t="s">
        <v>2953</v>
      </c>
      <c r="F2288" s="59" t="s">
        <v>2349</v>
      </c>
      <c r="G2288" s="58" t="s">
        <v>2120</v>
      </c>
    </row>
    <row r="2289" spans="1:7">
      <c r="A2289" s="58" t="s">
        <v>2172</v>
      </c>
      <c r="B2289" s="58" t="s">
        <v>2129</v>
      </c>
      <c r="C2289" s="58" t="s">
        <v>2135</v>
      </c>
      <c r="D2289" s="58" t="s">
        <v>2500</v>
      </c>
      <c r="E2289" s="59" t="s">
        <v>2953</v>
      </c>
      <c r="F2289" s="59" t="s">
        <v>2349</v>
      </c>
      <c r="G2289" s="58" t="s">
        <v>2120</v>
      </c>
    </row>
    <row r="2290" spans="1:7">
      <c r="A2290" s="58" t="s">
        <v>2173</v>
      </c>
      <c r="B2290" s="58" t="s">
        <v>2174</v>
      </c>
      <c r="C2290" s="58" t="s">
        <v>2135</v>
      </c>
      <c r="D2290" s="58" t="s">
        <v>2500</v>
      </c>
      <c r="E2290" s="59" t="s">
        <v>2953</v>
      </c>
      <c r="F2290" s="59" t="s">
        <v>2349</v>
      </c>
      <c r="G2290" s="58" t="s">
        <v>2120</v>
      </c>
    </row>
    <row r="2291" spans="1:7">
      <c r="A2291" s="58" t="s">
        <v>2175</v>
      </c>
      <c r="B2291" s="58"/>
      <c r="C2291" s="58" t="s">
        <v>2135</v>
      </c>
      <c r="D2291" s="58" t="s">
        <v>2500</v>
      </c>
      <c r="E2291" s="59" t="s">
        <v>2953</v>
      </c>
      <c r="F2291" s="59" t="s">
        <v>2349</v>
      </c>
      <c r="G2291" s="58" t="s">
        <v>2120</v>
      </c>
    </row>
    <row r="2292" spans="1:7">
      <c r="A2292" s="58" t="s">
        <v>2176</v>
      </c>
      <c r="B2292" s="58"/>
      <c r="C2292" s="58" t="s">
        <v>2135</v>
      </c>
      <c r="D2292" s="58" t="s">
        <v>2500</v>
      </c>
      <c r="E2292" s="59" t="s">
        <v>2953</v>
      </c>
      <c r="F2292" s="59" t="s">
        <v>2349</v>
      </c>
      <c r="G2292" s="58" t="s">
        <v>2120</v>
      </c>
    </row>
    <row r="2293" spans="1:7">
      <c r="A2293" s="58" t="s">
        <v>2177</v>
      </c>
      <c r="B2293" s="58"/>
      <c r="C2293" s="58" t="s">
        <v>2135</v>
      </c>
      <c r="D2293" s="58" t="s">
        <v>2500</v>
      </c>
      <c r="E2293" s="59" t="s">
        <v>2953</v>
      </c>
      <c r="F2293" s="59" t="s">
        <v>2349</v>
      </c>
      <c r="G2293" s="58" t="s">
        <v>2120</v>
      </c>
    </row>
    <row r="2294" spans="1:7" ht="17.25">
      <c r="A2294" s="76" t="s">
        <v>2957</v>
      </c>
      <c r="B2294" s="76"/>
      <c r="C2294" s="76"/>
      <c r="D2294" s="76"/>
      <c r="E2294" s="77"/>
      <c r="F2294" s="76"/>
      <c r="G2294" s="76"/>
    </row>
    <row r="2295" spans="1:7">
      <c r="A2295" s="58" t="s">
        <v>2179</v>
      </c>
      <c r="B2295" s="58" t="s">
        <v>2180</v>
      </c>
      <c r="C2295" s="58" t="s">
        <v>108</v>
      </c>
      <c r="D2295" s="58" t="s">
        <v>2500</v>
      </c>
      <c r="E2295" s="59" t="s">
        <v>108</v>
      </c>
      <c r="F2295" s="59" t="s">
        <v>2349</v>
      </c>
      <c r="G2295" s="58" t="s">
        <v>2120</v>
      </c>
    </row>
    <row r="2296" spans="1:7">
      <c r="A2296" s="58" t="s">
        <v>2181</v>
      </c>
      <c r="B2296" s="58" t="s">
        <v>2182</v>
      </c>
      <c r="C2296" s="58" t="s">
        <v>108</v>
      </c>
      <c r="D2296" s="58" t="s">
        <v>2500</v>
      </c>
      <c r="E2296" s="59" t="s">
        <v>108</v>
      </c>
      <c r="F2296" s="59" t="s">
        <v>2349</v>
      </c>
      <c r="G2296" s="58" t="s">
        <v>2120</v>
      </c>
    </row>
    <row r="2297" spans="1:7">
      <c r="A2297" s="58" t="s">
        <v>2183</v>
      </c>
      <c r="B2297" s="58" t="s">
        <v>2182</v>
      </c>
      <c r="C2297" s="58" t="s">
        <v>2184</v>
      </c>
      <c r="D2297" s="58" t="s">
        <v>2500</v>
      </c>
      <c r="E2297" s="59" t="s">
        <v>108</v>
      </c>
      <c r="F2297" s="59" t="s">
        <v>2349</v>
      </c>
      <c r="G2297" s="58" t="s">
        <v>2185</v>
      </c>
    </row>
    <row r="2298" spans="1:7">
      <c r="A2298" s="58" t="s">
        <v>2186</v>
      </c>
      <c r="B2298" s="58" t="s">
        <v>2187</v>
      </c>
      <c r="C2298" s="58" t="s">
        <v>108</v>
      </c>
      <c r="D2298" s="58" t="s">
        <v>2500</v>
      </c>
      <c r="E2298" s="59" t="s">
        <v>108</v>
      </c>
      <c r="F2298" s="59" t="s">
        <v>2349</v>
      </c>
      <c r="G2298" s="58" t="s">
        <v>2120</v>
      </c>
    </row>
    <row r="2299" spans="1:7">
      <c r="A2299" s="58" t="s">
        <v>2188</v>
      </c>
      <c r="B2299" s="58"/>
      <c r="C2299" s="58" t="s">
        <v>2189</v>
      </c>
      <c r="D2299" s="58" t="s">
        <v>2500</v>
      </c>
      <c r="E2299" s="59" t="s">
        <v>108</v>
      </c>
      <c r="F2299" s="59" t="s">
        <v>2349</v>
      </c>
      <c r="G2299" s="58" t="s">
        <v>2120</v>
      </c>
    </row>
    <row r="2300" spans="1:7">
      <c r="A2300" s="58" t="s">
        <v>2190</v>
      </c>
      <c r="B2300" s="58"/>
      <c r="C2300" s="58" t="s">
        <v>2135</v>
      </c>
      <c r="D2300" s="58" t="s">
        <v>2500</v>
      </c>
      <c r="E2300" s="59" t="s">
        <v>2953</v>
      </c>
      <c r="F2300" s="59" t="s">
        <v>2349</v>
      </c>
      <c r="G2300" s="58" t="s">
        <v>2120</v>
      </c>
    </row>
    <row r="2301" spans="1:7">
      <c r="A2301" s="58" t="s">
        <v>2191</v>
      </c>
      <c r="B2301" s="58"/>
      <c r="C2301" s="58" t="s">
        <v>2135</v>
      </c>
      <c r="D2301" s="58" t="s">
        <v>2500</v>
      </c>
      <c r="E2301" s="59" t="s">
        <v>2953</v>
      </c>
      <c r="F2301" s="59" t="s">
        <v>2349</v>
      </c>
      <c r="G2301" s="58" t="s">
        <v>2120</v>
      </c>
    </row>
    <row r="2302" spans="1:7">
      <c r="A2302" s="58" t="s">
        <v>2192</v>
      </c>
      <c r="B2302" s="58" t="s">
        <v>2182</v>
      </c>
      <c r="C2302" s="58" t="s">
        <v>2193</v>
      </c>
      <c r="D2302" s="58" t="s">
        <v>2500</v>
      </c>
      <c r="E2302" s="59" t="s">
        <v>2193</v>
      </c>
      <c r="F2302" s="59" t="s">
        <v>2349</v>
      </c>
      <c r="G2302" s="58" t="s">
        <v>2120</v>
      </c>
    </row>
    <row r="2303" spans="1:7">
      <c r="A2303" s="58" t="s">
        <v>2194</v>
      </c>
      <c r="B2303" s="58" t="s">
        <v>2187</v>
      </c>
      <c r="C2303" s="58" t="s">
        <v>108</v>
      </c>
      <c r="D2303" s="58" t="s">
        <v>2500</v>
      </c>
      <c r="E2303" s="59" t="s">
        <v>108</v>
      </c>
      <c r="F2303" s="59" t="s">
        <v>2349</v>
      </c>
      <c r="G2303" s="58" t="s">
        <v>2120</v>
      </c>
    </row>
    <row r="2304" spans="1:7">
      <c r="A2304" s="58" t="s">
        <v>2364</v>
      </c>
      <c r="B2304" s="58"/>
      <c r="C2304" s="58" t="s">
        <v>543</v>
      </c>
      <c r="D2304" s="58" t="s">
        <v>2500</v>
      </c>
      <c r="E2304" s="59" t="s">
        <v>543</v>
      </c>
      <c r="F2304" s="59" t="s">
        <v>2349</v>
      </c>
      <c r="G2304" s="58" t="s">
        <v>2365</v>
      </c>
    </row>
    <row r="2305" spans="1:7" ht="17.25">
      <c r="A2305" s="76" t="s">
        <v>2958</v>
      </c>
      <c r="B2305" s="76"/>
      <c r="C2305" s="76"/>
      <c r="D2305" s="76"/>
      <c r="E2305" s="77"/>
      <c r="F2305" s="76"/>
      <c r="G2305" s="76"/>
    </row>
    <row r="2306" spans="1:7">
      <c r="A2306" s="58" t="s">
        <v>2196</v>
      </c>
      <c r="B2306" s="58"/>
      <c r="C2306" s="58" t="s">
        <v>2193</v>
      </c>
      <c r="D2306" s="58" t="s">
        <v>2500</v>
      </c>
      <c r="E2306" s="59" t="s">
        <v>2193</v>
      </c>
      <c r="F2306" s="59" t="s">
        <v>2349</v>
      </c>
      <c r="G2306" s="58" t="s">
        <v>2120</v>
      </c>
    </row>
    <row r="2307" spans="1:7">
      <c r="A2307" s="58" t="s">
        <v>2197</v>
      </c>
      <c r="B2307" s="58"/>
      <c r="C2307" s="58" t="s">
        <v>2193</v>
      </c>
      <c r="D2307" s="58" t="s">
        <v>2500</v>
      </c>
      <c r="E2307" s="59" t="s">
        <v>2193</v>
      </c>
      <c r="F2307" s="59" t="s">
        <v>2349</v>
      </c>
      <c r="G2307" s="58" t="s">
        <v>2120</v>
      </c>
    </row>
    <row r="2308" spans="1:7">
      <c r="A2308" s="58" t="s">
        <v>2198</v>
      </c>
      <c r="B2308" s="58"/>
      <c r="C2308" s="58" t="s">
        <v>2199</v>
      </c>
      <c r="D2308" s="58" t="s">
        <v>2500</v>
      </c>
      <c r="E2308" s="59" t="s">
        <v>2199</v>
      </c>
      <c r="F2308" s="59" t="s">
        <v>2349</v>
      </c>
      <c r="G2308" s="58" t="s">
        <v>2120</v>
      </c>
    </row>
    <row r="2309" spans="1:7">
      <c r="A2309" s="58" t="s">
        <v>2200</v>
      </c>
      <c r="B2309" s="58" t="s">
        <v>2182</v>
      </c>
      <c r="C2309" s="58" t="s">
        <v>108</v>
      </c>
      <c r="D2309" s="58" t="s">
        <v>2500</v>
      </c>
      <c r="E2309" s="59" t="s">
        <v>108</v>
      </c>
      <c r="F2309" s="59" t="s">
        <v>2349</v>
      </c>
      <c r="G2309" s="58" t="s">
        <v>2120</v>
      </c>
    </row>
    <row r="2310" spans="1:7">
      <c r="A2310" s="58" t="s">
        <v>2201</v>
      </c>
      <c r="B2310" s="58" t="s">
        <v>2182</v>
      </c>
      <c r="C2310" s="58" t="s">
        <v>108</v>
      </c>
      <c r="D2310" s="58" t="s">
        <v>2500</v>
      </c>
      <c r="E2310" s="59" t="s">
        <v>108</v>
      </c>
      <c r="F2310" s="59" t="s">
        <v>2349</v>
      </c>
      <c r="G2310" s="58" t="s">
        <v>2120</v>
      </c>
    </row>
    <row r="2311" spans="1:7">
      <c r="A2311" s="58" t="s">
        <v>2202</v>
      </c>
      <c r="B2311" s="58" t="s">
        <v>2174</v>
      </c>
      <c r="C2311" s="58" t="s">
        <v>108</v>
      </c>
      <c r="D2311" s="58" t="s">
        <v>2500</v>
      </c>
      <c r="E2311" s="59" t="s">
        <v>108</v>
      </c>
      <c r="F2311" s="59" t="s">
        <v>2349</v>
      </c>
      <c r="G2311" s="58" t="s">
        <v>2120</v>
      </c>
    </row>
    <row r="2312" spans="1:7">
      <c r="A2312" s="58" t="s">
        <v>2203</v>
      </c>
      <c r="B2312" s="58" t="s">
        <v>2204</v>
      </c>
      <c r="C2312" s="58" t="s">
        <v>2193</v>
      </c>
      <c r="D2312" s="58" t="s">
        <v>2500</v>
      </c>
      <c r="E2312" s="59" t="s">
        <v>2193</v>
      </c>
      <c r="F2312" s="59" t="s">
        <v>2349</v>
      </c>
      <c r="G2312" s="58" t="s">
        <v>2120</v>
      </c>
    </row>
    <row r="2313" spans="1:7">
      <c r="A2313" s="58" t="s">
        <v>2205</v>
      </c>
      <c r="B2313" s="58" t="s">
        <v>2204</v>
      </c>
      <c r="C2313" s="58" t="s">
        <v>2193</v>
      </c>
      <c r="D2313" s="58" t="s">
        <v>2500</v>
      </c>
      <c r="E2313" s="59" t="s">
        <v>2193</v>
      </c>
      <c r="F2313" s="59" t="s">
        <v>2349</v>
      </c>
      <c r="G2313" s="58" t="s">
        <v>2120</v>
      </c>
    </row>
    <row r="2314" spans="1:7">
      <c r="A2314" s="58" t="s">
        <v>2206</v>
      </c>
      <c r="B2314" s="58"/>
      <c r="C2314" s="58" t="s">
        <v>2135</v>
      </c>
      <c r="D2314" s="58" t="s">
        <v>2500</v>
      </c>
      <c r="E2314" s="59" t="s">
        <v>2953</v>
      </c>
      <c r="F2314" s="59" t="s">
        <v>2349</v>
      </c>
      <c r="G2314" s="58" t="s">
        <v>2120</v>
      </c>
    </row>
    <row r="2315" spans="1:7">
      <c r="A2315" s="58" t="s">
        <v>2207</v>
      </c>
      <c r="B2315" s="58" t="s">
        <v>2204</v>
      </c>
      <c r="C2315" s="58" t="s">
        <v>108</v>
      </c>
      <c r="D2315" s="58" t="s">
        <v>2500</v>
      </c>
      <c r="E2315" s="59" t="s">
        <v>108</v>
      </c>
      <c r="F2315" s="59" t="s">
        <v>2349</v>
      </c>
      <c r="G2315" s="58" t="s">
        <v>2208</v>
      </c>
    </row>
    <row r="2316" spans="1:7" ht="17.25">
      <c r="A2316" s="76" t="s">
        <v>2959</v>
      </c>
      <c r="B2316" s="76"/>
      <c r="C2316" s="76"/>
      <c r="D2316" s="76"/>
      <c r="E2316" s="77"/>
      <c r="F2316" s="76"/>
      <c r="G2316" s="76"/>
    </row>
    <row r="2317" spans="1:7">
      <c r="A2317" s="58" t="s">
        <v>2210</v>
      </c>
      <c r="B2317" s="58" t="s">
        <v>2211</v>
      </c>
      <c r="C2317" s="58" t="s">
        <v>108</v>
      </c>
      <c r="D2317" s="58" t="s">
        <v>2500</v>
      </c>
      <c r="E2317" s="59" t="s">
        <v>108</v>
      </c>
      <c r="F2317" s="59" t="s">
        <v>2349</v>
      </c>
      <c r="G2317" s="58" t="s">
        <v>2120</v>
      </c>
    </row>
    <row r="2318" spans="1:7">
      <c r="A2318" s="58" t="s">
        <v>2212</v>
      </c>
      <c r="B2318" s="58" t="s">
        <v>2213</v>
      </c>
      <c r="C2318" s="58" t="s">
        <v>108</v>
      </c>
      <c r="D2318" s="58" t="s">
        <v>2500</v>
      </c>
      <c r="E2318" s="59" t="s">
        <v>108</v>
      </c>
      <c r="F2318" s="59" t="s">
        <v>2349</v>
      </c>
      <c r="G2318" s="58" t="s">
        <v>2120</v>
      </c>
    </row>
    <row r="2319" spans="1:7">
      <c r="A2319" s="58" t="s">
        <v>2214</v>
      </c>
      <c r="B2319" s="58" t="s">
        <v>2213</v>
      </c>
      <c r="C2319" s="58" t="s">
        <v>108</v>
      </c>
      <c r="D2319" s="58" t="s">
        <v>2500</v>
      </c>
      <c r="E2319" s="59" t="s">
        <v>108</v>
      </c>
      <c r="F2319" s="59" t="s">
        <v>2349</v>
      </c>
      <c r="G2319" s="58" t="s">
        <v>2120</v>
      </c>
    </row>
    <row r="2320" spans="1:7" ht="17.25">
      <c r="A2320" s="76" t="s">
        <v>2960</v>
      </c>
      <c r="B2320" s="76"/>
      <c r="C2320" s="76"/>
      <c r="D2320" s="76"/>
      <c r="E2320" s="77"/>
      <c r="F2320" s="76"/>
      <c r="G2320" s="76"/>
    </row>
    <row r="2321" spans="1:7">
      <c r="A2321" s="58" t="s">
        <v>2370</v>
      </c>
      <c r="B2321" s="58" t="s">
        <v>2223</v>
      </c>
      <c r="C2321" s="58" t="s">
        <v>543</v>
      </c>
      <c r="D2321" s="58" t="s">
        <v>2500</v>
      </c>
      <c r="E2321" s="59" t="s">
        <v>543</v>
      </c>
      <c r="F2321" s="59" t="s">
        <v>2349</v>
      </c>
      <c r="G2321" s="58" t="s">
        <v>2371</v>
      </c>
    </row>
    <row r="2322" spans="1:7">
      <c r="A2322" s="58" t="s">
        <v>2372</v>
      </c>
      <c r="B2322" s="58" t="s">
        <v>2220</v>
      </c>
      <c r="C2322" s="58" t="s">
        <v>2373</v>
      </c>
      <c r="D2322" s="58" t="s">
        <v>2500</v>
      </c>
      <c r="E2322" s="59" t="s">
        <v>543</v>
      </c>
      <c r="F2322" s="59" t="s">
        <v>2349</v>
      </c>
      <c r="G2322" s="58" t="s">
        <v>2374</v>
      </c>
    </row>
    <row r="2323" spans="1:7">
      <c r="A2323" s="58" t="s">
        <v>2216</v>
      </c>
      <c r="B2323" s="58" t="s">
        <v>2217</v>
      </c>
      <c r="C2323" s="58" t="s">
        <v>2193</v>
      </c>
      <c r="D2323" s="58" t="s">
        <v>2500</v>
      </c>
      <c r="E2323" s="59" t="s">
        <v>2193</v>
      </c>
      <c r="F2323" s="59" t="s">
        <v>2349</v>
      </c>
      <c r="G2323" s="58" t="s">
        <v>2218</v>
      </c>
    </row>
    <row r="2324" spans="1:7">
      <c r="A2324" s="58" t="s">
        <v>2219</v>
      </c>
      <c r="B2324" s="58" t="s">
        <v>2220</v>
      </c>
      <c r="C2324" s="58" t="s">
        <v>108</v>
      </c>
      <c r="D2324" s="58" t="s">
        <v>2500</v>
      </c>
      <c r="E2324" s="59" t="s">
        <v>108</v>
      </c>
      <c r="F2324" s="59" t="s">
        <v>2349</v>
      </c>
      <c r="G2324" s="58" t="s">
        <v>2221</v>
      </c>
    </row>
    <row r="2325" spans="1:7">
      <c r="A2325" s="58" t="s">
        <v>2222</v>
      </c>
      <c r="B2325" s="58" t="s">
        <v>2223</v>
      </c>
      <c r="C2325" s="58" t="s">
        <v>108</v>
      </c>
      <c r="D2325" s="58" t="s">
        <v>2500</v>
      </c>
      <c r="E2325" s="59" t="s">
        <v>108</v>
      </c>
      <c r="F2325" s="59" t="s">
        <v>2349</v>
      </c>
      <c r="G2325" s="58" t="s">
        <v>2224</v>
      </c>
    </row>
    <row r="2326" spans="1:7">
      <c r="A2326" s="58" t="s">
        <v>2225</v>
      </c>
      <c r="B2326" s="58" t="s">
        <v>2226</v>
      </c>
      <c r="C2326" s="58" t="s">
        <v>108</v>
      </c>
      <c r="D2326" s="58" t="s">
        <v>2500</v>
      </c>
      <c r="E2326" s="59" t="s">
        <v>108</v>
      </c>
      <c r="F2326" s="59" t="s">
        <v>2349</v>
      </c>
      <c r="G2326" s="58" t="s">
        <v>2227</v>
      </c>
    </row>
    <row r="2327" spans="1:7">
      <c r="A2327" s="58" t="s">
        <v>2228</v>
      </c>
      <c r="B2327" s="58"/>
      <c r="C2327" s="58" t="s">
        <v>2135</v>
      </c>
      <c r="D2327" s="58" t="s">
        <v>2500</v>
      </c>
      <c r="E2327" s="59" t="s">
        <v>2953</v>
      </c>
      <c r="F2327" s="59" t="s">
        <v>2349</v>
      </c>
      <c r="G2327" s="58" t="s">
        <v>2120</v>
      </c>
    </row>
    <row r="2328" spans="1:7" ht="17.25">
      <c r="A2328" s="76" t="s">
        <v>2961</v>
      </c>
      <c r="B2328" s="76"/>
      <c r="C2328" s="76"/>
      <c r="D2328" s="76"/>
      <c r="E2328" s="77"/>
      <c r="F2328" s="76"/>
      <c r="G2328" s="76"/>
    </row>
    <row r="2329" spans="1:7">
      <c r="A2329" s="58" t="s">
        <v>2376</v>
      </c>
      <c r="B2329" s="58" t="s">
        <v>2237</v>
      </c>
      <c r="C2329" s="58" t="s">
        <v>543</v>
      </c>
      <c r="D2329" s="58" t="s">
        <v>2500</v>
      </c>
      <c r="E2329" s="59" t="s">
        <v>543</v>
      </c>
      <c r="F2329" s="59" t="s">
        <v>2349</v>
      </c>
      <c r="G2329" s="58" t="s">
        <v>2120</v>
      </c>
    </row>
    <row r="2330" spans="1:7">
      <c r="A2330" s="58" t="s">
        <v>2230</v>
      </c>
      <c r="B2330" s="58" t="s">
        <v>2220</v>
      </c>
      <c r="C2330" s="58" t="s">
        <v>108</v>
      </c>
      <c r="D2330" s="58" t="s">
        <v>2500</v>
      </c>
      <c r="E2330" s="59" t="s">
        <v>108</v>
      </c>
      <c r="F2330" s="59" t="s">
        <v>2349</v>
      </c>
      <c r="G2330" s="58" t="s">
        <v>2231</v>
      </c>
    </row>
    <row r="2331" spans="1:7">
      <c r="A2331" s="58" t="s">
        <v>2232</v>
      </c>
      <c r="B2331" s="58" t="s">
        <v>2220</v>
      </c>
      <c r="C2331" s="58" t="s">
        <v>108</v>
      </c>
      <c r="D2331" s="58" t="s">
        <v>2500</v>
      </c>
      <c r="E2331" s="59" t="s">
        <v>108</v>
      </c>
      <c r="F2331" s="59" t="s">
        <v>2349</v>
      </c>
      <c r="G2331" s="58" t="s">
        <v>2120</v>
      </c>
    </row>
    <row r="2332" spans="1:7">
      <c r="A2332" s="58" t="s">
        <v>2233</v>
      </c>
      <c r="B2332" s="58" t="s">
        <v>2234</v>
      </c>
      <c r="C2332" s="58" t="s">
        <v>108</v>
      </c>
      <c r="D2332" s="58" t="s">
        <v>2500</v>
      </c>
      <c r="E2332" s="59" t="s">
        <v>108</v>
      </c>
      <c r="F2332" s="59" t="s">
        <v>2349</v>
      </c>
      <c r="G2332" s="58" t="s">
        <v>2235</v>
      </c>
    </row>
    <row r="2333" spans="1:7">
      <c r="A2333" s="58" t="s">
        <v>2236</v>
      </c>
      <c r="B2333" s="58" t="s">
        <v>2237</v>
      </c>
      <c r="C2333" s="58" t="s">
        <v>108</v>
      </c>
      <c r="D2333" s="58" t="s">
        <v>2500</v>
      </c>
      <c r="E2333" s="59" t="s">
        <v>108</v>
      </c>
      <c r="F2333" s="59" t="s">
        <v>2349</v>
      </c>
      <c r="G2333" s="58" t="s">
        <v>2231</v>
      </c>
    </row>
    <row r="2334" spans="1:7">
      <c r="A2334" s="58" t="s">
        <v>2238</v>
      </c>
      <c r="B2334" s="58" t="s">
        <v>2237</v>
      </c>
      <c r="C2334" s="58" t="s">
        <v>108</v>
      </c>
      <c r="D2334" s="58" t="s">
        <v>2500</v>
      </c>
      <c r="E2334" s="59" t="s">
        <v>108</v>
      </c>
      <c r="F2334" s="59" t="s">
        <v>2349</v>
      </c>
      <c r="G2334" s="58" t="s">
        <v>2239</v>
      </c>
    </row>
    <row r="2335" spans="1:7">
      <c r="A2335" s="58" t="s">
        <v>2240</v>
      </c>
      <c r="B2335" s="58" t="s">
        <v>2241</v>
      </c>
      <c r="C2335" s="58" t="s">
        <v>2193</v>
      </c>
      <c r="D2335" s="58" t="s">
        <v>2500</v>
      </c>
      <c r="E2335" s="59" t="s">
        <v>2193</v>
      </c>
      <c r="F2335" s="59" t="s">
        <v>2349</v>
      </c>
      <c r="G2335" s="58" t="s">
        <v>2120</v>
      </c>
    </row>
    <row r="2336" spans="1:7">
      <c r="A2336" s="58" t="s">
        <v>2242</v>
      </c>
      <c r="B2336" s="58" t="s">
        <v>2220</v>
      </c>
      <c r="C2336" s="58" t="s">
        <v>2243</v>
      </c>
      <c r="D2336" s="58" t="s">
        <v>2500</v>
      </c>
      <c r="E2336" s="59" t="s">
        <v>2962</v>
      </c>
      <c r="F2336" s="59" t="s">
        <v>2349</v>
      </c>
      <c r="G2336" s="58" t="s">
        <v>2244</v>
      </c>
    </row>
    <row r="2337" spans="1:7">
      <c r="A2337" s="58" t="s">
        <v>2245</v>
      </c>
      <c r="B2337" s="58" t="s">
        <v>2241</v>
      </c>
      <c r="C2337" s="58" t="s">
        <v>2246</v>
      </c>
      <c r="D2337" s="58" t="s">
        <v>2500</v>
      </c>
      <c r="E2337" s="59" t="s">
        <v>108</v>
      </c>
      <c r="F2337" s="59" t="s">
        <v>2349</v>
      </c>
      <c r="G2337" s="58" t="s">
        <v>2120</v>
      </c>
    </row>
    <row r="2338" spans="1:7">
      <c r="A2338" s="58" t="s">
        <v>2378</v>
      </c>
      <c r="B2338" s="58"/>
      <c r="C2338" s="58" t="s">
        <v>543</v>
      </c>
      <c r="D2338" s="58" t="s">
        <v>2500</v>
      </c>
      <c r="E2338" s="59" t="s">
        <v>543</v>
      </c>
      <c r="F2338" s="59" t="s">
        <v>2349</v>
      </c>
      <c r="G2338" s="58" t="s">
        <v>2336</v>
      </c>
    </row>
    <row r="2339" spans="1:7">
      <c r="A2339" s="58" t="s">
        <v>2247</v>
      </c>
      <c r="B2339" s="58" t="s">
        <v>2248</v>
      </c>
      <c r="C2339" s="58" t="s">
        <v>108</v>
      </c>
      <c r="D2339" s="58" t="s">
        <v>2500</v>
      </c>
      <c r="E2339" s="59" t="s">
        <v>108</v>
      </c>
      <c r="F2339" s="59" t="s">
        <v>2349</v>
      </c>
      <c r="G2339" s="58" t="s">
        <v>2249</v>
      </c>
    </row>
    <row r="2340" spans="1:7">
      <c r="A2340" s="58" t="s">
        <v>2337</v>
      </c>
      <c r="B2340" s="58" t="s">
        <v>2248</v>
      </c>
      <c r="C2340" s="58" t="s">
        <v>2338</v>
      </c>
      <c r="D2340" s="58" t="s">
        <v>2500</v>
      </c>
      <c r="E2340" s="59" t="s">
        <v>2379</v>
      </c>
      <c r="F2340" s="59" t="s">
        <v>2349</v>
      </c>
      <c r="G2340" s="58" t="s">
        <v>2120</v>
      </c>
    </row>
    <row r="2341" spans="1:7" ht="17.25">
      <c r="A2341" s="76" t="s">
        <v>2963</v>
      </c>
      <c r="B2341" s="76"/>
      <c r="C2341" s="76"/>
      <c r="D2341" s="76"/>
      <c r="E2341" s="77"/>
      <c r="F2341" s="76"/>
      <c r="G2341" s="76"/>
    </row>
    <row r="2342" spans="1:7">
      <c r="A2342" s="58" t="s">
        <v>2381</v>
      </c>
      <c r="B2342" s="58"/>
      <c r="C2342" s="58" t="s">
        <v>543</v>
      </c>
      <c r="D2342" s="58" t="s">
        <v>2500</v>
      </c>
      <c r="E2342" s="59" t="s">
        <v>543</v>
      </c>
      <c r="F2342" s="59" t="s">
        <v>2349</v>
      </c>
      <c r="G2342" s="58" t="s">
        <v>2120</v>
      </c>
    </row>
    <row r="2343" spans="1:7">
      <c r="A2343" s="58" t="s">
        <v>2251</v>
      </c>
      <c r="B2343" s="58" t="s">
        <v>2252</v>
      </c>
      <c r="C2343" s="58" t="s">
        <v>108</v>
      </c>
      <c r="D2343" s="58" t="s">
        <v>2500</v>
      </c>
      <c r="E2343" s="59" t="s">
        <v>108</v>
      </c>
      <c r="F2343" s="59" t="s">
        <v>2349</v>
      </c>
      <c r="G2343" s="58" t="s">
        <v>2120</v>
      </c>
    </row>
    <row r="2344" spans="1:7">
      <c r="A2344" s="58" t="s">
        <v>2253</v>
      </c>
      <c r="B2344" s="58" t="s">
        <v>2252</v>
      </c>
      <c r="C2344" s="58" t="s">
        <v>2193</v>
      </c>
      <c r="D2344" s="58" t="s">
        <v>2500</v>
      </c>
      <c r="E2344" s="59" t="s">
        <v>2193</v>
      </c>
      <c r="F2344" s="59" t="s">
        <v>2349</v>
      </c>
      <c r="G2344" s="58" t="s">
        <v>2254</v>
      </c>
    </row>
    <row r="2345" spans="1:7">
      <c r="A2345" s="58" t="s">
        <v>2255</v>
      </c>
      <c r="B2345" s="58" t="s">
        <v>2256</v>
      </c>
      <c r="C2345" s="58" t="s">
        <v>2257</v>
      </c>
      <c r="D2345" s="58" t="s">
        <v>2500</v>
      </c>
      <c r="E2345" s="59" t="s">
        <v>108</v>
      </c>
      <c r="F2345" s="59" t="s">
        <v>2349</v>
      </c>
      <c r="G2345" s="58" t="s">
        <v>2120</v>
      </c>
    </row>
    <row r="2346" spans="1:7">
      <c r="A2346" s="58" t="s">
        <v>2258</v>
      </c>
      <c r="B2346" s="58" t="s">
        <v>2259</v>
      </c>
      <c r="C2346" s="58" t="s">
        <v>2260</v>
      </c>
      <c r="D2346" s="58" t="s">
        <v>2500</v>
      </c>
      <c r="E2346" s="59" t="s">
        <v>2964</v>
      </c>
      <c r="F2346" s="59" t="s">
        <v>2349</v>
      </c>
      <c r="G2346" s="58" t="s">
        <v>2261</v>
      </c>
    </row>
    <row r="2347" spans="1:7">
      <c r="A2347" s="58" t="s">
        <v>2262</v>
      </c>
      <c r="B2347" s="58" t="s">
        <v>2259</v>
      </c>
      <c r="C2347" s="58" t="s">
        <v>2147</v>
      </c>
      <c r="D2347" s="58" t="s">
        <v>2500</v>
      </c>
      <c r="E2347" s="59" t="s">
        <v>108</v>
      </c>
      <c r="F2347" s="59" t="s">
        <v>2349</v>
      </c>
      <c r="G2347" s="58" t="s">
        <v>2263</v>
      </c>
    </row>
    <row r="2348" spans="1:7">
      <c r="A2348" s="58" t="s">
        <v>2264</v>
      </c>
      <c r="B2348" s="58" t="s">
        <v>2252</v>
      </c>
      <c r="C2348" s="58" t="s">
        <v>2265</v>
      </c>
      <c r="D2348" s="58" t="s">
        <v>2500</v>
      </c>
      <c r="E2348" s="59" t="s">
        <v>108</v>
      </c>
      <c r="F2348" s="59" t="s">
        <v>2349</v>
      </c>
      <c r="G2348" s="58" t="s">
        <v>2120</v>
      </c>
    </row>
    <row r="2349" spans="1:7">
      <c r="A2349" s="58" t="s">
        <v>2266</v>
      </c>
      <c r="B2349" s="58" t="s">
        <v>2252</v>
      </c>
      <c r="C2349" s="58" t="s">
        <v>2267</v>
      </c>
      <c r="D2349" s="58" t="s">
        <v>2500</v>
      </c>
      <c r="E2349" s="59" t="s">
        <v>108</v>
      </c>
      <c r="F2349" s="59" t="s">
        <v>2349</v>
      </c>
      <c r="G2349" s="58" t="s">
        <v>2268</v>
      </c>
    </row>
    <row r="2350" spans="1:7">
      <c r="A2350" s="58" t="s">
        <v>2269</v>
      </c>
      <c r="B2350" s="58" t="s">
        <v>2252</v>
      </c>
      <c r="C2350" s="58" t="s">
        <v>2270</v>
      </c>
      <c r="D2350" s="58" t="s">
        <v>2500</v>
      </c>
      <c r="E2350" s="59" t="s">
        <v>108</v>
      </c>
      <c r="F2350" s="59" t="s">
        <v>2349</v>
      </c>
      <c r="G2350" s="58" t="s">
        <v>2120</v>
      </c>
    </row>
    <row r="2351" spans="1:7" ht="17.25">
      <c r="A2351" s="76" t="s">
        <v>2965</v>
      </c>
      <c r="B2351" s="76"/>
      <c r="C2351" s="76"/>
      <c r="D2351" s="76"/>
      <c r="E2351" s="77"/>
      <c r="F2351" s="76"/>
      <c r="G2351" s="76"/>
    </row>
    <row r="2352" spans="1:7">
      <c r="A2352" s="58" t="s">
        <v>2272</v>
      </c>
      <c r="B2352" s="58" t="s">
        <v>2273</v>
      </c>
      <c r="C2352" s="58" t="s">
        <v>2274</v>
      </c>
      <c r="D2352" s="58" t="s">
        <v>2500</v>
      </c>
      <c r="E2352" s="59" t="s">
        <v>2504</v>
      </c>
      <c r="F2352" s="59" t="s">
        <v>2349</v>
      </c>
      <c r="G2352" s="58" t="s">
        <v>2275</v>
      </c>
    </row>
    <row r="2353" spans="1:7">
      <c r="A2353" s="58" t="s">
        <v>2276</v>
      </c>
      <c r="B2353" s="58" t="s">
        <v>2248</v>
      </c>
      <c r="C2353" s="58" t="s">
        <v>2277</v>
      </c>
      <c r="D2353" s="58" t="s">
        <v>2500</v>
      </c>
      <c r="E2353" s="59" t="s">
        <v>108</v>
      </c>
      <c r="F2353" s="59" t="s">
        <v>2349</v>
      </c>
      <c r="G2353" s="58" t="s">
        <v>2278</v>
      </c>
    </row>
    <row r="2354" spans="1:7">
      <c r="A2354" s="58" t="s">
        <v>2279</v>
      </c>
      <c r="B2354" s="58" t="s">
        <v>2280</v>
      </c>
      <c r="C2354" s="58" t="s">
        <v>2281</v>
      </c>
      <c r="D2354" s="58" t="s">
        <v>2500</v>
      </c>
      <c r="E2354" s="59" t="s">
        <v>108</v>
      </c>
      <c r="F2354" s="59" t="s">
        <v>2349</v>
      </c>
      <c r="G2354" s="58" t="s">
        <v>2282</v>
      </c>
    </row>
    <row r="2355" spans="1:7">
      <c r="A2355" s="58" t="s">
        <v>2283</v>
      </c>
      <c r="B2355" s="58" t="s">
        <v>2273</v>
      </c>
      <c r="C2355" s="58" t="s">
        <v>108</v>
      </c>
      <c r="D2355" s="58" t="s">
        <v>2500</v>
      </c>
      <c r="E2355" s="59" t="s">
        <v>108</v>
      </c>
      <c r="F2355" s="59" t="s">
        <v>2349</v>
      </c>
      <c r="G2355" s="58" t="s">
        <v>2284</v>
      </c>
    </row>
    <row r="2356" spans="1:7">
      <c r="A2356" s="58" t="s">
        <v>2285</v>
      </c>
      <c r="B2356" s="58"/>
      <c r="C2356" s="58" t="s">
        <v>2135</v>
      </c>
      <c r="D2356" s="58" t="s">
        <v>2500</v>
      </c>
      <c r="E2356" s="59" t="s">
        <v>2953</v>
      </c>
      <c r="F2356" s="59" t="s">
        <v>2349</v>
      </c>
      <c r="G2356" s="58" t="s">
        <v>2120</v>
      </c>
    </row>
    <row r="2357" spans="1:7">
      <c r="A2357" s="58" t="s">
        <v>2286</v>
      </c>
      <c r="B2357" s="58"/>
      <c r="C2357" s="58" t="s">
        <v>108</v>
      </c>
      <c r="D2357" s="58" t="s">
        <v>2500</v>
      </c>
      <c r="E2357" s="59" t="s">
        <v>108</v>
      </c>
      <c r="F2357" s="59" t="s">
        <v>2349</v>
      </c>
      <c r="G2357" s="58" t="s">
        <v>2120</v>
      </c>
    </row>
    <row r="2358" spans="1:7">
      <c r="A2358" s="58" t="s">
        <v>2287</v>
      </c>
      <c r="B2358" s="58" t="s">
        <v>2273</v>
      </c>
      <c r="C2358" s="58" t="s">
        <v>2288</v>
      </c>
      <c r="D2358" s="58" t="s">
        <v>2500</v>
      </c>
      <c r="E2358" s="59" t="s">
        <v>2288</v>
      </c>
      <c r="F2358" s="59" t="s">
        <v>2349</v>
      </c>
      <c r="G2358" s="58" t="s">
        <v>2289</v>
      </c>
    </row>
    <row r="2359" spans="1:7" ht="17.25">
      <c r="A2359" s="76" t="s">
        <v>2966</v>
      </c>
      <c r="B2359" s="76"/>
      <c r="C2359" s="76"/>
      <c r="D2359" s="76"/>
      <c r="E2359" s="77"/>
      <c r="F2359" s="76"/>
      <c r="G2359" s="76"/>
    </row>
    <row r="2360" spans="1:7">
      <c r="A2360" s="58" t="s">
        <v>2291</v>
      </c>
      <c r="B2360" s="58"/>
      <c r="C2360" s="58" t="s">
        <v>2135</v>
      </c>
      <c r="D2360" s="58" t="s">
        <v>2500</v>
      </c>
      <c r="E2360" s="59" t="s">
        <v>2953</v>
      </c>
      <c r="F2360" s="59" t="s">
        <v>2349</v>
      </c>
      <c r="G2360" s="58" t="s">
        <v>2292</v>
      </c>
    </row>
    <row r="2361" spans="1:7">
      <c r="A2361" s="58" t="s">
        <v>2293</v>
      </c>
      <c r="B2361" s="58" t="s">
        <v>2294</v>
      </c>
      <c r="C2361" s="58" t="s">
        <v>2295</v>
      </c>
      <c r="D2361" s="58" t="s">
        <v>2500</v>
      </c>
      <c r="E2361" s="59" t="s">
        <v>108</v>
      </c>
      <c r="F2361" s="59" t="s">
        <v>2349</v>
      </c>
      <c r="G2361" s="58" t="s">
        <v>2296</v>
      </c>
    </row>
    <row r="2362" spans="1:7">
      <c r="A2362" s="58" t="s">
        <v>2385</v>
      </c>
      <c r="B2362" s="58" t="s">
        <v>2298</v>
      </c>
      <c r="C2362" s="58" t="s">
        <v>543</v>
      </c>
      <c r="D2362" s="58" t="s">
        <v>2500</v>
      </c>
      <c r="E2362" s="59" t="s">
        <v>543</v>
      </c>
      <c r="F2362" s="59" t="s">
        <v>2349</v>
      </c>
      <c r="G2362" s="58" t="s">
        <v>2386</v>
      </c>
    </row>
    <row r="2363" spans="1:7">
      <c r="A2363" s="58" t="s">
        <v>2297</v>
      </c>
      <c r="B2363" s="58" t="s">
        <v>2298</v>
      </c>
      <c r="C2363" s="58" t="s">
        <v>108</v>
      </c>
      <c r="D2363" s="58" t="s">
        <v>2500</v>
      </c>
      <c r="E2363" s="59" t="s">
        <v>108</v>
      </c>
      <c r="F2363" s="59" t="s">
        <v>2349</v>
      </c>
      <c r="G2363" s="58" t="s">
        <v>2299</v>
      </c>
    </row>
    <row r="2364" spans="1:7">
      <c r="A2364" s="58" t="s">
        <v>2300</v>
      </c>
      <c r="B2364" s="58" t="s">
        <v>2294</v>
      </c>
      <c r="C2364" s="58" t="s">
        <v>108</v>
      </c>
      <c r="D2364" s="58" t="s">
        <v>2500</v>
      </c>
      <c r="E2364" s="59" t="s">
        <v>108</v>
      </c>
      <c r="F2364" s="59" t="s">
        <v>2349</v>
      </c>
      <c r="G2364" s="58" t="s">
        <v>2299</v>
      </c>
    </row>
    <row r="2365" spans="1:7">
      <c r="A2365" s="58" t="s">
        <v>2301</v>
      </c>
      <c r="B2365" s="58" t="s">
        <v>2302</v>
      </c>
      <c r="C2365" s="58" t="s">
        <v>2193</v>
      </c>
      <c r="D2365" s="58" t="s">
        <v>2500</v>
      </c>
      <c r="E2365" s="59" t="s">
        <v>2193</v>
      </c>
      <c r="F2365" s="59" t="s">
        <v>2349</v>
      </c>
      <c r="G2365" s="58" t="s">
        <v>2303</v>
      </c>
    </row>
    <row r="2366" spans="1:7">
      <c r="A2366" s="58" t="s">
        <v>2304</v>
      </c>
      <c r="B2366" s="58" t="s">
        <v>2305</v>
      </c>
      <c r="C2366" s="58" t="s">
        <v>2257</v>
      </c>
      <c r="D2366" s="58" t="s">
        <v>2500</v>
      </c>
      <c r="E2366" s="59" t="s">
        <v>108</v>
      </c>
      <c r="F2366" s="59" t="s">
        <v>2349</v>
      </c>
      <c r="G2366" s="58" t="s">
        <v>2306</v>
      </c>
    </row>
    <row r="2367" spans="1:7">
      <c r="A2367" s="58" t="s">
        <v>2347</v>
      </c>
      <c r="B2367" s="58" t="s">
        <v>2213</v>
      </c>
      <c r="C2367" s="58" t="s">
        <v>2348</v>
      </c>
      <c r="D2367" s="58" t="s">
        <v>2500</v>
      </c>
      <c r="E2367" s="59" t="s">
        <v>2348</v>
      </c>
      <c r="F2367" s="59" t="s">
        <v>2349</v>
      </c>
      <c r="G2367" s="58" t="s">
        <v>2296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210"/>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88" t="s">
        <v>2967</v>
      </c>
      <c r="B1" s="288"/>
      <c r="C1" s="288"/>
      <c r="D1" s="288"/>
      <c r="E1" s="288"/>
      <c r="F1" s="288"/>
      <c r="G1" s="288"/>
      <c r="H1" s="288"/>
      <c r="I1" s="288"/>
    </row>
    <row r="2" spans="1:9" ht="47.25" customHeight="1">
      <c r="A2" s="289" t="s">
        <v>2968</v>
      </c>
      <c r="B2" s="289"/>
      <c r="C2" s="289"/>
      <c r="D2" s="289"/>
      <c r="E2" s="289"/>
      <c r="F2" s="289"/>
      <c r="G2" s="289"/>
      <c r="H2" s="289"/>
      <c r="I2" s="289"/>
    </row>
    <row r="3" spans="1:9" ht="15" customHeight="1">
      <c r="A3" s="62" t="s">
        <v>2107</v>
      </c>
      <c r="B3" s="60" t="s">
        <v>2108</v>
      </c>
      <c r="C3" s="60" t="s">
        <v>2109</v>
      </c>
      <c r="D3" s="60" t="s">
        <v>2110</v>
      </c>
      <c r="E3" s="60" t="s">
        <v>2111</v>
      </c>
      <c r="F3" s="60" t="s">
        <v>2112</v>
      </c>
      <c r="G3" s="60" t="s">
        <v>1452</v>
      </c>
      <c r="H3" s="60"/>
      <c r="I3" s="60"/>
    </row>
    <row r="4" spans="1:9" ht="15" customHeight="1">
      <c r="A4" s="76" t="s">
        <v>2113</v>
      </c>
      <c r="B4" s="76"/>
      <c r="C4" s="76"/>
      <c r="D4" s="76"/>
      <c r="E4" s="77"/>
      <c r="F4" s="76"/>
      <c r="G4" s="76"/>
    </row>
    <row r="5" spans="1:9" ht="15" customHeight="1">
      <c r="A5" s="58" t="s">
        <v>2352</v>
      </c>
      <c r="B5" s="58"/>
      <c r="C5" s="58" t="s">
        <v>1201</v>
      </c>
      <c r="D5" s="58" t="s">
        <v>2969</v>
      </c>
      <c r="E5" s="59" t="s">
        <v>1201</v>
      </c>
      <c r="F5" s="59" t="s">
        <v>2970</v>
      </c>
      <c r="G5" s="58" t="s">
        <v>2120</v>
      </c>
    </row>
    <row r="6" spans="1:9" ht="15" customHeight="1">
      <c r="A6" s="58" t="s">
        <v>2118</v>
      </c>
      <c r="B6" s="58"/>
      <c r="C6" s="58" t="s">
        <v>2119</v>
      </c>
      <c r="D6" s="58" t="s">
        <v>2969</v>
      </c>
      <c r="E6" s="59" t="s">
        <v>1201</v>
      </c>
      <c r="F6" s="59" t="s">
        <v>2970</v>
      </c>
      <c r="G6" s="58" t="s">
        <v>2120</v>
      </c>
    </row>
    <row r="7" spans="1:9" ht="15" customHeight="1">
      <c r="A7" s="76" t="s">
        <v>2141</v>
      </c>
      <c r="B7" s="76"/>
      <c r="C7" s="76"/>
      <c r="D7" s="76"/>
      <c r="E7" s="77"/>
      <c r="F7" s="76"/>
      <c r="G7" s="76"/>
    </row>
    <row r="8" spans="1:9" ht="15" customHeight="1">
      <c r="A8" s="58" t="s">
        <v>2144</v>
      </c>
      <c r="B8" s="58" t="s">
        <v>2143</v>
      </c>
      <c r="C8" s="58" t="s">
        <v>2145</v>
      </c>
      <c r="D8" s="58" t="s">
        <v>2969</v>
      </c>
      <c r="E8" s="59" t="s">
        <v>2463</v>
      </c>
      <c r="F8" s="59" t="s">
        <v>2970</v>
      </c>
      <c r="G8" s="58" t="s">
        <v>2120</v>
      </c>
    </row>
    <row r="9" spans="1:9" ht="15" customHeight="1">
      <c r="A9" s="76" t="s">
        <v>2150</v>
      </c>
      <c r="B9" s="76"/>
      <c r="C9" s="76"/>
      <c r="D9" s="76"/>
      <c r="E9" s="77"/>
      <c r="F9" s="76"/>
      <c r="G9" s="76"/>
    </row>
    <row r="10" spans="1:9" ht="15" customHeight="1">
      <c r="A10" s="58" t="s">
        <v>2465</v>
      </c>
      <c r="B10" s="58" t="s">
        <v>2248</v>
      </c>
      <c r="C10" s="58" t="s">
        <v>2466</v>
      </c>
      <c r="D10" s="58" t="s">
        <v>2969</v>
      </c>
      <c r="E10" s="59" t="s">
        <v>2463</v>
      </c>
      <c r="F10" s="59" t="s">
        <v>2970</v>
      </c>
      <c r="G10" s="58" t="s">
        <v>2120</v>
      </c>
    </row>
    <row r="11" spans="1:9" ht="15" customHeight="1">
      <c r="A11" s="302" t="s">
        <v>2158</v>
      </c>
      <c r="B11" s="302" t="s">
        <v>2155</v>
      </c>
      <c r="C11" s="302" t="s">
        <v>2159</v>
      </c>
      <c r="D11" s="302" t="s">
        <v>2969</v>
      </c>
      <c r="E11" s="303" t="s">
        <v>2463</v>
      </c>
      <c r="F11" s="303" t="s">
        <v>2970</v>
      </c>
      <c r="G11" s="302" t="s">
        <v>2160</v>
      </c>
    </row>
    <row r="12" spans="1:9" ht="15" customHeight="1">
      <c r="A12" s="76" t="s">
        <v>2229</v>
      </c>
      <c r="B12" s="76"/>
      <c r="C12" s="76"/>
      <c r="D12" s="76"/>
      <c r="E12" s="77"/>
      <c r="F12" s="76"/>
      <c r="G12" s="76"/>
    </row>
    <row r="13" spans="1:9" ht="15" customHeight="1">
      <c r="A13" s="58" t="s">
        <v>2242</v>
      </c>
      <c r="B13" s="58" t="s">
        <v>2220</v>
      </c>
      <c r="C13" s="58" t="s">
        <v>2243</v>
      </c>
      <c r="D13" s="58" t="s">
        <v>2969</v>
      </c>
      <c r="E13" s="59" t="s">
        <v>2971</v>
      </c>
      <c r="F13" s="59" t="s">
        <v>2970</v>
      </c>
      <c r="G13" s="58" t="s">
        <v>2244</v>
      </c>
    </row>
    <row r="14" spans="1:9" ht="15" customHeight="1">
      <c r="A14" s="76" t="s">
        <v>2250</v>
      </c>
      <c r="B14" s="76"/>
      <c r="C14" s="76"/>
      <c r="D14" s="76"/>
      <c r="E14" s="77"/>
      <c r="F14" s="76"/>
      <c r="G14" s="76"/>
    </row>
    <row r="15" spans="1:9" ht="15" customHeight="1">
      <c r="A15" s="58" t="s">
        <v>2255</v>
      </c>
      <c r="B15" s="58" t="s">
        <v>2256</v>
      </c>
      <c r="C15" s="58" t="s">
        <v>2257</v>
      </c>
      <c r="D15" s="58" t="s">
        <v>2969</v>
      </c>
      <c r="E15" s="59" t="s">
        <v>2463</v>
      </c>
      <c r="F15" s="59" t="s">
        <v>2970</v>
      </c>
      <c r="G15" s="58" t="s">
        <v>2120</v>
      </c>
    </row>
    <row r="16" spans="1:9" ht="15" customHeight="1">
      <c r="A16" s="58" t="s">
        <v>2258</v>
      </c>
      <c r="B16" s="58" t="s">
        <v>2259</v>
      </c>
      <c r="C16" s="58" t="s">
        <v>2260</v>
      </c>
      <c r="D16" s="58" t="s">
        <v>2969</v>
      </c>
      <c r="E16" s="59" t="s">
        <v>2775</v>
      </c>
      <c r="F16" s="59" t="s">
        <v>2970</v>
      </c>
      <c r="G16" s="58" t="s">
        <v>2261</v>
      </c>
    </row>
    <row r="17" spans="1:7" ht="15" customHeight="1">
      <c r="A17" s="76" t="s">
        <v>2290</v>
      </c>
      <c r="B17" s="76"/>
      <c r="C17" s="76"/>
      <c r="D17" s="76"/>
      <c r="E17" s="77"/>
      <c r="F17" s="76"/>
      <c r="G17" s="76"/>
    </row>
    <row r="18" spans="1:7" ht="15" customHeight="1">
      <c r="A18" s="58" t="s">
        <v>2304</v>
      </c>
      <c r="B18" s="58" t="s">
        <v>2305</v>
      </c>
      <c r="C18" s="58" t="s">
        <v>2257</v>
      </c>
      <c r="D18" s="58" t="s">
        <v>2969</v>
      </c>
      <c r="E18" s="59" t="s">
        <v>2463</v>
      </c>
      <c r="F18" s="59" t="s">
        <v>2970</v>
      </c>
      <c r="G18" s="58" t="s">
        <v>2306</v>
      </c>
    </row>
    <row r="19" spans="1:7" ht="15" customHeight="1">
      <c r="A19" s="58" t="s">
        <v>2477</v>
      </c>
      <c r="B19" s="58" t="s">
        <v>2213</v>
      </c>
      <c r="C19" s="58" t="s">
        <v>2463</v>
      </c>
      <c r="D19" s="58" t="s">
        <v>2969</v>
      </c>
      <c r="E19" s="59" t="s">
        <v>2463</v>
      </c>
      <c r="F19" s="59" t="s">
        <v>2970</v>
      </c>
      <c r="G19" s="58" t="s">
        <v>2292</v>
      </c>
    </row>
    <row r="20" spans="1:7" ht="15" customHeight="1">
      <c r="A20" s="76" t="s">
        <v>2307</v>
      </c>
      <c r="B20" s="76"/>
      <c r="C20" s="76"/>
      <c r="D20" s="76"/>
      <c r="E20" s="77"/>
      <c r="F20" s="76"/>
      <c r="G20" s="76"/>
    </row>
    <row r="21" spans="1:7" ht="15" customHeight="1">
      <c r="A21" s="58" t="s">
        <v>2114</v>
      </c>
      <c r="B21" s="58" t="s">
        <v>2115</v>
      </c>
      <c r="C21" s="58" t="s">
        <v>1559</v>
      </c>
      <c r="D21" s="58" t="s">
        <v>2972</v>
      </c>
      <c r="E21" s="59" t="s">
        <v>108</v>
      </c>
      <c r="F21" s="59" t="s">
        <v>2970</v>
      </c>
      <c r="G21" s="58" t="s">
        <v>2117</v>
      </c>
    </row>
    <row r="22" spans="1:7" ht="15" customHeight="1">
      <c r="A22" s="58" t="s">
        <v>2352</v>
      </c>
      <c r="B22" s="58"/>
      <c r="C22" s="58" t="s">
        <v>1201</v>
      </c>
      <c r="D22" s="58" t="s">
        <v>2972</v>
      </c>
      <c r="E22" s="59" t="s">
        <v>1201</v>
      </c>
      <c r="F22" s="59" t="s">
        <v>2970</v>
      </c>
      <c r="G22" s="58" t="s">
        <v>2120</v>
      </c>
    </row>
    <row r="23" spans="1:7" ht="15" customHeight="1">
      <c r="A23" s="302" t="s">
        <v>2118</v>
      </c>
      <c r="B23" s="302"/>
      <c r="C23" s="302" t="s">
        <v>2119</v>
      </c>
      <c r="D23" s="302" t="s">
        <v>2972</v>
      </c>
      <c r="E23" s="303" t="s">
        <v>2119</v>
      </c>
      <c r="F23" s="303" t="s">
        <v>2970</v>
      </c>
      <c r="G23" s="302" t="s">
        <v>2120</v>
      </c>
    </row>
    <row r="24" spans="1:7" ht="15" customHeight="1">
      <c r="A24" s="58" t="s">
        <v>2121</v>
      </c>
      <c r="B24" s="58" t="s">
        <v>2122</v>
      </c>
      <c r="C24" s="58" t="s">
        <v>108</v>
      </c>
      <c r="D24" s="58" t="s">
        <v>2972</v>
      </c>
      <c r="E24" s="59" t="s">
        <v>108</v>
      </c>
      <c r="F24" s="59" t="s">
        <v>2970</v>
      </c>
      <c r="G24" s="58" t="s">
        <v>2120</v>
      </c>
    </row>
    <row r="25" spans="1:7" ht="15" customHeight="1">
      <c r="A25" s="58" t="s">
        <v>2123</v>
      </c>
      <c r="B25" s="58" t="s">
        <v>2124</v>
      </c>
      <c r="C25" s="58" t="s">
        <v>108</v>
      </c>
      <c r="D25" s="58" t="s">
        <v>2972</v>
      </c>
      <c r="E25" s="59" t="s">
        <v>108</v>
      </c>
      <c r="F25" s="59" t="s">
        <v>2970</v>
      </c>
      <c r="G25" s="58" t="s">
        <v>2125</v>
      </c>
    </row>
    <row r="26" spans="1:7" ht="15" customHeight="1">
      <c r="A26" s="58" t="s">
        <v>2126</v>
      </c>
      <c r="B26" s="58"/>
      <c r="C26" s="58" t="s">
        <v>108</v>
      </c>
      <c r="D26" s="58" t="s">
        <v>2972</v>
      </c>
      <c r="E26" s="59" t="s">
        <v>108</v>
      </c>
      <c r="F26" s="59" t="s">
        <v>2970</v>
      </c>
      <c r="G26" s="58" t="s">
        <v>2120</v>
      </c>
    </row>
    <row r="27" spans="1:7" ht="15" customHeight="1">
      <c r="A27" s="76" t="s">
        <v>2317</v>
      </c>
      <c r="B27" s="76"/>
      <c r="C27" s="76"/>
      <c r="D27" s="76"/>
      <c r="E27" s="77"/>
      <c r="F27" s="76"/>
      <c r="G27" s="76"/>
    </row>
    <row r="28" spans="1:7" ht="15" customHeight="1">
      <c r="A28" s="302" t="s">
        <v>2128</v>
      </c>
      <c r="B28" s="302" t="s">
        <v>2129</v>
      </c>
      <c r="C28" s="302" t="s">
        <v>108</v>
      </c>
      <c r="D28" s="302" t="s">
        <v>2972</v>
      </c>
      <c r="E28" s="303" t="s">
        <v>108</v>
      </c>
      <c r="F28" s="303" t="s">
        <v>2970</v>
      </c>
      <c r="G28" s="302" t="s">
        <v>2120</v>
      </c>
    </row>
    <row r="29" spans="1:7" ht="15" customHeight="1">
      <c r="A29" s="58" t="s">
        <v>2130</v>
      </c>
      <c r="B29" s="58" t="s">
        <v>2131</v>
      </c>
      <c r="C29" s="58" t="s">
        <v>108</v>
      </c>
      <c r="D29" s="58" t="s">
        <v>2972</v>
      </c>
      <c r="E29" s="59" t="s">
        <v>108</v>
      </c>
      <c r="F29" s="59" t="s">
        <v>2970</v>
      </c>
      <c r="G29" s="58" t="s">
        <v>2132</v>
      </c>
    </row>
    <row r="30" spans="1:7" ht="15" customHeight="1">
      <c r="A30" s="58" t="s">
        <v>2133</v>
      </c>
      <c r="B30" s="58" t="s">
        <v>2131</v>
      </c>
      <c r="C30" s="58" t="s">
        <v>108</v>
      </c>
      <c r="D30" s="58" t="s">
        <v>2972</v>
      </c>
      <c r="E30" s="59" t="s">
        <v>108</v>
      </c>
      <c r="F30" s="59" t="s">
        <v>2970</v>
      </c>
      <c r="G30" s="58" t="s">
        <v>2120</v>
      </c>
    </row>
    <row r="31" spans="1:7" ht="15" customHeight="1">
      <c r="A31" s="58" t="s">
        <v>2134</v>
      </c>
      <c r="B31" s="58"/>
      <c r="C31" s="58" t="s">
        <v>2135</v>
      </c>
      <c r="D31" s="58" t="s">
        <v>2972</v>
      </c>
      <c r="E31" s="59" t="s">
        <v>2136</v>
      </c>
      <c r="F31" s="59" t="s">
        <v>2970</v>
      </c>
      <c r="G31" s="58" t="s">
        <v>2137</v>
      </c>
    </row>
    <row r="32" spans="1:7" ht="15" customHeight="1">
      <c r="A32" s="58" t="s">
        <v>2138</v>
      </c>
      <c r="B32" s="58" t="s">
        <v>2139</v>
      </c>
      <c r="C32" s="58" t="s">
        <v>108</v>
      </c>
      <c r="D32" s="58" t="s">
        <v>2972</v>
      </c>
      <c r="E32" s="59" t="s">
        <v>108</v>
      </c>
      <c r="F32" s="59" t="s">
        <v>2970</v>
      </c>
      <c r="G32" s="58" t="s">
        <v>2140</v>
      </c>
    </row>
    <row r="33" spans="1:7" ht="15" customHeight="1">
      <c r="A33" s="76" t="s">
        <v>2319</v>
      </c>
      <c r="B33" s="76"/>
      <c r="C33" s="76"/>
      <c r="D33" s="76"/>
      <c r="E33" s="77"/>
      <c r="F33" s="76"/>
      <c r="G33" s="76"/>
    </row>
    <row r="34" spans="1:7" ht="15" customHeight="1">
      <c r="A34" s="58" t="s">
        <v>2142</v>
      </c>
      <c r="B34" s="58" t="s">
        <v>2143</v>
      </c>
      <c r="C34" s="58" t="s">
        <v>108</v>
      </c>
      <c r="D34" s="58" t="s">
        <v>2972</v>
      </c>
      <c r="E34" s="59" t="s">
        <v>108</v>
      </c>
      <c r="F34" s="59" t="s">
        <v>2970</v>
      </c>
      <c r="G34" s="58" t="s">
        <v>2120</v>
      </c>
    </row>
    <row r="35" spans="1:7" ht="15" customHeight="1">
      <c r="A35" s="302" t="s">
        <v>2144</v>
      </c>
      <c r="B35" s="302" t="s">
        <v>2143</v>
      </c>
      <c r="C35" s="302" t="s">
        <v>2145</v>
      </c>
      <c r="D35" s="302" t="s">
        <v>2972</v>
      </c>
      <c r="E35" s="303" t="s">
        <v>108</v>
      </c>
      <c r="F35" s="303" t="s">
        <v>2970</v>
      </c>
      <c r="G35" s="302" t="s">
        <v>2120</v>
      </c>
    </row>
    <row r="36" spans="1:7" ht="15" customHeight="1">
      <c r="A36" s="58" t="s">
        <v>2146</v>
      </c>
      <c r="B36" s="58" t="s">
        <v>2143</v>
      </c>
      <c r="C36" s="58" t="s">
        <v>2147</v>
      </c>
      <c r="D36" s="58" t="s">
        <v>2972</v>
      </c>
      <c r="E36" s="59" t="s">
        <v>108</v>
      </c>
      <c r="F36" s="59" t="s">
        <v>2970</v>
      </c>
      <c r="G36" s="58" t="s">
        <v>2148</v>
      </c>
    </row>
    <row r="37" spans="1:7" ht="15" customHeight="1">
      <c r="A37" s="58" t="s">
        <v>2149</v>
      </c>
      <c r="B37" s="58" t="s">
        <v>2143</v>
      </c>
      <c r="C37" s="58" t="s">
        <v>108</v>
      </c>
      <c r="D37" s="58" t="s">
        <v>2972</v>
      </c>
      <c r="E37" s="59" t="s">
        <v>108</v>
      </c>
      <c r="F37" s="59" t="s">
        <v>2970</v>
      </c>
      <c r="G37" s="58" t="s">
        <v>2120</v>
      </c>
    </row>
    <row r="38" spans="1:7" ht="15" customHeight="1">
      <c r="A38" s="76" t="s">
        <v>2320</v>
      </c>
      <c r="B38" s="76"/>
      <c r="C38" s="76"/>
      <c r="D38" s="76"/>
      <c r="E38" s="77"/>
      <c r="F38" s="76"/>
      <c r="G38" s="76"/>
    </row>
    <row r="39" spans="1:7" ht="15" customHeight="1">
      <c r="A39" s="58" t="s">
        <v>2151</v>
      </c>
      <c r="B39" s="58" t="s">
        <v>2152</v>
      </c>
      <c r="C39" s="58" t="s">
        <v>2153</v>
      </c>
      <c r="D39" s="58" t="s">
        <v>2972</v>
      </c>
      <c r="E39" s="59" t="s">
        <v>108</v>
      </c>
      <c r="F39" s="59" t="s">
        <v>2970</v>
      </c>
      <c r="G39" s="58" t="s">
        <v>2120</v>
      </c>
    </row>
    <row r="40" spans="1:7" ht="15" customHeight="1">
      <c r="A40" s="58" t="s">
        <v>2154</v>
      </c>
      <c r="B40" s="58" t="s">
        <v>2155</v>
      </c>
      <c r="C40" s="58" t="s">
        <v>108</v>
      </c>
      <c r="D40" s="58" t="s">
        <v>2972</v>
      </c>
      <c r="E40" s="59" t="s">
        <v>108</v>
      </c>
      <c r="F40" s="59" t="s">
        <v>2970</v>
      </c>
      <c r="G40" s="58" t="s">
        <v>2120</v>
      </c>
    </row>
    <row r="41" spans="1:7" ht="15" customHeight="1">
      <c r="A41" s="58" t="s">
        <v>2156</v>
      </c>
      <c r="B41" s="58" t="s">
        <v>2152</v>
      </c>
      <c r="C41" s="58" t="s">
        <v>2157</v>
      </c>
      <c r="D41" s="58" t="s">
        <v>2972</v>
      </c>
      <c r="E41" s="59" t="s">
        <v>108</v>
      </c>
      <c r="F41" s="59" t="s">
        <v>2970</v>
      </c>
      <c r="G41" s="58" t="s">
        <v>2120</v>
      </c>
    </row>
    <row r="42" spans="1:7" ht="15" customHeight="1">
      <c r="A42" s="58" t="s">
        <v>2158</v>
      </c>
      <c r="B42" s="58" t="s">
        <v>2155</v>
      </c>
      <c r="C42" s="58" t="s">
        <v>2159</v>
      </c>
      <c r="D42" s="58" t="s">
        <v>2972</v>
      </c>
      <c r="E42" s="59" t="s">
        <v>108</v>
      </c>
      <c r="F42" s="59" t="s">
        <v>2970</v>
      </c>
      <c r="G42" s="58" t="s">
        <v>2160</v>
      </c>
    </row>
    <row r="43" spans="1:7" ht="15" customHeight="1">
      <c r="A43" s="58" t="s">
        <v>2161</v>
      </c>
      <c r="B43" s="58" t="s">
        <v>2162</v>
      </c>
      <c r="C43" s="58" t="s">
        <v>108</v>
      </c>
      <c r="D43" s="58" t="s">
        <v>2972</v>
      </c>
      <c r="E43" s="59" t="s">
        <v>108</v>
      </c>
      <c r="F43" s="59" t="s">
        <v>2970</v>
      </c>
      <c r="G43" s="58" t="s">
        <v>2163</v>
      </c>
    </row>
    <row r="44" spans="1:7" ht="15" customHeight="1">
      <c r="A44" s="302" t="s">
        <v>2164</v>
      </c>
      <c r="B44" s="302" t="s">
        <v>2162</v>
      </c>
      <c r="C44" s="302" t="s">
        <v>108</v>
      </c>
      <c r="D44" s="302" t="s">
        <v>2972</v>
      </c>
      <c r="E44" s="303" t="s">
        <v>108</v>
      </c>
      <c r="F44" s="303" t="s">
        <v>2970</v>
      </c>
      <c r="G44" s="302" t="s">
        <v>2120</v>
      </c>
    </row>
    <row r="45" spans="1:7" ht="15" customHeight="1">
      <c r="A45" s="76" t="s">
        <v>2321</v>
      </c>
      <c r="B45" s="76"/>
      <c r="C45" s="76"/>
      <c r="D45" s="76"/>
      <c r="E45" s="77"/>
      <c r="F45" s="76"/>
      <c r="G45" s="76"/>
    </row>
    <row r="46" spans="1:7" ht="15" customHeight="1">
      <c r="A46" s="58" t="s">
        <v>2166</v>
      </c>
      <c r="B46" s="58" t="s">
        <v>2167</v>
      </c>
      <c r="C46" s="58" t="s">
        <v>108</v>
      </c>
      <c r="D46" s="58" t="s">
        <v>2972</v>
      </c>
      <c r="E46" s="59" t="s">
        <v>108</v>
      </c>
      <c r="F46" s="59" t="s">
        <v>2970</v>
      </c>
      <c r="G46" s="58" t="s">
        <v>2168</v>
      </c>
    </row>
    <row r="47" spans="1:7" ht="15" customHeight="1">
      <c r="A47" s="58" t="s">
        <v>2169</v>
      </c>
      <c r="B47" s="58" t="s">
        <v>2129</v>
      </c>
      <c r="C47" s="58" t="s">
        <v>2170</v>
      </c>
      <c r="D47" s="58" t="s">
        <v>2972</v>
      </c>
      <c r="E47" s="59" t="s">
        <v>2136</v>
      </c>
      <c r="F47" s="59" t="s">
        <v>2970</v>
      </c>
      <c r="G47" s="58" t="s">
        <v>2120</v>
      </c>
    </row>
    <row r="48" spans="1:7" ht="15" customHeight="1">
      <c r="A48" s="58" t="s">
        <v>2171</v>
      </c>
      <c r="B48" s="58" t="s">
        <v>2129</v>
      </c>
      <c r="C48" s="58" t="s">
        <v>2135</v>
      </c>
      <c r="D48" s="58" t="s">
        <v>2972</v>
      </c>
      <c r="E48" s="59" t="s">
        <v>2136</v>
      </c>
      <c r="F48" s="59" t="s">
        <v>2970</v>
      </c>
      <c r="G48" s="58" t="s">
        <v>2120</v>
      </c>
    </row>
    <row r="49" spans="1:7" ht="15" customHeight="1">
      <c r="A49" s="58" t="s">
        <v>2172</v>
      </c>
      <c r="B49" s="58" t="s">
        <v>2129</v>
      </c>
      <c r="C49" s="58" t="s">
        <v>2135</v>
      </c>
      <c r="D49" s="58" t="s">
        <v>2972</v>
      </c>
      <c r="E49" s="59" t="s">
        <v>2136</v>
      </c>
      <c r="F49" s="59" t="s">
        <v>2970</v>
      </c>
      <c r="G49" s="58" t="s">
        <v>2120</v>
      </c>
    </row>
    <row r="50" spans="1:7" ht="15" customHeight="1">
      <c r="A50" s="58" t="s">
        <v>2173</v>
      </c>
      <c r="B50" s="58" t="s">
        <v>2174</v>
      </c>
      <c r="C50" s="58" t="s">
        <v>2135</v>
      </c>
      <c r="D50" s="58" t="s">
        <v>2972</v>
      </c>
      <c r="E50" s="59" t="s">
        <v>2136</v>
      </c>
      <c r="F50" s="59" t="s">
        <v>2970</v>
      </c>
      <c r="G50" s="58" t="s">
        <v>2120</v>
      </c>
    </row>
    <row r="51" spans="1:7" ht="15" customHeight="1">
      <c r="A51" s="58" t="s">
        <v>2175</v>
      </c>
      <c r="B51" s="58"/>
      <c r="C51" s="58" t="s">
        <v>2135</v>
      </c>
      <c r="D51" s="58" t="s">
        <v>2972</v>
      </c>
      <c r="E51" s="59" t="s">
        <v>2136</v>
      </c>
      <c r="F51" s="59" t="s">
        <v>2970</v>
      </c>
      <c r="G51" s="58" t="s">
        <v>2120</v>
      </c>
    </row>
    <row r="52" spans="1:7" ht="15" customHeight="1">
      <c r="A52" s="58" t="s">
        <v>2176</v>
      </c>
      <c r="B52" s="58"/>
      <c r="C52" s="58" t="s">
        <v>2135</v>
      </c>
      <c r="D52" s="58" t="s">
        <v>2972</v>
      </c>
      <c r="E52" s="59" t="s">
        <v>2136</v>
      </c>
      <c r="F52" s="59" t="s">
        <v>2970</v>
      </c>
      <c r="G52" s="58" t="s">
        <v>2120</v>
      </c>
    </row>
    <row r="53" spans="1:7" ht="15" customHeight="1">
      <c r="A53" s="58" t="s">
        <v>2177</v>
      </c>
      <c r="B53" s="58"/>
      <c r="C53" s="58" t="s">
        <v>2135</v>
      </c>
      <c r="D53" s="58" t="s">
        <v>2972</v>
      </c>
      <c r="E53" s="59" t="s">
        <v>2136</v>
      </c>
      <c r="F53" s="59" t="s">
        <v>2970</v>
      </c>
      <c r="G53" s="58" t="s">
        <v>2120</v>
      </c>
    </row>
    <row r="54" spans="1:7" ht="15" customHeight="1">
      <c r="A54" s="76" t="s">
        <v>2322</v>
      </c>
      <c r="B54" s="76"/>
      <c r="C54" s="76"/>
      <c r="D54" s="76"/>
      <c r="E54" s="77"/>
      <c r="F54" s="76"/>
      <c r="G54" s="76"/>
    </row>
    <row r="55" spans="1:7" ht="15" customHeight="1">
      <c r="A55" s="58" t="s">
        <v>2179</v>
      </c>
      <c r="B55" s="58" t="s">
        <v>2180</v>
      </c>
      <c r="C55" s="58" t="s">
        <v>108</v>
      </c>
      <c r="D55" s="58" t="s">
        <v>2972</v>
      </c>
      <c r="E55" s="59" t="s">
        <v>108</v>
      </c>
      <c r="F55" s="59" t="s">
        <v>2970</v>
      </c>
      <c r="G55" s="58" t="s">
        <v>2120</v>
      </c>
    </row>
    <row r="56" spans="1:7" ht="15" customHeight="1">
      <c r="A56" s="58" t="s">
        <v>2181</v>
      </c>
      <c r="B56" s="58" t="s">
        <v>2182</v>
      </c>
      <c r="C56" s="58" t="s">
        <v>108</v>
      </c>
      <c r="D56" s="58" t="s">
        <v>2972</v>
      </c>
      <c r="E56" s="59" t="s">
        <v>108</v>
      </c>
      <c r="F56" s="59" t="s">
        <v>2970</v>
      </c>
      <c r="G56" s="58" t="s">
        <v>2120</v>
      </c>
    </row>
    <row r="57" spans="1:7" ht="15" customHeight="1">
      <c r="A57" s="58" t="s">
        <v>2183</v>
      </c>
      <c r="B57" s="58" t="s">
        <v>2182</v>
      </c>
      <c r="C57" s="58" t="s">
        <v>2184</v>
      </c>
      <c r="D57" s="58" t="s">
        <v>2972</v>
      </c>
      <c r="E57" s="59" t="s">
        <v>108</v>
      </c>
      <c r="F57" s="59" t="s">
        <v>2970</v>
      </c>
      <c r="G57" s="58" t="s">
        <v>2185</v>
      </c>
    </row>
    <row r="58" spans="1:7" ht="15" customHeight="1">
      <c r="A58" s="58" t="s">
        <v>2186</v>
      </c>
      <c r="B58" s="58" t="s">
        <v>2187</v>
      </c>
      <c r="C58" s="58" t="s">
        <v>108</v>
      </c>
      <c r="D58" s="58" t="s">
        <v>2972</v>
      </c>
      <c r="E58" s="59" t="s">
        <v>108</v>
      </c>
      <c r="F58" s="59" t="s">
        <v>2970</v>
      </c>
      <c r="G58" s="58" t="s">
        <v>2120</v>
      </c>
    </row>
    <row r="59" spans="1:7" ht="15" customHeight="1">
      <c r="A59" s="58" t="s">
        <v>2188</v>
      </c>
      <c r="B59" s="58"/>
      <c r="C59" s="58" t="s">
        <v>2189</v>
      </c>
      <c r="D59" s="58" t="s">
        <v>2972</v>
      </c>
      <c r="E59" s="59" t="s">
        <v>108</v>
      </c>
      <c r="F59" s="59" t="s">
        <v>2970</v>
      </c>
      <c r="G59" s="58" t="s">
        <v>2120</v>
      </c>
    </row>
    <row r="60" spans="1:7" ht="15" customHeight="1">
      <c r="A60" s="58" t="s">
        <v>2190</v>
      </c>
      <c r="B60" s="58"/>
      <c r="C60" s="58" t="s">
        <v>2135</v>
      </c>
      <c r="D60" s="58" t="s">
        <v>2972</v>
      </c>
      <c r="E60" s="59" t="s">
        <v>2136</v>
      </c>
      <c r="F60" s="59" t="s">
        <v>2970</v>
      </c>
      <c r="G60" s="58" t="s">
        <v>2120</v>
      </c>
    </row>
    <row r="61" spans="1:7" ht="15" customHeight="1">
      <c r="A61" s="58" t="s">
        <v>2191</v>
      </c>
      <c r="B61" s="58"/>
      <c r="C61" s="58" t="s">
        <v>2135</v>
      </c>
      <c r="D61" s="58" t="s">
        <v>2972</v>
      </c>
      <c r="E61" s="59" t="s">
        <v>2136</v>
      </c>
      <c r="F61" s="59" t="s">
        <v>2970</v>
      </c>
      <c r="G61" s="58" t="s">
        <v>2120</v>
      </c>
    </row>
    <row r="62" spans="1:7" ht="15" customHeight="1">
      <c r="A62" s="58" t="s">
        <v>2192</v>
      </c>
      <c r="B62" s="58" t="s">
        <v>2182</v>
      </c>
      <c r="C62" s="58" t="s">
        <v>2193</v>
      </c>
      <c r="D62" s="58" t="s">
        <v>2972</v>
      </c>
      <c r="E62" s="59" t="s">
        <v>2193</v>
      </c>
      <c r="F62" s="59" t="s">
        <v>2970</v>
      </c>
      <c r="G62" s="58" t="s">
        <v>2120</v>
      </c>
    </row>
    <row r="63" spans="1:7" ht="15" customHeight="1">
      <c r="A63" s="58" t="s">
        <v>2194</v>
      </c>
      <c r="B63" s="58" t="s">
        <v>2187</v>
      </c>
      <c r="C63" s="58" t="s">
        <v>108</v>
      </c>
      <c r="D63" s="58" t="s">
        <v>2972</v>
      </c>
      <c r="E63" s="59" t="s">
        <v>108</v>
      </c>
      <c r="F63" s="59" t="s">
        <v>2970</v>
      </c>
      <c r="G63" s="58" t="s">
        <v>2120</v>
      </c>
    </row>
    <row r="64" spans="1:7" ht="15" customHeight="1">
      <c r="A64" s="76" t="s">
        <v>2325</v>
      </c>
      <c r="B64" s="76"/>
      <c r="C64" s="76"/>
      <c r="D64" s="76"/>
      <c r="E64" s="77"/>
      <c r="F64" s="76"/>
      <c r="G64" s="76"/>
    </row>
    <row r="65" spans="1:7" ht="15" customHeight="1">
      <c r="A65" s="302" t="s">
        <v>2196</v>
      </c>
      <c r="B65" s="302"/>
      <c r="C65" s="302" t="s">
        <v>2193</v>
      </c>
      <c r="D65" s="302" t="s">
        <v>2972</v>
      </c>
      <c r="E65" s="303" t="s">
        <v>2193</v>
      </c>
      <c r="F65" s="303" t="s">
        <v>2970</v>
      </c>
      <c r="G65" s="302" t="s">
        <v>2120</v>
      </c>
    </row>
    <row r="66" spans="1:7" ht="15" customHeight="1">
      <c r="A66" s="58" t="s">
        <v>2197</v>
      </c>
      <c r="B66" s="58"/>
      <c r="C66" s="58" t="s">
        <v>2193</v>
      </c>
      <c r="D66" s="58" t="s">
        <v>2972</v>
      </c>
      <c r="E66" s="59" t="s">
        <v>2193</v>
      </c>
      <c r="F66" s="59" t="s">
        <v>2970</v>
      </c>
      <c r="G66" s="58" t="s">
        <v>2120</v>
      </c>
    </row>
    <row r="67" spans="1:7" ht="15" customHeight="1">
      <c r="A67" s="58" t="s">
        <v>2198</v>
      </c>
      <c r="B67" s="58"/>
      <c r="C67" s="58" t="s">
        <v>2199</v>
      </c>
      <c r="D67" s="58" t="s">
        <v>2972</v>
      </c>
      <c r="E67" s="59" t="s">
        <v>2193</v>
      </c>
      <c r="F67" s="59" t="s">
        <v>2970</v>
      </c>
      <c r="G67" s="58" t="s">
        <v>2120</v>
      </c>
    </row>
    <row r="68" spans="1:7" ht="15" customHeight="1">
      <c r="A68" s="58" t="s">
        <v>2200</v>
      </c>
      <c r="B68" s="58" t="s">
        <v>2182</v>
      </c>
      <c r="C68" s="58" t="s">
        <v>108</v>
      </c>
      <c r="D68" s="58" t="s">
        <v>2972</v>
      </c>
      <c r="E68" s="59" t="s">
        <v>108</v>
      </c>
      <c r="F68" s="59" t="s">
        <v>2970</v>
      </c>
      <c r="G68" s="58" t="s">
        <v>2120</v>
      </c>
    </row>
    <row r="69" spans="1:7" ht="15" customHeight="1">
      <c r="A69" s="302" t="s">
        <v>2201</v>
      </c>
      <c r="B69" s="302" t="s">
        <v>2182</v>
      </c>
      <c r="C69" s="302" t="s">
        <v>108</v>
      </c>
      <c r="D69" s="302" t="s">
        <v>2972</v>
      </c>
      <c r="E69" s="303" t="s">
        <v>108</v>
      </c>
      <c r="F69" s="303" t="s">
        <v>2970</v>
      </c>
      <c r="G69" s="302" t="s">
        <v>2120</v>
      </c>
    </row>
    <row r="70" spans="1:7" ht="15" customHeight="1">
      <c r="A70" s="58" t="s">
        <v>2202</v>
      </c>
      <c r="B70" s="58" t="s">
        <v>2174</v>
      </c>
      <c r="C70" s="58" t="s">
        <v>108</v>
      </c>
      <c r="D70" s="58" t="s">
        <v>2972</v>
      </c>
      <c r="E70" s="59" t="s">
        <v>108</v>
      </c>
      <c r="F70" s="59" t="s">
        <v>2970</v>
      </c>
      <c r="G70" s="58" t="s">
        <v>2120</v>
      </c>
    </row>
    <row r="71" spans="1:7" ht="15" customHeight="1">
      <c r="A71" s="58" t="s">
        <v>2203</v>
      </c>
      <c r="B71" s="58" t="s">
        <v>2204</v>
      </c>
      <c r="C71" s="58" t="s">
        <v>2193</v>
      </c>
      <c r="D71" s="58" t="s">
        <v>2972</v>
      </c>
      <c r="E71" s="59" t="s">
        <v>2193</v>
      </c>
      <c r="F71" s="59" t="s">
        <v>2970</v>
      </c>
      <c r="G71" s="58" t="s">
        <v>2120</v>
      </c>
    </row>
    <row r="72" spans="1:7" ht="15" customHeight="1">
      <c r="A72" s="58" t="s">
        <v>2205</v>
      </c>
      <c r="B72" s="58" t="s">
        <v>2204</v>
      </c>
      <c r="C72" s="58" t="s">
        <v>2193</v>
      </c>
      <c r="D72" s="58" t="s">
        <v>2972</v>
      </c>
      <c r="E72" s="59" t="s">
        <v>2193</v>
      </c>
      <c r="F72" s="59" t="s">
        <v>2970</v>
      </c>
      <c r="G72" s="58" t="s">
        <v>2120</v>
      </c>
    </row>
    <row r="73" spans="1:7" ht="15" customHeight="1">
      <c r="A73" s="58" t="s">
        <v>2206</v>
      </c>
      <c r="B73" s="58"/>
      <c r="C73" s="58" t="s">
        <v>2135</v>
      </c>
      <c r="D73" s="58" t="s">
        <v>2972</v>
      </c>
      <c r="E73" s="59" t="s">
        <v>2136</v>
      </c>
      <c r="F73" s="59" t="s">
        <v>2970</v>
      </c>
      <c r="G73" s="58" t="s">
        <v>2120</v>
      </c>
    </row>
    <row r="74" spans="1:7" ht="15" customHeight="1">
      <c r="A74" s="58" t="s">
        <v>2207</v>
      </c>
      <c r="B74" s="58" t="s">
        <v>2204</v>
      </c>
      <c r="C74" s="58" t="s">
        <v>108</v>
      </c>
      <c r="D74" s="58" t="s">
        <v>2972</v>
      </c>
      <c r="E74" s="59" t="s">
        <v>108</v>
      </c>
      <c r="F74" s="59" t="s">
        <v>2970</v>
      </c>
      <c r="G74" s="58" t="s">
        <v>2208</v>
      </c>
    </row>
    <row r="75" spans="1:7" ht="15" customHeight="1">
      <c r="A75" s="76" t="s">
        <v>2326</v>
      </c>
      <c r="B75" s="76"/>
      <c r="C75" s="76"/>
      <c r="D75" s="76"/>
      <c r="E75" s="77"/>
      <c r="F75" s="76"/>
      <c r="G75" s="76"/>
    </row>
    <row r="76" spans="1:7" ht="15" customHeight="1">
      <c r="A76" s="58" t="s">
        <v>2210</v>
      </c>
      <c r="B76" s="58" t="s">
        <v>2211</v>
      </c>
      <c r="C76" s="58" t="s">
        <v>108</v>
      </c>
      <c r="D76" s="58" t="s">
        <v>2972</v>
      </c>
      <c r="E76" s="59" t="s">
        <v>108</v>
      </c>
      <c r="F76" s="59" t="s">
        <v>2970</v>
      </c>
      <c r="G76" s="58" t="s">
        <v>2120</v>
      </c>
    </row>
    <row r="77" spans="1:7" ht="15" customHeight="1">
      <c r="A77" s="58" t="s">
        <v>2212</v>
      </c>
      <c r="B77" s="58" t="s">
        <v>2213</v>
      </c>
      <c r="C77" s="58" t="s">
        <v>108</v>
      </c>
      <c r="D77" s="58" t="s">
        <v>2972</v>
      </c>
      <c r="E77" s="59" t="s">
        <v>108</v>
      </c>
      <c r="F77" s="59" t="s">
        <v>2970</v>
      </c>
      <c r="G77" s="58" t="s">
        <v>2120</v>
      </c>
    </row>
    <row r="78" spans="1:7" ht="15" customHeight="1">
      <c r="A78" s="58" t="s">
        <v>2214</v>
      </c>
      <c r="B78" s="58" t="s">
        <v>2213</v>
      </c>
      <c r="C78" s="58" t="s">
        <v>108</v>
      </c>
      <c r="D78" s="58" t="s">
        <v>2972</v>
      </c>
      <c r="E78" s="59" t="s">
        <v>108</v>
      </c>
      <c r="F78" s="59" t="s">
        <v>2970</v>
      </c>
      <c r="G78" s="58" t="s">
        <v>2120</v>
      </c>
    </row>
    <row r="79" spans="1:7" ht="15" customHeight="1">
      <c r="A79" s="76" t="s">
        <v>2327</v>
      </c>
      <c r="B79" s="76"/>
      <c r="C79" s="76"/>
      <c r="D79" s="76"/>
      <c r="E79" s="77"/>
      <c r="F79" s="76"/>
      <c r="G79" s="76"/>
    </row>
    <row r="80" spans="1:7" ht="15" customHeight="1">
      <c r="A80" s="58" t="s">
        <v>2216</v>
      </c>
      <c r="B80" s="58" t="s">
        <v>2217</v>
      </c>
      <c r="C80" s="58" t="s">
        <v>2193</v>
      </c>
      <c r="D80" s="58" t="s">
        <v>2972</v>
      </c>
      <c r="E80" s="59" t="s">
        <v>2193</v>
      </c>
      <c r="F80" s="59" t="s">
        <v>2970</v>
      </c>
      <c r="G80" s="58" t="s">
        <v>2218</v>
      </c>
    </row>
    <row r="81" spans="1:7" ht="15" customHeight="1">
      <c r="A81" s="58" t="s">
        <v>2219</v>
      </c>
      <c r="B81" s="58" t="s">
        <v>2220</v>
      </c>
      <c r="C81" s="58" t="s">
        <v>108</v>
      </c>
      <c r="D81" s="58" t="s">
        <v>2972</v>
      </c>
      <c r="E81" s="59" t="s">
        <v>108</v>
      </c>
      <c r="F81" s="59" t="s">
        <v>2970</v>
      </c>
      <c r="G81" s="58" t="s">
        <v>2221</v>
      </c>
    </row>
    <row r="82" spans="1:7" ht="15" customHeight="1">
      <c r="A82" s="58" t="s">
        <v>2222</v>
      </c>
      <c r="B82" s="58" t="s">
        <v>2223</v>
      </c>
      <c r="C82" s="58" t="s">
        <v>108</v>
      </c>
      <c r="D82" s="58" t="s">
        <v>2972</v>
      </c>
      <c r="E82" s="59" t="s">
        <v>108</v>
      </c>
      <c r="F82" s="59" t="s">
        <v>2970</v>
      </c>
      <c r="G82" s="58" t="s">
        <v>2224</v>
      </c>
    </row>
    <row r="83" spans="1:7" ht="15" customHeight="1">
      <c r="A83" s="58" t="s">
        <v>2225</v>
      </c>
      <c r="B83" s="58" t="s">
        <v>2226</v>
      </c>
      <c r="C83" s="58" t="s">
        <v>108</v>
      </c>
      <c r="D83" s="58" t="s">
        <v>2972</v>
      </c>
      <c r="E83" s="59" t="s">
        <v>108</v>
      </c>
      <c r="F83" s="59" t="s">
        <v>2970</v>
      </c>
      <c r="G83" s="58" t="s">
        <v>2227</v>
      </c>
    </row>
    <row r="84" spans="1:7" ht="15" customHeight="1">
      <c r="A84" s="58" t="s">
        <v>2228</v>
      </c>
      <c r="B84" s="58"/>
      <c r="C84" s="58" t="s">
        <v>2135</v>
      </c>
      <c r="D84" s="58" t="s">
        <v>2972</v>
      </c>
      <c r="E84" s="59" t="s">
        <v>2136</v>
      </c>
      <c r="F84" s="59" t="s">
        <v>2970</v>
      </c>
      <c r="G84" s="58" t="s">
        <v>2120</v>
      </c>
    </row>
    <row r="85" spans="1:7" ht="15" customHeight="1">
      <c r="A85" s="76" t="s">
        <v>2333</v>
      </c>
      <c r="B85" s="76"/>
      <c r="C85" s="76"/>
      <c r="D85" s="76"/>
      <c r="E85" s="77"/>
      <c r="F85" s="76"/>
      <c r="G85" s="76"/>
    </row>
    <row r="86" spans="1:7" ht="15" customHeight="1">
      <c r="A86" s="58" t="s">
        <v>2230</v>
      </c>
      <c r="B86" s="58" t="s">
        <v>2220</v>
      </c>
      <c r="C86" s="58" t="s">
        <v>108</v>
      </c>
      <c r="D86" s="58" t="s">
        <v>2972</v>
      </c>
      <c r="E86" s="59" t="s">
        <v>108</v>
      </c>
      <c r="F86" s="59" t="s">
        <v>2970</v>
      </c>
      <c r="G86" s="58" t="s">
        <v>2231</v>
      </c>
    </row>
    <row r="87" spans="1:7" ht="15" customHeight="1">
      <c r="A87" s="58" t="s">
        <v>2232</v>
      </c>
      <c r="B87" s="58" t="s">
        <v>2220</v>
      </c>
      <c r="C87" s="58" t="s">
        <v>108</v>
      </c>
      <c r="D87" s="58" t="s">
        <v>2972</v>
      </c>
      <c r="E87" s="59" t="s">
        <v>108</v>
      </c>
      <c r="F87" s="59" t="s">
        <v>2970</v>
      </c>
      <c r="G87" s="58" t="s">
        <v>2120</v>
      </c>
    </row>
    <row r="88" spans="1:7" ht="15" customHeight="1">
      <c r="A88" s="58" t="s">
        <v>2233</v>
      </c>
      <c r="B88" s="58" t="s">
        <v>2234</v>
      </c>
      <c r="C88" s="58" t="s">
        <v>108</v>
      </c>
      <c r="D88" s="58" t="s">
        <v>2972</v>
      </c>
      <c r="E88" s="59" t="s">
        <v>108</v>
      </c>
      <c r="F88" s="59" t="s">
        <v>2970</v>
      </c>
      <c r="G88" s="58" t="s">
        <v>2235</v>
      </c>
    </row>
    <row r="89" spans="1:7" ht="15" customHeight="1">
      <c r="A89" s="58" t="s">
        <v>2236</v>
      </c>
      <c r="B89" s="58" t="s">
        <v>2237</v>
      </c>
      <c r="C89" s="58" t="s">
        <v>108</v>
      </c>
      <c r="D89" s="58" t="s">
        <v>2972</v>
      </c>
      <c r="E89" s="59" t="s">
        <v>108</v>
      </c>
      <c r="F89" s="59" t="s">
        <v>2970</v>
      </c>
      <c r="G89" s="58" t="s">
        <v>2231</v>
      </c>
    </row>
    <row r="90" spans="1:7" ht="15" customHeight="1">
      <c r="A90" s="58" t="s">
        <v>2238</v>
      </c>
      <c r="B90" s="58" t="s">
        <v>2237</v>
      </c>
      <c r="C90" s="58" t="s">
        <v>108</v>
      </c>
      <c r="D90" s="58" t="s">
        <v>2972</v>
      </c>
      <c r="E90" s="59" t="s">
        <v>108</v>
      </c>
      <c r="F90" s="59" t="s">
        <v>2970</v>
      </c>
      <c r="G90" s="58" t="s">
        <v>2239</v>
      </c>
    </row>
    <row r="91" spans="1:7" ht="15" customHeight="1">
      <c r="A91" s="58" t="s">
        <v>2240</v>
      </c>
      <c r="B91" s="58" t="s">
        <v>2241</v>
      </c>
      <c r="C91" s="58" t="s">
        <v>2193</v>
      </c>
      <c r="D91" s="58" t="s">
        <v>2972</v>
      </c>
      <c r="E91" s="59" t="s">
        <v>2193</v>
      </c>
      <c r="F91" s="59" t="s">
        <v>2970</v>
      </c>
      <c r="G91" s="58" t="s">
        <v>2120</v>
      </c>
    </row>
    <row r="92" spans="1:7" ht="15" customHeight="1">
      <c r="A92" s="58" t="s">
        <v>2242</v>
      </c>
      <c r="B92" s="58" t="s">
        <v>2220</v>
      </c>
      <c r="C92" s="58" t="s">
        <v>2243</v>
      </c>
      <c r="D92" s="58" t="s">
        <v>2972</v>
      </c>
      <c r="E92" s="59" t="s">
        <v>2962</v>
      </c>
      <c r="F92" s="59" t="s">
        <v>2970</v>
      </c>
      <c r="G92" s="58" t="s">
        <v>2244</v>
      </c>
    </row>
    <row r="93" spans="1:7" ht="15" customHeight="1">
      <c r="A93" s="58" t="s">
        <v>2245</v>
      </c>
      <c r="B93" s="58" t="s">
        <v>2241</v>
      </c>
      <c r="C93" s="58" t="s">
        <v>2246</v>
      </c>
      <c r="D93" s="58" t="s">
        <v>2972</v>
      </c>
      <c r="E93" s="59" t="s">
        <v>108</v>
      </c>
      <c r="F93" s="59" t="s">
        <v>2970</v>
      </c>
      <c r="G93" s="58" t="s">
        <v>2120</v>
      </c>
    </row>
    <row r="94" spans="1:7" ht="15" customHeight="1">
      <c r="A94" s="302" t="s">
        <v>2247</v>
      </c>
      <c r="B94" s="302" t="s">
        <v>2248</v>
      </c>
      <c r="C94" s="302" t="s">
        <v>108</v>
      </c>
      <c r="D94" s="302" t="s">
        <v>2972</v>
      </c>
      <c r="E94" s="303" t="s">
        <v>108</v>
      </c>
      <c r="F94" s="303" t="s">
        <v>2970</v>
      </c>
      <c r="G94" s="302" t="s">
        <v>2249</v>
      </c>
    </row>
    <row r="95" spans="1:7" ht="15" customHeight="1">
      <c r="A95" s="76" t="s">
        <v>2340</v>
      </c>
      <c r="B95" s="76"/>
      <c r="C95" s="76"/>
      <c r="D95" s="76"/>
      <c r="E95" s="77"/>
      <c r="F95" s="76"/>
      <c r="G95" s="76"/>
    </row>
    <row r="96" spans="1:7" ht="15" customHeight="1">
      <c r="A96" s="58" t="s">
        <v>2251</v>
      </c>
      <c r="B96" s="58" t="s">
        <v>2252</v>
      </c>
      <c r="C96" s="58" t="s">
        <v>108</v>
      </c>
      <c r="D96" s="58" t="s">
        <v>2972</v>
      </c>
      <c r="E96" s="59" t="s">
        <v>108</v>
      </c>
      <c r="F96" s="59" t="s">
        <v>2970</v>
      </c>
      <c r="G96" s="58" t="s">
        <v>2120</v>
      </c>
    </row>
    <row r="97" spans="1:7" ht="15" customHeight="1">
      <c r="A97" s="58" t="s">
        <v>2253</v>
      </c>
      <c r="B97" s="58" t="s">
        <v>2252</v>
      </c>
      <c r="C97" s="58" t="s">
        <v>2193</v>
      </c>
      <c r="D97" s="58" t="s">
        <v>2972</v>
      </c>
      <c r="E97" s="59" t="s">
        <v>2193</v>
      </c>
      <c r="F97" s="59" t="s">
        <v>2970</v>
      </c>
      <c r="G97" s="58" t="s">
        <v>2254</v>
      </c>
    </row>
    <row r="98" spans="1:7" ht="15" customHeight="1">
      <c r="A98" s="58" t="s">
        <v>2255</v>
      </c>
      <c r="B98" s="58" t="s">
        <v>2256</v>
      </c>
      <c r="C98" s="58" t="s">
        <v>2257</v>
      </c>
      <c r="D98" s="58" t="s">
        <v>2972</v>
      </c>
      <c r="E98" s="59" t="s">
        <v>108</v>
      </c>
      <c r="F98" s="59" t="s">
        <v>2970</v>
      </c>
      <c r="G98" s="58" t="s">
        <v>2120</v>
      </c>
    </row>
    <row r="99" spans="1:7" ht="15" customHeight="1">
      <c r="A99" s="58" t="s">
        <v>2258</v>
      </c>
      <c r="B99" s="58" t="s">
        <v>2259</v>
      </c>
      <c r="C99" s="58" t="s">
        <v>2260</v>
      </c>
      <c r="D99" s="58" t="s">
        <v>2972</v>
      </c>
      <c r="E99" s="59" t="s">
        <v>2964</v>
      </c>
      <c r="F99" s="59" t="s">
        <v>2970</v>
      </c>
      <c r="G99" s="58" t="s">
        <v>2261</v>
      </c>
    </row>
    <row r="100" spans="1:7" ht="15" customHeight="1">
      <c r="A100" s="58" t="s">
        <v>2262</v>
      </c>
      <c r="B100" s="58" t="s">
        <v>2259</v>
      </c>
      <c r="C100" s="58" t="s">
        <v>2147</v>
      </c>
      <c r="D100" s="58" t="s">
        <v>2972</v>
      </c>
      <c r="E100" s="59" t="s">
        <v>108</v>
      </c>
      <c r="F100" s="59" t="s">
        <v>2970</v>
      </c>
      <c r="G100" s="58" t="s">
        <v>2263</v>
      </c>
    </row>
    <row r="101" spans="1:7" ht="15" customHeight="1">
      <c r="A101" s="58" t="s">
        <v>2264</v>
      </c>
      <c r="B101" s="58" t="s">
        <v>2252</v>
      </c>
      <c r="C101" s="58" t="s">
        <v>2265</v>
      </c>
      <c r="D101" s="58" t="s">
        <v>2972</v>
      </c>
      <c r="E101" s="59" t="s">
        <v>108</v>
      </c>
      <c r="F101" s="59" t="s">
        <v>2970</v>
      </c>
      <c r="G101" s="58" t="s">
        <v>2120</v>
      </c>
    </row>
    <row r="102" spans="1:7" ht="15" customHeight="1">
      <c r="A102" s="302" t="s">
        <v>2266</v>
      </c>
      <c r="B102" s="302" t="s">
        <v>2252</v>
      </c>
      <c r="C102" s="302" t="s">
        <v>2267</v>
      </c>
      <c r="D102" s="302" t="s">
        <v>2972</v>
      </c>
      <c r="E102" s="303" t="s">
        <v>108</v>
      </c>
      <c r="F102" s="303" t="s">
        <v>2970</v>
      </c>
      <c r="G102" s="302" t="s">
        <v>2268</v>
      </c>
    </row>
    <row r="103" spans="1:7" ht="15" customHeight="1">
      <c r="A103" s="58" t="s">
        <v>2269</v>
      </c>
      <c r="B103" s="58" t="s">
        <v>2252</v>
      </c>
      <c r="C103" s="58" t="s">
        <v>2270</v>
      </c>
      <c r="D103" s="58" t="s">
        <v>2972</v>
      </c>
      <c r="E103" s="59" t="s">
        <v>108</v>
      </c>
      <c r="F103" s="59" t="s">
        <v>2970</v>
      </c>
      <c r="G103" s="58" t="s">
        <v>2120</v>
      </c>
    </row>
    <row r="104" spans="1:7" ht="15" customHeight="1">
      <c r="A104" s="76" t="s">
        <v>2341</v>
      </c>
      <c r="B104" s="76"/>
      <c r="C104" s="76"/>
      <c r="D104" s="76"/>
      <c r="E104" s="77"/>
      <c r="F104" s="76"/>
      <c r="G104" s="76"/>
    </row>
    <row r="105" spans="1:7" ht="15" customHeight="1">
      <c r="A105" s="58" t="s">
        <v>2272</v>
      </c>
      <c r="B105" s="58" t="s">
        <v>2273</v>
      </c>
      <c r="C105" s="58" t="s">
        <v>2274</v>
      </c>
      <c r="D105" s="58" t="s">
        <v>2972</v>
      </c>
      <c r="E105" s="59" t="s">
        <v>108</v>
      </c>
      <c r="F105" s="59" t="s">
        <v>2970</v>
      </c>
      <c r="G105" s="58" t="s">
        <v>2275</v>
      </c>
    </row>
    <row r="106" spans="1:7" ht="15" customHeight="1">
      <c r="A106" s="58" t="s">
        <v>2276</v>
      </c>
      <c r="B106" s="58" t="s">
        <v>2248</v>
      </c>
      <c r="C106" s="58" t="s">
        <v>2277</v>
      </c>
      <c r="D106" s="58" t="s">
        <v>2972</v>
      </c>
      <c r="E106" s="59" t="s">
        <v>108</v>
      </c>
      <c r="F106" s="59" t="s">
        <v>2970</v>
      </c>
      <c r="G106" s="58" t="s">
        <v>2278</v>
      </c>
    </row>
    <row r="107" spans="1:7" ht="15" customHeight="1">
      <c r="A107" s="58" t="s">
        <v>2279</v>
      </c>
      <c r="B107" s="58" t="s">
        <v>2280</v>
      </c>
      <c r="C107" s="58" t="s">
        <v>2281</v>
      </c>
      <c r="D107" s="58" t="s">
        <v>2972</v>
      </c>
      <c r="E107" s="59" t="s">
        <v>108</v>
      </c>
      <c r="F107" s="59" t="s">
        <v>2970</v>
      </c>
      <c r="G107" s="58" t="s">
        <v>2282</v>
      </c>
    </row>
    <row r="108" spans="1:7" ht="15" customHeight="1">
      <c r="A108" s="58" t="s">
        <v>2283</v>
      </c>
      <c r="B108" s="58" t="s">
        <v>2273</v>
      </c>
      <c r="C108" s="58" t="s">
        <v>108</v>
      </c>
      <c r="D108" s="58" t="s">
        <v>2972</v>
      </c>
      <c r="E108" s="59" t="s">
        <v>108</v>
      </c>
      <c r="F108" s="59" t="s">
        <v>2970</v>
      </c>
      <c r="G108" s="58" t="s">
        <v>2284</v>
      </c>
    </row>
    <row r="109" spans="1:7" ht="15" customHeight="1">
      <c r="A109" s="302" t="s">
        <v>2285</v>
      </c>
      <c r="B109" s="302"/>
      <c r="C109" s="302" t="s">
        <v>2135</v>
      </c>
      <c r="D109" s="302" t="s">
        <v>2972</v>
      </c>
      <c r="E109" s="303" t="s">
        <v>2136</v>
      </c>
      <c r="F109" s="303" t="s">
        <v>2970</v>
      </c>
      <c r="G109" s="302" t="s">
        <v>2120</v>
      </c>
    </row>
    <row r="110" spans="1:7" ht="15" customHeight="1">
      <c r="A110" s="58" t="s">
        <v>2286</v>
      </c>
      <c r="B110" s="58"/>
      <c r="C110" s="58" t="s">
        <v>108</v>
      </c>
      <c r="D110" s="58" t="s">
        <v>2972</v>
      </c>
      <c r="E110" s="59" t="s">
        <v>108</v>
      </c>
      <c r="F110" s="59" t="s">
        <v>2970</v>
      </c>
      <c r="G110" s="58" t="s">
        <v>2120</v>
      </c>
    </row>
    <row r="111" spans="1:7" ht="15" customHeight="1">
      <c r="A111" s="58" t="s">
        <v>2287</v>
      </c>
      <c r="B111" s="58" t="s">
        <v>2273</v>
      </c>
      <c r="C111" s="58" t="s">
        <v>2288</v>
      </c>
      <c r="D111" s="58" t="s">
        <v>2972</v>
      </c>
      <c r="E111" s="59" t="s">
        <v>2288</v>
      </c>
      <c r="F111" s="59" t="s">
        <v>2970</v>
      </c>
      <c r="G111" s="58" t="s">
        <v>2289</v>
      </c>
    </row>
    <row r="112" spans="1:7" ht="15" customHeight="1">
      <c r="A112" s="76" t="s">
        <v>2346</v>
      </c>
      <c r="B112" s="76"/>
      <c r="C112" s="76"/>
      <c r="D112" s="76"/>
      <c r="E112" s="77"/>
      <c r="F112" s="76"/>
      <c r="G112" s="76"/>
    </row>
    <row r="113" spans="1:7" ht="15" customHeight="1">
      <c r="A113" s="58" t="s">
        <v>2291</v>
      </c>
      <c r="B113" s="58"/>
      <c r="C113" s="58" t="s">
        <v>2135</v>
      </c>
      <c r="D113" s="58" t="s">
        <v>2972</v>
      </c>
      <c r="E113" s="59" t="s">
        <v>2136</v>
      </c>
      <c r="F113" s="59" t="s">
        <v>2970</v>
      </c>
      <c r="G113" s="58" t="s">
        <v>2292</v>
      </c>
    </row>
    <row r="114" spans="1:7" ht="15" customHeight="1">
      <c r="A114" s="58" t="s">
        <v>2293</v>
      </c>
      <c r="B114" s="58" t="s">
        <v>2294</v>
      </c>
      <c r="C114" s="58" t="s">
        <v>2295</v>
      </c>
      <c r="D114" s="58" t="s">
        <v>2972</v>
      </c>
      <c r="E114" s="59" t="s">
        <v>108</v>
      </c>
      <c r="F114" s="59" t="s">
        <v>2970</v>
      </c>
      <c r="G114" s="58" t="s">
        <v>2296</v>
      </c>
    </row>
    <row r="115" spans="1:7" ht="15" customHeight="1">
      <c r="A115" s="58" t="s">
        <v>2297</v>
      </c>
      <c r="B115" s="58" t="s">
        <v>2298</v>
      </c>
      <c r="C115" s="58" t="s">
        <v>108</v>
      </c>
      <c r="D115" s="58" t="s">
        <v>2972</v>
      </c>
      <c r="E115" s="59" t="s">
        <v>108</v>
      </c>
      <c r="F115" s="59" t="s">
        <v>2970</v>
      </c>
      <c r="G115" s="58" t="s">
        <v>2299</v>
      </c>
    </row>
    <row r="116" spans="1:7" ht="15" customHeight="1">
      <c r="A116" s="58" t="s">
        <v>2300</v>
      </c>
      <c r="B116" s="58" t="s">
        <v>2294</v>
      </c>
      <c r="C116" s="58" t="s">
        <v>108</v>
      </c>
      <c r="D116" s="58" t="s">
        <v>2972</v>
      </c>
      <c r="E116" s="59" t="s">
        <v>108</v>
      </c>
      <c r="F116" s="59" t="s">
        <v>2970</v>
      </c>
      <c r="G116" s="58" t="s">
        <v>2299</v>
      </c>
    </row>
    <row r="117" spans="1:7" ht="15" customHeight="1">
      <c r="A117" s="58" t="s">
        <v>2301</v>
      </c>
      <c r="B117" s="58" t="s">
        <v>2302</v>
      </c>
      <c r="C117" s="58" t="s">
        <v>2193</v>
      </c>
      <c r="D117" s="58" t="s">
        <v>2972</v>
      </c>
      <c r="E117" s="59" t="s">
        <v>2193</v>
      </c>
      <c r="F117" s="59" t="s">
        <v>2970</v>
      </c>
      <c r="G117" s="58" t="s">
        <v>2303</v>
      </c>
    </row>
    <row r="118" spans="1:7" ht="15" customHeight="1">
      <c r="A118" s="58" t="s">
        <v>2304</v>
      </c>
      <c r="B118" s="58" t="s">
        <v>2305</v>
      </c>
      <c r="C118" s="58" t="s">
        <v>2257</v>
      </c>
      <c r="D118" s="58" t="s">
        <v>2972</v>
      </c>
      <c r="E118" s="59" t="s">
        <v>108</v>
      </c>
      <c r="F118" s="59" t="s">
        <v>2970</v>
      </c>
      <c r="G118" s="58" t="s">
        <v>2306</v>
      </c>
    </row>
    <row r="119" spans="1:7" ht="15" customHeight="1">
      <c r="A119" s="76" t="s">
        <v>2350</v>
      </c>
      <c r="B119" s="76"/>
      <c r="C119" s="76"/>
      <c r="D119" s="76"/>
      <c r="E119" s="77"/>
      <c r="F119" s="76"/>
      <c r="G119" s="76"/>
    </row>
    <row r="120" spans="1:7" ht="15" customHeight="1">
      <c r="A120" s="58" t="s">
        <v>2114</v>
      </c>
      <c r="B120" s="58" t="s">
        <v>2115</v>
      </c>
      <c r="C120" s="58" t="s">
        <v>1559</v>
      </c>
      <c r="D120" s="58" t="s">
        <v>2973</v>
      </c>
      <c r="E120" s="59" t="s">
        <v>108</v>
      </c>
      <c r="F120" s="59" t="s">
        <v>2970</v>
      </c>
      <c r="G120" s="58" t="s">
        <v>2117</v>
      </c>
    </row>
    <row r="121" spans="1:7" ht="15" customHeight="1">
      <c r="A121" s="58" t="s">
        <v>2352</v>
      </c>
      <c r="B121" s="58"/>
      <c r="C121" s="58" t="s">
        <v>1201</v>
      </c>
      <c r="D121" s="58" t="s">
        <v>2973</v>
      </c>
      <c r="E121" s="59" t="s">
        <v>1201</v>
      </c>
      <c r="F121" s="59" t="s">
        <v>2970</v>
      </c>
      <c r="G121" s="58" t="s">
        <v>2120</v>
      </c>
    </row>
    <row r="122" spans="1:7" ht="15" customHeight="1">
      <c r="A122" s="58" t="s">
        <v>2118</v>
      </c>
      <c r="B122" s="58"/>
      <c r="C122" s="58" t="s">
        <v>2119</v>
      </c>
      <c r="D122" s="58" t="s">
        <v>2973</v>
      </c>
      <c r="E122" s="59" t="s">
        <v>2119</v>
      </c>
      <c r="F122" s="59" t="s">
        <v>2970</v>
      </c>
      <c r="G122" s="58" t="s">
        <v>2120</v>
      </c>
    </row>
    <row r="123" spans="1:7" ht="15" customHeight="1">
      <c r="A123" s="58" t="s">
        <v>2121</v>
      </c>
      <c r="B123" s="58" t="s">
        <v>2122</v>
      </c>
      <c r="C123" s="58" t="s">
        <v>108</v>
      </c>
      <c r="D123" s="58" t="s">
        <v>2973</v>
      </c>
      <c r="E123" s="59" t="s">
        <v>108</v>
      </c>
      <c r="F123" s="59" t="s">
        <v>2970</v>
      </c>
      <c r="G123" s="58" t="s">
        <v>2120</v>
      </c>
    </row>
    <row r="124" spans="1:7" ht="15" customHeight="1">
      <c r="A124" s="58" t="s">
        <v>2123</v>
      </c>
      <c r="B124" s="58" t="s">
        <v>2124</v>
      </c>
      <c r="C124" s="58" t="s">
        <v>108</v>
      </c>
      <c r="D124" s="58" t="s">
        <v>2973</v>
      </c>
      <c r="E124" s="59" t="s">
        <v>108</v>
      </c>
      <c r="F124" s="59" t="s">
        <v>2970</v>
      </c>
      <c r="G124" s="58" t="s">
        <v>2125</v>
      </c>
    </row>
    <row r="125" spans="1:7" ht="15" customHeight="1">
      <c r="A125" s="302" t="s">
        <v>2126</v>
      </c>
      <c r="B125" s="302"/>
      <c r="C125" s="302" t="s">
        <v>108</v>
      </c>
      <c r="D125" s="302" t="s">
        <v>2973</v>
      </c>
      <c r="E125" s="303" t="s">
        <v>108</v>
      </c>
      <c r="F125" s="303" t="s">
        <v>2970</v>
      </c>
      <c r="G125" s="302" t="s">
        <v>2120</v>
      </c>
    </row>
    <row r="126" spans="1:7" ht="15" customHeight="1">
      <c r="A126" s="76" t="s">
        <v>2354</v>
      </c>
      <c r="B126" s="76"/>
      <c r="C126" s="76"/>
      <c r="D126" s="76"/>
      <c r="E126" s="77"/>
      <c r="F126" s="76"/>
      <c r="G126" s="76"/>
    </row>
    <row r="127" spans="1:7" ht="15" customHeight="1">
      <c r="A127" s="58" t="s">
        <v>2128</v>
      </c>
      <c r="B127" s="58" t="s">
        <v>2129</v>
      </c>
      <c r="C127" s="58" t="s">
        <v>108</v>
      </c>
      <c r="D127" s="58" t="s">
        <v>2973</v>
      </c>
      <c r="E127" s="59" t="s">
        <v>108</v>
      </c>
      <c r="F127" s="59" t="s">
        <v>2970</v>
      </c>
      <c r="G127" s="58" t="s">
        <v>2120</v>
      </c>
    </row>
    <row r="128" spans="1:7" ht="15" customHeight="1">
      <c r="A128" s="58" t="s">
        <v>2130</v>
      </c>
      <c r="B128" s="58" t="s">
        <v>2131</v>
      </c>
      <c r="C128" s="58" t="s">
        <v>108</v>
      </c>
      <c r="D128" s="58" t="s">
        <v>2973</v>
      </c>
      <c r="E128" s="59" t="s">
        <v>108</v>
      </c>
      <c r="F128" s="59" t="s">
        <v>2970</v>
      </c>
      <c r="G128" s="58" t="s">
        <v>2132</v>
      </c>
    </row>
    <row r="129" spans="1:7" ht="15" customHeight="1">
      <c r="A129" s="58" t="s">
        <v>2133</v>
      </c>
      <c r="B129" s="58" t="s">
        <v>2131</v>
      </c>
      <c r="C129" s="58" t="s">
        <v>108</v>
      </c>
      <c r="D129" s="58" t="s">
        <v>2973</v>
      </c>
      <c r="E129" s="59" t="s">
        <v>108</v>
      </c>
      <c r="F129" s="59" t="s">
        <v>2970</v>
      </c>
      <c r="G129" s="58" t="s">
        <v>2120</v>
      </c>
    </row>
    <row r="130" spans="1:7" ht="15" customHeight="1">
      <c r="A130" s="302" t="s">
        <v>2134</v>
      </c>
      <c r="B130" s="302"/>
      <c r="C130" s="302" t="s">
        <v>2135</v>
      </c>
      <c r="D130" s="302" t="s">
        <v>2973</v>
      </c>
      <c r="E130" s="303" t="s">
        <v>2136</v>
      </c>
      <c r="F130" s="303" t="s">
        <v>2970</v>
      </c>
      <c r="G130" s="302" t="s">
        <v>2137</v>
      </c>
    </row>
    <row r="131" spans="1:7" ht="15" customHeight="1">
      <c r="A131" s="58" t="s">
        <v>2138</v>
      </c>
      <c r="B131" s="58" t="s">
        <v>2139</v>
      </c>
      <c r="C131" s="58" t="s">
        <v>108</v>
      </c>
      <c r="D131" s="58" t="s">
        <v>2973</v>
      </c>
      <c r="E131" s="59" t="s">
        <v>108</v>
      </c>
      <c r="F131" s="59" t="s">
        <v>2970</v>
      </c>
      <c r="G131" s="58" t="s">
        <v>2140</v>
      </c>
    </row>
    <row r="132" spans="1:7" ht="15" customHeight="1">
      <c r="A132" s="76" t="s">
        <v>2356</v>
      </c>
      <c r="B132" s="76"/>
      <c r="C132" s="76"/>
      <c r="D132" s="76"/>
      <c r="E132" s="77"/>
      <c r="F132" s="76"/>
      <c r="G132" s="76"/>
    </row>
    <row r="133" spans="1:7" ht="15" customHeight="1">
      <c r="A133" s="58" t="s">
        <v>2142</v>
      </c>
      <c r="B133" s="58" t="s">
        <v>2143</v>
      </c>
      <c r="C133" s="58" t="s">
        <v>108</v>
      </c>
      <c r="D133" s="58" t="s">
        <v>2973</v>
      </c>
      <c r="E133" s="59" t="s">
        <v>108</v>
      </c>
      <c r="F133" s="59" t="s">
        <v>2970</v>
      </c>
      <c r="G133" s="58" t="s">
        <v>2120</v>
      </c>
    </row>
    <row r="134" spans="1:7" ht="15" customHeight="1">
      <c r="A134" s="58" t="s">
        <v>2144</v>
      </c>
      <c r="B134" s="58" t="s">
        <v>2143</v>
      </c>
      <c r="C134" s="58" t="s">
        <v>2145</v>
      </c>
      <c r="D134" s="58" t="s">
        <v>2973</v>
      </c>
      <c r="E134" s="59" t="s">
        <v>108</v>
      </c>
      <c r="F134" s="59" t="s">
        <v>2970</v>
      </c>
      <c r="G134" s="58" t="s">
        <v>2120</v>
      </c>
    </row>
    <row r="135" spans="1:7" ht="15" customHeight="1">
      <c r="A135" s="58" t="s">
        <v>2146</v>
      </c>
      <c r="B135" s="58" t="s">
        <v>2143</v>
      </c>
      <c r="C135" s="58" t="s">
        <v>2147</v>
      </c>
      <c r="D135" s="58" t="s">
        <v>2973</v>
      </c>
      <c r="E135" s="59" t="s">
        <v>108</v>
      </c>
      <c r="F135" s="59" t="s">
        <v>2970</v>
      </c>
      <c r="G135" s="58" t="s">
        <v>2148</v>
      </c>
    </row>
    <row r="136" spans="1:7" ht="15" customHeight="1">
      <c r="A136" s="58" t="s">
        <v>2149</v>
      </c>
      <c r="B136" s="58" t="s">
        <v>2143</v>
      </c>
      <c r="C136" s="58" t="s">
        <v>108</v>
      </c>
      <c r="D136" s="58" t="s">
        <v>2973</v>
      </c>
      <c r="E136" s="59" t="s">
        <v>108</v>
      </c>
      <c r="F136" s="59" t="s">
        <v>2970</v>
      </c>
      <c r="G136" s="58" t="s">
        <v>2120</v>
      </c>
    </row>
    <row r="137" spans="1:7" ht="15" customHeight="1">
      <c r="A137" s="76" t="s">
        <v>2357</v>
      </c>
      <c r="B137" s="76"/>
      <c r="C137" s="76"/>
      <c r="D137" s="76"/>
      <c r="E137" s="77"/>
      <c r="F137" s="76"/>
      <c r="G137" s="76"/>
    </row>
    <row r="138" spans="1:7" ht="15" customHeight="1">
      <c r="A138" s="58" t="s">
        <v>2151</v>
      </c>
      <c r="B138" s="58" t="s">
        <v>2152</v>
      </c>
      <c r="C138" s="58" t="s">
        <v>2153</v>
      </c>
      <c r="D138" s="58" t="s">
        <v>2973</v>
      </c>
      <c r="E138" s="59" t="s">
        <v>108</v>
      </c>
      <c r="F138" s="59" t="s">
        <v>2970</v>
      </c>
      <c r="G138" s="58" t="s">
        <v>2120</v>
      </c>
    </row>
    <row r="139" spans="1:7" ht="15" customHeight="1">
      <c r="A139" s="58" t="s">
        <v>2154</v>
      </c>
      <c r="B139" s="58" t="s">
        <v>2155</v>
      </c>
      <c r="C139" s="58" t="s">
        <v>108</v>
      </c>
      <c r="D139" s="58" t="s">
        <v>2973</v>
      </c>
      <c r="E139" s="59" t="s">
        <v>108</v>
      </c>
      <c r="F139" s="59" t="s">
        <v>2970</v>
      </c>
      <c r="G139" s="58" t="s">
        <v>2120</v>
      </c>
    </row>
    <row r="140" spans="1:7" ht="15" customHeight="1">
      <c r="A140" s="58" t="s">
        <v>2156</v>
      </c>
      <c r="B140" s="58" t="s">
        <v>2152</v>
      </c>
      <c r="C140" s="58" t="s">
        <v>2157</v>
      </c>
      <c r="D140" s="58" t="s">
        <v>2973</v>
      </c>
      <c r="E140" s="59" t="s">
        <v>108</v>
      </c>
      <c r="F140" s="59" t="s">
        <v>2970</v>
      </c>
      <c r="G140" s="58" t="s">
        <v>2120</v>
      </c>
    </row>
    <row r="141" spans="1:7" ht="15" customHeight="1">
      <c r="A141" s="58" t="s">
        <v>2158</v>
      </c>
      <c r="B141" s="58" t="s">
        <v>2155</v>
      </c>
      <c r="C141" s="58" t="s">
        <v>2159</v>
      </c>
      <c r="D141" s="58" t="s">
        <v>2973</v>
      </c>
      <c r="E141" s="59" t="s">
        <v>108</v>
      </c>
      <c r="F141" s="59" t="s">
        <v>2970</v>
      </c>
      <c r="G141" s="58" t="s">
        <v>2160</v>
      </c>
    </row>
    <row r="142" spans="1:7" ht="15" customHeight="1">
      <c r="A142" s="58" t="s">
        <v>2161</v>
      </c>
      <c r="B142" s="58" t="s">
        <v>2162</v>
      </c>
      <c r="C142" s="58" t="s">
        <v>108</v>
      </c>
      <c r="D142" s="58" t="s">
        <v>2973</v>
      </c>
      <c r="E142" s="59" t="s">
        <v>108</v>
      </c>
      <c r="F142" s="59" t="s">
        <v>2970</v>
      </c>
      <c r="G142" s="58" t="s">
        <v>2163</v>
      </c>
    </row>
    <row r="143" spans="1:7" ht="15" customHeight="1">
      <c r="A143" s="58" t="s">
        <v>2164</v>
      </c>
      <c r="B143" s="58" t="s">
        <v>2162</v>
      </c>
      <c r="C143" s="58" t="s">
        <v>108</v>
      </c>
      <c r="D143" s="58" t="s">
        <v>2973</v>
      </c>
      <c r="E143" s="59" t="s">
        <v>108</v>
      </c>
      <c r="F143" s="59" t="s">
        <v>2970</v>
      </c>
      <c r="G143" s="58" t="s">
        <v>2120</v>
      </c>
    </row>
    <row r="144" spans="1:7" ht="15" customHeight="1">
      <c r="A144" s="76" t="s">
        <v>2362</v>
      </c>
      <c r="B144" s="76"/>
      <c r="C144" s="76"/>
      <c r="D144" s="76"/>
      <c r="E144" s="77"/>
      <c r="F144" s="76"/>
      <c r="G144" s="76"/>
    </row>
    <row r="145" spans="1:7" ht="15" customHeight="1">
      <c r="A145" s="58" t="s">
        <v>2166</v>
      </c>
      <c r="B145" s="58" t="s">
        <v>2167</v>
      </c>
      <c r="C145" s="58" t="s">
        <v>108</v>
      </c>
      <c r="D145" s="58" t="s">
        <v>2973</v>
      </c>
      <c r="E145" s="59" t="s">
        <v>108</v>
      </c>
      <c r="F145" s="59" t="s">
        <v>2970</v>
      </c>
      <c r="G145" s="58" t="s">
        <v>2168</v>
      </c>
    </row>
    <row r="146" spans="1:7" ht="15" customHeight="1">
      <c r="A146" s="302" t="s">
        <v>2169</v>
      </c>
      <c r="B146" s="302" t="s">
        <v>2129</v>
      </c>
      <c r="C146" s="302" t="s">
        <v>2170</v>
      </c>
      <c r="D146" s="302" t="s">
        <v>2973</v>
      </c>
      <c r="E146" s="303" t="s">
        <v>2136</v>
      </c>
      <c r="F146" s="303" t="s">
        <v>2970</v>
      </c>
      <c r="G146" s="302" t="s">
        <v>2120</v>
      </c>
    </row>
    <row r="147" spans="1:7" ht="15" customHeight="1">
      <c r="A147" s="58" t="s">
        <v>2171</v>
      </c>
      <c r="B147" s="58" t="s">
        <v>2129</v>
      </c>
      <c r="C147" s="58" t="s">
        <v>2135</v>
      </c>
      <c r="D147" s="58" t="s">
        <v>2973</v>
      </c>
      <c r="E147" s="59" t="s">
        <v>2136</v>
      </c>
      <c r="F147" s="59" t="s">
        <v>2970</v>
      </c>
      <c r="G147" s="58" t="s">
        <v>2120</v>
      </c>
    </row>
    <row r="148" spans="1:7" ht="15" customHeight="1">
      <c r="A148" s="58" t="s">
        <v>2172</v>
      </c>
      <c r="B148" s="58" t="s">
        <v>2129</v>
      </c>
      <c r="C148" s="58" t="s">
        <v>2135</v>
      </c>
      <c r="D148" s="58" t="s">
        <v>2973</v>
      </c>
      <c r="E148" s="59" t="s">
        <v>2136</v>
      </c>
      <c r="F148" s="59" t="s">
        <v>2970</v>
      </c>
      <c r="G148" s="58" t="s">
        <v>2120</v>
      </c>
    </row>
    <row r="149" spans="1:7" ht="15" customHeight="1">
      <c r="A149" s="58" t="s">
        <v>2173</v>
      </c>
      <c r="B149" s="58" t="s">
        <v>2174</v>
      </c>
      <c r="C149" s="58" t="s">
        <v>2135</v>
      </c>
      <c r="D149" s="58" t="s">
        <v>2973</v>
      </c>
      <c r="E149" s="59" t="s">
        <v>2136</v>
      </c>
      <c r="F149" s="59" t="s">
        <v>2970</v>
      </c>
      <c r="G149" s="58" t="s">
        <v>2120</v>
      </c>
    </row>
    <row r="150" spans="1:7" ht="15" customHeight="1">
      <c r="A150" s="58" t="s">
        <v>2175</v>
      </c>
      <c r="B150" s="58"/>
      <c r="C150" s="58" t="s">
        <v>2135</v>
      </c>
      <c r="D150" s="58" t="s">
        <v>2973</v>
      </c>
      <c r="E150" s="59" t="s">
        <v>2136</v>
      </c>
      <c r="F150" s="59" t="s">
        <v>2970</v>
      </c>
      <c r="G150" s="58" t="s">
        <v>2120</v>
      </c>
    </row>
    <row r="151" spans="1:7" ht="15" customHeight="1">
      <c r="A151" s="58" t="s">
        <v>2176</v>
      </c>
      <c r="B151" s="58"/>
      <c r="C151" s="58" t="s">
        <v>2135</v>
      </c>
      <c r="D151" s="58" t="s">
        <v>2973</v>
      </c>
      <c r="E151" s="59" t="s">
        <v>2136</v>
      </c>
      <c r="F151" s="59" t="s">
        <v>2970</v>
      </c>
      <c r="G151" s="58" t="s">
        <v>2120</v>
      </c>
    </row>
    <row r="152" spans="1:7" ht="15" customHeight="1">
      <c r="A152" s="58" t="s">
        <v>2177</v>
      </c>
      <c r="B152" s="58"/>
      <c r="C152" s="58" t="s">
        <v>2135</v>
      </c>
      <c r="D152" s="58" t="s">
        <v>2973</v>
      </c>
      <c r="E152" s="59" t="s">
        <v>2136</v>
      </c>
      <c r="F152" s="59" t="s">
        <v>2970</v>
      </c>
      <c r="G152" s="58" t="s">
        <v>2120</v>
      </c>
    </row>
    <row r="153" spans="1:7" ht="15" customHeight="1">
      <c r="A153" s="76" t="s">
        <v>2363</v>
      </c>
      <c r="B153" s="76"/>
      <c r="C153" s="76"/>
      <c r="D153" s="76"/>
      <c r="E153" s="77"/>
      <c r="F153" s="76"/>
      <c r="G153" s="76"/>
    </row>
    <row r="154" spans="1:7" ht="15" customHeight="1">
      <c r="A154" s="58" t="s">
        <v>2179</v>
      </c>
      <c r="B154" s="58" t="s">
        <v>2180</v>
      </c>
      <c r="C154" s="58" t="s">
        <v>108</v>
      </c>
      <c r="D154" s="58" t="s">
        <v>2973</v>
      </c>
      <c r="E154" s="59" t="s">
        <v>108</v>
      </c>
      <c r="F154" s="59" t="s">
        <v>2970</v>
      </c>
      <c r="G154" s="58" t="s">
        <v>2120</v>
      </c>
    </row>
    <row r="155" spans="1:7" ht="15" customHeight="1">
      <c r="A155" s="58" t="s">
        <v>2181</v>
      </c>
      <c r="B155" s="58" t="s">
        <v>2182</v>
      </c>
      <c r="C155" s="58" t="s">
        <v>108</v>
      </c>
      <c r="D155" s="58" t="s">
        <v>2973</v>
      </c>
      <c r="E155" s="59" t="s">
        <v>108</v>
      </c>
      <c r="F155" s="59" t="s">
        <v>2970</v>
      </c>
      <c r="G155" s="58" t="s">
        <v>2120</v>
      </c>
    </row>
    <row r="156" spans="1:7" ht="15" customHeight="1">
      <c r="A156" s="302" t="s">
        <v>2183</v>
      </c>
      <c r="B156" s="302" t="s">
        <v>2182</v>
      </c>
      <c r="C156" s="302" t="s">
        <v>2184</v>
      </c>
      <c r="D156" s="302" t="s">
        <v>2973</v>
      </c>
      <c r="E156" s="303" t="s">
        <v>108</v>
      </c>
      <c r="F156" s="303" t="s">
        <v>2970</v>
      </c>
      <c r="G156" s="302" t="s">
        <v>2185</v>
      </c>
    </row>
    <row r="157" spans="1:7" ht="15" customHeight="1">
      <c r="A157" s="58" t="s">
        <v>2186</v>
      </c>
      <c r="B157" s="58" t="s">
        <v>2187</v>
      </c>
      <c r="C157" s="58" t="s">
        <v>108</v>
      </c>
      <c r="D157" s="58" t="s">
        <v>2973</v>
      </c>
      <c r="E157" s="59" t="s">
        <v>108</v>
      </c>
      <c r="F157" s="59" t="s">
        <v>2970</v>
      </c>
      <c r="G157" s="58" t="s">
        <v>2120</v>
      </c>
    </row>
    <row r="158" spans="1:7" ht="15" customHeight="1">
      <c r="A158" s="58" t="s">
        <v>2188</v>
      </c>
      <c r="B158" s="58"/>
      <c r="C158" s="58" t="s">
        <v>2189</v>
      </c>
      <c r="D158" s="58" t="s">
        <v>2973</v>
      </c>
      <c r="E158" s="59" t="s">
        <v>108</v>
      </c>
      <c r="F158" s="59" t="s">
        <v>2970</v>
      </c>
      <c r="G158" s="58" t="s">
        <v>2120</v>
      </c>
    </row>
    <row r="159" spans="1:7" ht="15" customHeight="1">
      <c r="A159" s="58" t="s">
        <v>2190</v>
      </c>
      <c r="B159" s="58"/>
      <c r="C159" s="58" t="s">
        <v>2135</v>
      </c>
      <c r="D159" s="58" t="s">
        <v>2973</v>
      </c>
      <c r="E159" s="59" t="s">
        <v>2136</v>
      </c>
      <c r="F159" s="59" t="s">
        <v>2970</v>
      </c>
      <c r="G159" s="58" t="s">
        <v>2120</v>
      </c>
    </row>
    <row r="160" spans="1:7" ht="15" customHeight="1">
      <c r="A160" s="58" t="s">
        <v>2191</v>
      </c>
      <c r="B160" s="58"/>
      <c r="C160" s="58" t="s">
        <v>2135</v>
      </c>
      <c r="D160" s="58" t="s">
        <v>2973</v>
      </c>
      <c r="E160" s="59" t="s">
        <v>2136</v>
      </c>
      <c r="F160" s="59" t="s">
        <v>2970</v>
      </c>
      <c r="G160" s="58" t="s">
        <v>2120</v>
      </c>
    </row>
    <row r="161" spans="1:7" ht="15" customHeight="1">
      <c r="A161" s="58" t="s">
        <v>2192</v>
      </c>
      <c r="B161" s="58" t="s">
        <v>2182</v>
      </c>
      <c r="C161" s="58" t="s">
        <v>2193</v>
      </c>
      <c r="D161" s="58" t="s">
        <v>2973</v>
      </c>
      <c r="E161" s="59" t="s">
        <v>2193</v>
      </c>
      <c r="F161" s="59" t="s">
        <v>2970</v>
      </c>
      <c r="G161" s="58" t="s">
        <v>2120</v>
      </c>
    </row>
    <row r="162" spans="1:7" ht="15" customHeight="1">
      <c r="A162" s="58" t="s">
        <v>2194</v>
      </c>
      <c r="B162" s="58" t="s">
        <v>2187</v>
      </c>
      <c r="C162" s="58" t="s">
        <v>108</v>
      </c>
      <c r="D162" s="58" t="s">
        <v>2973</v>
      </c>
      <c r="E162" s="59" t="s">
        <v>108</v>
      </c>
      <c r="F162" s="59" t="s">
        <v>2970</v>
      </c>
      <c r="G162" s="58" t="s">
        <v>2120</v>
      </c>
    </row>
    <row r="163" spans="1:7" ht="15" customHeight="1">
      <c r="A163" s="76" t="s">
        <v>2366</v>
      </c>
      <c r="B163" s="76"/>
      <c r="C163" s="76"/>
      <c r="D163" s="76"/>
      <c r="E163" s="77"/>
      <c r="F163" s="76"/>
      <c r="G163" s="76"/>
    </row>
    <row r="164" spans="1:7" ht="15" customHeight="1">
      <c r="A164" s="58" t="s">
        <v>2196</v>
      </c>
      <c r="B164" s="58"/>
      <c r="C164" s="58" t="s">
        <v>2193</v>
      </c>
      <c r="D164" s="58" t="s">
        <v>2973</v>
      </c>
      <c r="E164" s="59" t="s">
        <v>2193</v>
      </c>
      <c r="F164" s="59" t="s">
        <v>2970</v>
      </c>
      <c r="G164" s="58" t="s">
        <v>2120</v>
      </c>
    </row>
    <row r="165" spans="1:7" ht="15" customHeight="1">
      <c r="A165" s="58" t="s">
        <v>2197</v>
      </c>
      <c r="B165" s="58"/>
      <c r="C165" s="58" t="s">
        <v>2193</v>
      </c>
      <c r="D165" s="58" t="s">
        <v>2973</v>
      </c>
      <c r="E165" s="59" t="s">
        <v>2193</v>
      </c>
      <c r="F165" s="59" t="s">
        <v>2970</v>
      </c>
      <c r="G165" s="58" t="s">
        <v>2120</v>
      </c>
    </row>
    <row r="166" spans="1:7" ht="15" customHeight="1">
      <c r="A166" s="58" t="s">
        <v>2198</v>
      </c>
      <c r="B166" s="58"/>
      <c r="C166" s="58" t="s">
        <v>2199</v>
      </c>
      <c r="D166" s="58" t="s">
        <v>2973</v>
      </c>
      <c r="E166" s="59" t="s">
        <v>2193</v>
      </c>
      <c r="F166" s="59" t="s">
        <v>2970</v>
      </c>
      <c r="G166" s="58" t="s">
        <v>2120</v>
      </c>
    </row>
    <row r="167" spans="1:7" ht="15" customHeight="1">
      <c r="A167" s="302" t="s">
        <v>2200</v>
      </c>
      <c r="B167" s="302" t="s">
        <v>2182</v>
      </c>
      <c r="C167" s="302" t="s">
        <v>108</v>
      </c>
      <c r="D167" s="302" t="s">
        <v>2973</v>
      </c>
      <c r="E167" s="303" t="s">
        <v>108</v>
      </c>
      <c r="F167" s="303" t="s">
        <v>2970</v>
      </c>
      <c r="G167" s="302" t="s">
        <v>2120</v>
      </c>
    </row>
    <row r="168" spans="1:7" ht="15" customHeight="1">
      <c r="A168" s="58" t="s">
        <v>2201</v>
      </c>
      <c r="B168" s="58" t="s">
        <v>2182</v>
      </c>
      <c r="C168" s="58" t="s">
        <v>108</v>
      </c>
      <c r="D168" s="58" t="s">
        <v>2973</v>
      </c>
      <c r="E168" s="59" t="s">
        <v>108</v>
      </c>
      <c r="F168" s="59" t="s">
        <v>2970</v>
      </c>
      <c r="G168" s="58" t="s">
        <v>2120</v>
      </c>
    </row>
    <row r="169" spans="1:7" ht="15" customHeight="1">
      <c r="A169" s="58" t="s">
        <v>2202</v>
      </c>
      <c r="B169" s="58" t="s">
        <v>2174</v>
      </c>
      <c r="C169" s="58" t="s">
        <v>108</v>
      </c>
      <c r="D169" s="58" t="s">
        <v>2973</v>
      </c>
      <c r="E169" s="59" t="s">
        <v>108</v>
      </c>
      <c r="F169" s="59" t="s">
        <v>2970</v>
      </c>
      <c r="G169" s="58" t="s">
        <v>2120</v>
      </c>
    </row>
    <row r="170" spans="1:7" ht="15" customHeight="1">
      <c r="A170" s="58" t="s">
        <v>2203</v>
      </c>
      <c r="B170" s="58" t="s">
        <v>2204</v>
      </c>
      <c r="C170" s="58" t="s">
        <v>2193</v>
      </c>
      <c r="D170" s="58" t="s">
        <v>2973</v>
      </c>
      <c r="E170" s="59" t="s">
        <v>2193</v>
      </c>
      <c r="F170" s="59" t="s">
        <v>2970</v>
      </c>
      <c r="G170" s="58" t="s">
        <v>2120</v>
      </c>
    </row>
    <row r="171" spans="1:7" ht="15" customHeight="1">
      <c r="A171" s="302" t="s">
        <v>2205</v>
      </c>
      <c r="B171" s="302" t="s">
        <v>2204</v>
      </c>
      <c r="C171" s="302" t="s">
        <v>2193</v>
      </c>
      <c r="D171" s="302" t="s">
        <v>2973</v>
      </c>
      <c r="E171" s="303" t="s">
        <v>2193</v>
      </c>
      <c r="F171" s="303" t="s">
        <v>2970</v>
      </c>
      <c r="G171" s="302" t="s">
        <v>2120</v>
      </c>
    </row>
    <row r="172" spans="1:7" ht="15" customHeight="1">
      <c r="A172" s="58" t="s">
        <v>2206</v>
      </c>
      <c r="B172" s="58"/>
      <c r="C172" s="58" t="s">
        <v>2135</v>
      </c>
      <c r="D172" s="58" t="s">
        <v>2973</v>
      </c>
      <c r="E172" s="59" t="s">
        <v>2136</v>
      </c>
      <c r="F172" s="59" t="s">
        <v>2970</v>
      </c>
      <c r="G172" s="58" t="s">
        <v>2120</v>
      </c>
    </row>
    <row r="173" spans="1:7" ht="15" customHeight="1">
      <c r="A173" s="58" t="s">
        <v>2207</v>
      </c>
      <c r="B173" s="58" t="s">
        <v>2204</v>
      </c>
      <c r="C173" s="58" t="s">
        <v>108</v>
      </c>
      <c r="D173" s="58" t="s">
        <v>2973</v>
      </c>
      <c r="E173" s="59" t="s">
        <v>108</v>
      </c>
      <c r="F173" s="59" t="s">
        <v>2970</v>
      </c>
      <c r="G173" s="58" t="s">
        <v>2208</v>
      </c>
    </row>
    <row r="174" spans="1:7" ht="15" customHeight="1">
      <c r="A174" s="76" t="s">
        <v>2368</v>
      </c>
      <c r="B174" s="76"/>
      <c r="C174" s="76"/>
      <c r="D174" s="76"/>
      <c r="E174" s="77"/>
      <c r="F174" s="76"/>
      <c r="G174" s="76"/>
    </row>
    <row r="175" spans="1:7" ht="15" customHeight="1">
      <c r="A175" s="58" t="s">
        <v>2210</v>
      </c>
      <c r="B175" s="58" t="s">
        <v>2211</v>
      </c>
      <c r="C175" s="58" t="s">
        <v>108</v>
      </c>
      <c r="D175" s="58" t="s">
        <v>2973</v>
      </c>
      <c r="E175" s="59" t="s">
        <v>108</v>
      </c>
      <c r="F175" s="59" t="s">
        <v>2970</v>
      </c>
      <c r="G175" s="58" t="s">
        <v>2120</v>
      </c>
    </row>
    <row r="176" spans="1:7" ht="15" customHeight="1">
      <c r="A176" s="58" t="s">
        <v>2212</v>
      </c>
      <c r="B176" s="58" t="s">
        <v>2213</v>
      </c>
      <c r="C176" s="58" t="s">
        <v>108</v>
      </c>
      <c r="D176" s="58" t="s">
        <v>2973</v>
      </c>
      <c r="E176" s="59" t="s">
        <v>108</v>
      </c>
      <c r="F176" s="59" t="s">
        <v>2970</v>
      </c>
      <c r="G176" s="58" t="s">
        <v>2120</v>
      </c>
    </row>
    <row r="177" spans="1:7" ht="15" customHeight="1">
      <c r="A177" s="58" t="s">
        <v>2214</v>
      </c>
      <c r="B177" s="58" t="s">
        <v>2213</v>
      </c>
      <c r="C177" s="58" t="s">
        <v>108</v>
      </c>
      <c r="D177" s="58" t="s">
        <v>2973</v>
      </c>
      <c r="E177" s="59" t="s">
        <v>108</v>
      </c>
      <c r="F177" s="59" t="s">
        <v>2970</v>
      </c>
      <c r="G177" s="58" t="s">
        <v>2120</v>
      </c>
    </row>
    <row r="178" spans="1:7" ht="15" customHeight="1">
      <c r="A178" s="76" t="s">
        <v>2369</v>
      </c>
      <c r="B178" s="76"/>
      <c r="C178" s="76"/>
      <c r="D178" s="76"/>
      <c r="E178" s="77"/>
      <c r="F178" s="76"/>
      <c r="G178" s="76"/>
    </row>
    <row r="179" spans="1:7" ht="15" customHeight="1">
      <c r="A179" s="302" t="s">
        <v>2216</v>
      </c>
      <c r="B179" s="302" t="s">
        <v>2217</v>
      </c>
      <c r="C179" s="302" t="s">
        <v>2193</v>
      </c>
      <c r="D179" s="302" t="s">
        <v>2973</v>
      </c>
      <c r="E179" s="303" t="s">
        <v>2193</v>
      </c>
      <c r="F179" s="303" t="s">
        <v>2970</v>
      </c>
      <c r="G179" s="302" t="s">
        <v>2218</v>
      </c>
    </row>
    <row r="180" spans="1:7" ht="15" customHeight="1">
      <c r="A180" s="58" t="s">
        <v>2219</v>
      </c>
      <c r="B180" s="58" t="s">
        <v>2220</v>
      </c>
      <c r="C180" s="58" t="s">
        <v>108</v>
      </c>
      <c r="D180" s="58" t="s">
        <v>2973</v>
      </c>
      <c r="E180" s="59" t="s">
        <v>108</v>
      </c>
      <c r="F180" s="59" t="s">
        <v>2970</v>
      </c>
      <c r="G180" s="58" t="s">
        <v>2221</v>
      </c>
    </row>
    <row r="181" spans="1:7" ht="15" customHeight="1">
      <c r="A181" s="58" t="s">
        <v>2222</v>
      </c>
      <c r="B181" s="58" t="s">
        <v>2223</v>
      </c>
      <c r="C181" s="58" t="s">
        <v>108</v>
      </c>
      <c r="D181" s="58" t="s">
        <v>2973</v>
      </c>
      <c r="E181" s="59" t="s">
        <v>108</v>
      </c>
      <c r="F181" s="59" t="s">
        <v>2970</v>
      </c>
      <c r="G181" s="58" t="s">
        <v>2224</v>
      </c>
    </row>
    <row r="182" spans="1:7" ht="15" customHeight="1">
      <c r="A182" s="58" t="s">
        <v>2225</v>
      </c>
      <c r="B182" s="58" t="s">
        <v>2226</v>
      </c>
      <c r="C182" s="58" t="s">
        <v>108</v>
      </c>
      <c r="D182" s="58" t="s">
        <v>2973</v>
      </c>
      <c r="E182" s="59" t="s">
        <v>108</v>
      </c>
      <c r="F182" s="59" t="s">
        <v>2970</v>
      </c>
      <c r="G182" s="58" t="s">
        <v>2227</v>
      </c>
    </row>
    <row r="183" spans="1:7" ht="15" customHeight="1">
      <c r="A183" s="58" t="s">
        <v>2228</v>
      </c>
      <c r="B183" s="58"/>
      <c r="C183" s="58" t="s">
        <v>2135</v>
      </c>
      <c r="D183" s="58" t="s">
        <v>2973</v>
      </c>
      <c r="E183" s="59" t="s">
        <v>2136</v>
      </c>
      <c r="F183" s="59" t="s">
        <v>2970</v>
      </c>
      <c r="G183" s="58" t="s">
        <v>2120</v>
      </c>
    </row>
    <row r="184" spans="1:7" ht="15" customHeight="1">
      <c r="A184" s="76" t="s">
        <v>2375</v>
      </c>
      <c r="B184" s="76"/>
      <c r="C184" s="76"/>
      <c r="D184" s="76"/>
      <c r="E184" s="77"/>
      <c r="F184" s="76"/>
      <c r="G184" s="76"/>
    </row>
    <row r="185" spans="1:7" ht="15" customHeight="1">
      <c r="A185" s="58" t="s">
        <v>2230</v>
      </c>
      <c r="B185" s="58" t="s">
        <v>2220</v>
      </c>
      <c r="C185" s="58" t="s">
        <v>108</v>
      </c>
      <c r="D185" s="58" t="s">
        <v>2973</v>
      </c>
      <c r="E185" s="59" t="s">
        <v>108</v>
      </c>
      <c r="F185" s="59" t="s">
        <v>2970</v>
      </c>
      <c r="G185" s="58" t="s">
        <v>2231</v>
      </c>
    </row>
    <row r="186" spans="1:7" ht="15" customHeight="1">
      <c r="A186" s="58" t="s">
        <v>2232</v>
      </c>
      <c r="B186" s="58" t="s">
        <v>2220</v>
      </c>
      <c r="C186" s="58" t="s">
        <v>108</v>
      </c>
      <c r="D186" s="58" t="s">
        <v>2973</v>
      </c>
      <c r="E186" s="59" t="s">
        <v>108</v>
      </c>
      <c r="F186" s="59" t="s">
        <v>2970</v>
      </c>
      <c r="G186" s="58" t="s">
        <v>2120</v>
      </c>
    </row>
    <row r="187" spans="1:7" ht="15" customHeight="1">
      <c r="A187" s="58" t="s">
        <v>2233</v>
      </c>
      <c r="B187" s="58" t="s">
        <v>2234</v>
      </c>
      <c r="C187" s="58" t="s">
        <v>108</v>
      </c>
      <c r="D187" s="58" t="s">
        <v>2973</v>
      </c>
      <c r="E187" s="59" t="s">
        <v>108</v>
      </c>
      <c r="F187" s="59" t="s">
        <v>2970</v>
      </c>
      <c r="G187" s="58" t="s">
        <v>2235</v>
      </c>
    </row>
    <row r="188" spans="1:7" ht="15" customHeight="1">
      <c r="A188" s="58" t="s">
        <v>2236</v>
      </c>
      <c r="B188" s="58" t="s">
        <v>2237</v>
      </c>
      <c r="C188" s="58" t="s">
        <v>108</v>
      </c>
      <c r="D188" s="58" t="s">
        <v>2973</v>
      </c>
      <c r="E188" s="59" t="s">
        <v>108</v>
      </c>
      <c r="F188" s="59" t="s">
        <v>2970</v>
      </c>
      <c r="G188" s="58" t="s">
        <v>2231</v>
      </c>
    </row>
    <row r="189" spans="1:7" ht="15" customHeight="1">
      <c r="A189" s="58" t="s">
        <v>2238</v>
      </c>
      <c r="B189" s="58" t="s">
        <v>2237</v>
      </c>
      <c r="C189" s="58" t="s">
        <v>108</v>
      </c>
      <c r="D189" s="58" t="s">
        <v>2973</v>
      </c>
      <c r="E189" s="59" t="s">
        <v>108</v>
      </c>
      <c r="F189" s="59" t="s">
        <v>2970</v>
      </c>
      <c r="G189" s="58" t="s">
        <v>2239</v>
      </c>
    </row>
    <row r="190" spans="1:7" ht="15" customHeight="1">
      <c r="A190" s="58" t="s">
        <v>2240</v>
      </c>
      <c r="B190" s="58" t="s">
        <v>2241</v>
      </c>
      <c r="C190" s="58" t="s">
        <v>2193</v>
      </c>
      <c r="D190" s="58" t="s">
        <v>2973</v>
      </c>
      <c r="E190" s="59" t="s">
        <v>2193</v>
      </c>
      <c r="F190" s="59" t="s">
        <v>2970</v>
      </c>
      <c r="G190" s="58" t="s">
        <v>2120</v>
      </c>
    </row>
    <row r="191" spans="1:7" ht="15" customHeight="1">
      <c r="A191" s="302" t="s">
        <v>2242</v>
      </c>
      <c r="B191" s="302" t="s">
        <v>2220</v>
      </c>
      <c r="C191" s="302" t="s">
        <v>2243</v>
      </c>
      <c r="D191" s="302" t="s">
        <v>2973</v>
      </c>
      <c r="E191" s="303" t="s">
        <v>2974</v>
      </c>
      <c r="F191" s="303" t="s">
        <v>2970</v>
      </c>
      <c r="G191" s="302" t="s">
        <v>2244</v>
      </c>
    </row>
    <row r="192" spans="1:7" ht="15" customHeight="1">
      <c r="A192" s="58" t="s">
        <v>2245</v>
      </c>
      <c r="B192" s="58" t="s">
        <v>2241</v>
      </c>
      <c r="C192" s="58" t="s">
        <v>2246</v>
      </c>
      <c r="D192" s="58" t="s">
        <v>2973</v>
      </c>
      <c r="E192" s="59" t="s">
        <v>108</v>
      </c>
      <c r="F192" s="59" t="s">
        <v>2970</v>
      </c>
      <c r="G192" s="58" t="s">
        <v>2120</v>
      </c>
    </row>
    <row r="193" spans="1:7" ht="15" customHeight="1">
      <c r="A193" s="58" t="s">
        <v>2247</v>
      </c>
      <c r="B193" s="58" t="s">
        <v>2248</v>
      </c>
      <c r="C193" s="58" t="s">
        <v>108</v>
      </c>
      <c r="D193" s="58" t="s">
        <v>2973</v>
      </c>
      <c r="E193" s="59" t="s">
        <v>108</v>
      </c>
      <c r="F193" s="59" t="s">
        <v>2970</v>
      </c>
      <c r="G193" s="58" t="s">
        <v>2249</v>
      </c>
    </row>
    <row r="194" spans="1:7" ht="15" customHeight="1">
      <c r="A194" s="76" t="s">
        <v>2380</v>
      </c>
      <c r="B194" s="76"/>
      <c r="C194" s="76"/>
      <c r="D194" s="76"/>
      <c r="E194" s="77"/>
      <c r="F194" s="76"/>
      <c r="G194" s="76"/>
    </row>
    <row r="195" spans="1:7" ht="15" customHeight="1">
      <c r="A195" s="58" t="s">
        <v>2251</v>
      </c>
      <c r="B195" s="58" t="s">
        <v>2252</v>
      </c>
      <c r="C195" s="58" t="s">
        <v>108</v>
      </c>
      <c r="D195" s="58" t="s">
        <v>2973</v>
      </c>
      <c r="E195" s="59" t="s">
        <v>108</v>
      </c>
      <c r="F195" s="59" t="s">
        <v>2970</v>
      </c>
      <c r="G195" s="58" t="s">
        <v>2120</v>
      </c>
    </row>
    <row r="196" spans="1:7" ht="15" customHeight="1">
      <c r="A196" s="58" t="s">
        <v>2253</v>
      </c>
      <c r="B196" s="58" t="s">
        <v>2252</v>
      </c>
      <c r="C196" s="58" t="s">
        <v>2193</v>
      </c>
      <c r="D196" s="58" t="s">
        <v>2973</v>
      </c>
      <c r="E196" s="59" t="s">
        <v>2193</v>
      </c>
      <c r="F196" s="59" t="s">
        <v>2970</v>
      </c>
      <c r="G196" s="58" t="s">
        <v>2254</v>
      </c>
    </row>
    <row r="197" spans="1:7" ht="15" customHeight="1">
      <c r="A197" s="58" t="s">
        <v>2255</v>
      </c>
      <c r="B197" s="58" t="s">
        <v>2256</v>
      </c>
      <c r="C197" s="58" t="s">
        <v>2257</v>
      </c>
      <c r="D197" s="58" t="s">
        <v>2973</v>
      </c>
      <c r="E197" s="59" t="s">
        <v>108</v>
      </c>
      <c r="F197" s="59" t="s">
        <v>2970</v>
      </c>
      <c r="G197" s="58" t="s">
        <v>2120</v>
      </c>
    </row>
    <row r="198" spans="1:7" ht="15" customHeight="1">
      <c r="A198" s="58" t="s">
        <v>2258</v>
      </c>
      <c r="B198" s="58" t="s">
        <v>2259</v>
      </c>
      <c r="C198" s="58" t="s">
        <v>2260</v>
      </c>
      <c r="D198" s="58" t="s">
        <v>2973</v>
      </c>
      <c r="E198" s="59" t="s">
        <v>2964</v>
      </c>
      <c r="F198" s="59" t="s">
        <v>2970</v>
      </c>
      <c r="G198" s="58" t="s">
        <v>2261</v>
      </c>
    </row>
    <row r="199" spans="1:7" ht="15" customHeight="1">
      <c r="A199" s="58" t="s">
        <v>2262</v>
      </c>
      <c r="B199" s="58" t="s">
        <v>2259</v>
      </c>
      <c r="C199" s="58" t="s">
        <v>2147</v>
      </c>
      <c r="D199" s="58" t="s">
        <v>2973</v>
      </c>
      <c r="E199" s="59" t="s">
        <v>108</v>
      </c>
      <c r="F199" s="59" t="s">
        <v>2970</v>
      </c>
      <c r="G199" s="58" t="s">
        <v>2263</v>
      </c>
    </row>
    <row r="200" spans="1:7" ht="15" customHeight="1">
      <c r="A200" s="302" t="s">
        <v>2264</v>
      </c>
      <c r="B200" s="302" t="s">
        <v>2252</v>
      </c>
      <c r="C200" s="302" t="s">
        <v>2265</v>
      </c>
      <c r="D200" s="302" t="s">
        <v>2973</v>
      </c>
      <c r="E200" s="303" t="s">
        <v>108</v>
      </c>
      <c r="F200" s="303" t="s">
        <v>2970</v>
      </c>
      <c r="G200" s="302" t="s">
        <v>2120</v>
      </c>
    </row>
    <row r="201" spans="1:7" ht="15" customHeight="1">
      <c r="A201" s="58" t="s">
        <v>2266</v>
      </c>
      <c r="B201" s="58" t="s">
        <v>2252</v>
      </c>
      <c r="C201" s="58" t="s">
        <v>2267</v>
      </c>
      <c r="D201" s="58" t="s">
        <v>2973</v>
      </c>
      <c r="E201" s="59" t="s">
        <v>108</v>
      </c>
      <c r="F201" s="59" t="s">
        <v>2970</v>
      </c>
      <c r="G201" s="58" t="s">
        <v>2268</v>
      </c>
    </row>
    <row r="202" spans="1:7" ht="15" customHeight="1">
      <c r="A202" s="58" t="s">
        <v>2269</v>
      </c>
      <c r="B202" s="58" t="s">
        <v>2252</v>
      </c>
      <c r="C202" s="58" t="s">
        <v>2270</v>
      </c>
      <c r="D202" s="58" t="s">
        <v>2973</v>
      </c>
      <c r="E202" s="59" t="s">
        <v>108</v>
      </c>
      <c r="F202" s="59" t="s">
        <v>2970</v>
      </c>
      <c r="G202" s="58" t="s">
        <v>2120</v>
      </c>
    </row>
    <row r="203" spans="1:7" ht="15" customHeight="1">
      <c r="A203" s="76" t="s">
        <v>2383</v>
      </c>
      <c r="B203" s="76"/>
      <c r="C203" s="76"/>
      <c r="D203" s="76"/>
      <c r="E203" s="77"/>
      <c r="F203" s="76"/>
      <c r="G203" s="76"/>
    </row>
    <row r="204" spans="1:7" ht="15" customHeight="1">
      <c r="A204" s="58" t="s">
        <v>2272</v>
      </c>
      <c r="B204" s="58" t="s">
        <v>2273</v>
      </c>
      <c r="C204" s="58" t="s">
        <v>2274</v>
      </c>
      <c r="D204" s="58" t="s">
        <v>2973</v>
      </c>
      <c r="E204" s="59" t="s">
        <v>108</v>
      </c>
      <c r="F204" s="59" t="s">
        <v>2970</v>
      </c>
      <c r="G204" s="58" t="s">
        <v>2275</v>
      </c>
    </row>
    <row r="205" spans="1:7" ht="15" customHeight="1">
      <c r="A205" s="58" t="s">
        <v>2276</v>
      </c>
      <c r="B205" s="58" t="s">
        <v>2248</v>
      </c>
      <c r="C205" s="58" t="s">
        <v>2277</v>
      </c>
      <c r="D205" s="58" t="s">
        <v>2973</v>
      </c>
      <c r="E205" s="59" t="s">
        <v>108</v>
      </c>
      <c r="F205" s="59" t="s">
        <v>2970</v>
      </c>
      <c r="G205" s="58" t="s">
        <v>2278</v>
      </c>
    </row>
    <row r="206" spans="1:7" ht="15" customHeight="1">
      <c r="A206" s="58" t="s">
        <v>2279</v>
      </c>
      <c r="B206" s="58" t="s">
        <v>2280</v>
      </c>
      <c r="C206" s="58" t="s">
        <v>2281</v>
      </c>
      <c r="D206" s="58" t="s">
        <v>2973</v>
      </c>
      <c r="E206" s="59" t="s">
        <v>108</v>
      </c>
      <c r="F206" s="59" t="s">
        <v>2970</v>
      </c>
      <c r="G206" s="58" t="s">
        <v>2282</v>
      </c>
    </row>
    <row r="207" spans="1:7" ht="15" customHeight="1">
      <c r="A207" s="58" t="s">
        <v>2283</v>
      </c>
      <c r="B207" s="58" t="s">
        <v>2273</v>
      </c>
      <c r="C207" s="58" t="s">
        <v>108</v>
      </c>
      <c r="D207" s="58" t="s">
        <v>2973</v>
      </c>
      <c r="E207" s="59" t="s">
        <v>108</v>
      </c>
      <c r="F207" s="59" t="s">
        <v>2970</v>
      </c>
      <c r="G207" s="58" t="s">
        <v>2284</v>
      </c>
    </row>
    <row r="208" spans="1:7" ht="15" customHeight="1">
      <c r="A208" s="58" t="s">
        <v>2285</v>
      </c>
      <c r="B208" s="58"/>
      <c r="C208" s="58" t="s">
        <v>2135</v>
      </c>
      <c r="D208" s="58" t="s">
        <v>2973</v>
      </c>
      <c r="E208" s="59" t="s">
        <v>2136</v>
      </c>
      <c r="F208" s="59" t="s">
        <v>2970</v>
      </c>
      <c r="G208" s="58" t="s">
        <v>2120</v>
      </c>
    </row>
    <row r="209" spans="1:7" ht="15" customHeight="1">
      <c r="A209" s="58" t="s">
        <v>2286</v>
      </c>
      <c r="B209" s="58"/>
      <c r="C209" s="58" t="s">
        <v>108</v>
      </c>
      <c r="D209" s="58" t="s">
        <v>2973</v>
      </c>
      <c r="E209" s="59" t="s">
        <v>108</v>
      </c>
      <c r="F209" s="59" t="s">
        <v>2970</v>
      </c>
      <c r="G209" s="58" t="s">
        <v>2120</v>
      </c>
    </row>
    <row r="210" spans="1:7" ht="15" customHeight="1">
      <c r="A210" s="302" t="s">
        <v>2287</v>
      </c>
      <c r="B210" s="302" t="s">
        <v>2273</v>
      </c>
      <c r="C210" s="302" t="s">
        <v>2288</v>
      </c>
      <c r="D210" s="302" t="s">
        <v>2973</v>
      </c>
      <c r="E210" s="303" t="s">
        <v>2288</v>
      </c>
      <c r="F210" s="303" t="s">
        <v>2970</v>
      </c>
      <c r="G210" s="302" t="s">
        <v>2289</v>
      </c>
    </row>
    <row r="211" spans="1:7" ht="15" customHeight="1">
      <c r="A211" s="76" t="s">
        <v>2384</v>
      </c>
      <c r="B211" s="76"/>
      <c r="C211" s="76"/>
      <c r="D211" s="76"/>
      <c r="E211" s="77"/>
      <c r="F211" s="76"/>
      <c r="G211" s="76"/>
    </row>
    <row r="212" spans="1:7" ht="15" customHeight="1">
      <c r="A212" s="58" t="s">
        <v>2291</v>
      </c>
      <c r="B212" s="58"/>
      <c r="C212" s="58" t="s">
        <v>2135</v>
      </c>
      <c r="D212" s="58" t="s">
        <v>2973</v>
      </c>
      <c r="E212" s="59" t="s">
        <v>2136</v>
      </c>
      <c r="F212" s="59" t="s">
        <v>2970</v>
      </c>
      <c r="G212" s="58" t="s">
        <v>2292</v>
      </c>
    </row>
    <row r="213" spans="1:7" ht="15" customHeight="1">
      <c r="A213" s="58" t="s">
        <v>2293</v>
      </c>
      <c r="B213" s="58" t="s">
        <v>2294</v>
      </c>
      <c r="C213" s="58" t="s">
        <v>2295</v>
      </c>
      <c r="D213" s="58" t="s">
        <v>2973</v>
      </c>
      <c r="E213" s="59" t="s">
        <v>108</v>
      </c>
      <c r="F213" s="59" t="s">
        <v>2970</v>
      </c>
      <c r="G213" s="58" t="s">
        <v>2296</v>
      </c>
    </row>
    <row r="214" spans="1:7" ht="15" customHeight="1">
      <c r="A214" s="58" t="s">
        <v>2297</v>
      </c>
      <c r="B214" s="58" t="s">
        <v>2298</v>
      </c>
      <c r="C214" s="58" t="s">
        <v>108</v>
      </c>
      <c r="D214" s="58" t="s">
        <v>2973</v>
      </c>
      <c r="E214" s="59" t="s">
        <v>108</v>
      </c>
      <c r="F214" s="59" t="s">
        <v>2970</v>
      </c>
      <c r="G214" s="58" t="s">
        <v>2299</v>
      </c>
    </row>
    <row r="215" spans="1:7" ht="15" customHeight="1">
      <c r="A215" s="58" t="s">
        <v>2300</v>
      </c>
      <c r="B215" s="58" t="s">
        <v>2294</v>
      </c>
      <c r="C215" s="58" t="s">
        <v>108</v>
      </c>
      <c r="D215" s="58" t="s">
        <v>2973</v>
      </c>
      <c r="E215" s="59" t="s">
        <v>108</v>
      </c>
      <c r="F215" s="59" t="s">
        <v>2970</v>
      </c>
      <c r="G215" s="58" t="s">
        <v>2299</v>
      </c>
    </row>
    <row r="216" spans="1:7" ht="15" customHeight="1">
      <c r="A216" s="58" t="s">
        <v>2301</v>
      </c>
      <c r="B216" s="58" t="s">
        <v>2302</v>
      </c>
      <c r="C216" s="58" t="s">
        <v>2193</v>
      </c>
      <c r="D216" s="58" t="s">
        <v>2973</v>
      </c>
      <c r="E216" s="59" t="s">
        <v>2193</v>
      </c>
      <c r="F216" s="59" t="s">
        <v>2970</v>
      </c>
      <c r="G216" s="58" t="s">
        <v>2303</v>
      </c>
    </row>
    <row r="217" spans="1:7" ht="15" customHeight="1">
      <c r="A217" s="58" t="s">
        <v>2304</v>
      </c>
      <c r="B217" s="58" t="s">
        <v>2305</v>
      </c>
      <c r="C217" s="58" t="s">
        <v>2257</v>
      </c>
      <c r="D217" s="58" t="s">
        <v>2973</v>
      </c>
      <c r="E217" s="59" t="s">
        <v>108</v>
      </c>
      <c r="F217" s="59" t="s">
        <v>2970</v>
      </c>
      <c r="G217" s="58" t="s">
        <v>2306</v>
      </c>
    </row>
    <row r="218" spans="1:7" ht="15" customHeight="1">
      <c r="A218" s="76" t="s">
        <v>2387</v>
      </c>
      <c r="B218" s="76"/>
      <c r="C218" s="76"/>
      <c r="D218" s="76"/>
      <c r="E218" s="77"/>
      <c r="F218" s="76"/>
      <c r="G218" s="76"/>
    </row>
    <row r="219" spans="1:7" ht="15" customHeight="1">
      <c r="A219" s="58" t="s">
        <v>2352</v>
      </c>
      <c r="B219" s="58"/>
      <c r="C219" s="58" t="s">
        <v>1201</v>
      </c>
      <c r="D219" s="58" t="s">
        <v>2975</v>
      </c>
      <c r="E219" s="59" t="s">
        <v>1201</v>
      </c>
      <c r="F219" s="59" t="s">
        <v>2970</v>
      </c>
      <c r="G219" s="58" t="s">
        <v>2120</v>
      </c>
    </row>
    <row r="220" spans="1:7" ht="15" customHeight="1">
      <c r="A220" s="58" t="s">
        <v>2118</v>
      </c>
      <c r="B220" s="58"/>
      <c r="C220" s="58" t="s">
        <v>2119</v>
      </c>
      <c r="D220" s="58" t="s">
        <v>2975</v>
      </c>
      <c r="E220" s="59" t="s">
        <v>1201</v>
      </c>
      <c r="F220" s="59" t="s">
        <v>2970</v>
      </c>
      <c r="G220" s="58" t="s">
        <v>2120</v>
      </c>
    </row>
    <row r="221" spans="1:7" ht="15" customHeight="1">
      <c r="A221" s="76" t="s">
        <v>2389</v>
      </c>
      <c r="B221" s="76"/>
      <c r="C221" s="76"/>
      <c r="D221" s="76"/>
      <c r="E221" s="77"/>
      <c r="F221" s="76"/>
      <c r="G221" s="76"/>
    </row>
    <row r="222" spans="1:7" ht="15" customHeight="1">
      <c r="A222" s="58" t="s">
        <v>2242</v>
      </c>
      <c r="B222" s="58" t="s">
        <v>2220</v>
      </c>
      <c r="C222" s="58" t="s">
        <v>2243</v>
      </c>
      <c r="D222" s="58" t="s">
        <v>2975</v>
      </c>
      <c r="E222" s="59" t="s">
        <v>2976</v>
      </c>
      <c r="F222" s="59" t="s">
        <v>2970</v>
      </c>
      <c r="G222" s="58" t="s">
        <v>2244</v>
      </c>
    </row>
    <row r="223" spans="1:7" ht="15" customHeight="1">
      <c r="A223" s="76" t="s">
        <v>2391</v>
      </c>
      <c r="B223" s="76"/>
      <c r="C223" s="76"/>
      <c r="D223" s="76"/>
      <c r="E223" s="77"/>
      <c r="F223" s="76"/>
      <c r="G223" s="76"/>
    </row>
    <row r="224" spans="1:7" ht="15" customHeight="1">
      <c r="A224" s="58" t="s">
        <v>2258</v>
      </c>
      <c r="B224" s="58" t="s">
        <v>2259</v>
      </c>
      <c r="C224" s="58" t="s">
        <v>2260</v>
      </c>
      <c r="D224" s="58" t="s">
        <v>2975</v>
      </c>
      <c r="E224" s="59" t="s">
        <v>2775</v>
      </c>
      <c r="F224" s="59" t="s">
        <v>2970</v>
      </c>
      <c r="G224" s="58" t="s">
        <v>2261</v>
      </c>
    </row>
    <row r="225" spans="1:7" ht="15" customHeight="1">
      <c r="A225" s="76" t="s">
        <v>2395</v>
      </c>
      <c r="B225" s="76"/>
      <c r="C225" s="76"/>
      <c r="D225" s="76"/>
      <c r="E225" s="77"/>
      <c r="F225" s="76"/>
      <c r="G225" s="76"/>
    </row>
    <row r="226" spans="1:7" ht="15" customHeight="1">
      <c r="A226" s="58" t="s">
        <v>2114</v>
      </c>
      <c r="B226" s="58" t="s">
        <v>2115</v>
      </c>
      <c r="C226" s="58" t="s">
        <v>1559</v>
      </c>
      <c r="D226" s="58" t="s">
        <v>2977</v>
      </c>
      <c r="E226" s="59" t="s">
        <v>108</v>
      </c>
      <c r="F226" s="59" t="s">
        <v>2970</v>
      </c>
      <c r="G226" s="58" t="s">
        <v>2117</v>
      </c>
    </row>
    <row r="227" spans="1:7" ht="15" customHeight="1">
      <c r="A227" s="58" t="s">
        <v>2352</v>
      </c>
      <c r="B227" s="58"/>
      <c r="C227" s="58" t="s">
        <v>1201</v>
      </c>
      <c r="D227" s="58" t="s">
        <v>2977</v>
      </c>
      <c r="E227" s="59" t="s">
        <v>1201</v>
      </c>
      <c r="F227" s="59" t="s">
        <v>2970</v>
      </c>
      <c r="G227" s="58" t="s">
        <v>2120</v>
      </c>
    </row>
    <row r="228" spans="1:7" ht="15" customHeight="1">
      <c r="A228" s="58" t="s">
        <v>2118</v>
      </c>
      <c r="B228" s="58"/>
      <c r="C228" s="58" t="s">
        <v>2119</v>
      </c>
      <c r="D228" s="58" t="s">
        <v>2977</v>
      </c>
      <c r="E228" s="59" t="s">
        <v>2119</v>
      </c>
      <c r="F228" s="59" t="s">
        <v>2970</v>
      </c>
      <c r="G228" s="58" t="s">
        <v>2120</v>
      </c>
    </row>
    <row r="229" spans="1:7" ht="15" customHeight="1">
      <c r="A229" s="58" t="s">
        <v>2121</v>
      </c>
      <c r="B229" s="58" t="s">
        <v>2122</v>
      </c>
      <c r="C229" s="58" t="s">
        <v>108</v>
      </c>
      <c r="D229" s="58" t="s">
        <v>2977</v>
      </c>
      <c r="E229" s="59" t="s">
        <v>108</v>
      </c>
      <c r="F229" s="59" t="s">
        <v>2970</v>
      </c>
      <c r="G229" s="58" t="s">
        <v>2120</v>
      </c>
    </row>
    <row r="230" spans="1:7" ht="15" customHeight="1">
      <c r="A230" s="58" t="s">
        <v>2123</v>
      </c>
      <c r="B230" s="58" t="s">
        <v>2124</v>
      </c>
      <c r="C230" s="58" t="s">
        <v>108</v>
      </c>
      <c r="D230" s="58" t="s">
        <v>2977</v>
      </c>
      <c r="E230" s="59" t="s">
        <v>108</v>
      </c>
      <c r="F230" s="59" t="s">
        <v>2970</v>
      </c>
      <c r="G230" s="58" t="s">
        <v>2125</v>
      </c>
    </row>
    <row r="231" spans="1:7" ht="15" customHeight="1">
      <c r="A231" s="58" t="s">
        <v>2126</v>
      </c>
      <c r="B231" s="58"/>
      <c r="C231" s="58" t="s">
        <v>108</v>
      </c>
      <c r="D231" s="58" t="s">
        <v>2977</v>
      </c>
      <c r="E231" s="59" t="s">
        <v>108</v>
      </c>
      <c r="F231" s="59" t="s">
        <v>2970</v>
      </c>
      <c r="G231" s="58" t="s">
        <v>2120</v>
      </c>
    </row>
    <row r="232" spans="1:7" ht="15" customHeight="1">
      <c r="A232" s="76" t="s">
        <v>2397</v>
      </c>
      <c r="B232" s="76"/>
      <c r="C232" s="76"/>
      <c r="D232" s="76"/>
      <c r="E232" s="77"/>
      <c r="F232" s="76"/>
      <c r="G232" s="76"/>
    </row>
    <row r="233" spans="1:7" ht="15" customHeight="1">
      <c r="A233" s="58" t="s">
        <v>2128</v>
      </c>
      <c r="B233" s="58" t="s">
        <v>2129</v>
      </c>
      <c r="C233" s="58" t="s">
        <v>108</v>
      </c>
      <c r="D233" s="58" t="s">
        <v>2977</v>
      </c>
      <c r="E233" s="59" t="s">
        <v>108</v>
      </c>
      <c r="F233" s="59" t="s">
        <v>2970</v>
      </c>
      <c r="G233" s="58" t="s">
        <v>2120</v>
      </c>
    </row>
    <row r="234" spans="1:7" ht="15" customHeight="1">
      <c r="A234" s="58" t="s">
        <v>2130</v>
      </c>
      <c r="B234" s="58" t="s">
        <v>2131</v>
      </c>
      <c r="C234" s="58" t="s">
        <v>108</v>
      </c>
      <c r="D234" s="58" t="s">
        <v>2977</v>
      </c>
      <c r="E234" s="59" t="s">
        <v>108</v>
      </c>
      <c r="F234" s="59" t="s">
        <v>2970</v>
      </c>
      <c r="G234" s="58" t="s">
        <v>2132</v>
      </c>
    </row>
    <row r="235" spans="1:7">
      <c r="A235" s="304" t="s">
        <v>2133</v>
      </c>
      <c r="B235" s="58" t="s">
        <v>2131</v>
      </c>
      <c r="C235" s="58" t="s">
        <v>108</v>
      </c>
      <c r="D235" s="58" t="s">
        <v>2977</v>
      </c>
      <c r="E235" s="59" t="s">
        <v>108</v>
      </c>
      <c r="F235" s="59" t="s">
        <v>2970</v>
      </c>
      <c r="G235" s="58" t="s">
        <v>2120</v>
      </c>
    </row>
    <row r="236" spans="1:7">
      <c r="A236" s="304" t="s">
        <v>2134</v>
      </c>
      <c r="B236" s="58"/>
      <c r="C236" s="58" t="s">
        <v>2135</v>
      </c>
      <c r="D236" s="58" t="s">
        <v>2977</v>
      </c>
      <c r="E236" s="59" t="s">
        <v>2136</v>
      </c>
      <c r="F236" s="59" t="s">
        <v>2970</v>
      </c>
      <c r="G236" s="58" t="s">
        <v>2137</v>
      </c>
    </row>
    <row r="237" spans="1:7">
      <c r="A237" s="304" t="s">
        <v>2138</v>
      </c>
      <c r="B237" s="58" t="s">
        <v>2139</v>
      </c>
      <c r="C237" s="58" t="s">
        <v>108</v>
      </c>
      <c r="D237" s="58" t="s">
        <v>2977</v>
      </c>
      <c r="E237" s="59" t="s">
        <v>108</v>
      </c>
      <c r="F237" s="59" t="s">
        <v>2970</v>
      </c>
      <c r="G237" s="58" t="s">
        <v>2140</v>
      </c>
    </row>
    <row r="238" spans="1:7" ht="17.25">
      <c r="A238" s="305" t="s">
        <v>2978</v>
      </c>
      <c r="B238" s="76"/>
      <c r="C238" s="76"/>
      <c r="D238" s="76"/>
      <c r="E238" s="77"/>
      <c r="F238" s="76"/>
      <c r="G238" s="76"/>
    </row>
    <row r="239" spans="1:7">
      <c r="A239" s="304" t="s">
        <v>2142</v>
      </c>
      <c r="B239" s="58" t="s">
        <v>2143</v>
      </c>
      <c r="C239" s="58" t="s">
        <v>108</v>
      </c>
      <c r="D239" s="58" t="s">
        <v>2977</v>
      </c>
      <c r="E239" s="59" t="s">
        <v>108</v>
      </c>
      <c r="F239" s="59" t="s">
        <v>2970</v>
      </c>
      <c r="G239" s="58" t="s">
        <v>2120</v>
      </c>
    </row>
    <row r="240" spans="1:7">
      <c r="A240" s="304" t="s">
        <v>2144</v>
      </c>
      <c r="B240" s="58" t="s">
        <v>2143</v>
      </c>
      <c r="C240" s="58" t="s">
        <v>2145</v>
      </c>
      <c r="D240" s="58" t="s">
        <v>2977</v>
      </c>
      <c r="E240" s="59" t="s">
        <v>2979</v>
      </c>
      <c r="F240" s="59" t="s">
        <v>2970</v>
      </c>
      <c r="G240" s="58" t="s">
        <v>2120</v>
      </c>
    </row>
    <row r="241" spans="1:7">
      <c r="A241" s="304" t="s">
        <v>2146</v>
      </c>
      <c r="B241" s="58" t="s">
        <v>2143</v>
      </c>
      <c r="C241" s="58" t="s">
        <v>2147</v>
      </c>
      <c r="D241" s="58" t="s">
        <v>2977</v>
      </c>
      <c r="E241" s="59" t="s">
        <v>108</v>
      </c>
      <c r="F241" s="59" t="s">
        <v>2970</v>
      </c>
      <c r="G241" s="58" t="s">
        <v>2148</v>
      </c>
    </row>
    <row r="242" spans="1:7">
      <c r="A242" s="304" t="s">
        <v>2149</v>
      </c>
      <c r="B242" s="58" t="s">
        <v>2143</v>
      </c>
      <c r="C242" s="58" t="s">
        <v>108</v>
      </c>
      <c r="D242" s="58" t="s">
        <v>2977</v>
      </c>
      <c r="E242" s="59" t="s">
        <v>108</v>
      </c>
      <c r="F242" s="59" t="s">
        <v>2970</v>
      </c>
      <c r="G242" s="58" t="s">
        <v>2120</v>
      </c>
    </row>
    <row r="243" spans="1:7" ht="17.25">
      <c r="A243" s="305" t="s">
        <v>2980</v>
      </c>
      <c r="B243" s="76"/>
      <c r="C243" s="76"/>
      <c r="D243" s="76"/>
      <c r="E243" s="77"/>
      <c r="F243" s="76"/>
      <c r="G243" s="76"/>
    </row>
    <row r="244" spans="1:7">
      <c r="A244" s="304" t="s">
        <v>2151</v>
      </c>
      <c r="B244" s="58" t="s">
        <v>2152</v>
      </c>
      <c r="C244" s="58" t="s">
        <v>2153</v>
      </c>
      <c r="D244" s="58" t="s">
        <v>2977</v>
      </c>
      <c r="E244" s="59" t="s">
        <v>108</v>
      </c>
      <c r="F244" s="59" t="s">
        <v>2970</v>
      </c>
      <c r="G244" s="58" t="s">
        <v>2120</v>
      </c>
    </row>
    <row r="245" spans="1:7">
      <c r="A245" s="304" t="s">
        <v>2154</v>
      </c>
      <c r="B245" s="58" t="s">
        <v>2155</v>
      </c>
      <c r="C245" s="58" t="s">
        <v>108</v>
      </c>
      <c r="D245" s="58" t="s">
        <v>2977</v>
      </c>
      <c r="E245" s="59" t="s">
        <v>108</v>
      </c>
      <c r="F245" s="59" t="s">
        <v>2970</v>
      </c>
      <c r="G245" s="58" t="s">
        <v>2120</v>
      </c>
    </row>
    <row r="246" spans="1:7">
      <c r="A246" s="304" t="s">
        <v>2156</v>
      </c>
      <c r="B246" s="58" t="s">
        <v>2152</v>
      </c>
      <c r="C246" s="58" t="s">
        <v>2157</v>
      </c>
      <c r="D246" s="58" t="s">
        <v>2977</v>
      </c>
      <c r="E246" s="59" t="s">
        <v>108</v>
      </c>
      <c r="F246" s="59" t="s">
        <v>2970</v>
      </c>
      <c r="G246" s="58" t="s">
        <v>2120</v>
      </c>
    </row>
    <row r="247" spans="1:7">
      <c r="A247" s="304" t="s">
        <v>2158</v>
      </c>
      <c r="B247" s="58" t="s">
        <v>2155</v>
      </c>
      <c r="C247" s="58" t="s">
        <v>2159</v>
      </c>
      <c r="D247" s="58" t="s">
        <v>2977</v>
      </c>
      <c r="E247" s="59" t="s">
        <v>108</v>
      </c>
      <c r="F247" s="59" t="s">
        <v>2970</v>
      </c>
      <c r="G247" s="58" t="s">
        <v>2160</v>
      </c>
    </row>
    <row r="248" spans="1:7">
      <c r="A248" s="304" t="s">
        <v>2161</v>
      </c>
      <c r="B248" s="58" t="s">
        <v>2162</v>
      </c>
      <c r="C248" s="58" t="s">
        <v>108</v>
      </c>
      <c r="D248" s="58" t="s">
        <v>2977</v>
      </c>
      <c r="E248" s="59" t="s">
        <v>108</v>
      </c>
      <c r="F248" s="59" t="s">
        <v>2970</v>
      </c>
      <c r="G248" s="58" t="s">
        <v>2163</v>
      </c>
    </row>
    <row r="249" spans="1:7">
      <c r="A249" s="304" t="s">
        <v>2164</v>
      </c>
      <c r="B249" s="58" t="s">
        <v>2162</v>
      </c>
      <c r="C249" s="58" t="s">
        <v>108</v>
      </c>
      <c r="D249" s="58" t="s">
        <v>2977</v>
      </c>
      <c r="E249" s="59" t="s">
        <v>108</v>
      </c>
      <c r="F249" s="59" t="s">
        <v>2970</v>
      </c>
      <c r="G249" s="58" t="s">
        <v>2120</v>
      </c>
    </row>
    <row r="250" spans="1:7" ht="17.25">
      <c r="A250" s="305" t="s">
        <v>2398</v>
      </c>
      <c r="B250" s="76"/>
      <c r="C250" s="76"/>
      <c r="D250" s="76"/>
      <c r="E250" s="77"/>
      <c r="F250" s="76"/>
      <c r="G250" s="76"/>
    </row>
    <row r="251" spans="1:7">
      <c r="A251" s="304" t="s">
        <v>2166</v>
      </c>
      <c r="B251" s="58" t="s">
        <v>2167</v>
      </c>
      <c r="C251" s="58" t="s">
        <v>108</v>
      </c>
      <c r="D251" s="58" t="s">
        <v>2977</v>
      </c>
      <c r="E251" s="59" t="s">
        <v>108</v>
      </c>
      <c r="F251" s="59" t="s">
        <v>2970</v>
      </c>
      <c r="G251" s="58" t="s">
        <v>2168</v>
      </c>
    </row>
    <row r="252" spans="1:7">
      <c r="A252" s="304" t="s">
        <v>2169</v>
      </c>
      <c r="B252" s="58" t="s">
        <v>2129</v>
      </c>
      <c r="C252" s="58" t="s">
        <v>2170</v>
      </c>
      <c r="D252" s="58" t="s">
        <v>2977</v>
      </c>
      <c r="E252" s="59" t="s">
        <v>2136</v>
      </c>
      <c r="F252" s="59" t="s">
        <v>2970</v>
      </c>
      <c r="G252" s="58" t="s">
        <v>2120</v>
      </c>
    </row>
    <row r="253" spans="1:7">
      <c r="A253" s="304" t="s">
        <v>2171</v>
      </c>
      <c r="B253" s="58" t="s">
        <v>2129</v>
      </c>
      <c r="C253" s="58" t="s">
        <v>2135</v>
      </c>
      <c r="D253" s="58" t="s">
        <v>2977</v>
      </c>
      <c r="E253" s="59" t="s">
        <v>2136</v>
      </c>
      <c r="F253" s="59" t="s">
        <v>2970</v>
      </c>
      <c r="G253" s="58" t="s">
        <v>2120</v>
      </c>
    </row>
    <row r="254" spans="1:7">
      <c r="A254" s="304" t="s">
        <v>2172</v>
      </c>
      <c r="B254" s="58" t="s">
        <v>2129</v>
      </c>
      <c r="C254" s="58" t="s">
        <v>2135</v>
      </c>
      <c r="D254" s="58" t="s">
        <v>2977</v>
      </c>
      <c r="E254" s="59" t="s">
        <v>2136</v>
      </c>
      <c r="F254" s="59" t="s">
        <v>2970</v>
      </c>
      <c r="G254" s="58" t="s">
        <v>2120</v>
      </c>
    </row>
    <row r="255" spans="1:7">
      <c r="A255" s="304" t="s">
        <v>2173</v>
      </c>
      <c r="B255" s="58" t="s">
        <v>2174</v>
      </c>
      <c r="C255" s="58" t="s">
        <v>2135</v>
      </c>
      <c r="D255" s="58" t="s">
        <v>2977</v>
      </c>
      <c r="E255" s="59" t="s">
        <v>2136</v>
      </c>
      <c r="F255" s="59" t="s">
        <v>2970</v>
      </c>
      <c r="G255" s="58" t="s">
        <v>2120</v>
      </c>
    </row>
    <row r="256" spans="1:7">
      <c r="A256" s="304" t="s">
        <v>2175</v>
      </c>
      <c r="B256" s="58"/>
      <c r="C256" s="58" t="s">
        <v>2135</v>
      </c>
      <c r="D256" s="58" t="s">
        <v>2977</v>
      </c>
      <c r="E256" s="59" t="s">
        <v>2136</v>
      </c>
      <c r="F256" s="59" t="s">
        <v>2970</v>
      </c>
      <c r="G256" s="58" t="s">
        <v>2120</v>
      </c>
    </row>
    <row r="257" spans="1:7">
      <c r="A257" s="304" t="s">
        <v>2176</v>
      </c>
      <c r="B257" s="58"/>
      <c r="C257" s="58" t="s">
        <v>2135</v>
      </c>
      <c r="D257" s="58" t="s">
        <v>2977</v>
      </c>
      <c r="E257" s="59" t="s">
        <v>2136</v>
      </c>
      <c r="F257" s="59" t="s">
        <v>2970</v>
      </c>
      <c r="G257" s="58" t="s">
        <v>2120</v>
      </c>
    </row>
    <row r="258" spans="1:7">
      <c r="A258" s="304" t="s">
        <v>2177</v>
      </c>
      <c r="B258" s="58"/>
      <c r="C258" s="58" t="s">
        <v>2135</v>
      </c>
      <c r="D258" s="58" t="s">
        <v>2977</v>
      </c>
      <c r="E258" s="59" t="s">
        <v>2136</v>
      </c>
      <c r="F258" s="59" t="s">
        <v>2970</v>
      </c>
      <c r="G258" s="58" t="s">
        <v>2120</v>
      </c>
    </row>
    <row r="259" spans="1:7" ht="17.25">
      <c r="A259" s="305" t="s">
        <v>2399</v>
      </c>
      <c r="B259" s="76"/>
      <c r="C259" s="76"/>
      <c r="D259" s="76"/>
      <c r="E259" s="77"/>
      <c r="F259" s="76"/>
      <c r="G259" s="76"/>
    </row>
    <row r="260" spans="1:7">
      <c r="A260" s="304" t="s">
        <v>2179</v>
      </c>
      <c r="B260" s="58" t="s">
        <v>2180</v>
      </c>
      <c r="C260" s="58" t="s">
        <v>108</v>
      </c>
      <c r="D260" s="58" t="s">
        <v>2977</v>
      </c>
      <c r="E260" s="59" t="s">
        <v>108</v>
      </c>
      <c r="F260" s="59" t="s">
        <v>2970</v>
      </c>
      <c r="G260" s="58" t="s">
        <v>2120</v>
      </c>
    </row>
    <row r="261" spans="1:7">
      <c r="A261" s="304" t="s">
        <v>2181</v>
      </c>
      <c r="B261" s="58" t="s">
        <v>2182</v>
      </c>
      <c r="C261" s="58" t="s">
        <v>108</v>
      </c>
      <c r="D261" s="58" t="s">
        <v>2977</v>
      </c>
      <c r="E261" s="59" t="s">
        <v>108</v>
      </c>
      <c r="F261" s="59" t="s">
        <v>2970</v>
      </c>
      <c r="G261" s="58" t="s">
        <v>2120</v>
      </c>
    </row>
    <row r="262" spans="1:7">
      <c r="A262" s="304" t="s">
        <v>2183</v>
      </c>
      <c r="B262" s="58" t="s">
        <v>2182</v>
      </c>
      <c r="C262" s="58" t="s">
        <v>2184</v>
      </c>
      <c r="D262" s="58" t="s">
        <v>2977</v>
      </c>
      <c r="E262" s="59" t="s">
        <v>108</v>
      </c>
      <c r="F262" s="59" t="s">
        <v>2970</v>
      </c>
      <c r="G262" s="58" t="s">
        <v>2185</v>
      </c>
    </row>
    <row r="263" spans="1:7">
      <c r="A263" s="304" t="s">
        <v>2186</v>
      </c>
      <c r="B263" s="58" t="s">
        <v>2187</v>
      </c>
      <c r="C263" s="58" t="s">
        <v>108</v>
      </c>
      <c r="D263" s="58" t="s">
        <v>2977</v>
      </c>
      <c r="E263" s="59" t="s">
        <v>108</v>
      </c>
      <c r="F263" s="59" t="s">
        <v>2970</v>
      </c>
      <c r="G263" s="58" t="s">
        <v>2120</v>
      </c>
    </row>
    <row r="264" spans="1:7">
      <c r="A264" s="304" t="s">
        <v>2188</v>
      </c>
      <c r="B264" s="58"/>
      <c r="C264" s="58" t="s">
        <v>2189</v>
      </c>
      <c r="D264" s="58" t="s">
        <v>2977</v>
      </c>
      <c r="E264" s="59" t="s">
        <v>108</v>
      </c>
      <c r="F264" s="59" t="s">
        <v>2970</v>
      </c>
      <c r="G264" s="58" t="s">
        <v>2120</v>
      </c>
    </row>
    <row r="265" spans="1:7">
      <c r="A265" s="304" t="s">
        <v>2190</v>
      </c>
      <c r="B265" s="58"/>
      <c r="C265" s="58" t="s">
        <v>2135</v>
      </c>
      <c r="D265" s="58" t="s">
        <v>2977</v>
      </c>
      <c r="E265" s="59" t="s">
        <v>2136</v>
      </c>
      <c r="F265" s="59" t="s">
        <v>2970</v>
      </c>
      <c r="G265" s="58" t="s">
        <v>2120</v>
      </c>
    </row>
    <row r="266" spans="1:7">
      <c r="A266" s="304" t="s">
        <v>2191</v>
      </c>
      <c r="B266" s="58"/>
      <c r="C266" s="58" t="s">
        <v>2135</v>
      </c>
      <c r="D266" s="58" t="s">
        <v>2977</v>
      </c>
      <c r="E266" s="59" t="s">
        <v>2136</v>
      </c>
      <c r="F266" s="59" t="s">
        <v>2970</v>
      </c>
      <c r="G266" s="58" t="s">
        <v>2120</v>
      </c>
    </row>
    <row r="267" spans="1:7">
      <c r="A267" s="304" t="s">
        <v>2192</v>
      </c>
      <c r="B267" s="58" t="s">
        <v>2182</v>
      </c>
      <c r="C267" s="58" t="s">
        <v>2193</v>
      </c>
      <c r="D267" s="58" t="s">
        <v>2977</v>
      </c>
      <c r="E267" s="59" t="s">
        <v>2193</v>
      </c>
      <c r="F267" s="59" t="s">
        <v>2970</v>
      </c>
      <c r="G267" s="58" t="s">
        <v>2120</v>
      </c>
    </row>
    <row r="268" spans="1:7">
      <c r="A268" s="304" t="s">
        <v>2194</v>
      </c>
      <c r="B268" s="58" t="s">
        <v>2187</v>
      </c>
      <c r="C268" s="58" t="s">
        <v>108</v>
      </c>
      <c r="D268" s="58" t="s">
        <v>2977</v>
      </c>
      <c r="E268" s="59" t="s">
        <v>108</v>
      </c>
      <c r="F268" s="59" t="s">
        <v>2970</v>
      </c>
      <c r="G268" s="58" t="s">
        <v>2120</v>
      </c>
    </row>
    <row r="269" spans="1:7" ht="17.25">
      <c r="A269" s="305" t="s">
        <v>2401</v>
      </c>
      <c r="B269" s="76"/>
      <c r="C269" s="76"/>
      <c r="D269" s="76"/>
      <c r="E269" s="77"/>
      <c r="F269" s="76"/>
      <c r="G269" s="76"/>
    </row>
    <row r="270" spans="1:7">
      <c r="A270" s="304" t="s">
        <v>2196</v>
      </c>
      <c r="B270" s="58"/>
      <c r="C270" s="58" t="s">
        <v>2193</v>
      </c>
      <c r="D270" s="58" t="s">
        <v>2977</v>
      </c>
      <c r="E270" s="59" t="s">
        <v>2193</v>
      </c>
      <c r="F270" s="59" t="s">
        <v>2970</v>
      </c>
      <c r="G270" s="58" t="s">
        <v>2120</v>
      </c>
    </row>
    <row r="271" spans="1:7">
      <c r="A271" s="304" t="s">
        <v>2197</v>
      </c>
      <c r="B271" s="58"/>
      <c r="C271" s="58" t="s">
        <v>2193</v>
      </c>
      <c r="D271" s="58" t="s">
        <v>2977</v>
      </c>
      <c r="E271" s="59" t="s">
        <v>2193</v>
      </c>
      <c r="F271" s="59" t="s">
        <v>2970</v>
      </c>
      <c r="G271" s="58" t="s">
        <v>2120</v>
      </c>
    </row>
    <row r="272" spans="1:7">
      <c r="A272" s="304" t="s">
        <v>2198</v>
      </c>
      <c r="B272" s="58"/>
      <c r="C272" s="58" t="s">
        <v>2199</v>
      </c>
      <c r="D272" s="58" t="s">
        <v>2977</v>
      </c>
      <c r="E272" s="59" t="s">
        <v>2193</v>
      </c>
      <c r="F272" s="59" t="s">
        <v>2970</v>
      </c>
      <c r="G272" s="58" t="s">
        <v>2120</v>
      </c>
    </row>
    <row r="273" spans="1:7">
      <c r="A273" s="304" t="s">
        <v>2200</v>
      </c>
      <c r="B273" s="58" t="s">
        <v>2182</v>
      </c>
      <c r="C273" s="58" t="s">
        <v>108</v>
      </c>
      <c r="D273" s="58" t="s">
        <v>2977</v>
      </c>
      <c r="E273" s="59" t="s">
        <v>108</v>
      </c>
      <c r="F273" s="59" t="s">
        <v>2970</v>
      </c>
      <c r="G273" s="58" t="s">
        <v>2120</v>
      </c>
    </row>
    <row r="274" spans="1:7">
      <c r="A274" s="304" t="s">
        <v>2201</v>
      </c>
      <c r="B274" s="58" t="s">
        <v>2182</v>
      </c>
      <c r="C274" s="58" t="s">
        <v>108</v>
      </c>
      <c r="D274" s="58" t="s">
        <v>2977</v>
      </c>
      <c r="E274" s="59" t="s">
        <v>108</v>
      </c>
      <c r="F274" s="59" t="s">
        <v>2970</v>
      </c>
      <c r="G274" s="58" t="s">
        <v>2120</v>
      </c>
    </row>
    <row r="275" spans="1:7">
      <c r="A275" s="304" t="s">
        <v>2202</v>
      </c>
      <c r="B275" s="58" t="s">
        <v>2174</v>
      </c>
      <c r="C275" s="58" t="s">
        <v>108</v>
      </c>
      <c r="D275" s="58" t="s">
        <v>2977</v>
      </c>
      <c r="E275" s="59" t="s">
        <v>108</v>
      </c>
      <c r="F275" s="59" t="s">
        <v>2970</v>
      </c>
      <c r="G275" s="58" t="s">
        <v>2120</v>
      </c>
    </row>
    <row r="276" spans="1:7">
      <c r="A276" s="304" t="s">
        <v>2203</v>
      </c>
      <c r="B276" s="58" t="s">
        <v>2204</v>
      </c>
      <c r="C276" s="58" t="s">
        <v>2193</v>
      </c>
      <c r="D276" s="58" t="s">
        <v>2977</v>
      </c>
      <c r="E276" s="59" t="s">
        <v>2193</v>
      </c>
      <c r="F276" s="59" t="s">
        <v>2970</v>
      </c>
      <c r="G276" s="58" t="s">
        <v>2120</v>
      </c>
    </row>
    <row r="277" spans="1:7">
      <c r="A277" s="304" t="s">
        <v>2205</v>
      </c>
      <c r="B277" s="58" t="s">
        <v>2204</v>
      </c>
      <c r="C277" s="58" t="s">
        <v>2193</v>
      </c>
      <c r="D277" s="58" t="s">
        <v>2977</v>
      </c>
      <c r="E277" s="59" t="s">
        <v>2193</v>
      </c>
      <c r="F277" s="59" t="s">
        <v>2970</v>
      </c>
      <c r="G277" s="58" t="s">
        <v>2120</v>
      </c>
    </row>
    <row r="278" spans="1:7">
      <c r="A278" s="304" t="s">
        <v>2206</v>
      </c>
      <c r="B278" s="58"/>
      <c r="C278" s="58" t="s">
        <v>2135</v>
      </c>
      <c r="D278" s="58" t="s">
        <v>2977</v>
      </c>
      <c r="E278" s="59" t="s">
        <v>2136</v>
      </c>
      <c r="F278" s="59" t="s">
        <v>2970</v>
      </c>
      <c r="G278" s="58" t="s">
        <v>2120</v>
      </c>
    </row>
    <row r="279" spans="1:7">
      <c r="A279" s="304" t="s">
        <v>2207</v>
      </c>
      <c r="B279" s="58" t="s">
        <v>2204</v>
      </c>
      <c r="C279" s="58" t="s">
        <v>108</v>
      </c>
      <c r="D279" s="58" t="s">
        <v>2977</v>
      </c>
      <c r="E279" s="59" t="s">
        <v>108</v>
      </c>
      <c r="F279" s="59" t="s">
        <v>2970</v>
      </c>
      <c r="G279" s="58" t="s">
        <v>2208</v>
      </c>
    </row>
    <row r="280" spans="1:7" ht="17.25">
      <c r="A280" s="305" t="s">
        <v>2981</v>
      </c>
      <c r="B280" s="76"/>
      <c r="C280" s="76"/>
      <c r="D280" s="76"/>
      <c r="E280" s="77"/>
      <c r="F280" s="76"/>
      <c r="G280" s="76"/>
    </row>
    <row r="281" spans="1:7">
      <c r="A281" s="304" t="s">
        <v>2210</v>
      </c>
      <c r="B281" s="58" t="s">
        <v>2211</v>
      </c>
      <c r="C281" s="58" t="s">
        <v>108</v>
      </c>
      <c r="D281" s="58" t="s">
        <v>2977</v>
      </c>
      <c r="E281" s="59" t="s">
        <v>108</v>
      </c>
      <c r="F281" s="59" t="s">
        <v>2970</v>
      </c>
      <c r="G281" s="58" t="s">
        <v>2120</v>
      </c>
    </row>
    <row r="282" spans="1:7">
      <c r="A282" s="304" t="s">
        <v>2212</v>
      </c>
      <c r="B282" s="58" t="s">
        <v>2213</v>
      </c>
      <c r="C282" s="58" t="s">
        <v>108</v>
      </c>
      <c r="D282" s="58" t="s">
        <v>2977</v>
      </c>
      <c r="E282" s="59" t="s">
        <v>108</v>
      </c>
      <c r="F282" s="59" t="s">
        <v>2970</v>
      </c>
      <c r="G282" s="58" t="s">
        <v>2120</v>
      </c>
    </row>
    <row r="283" spans="1:7">
      <c r="A283" s="304" t="s">
        <v>2214</v>
      </c>
      <c r="B283" s="58" t="s">
        <v>2213</v>
      </c>
      <c r="C283" s="58" t="s">
        <v>108</v>
      </c>
      <c r="D283" s="58" t="s">
        <v>2977</v>
      </c>
      <c r="E283" s="59" t="s">
        <v>108</v>
      </c>
      <c r="F283" s="59" t="s">
        <v>2970</v>
      </c>
      <c r="G283" s="58" t="s">
        <v>2120</v>
      </c>
    </row>
    <row r="284" spans="1:7" ht="17.25">
      <c r="A284" s="305" t="s">
        <v>2402</v>
      </c>
      <c r="B284" s="76"/>
      <c r="C284" s="76"/>
      <c r="D284" s="76"/>
      <c r="E284" s="77"/>
      <c r="F284" s="76"/>
      <c r="G284" s="76"/>
    </row>
    <row r="285" spans="1:7">
      <c r="A285" s="304" t="s">
        <v>2216</v>
      </c>
      <c r="B285" s="58" t="s">
        <v>2217</v>
      </c>
      <c r="C285" s="58" t="s">
        <v>2193</v>
      </c>
      <c r="D285" s="58" t="s">
        <v>2977</v>
      </c>
      <c r="E285" s="59" t="s">
        <v>2193</v>
      </c>
      <c r="F285" s="59" t="s">
        <v>2970</v>
      </c>
      <c r="G285" s="58" t="s">
        <v>2218</v>
      </c>
    </row>
    <row r="286" spans="1:7">
      <c r="A286" s="304" t="s">
        <v>2219</v>
      </c>
      <c r="B286" s="58" t="s">
        <v>2220</v>
      </c>
      <c r="C286" s="58" t="s">
        <v>108</v>
      </c>
      <c r="D286" s="58" t="s">
        <v>2977</v>
      </c>
      <c r="E286" s="59" t="s">
        <v>108</v>
      </c>
      <c r="F286" s="59" t="s">
        <v>2970</v>
      </c>
      <c r="G286" s="58" t="s">
        <v>2221</v>
      </c>
    </row>
    <row r="287" spans="1:7">
      <c r="A287" s="304" t="s">
        <v>2222</v>
      </c>
      <c r="B287" s="58" t="s">
        <v>2223</v>
      </c>
      <c r="C287" s="58" t="s">
        <v>108</v>
      </c>
      <c r="D287" s="58" t="s">
        <v>2977</v>
      </c>
      <c r="E287" s="59" t="s">
        <v>108</v>
      </c>
      <c r="F287" s="59" t="s">
        <v>2970</v>
      </c>
      <c r="G287" s="58" t="s">
        <v>2224</v>
      </c>
    </row>
    <row r="288" spans="1:7">
      <c r="A288" s="304" t="s">
        <v>2225</v>
      </c>
      <c r="B288" s="58" t="s">
        <v>2226</v>
      </c>
      <c r="C288" s="58" t="s">
        <v>108</v>
      </c>
      <c r="D288" s="58" t="s">
        <v>2977</v>
      </c>
      <c r="E288" s="59" t="s">
        <v>108</v>
      </c>
      <c r="F288" s="59" t="s">
        <v>2970</v>
      </c>
      <c r="G288" s="58" t="s">
        <v>2227</v>
      </c>
    </row>
    <row r="289" spans="1:7">
      <c r="A289" s="304" t="s">
        <v>2228</v>
      </c>
      <c r="B289" s="58"/>
      <c r="C289" s="58" t="s">
        <v>2135</v>
      </c>
      <c r="D289" s="58" t="s">
        <v>2977</v>
      </c>
      <c r="E289" s="59" t="s">
        <v>2136</v>
      </c>
      <c r="F289" s="59" t="s">
        <v>2970</v>
      </c>
      <c r="G289" s="58" t="s">
        <v>2120</v>
      </c>
    </row>
    <row r="290" spans="1:7" ht="17.25">
      <c r="A290" s="305" t="s">
        <v>2403</v>
      </c>
      <c r="B290" s="76"/>
      <c r="C290" s="76"/>
      <c r="D290" s="76"/>
      <c r="E290" s="77"/>
      <c r="F290" s="76"/>
      <c r="G290" s="76"/>
    </row>
    <row r="291" spans="1:7">
      <c r="A291" s="304" t="s">
        <v>2230</v>
      </c>
      <c r="B291" s="58" t="s">
        <v>2220</v>
      </c>
      <c r="C291" s="58" t="s">
        <v>108</v>
      </c>
      <c r="D291" s="58" t="s">
        <v>2977</v>
      </c>
      <c r="E291" s="59" t="s">
        <v>108</v>
      </c>
      <c r="F291" s="59" t="s">
        <v>2970</v>
      </c>
      <c r="G291" s="58" t="s">
        <v>2231</v>
      </c>
    </row>
    <row r="292" spans="1:7">
      <c r="A292" s="304" t="s">
        <v>2232</v>
      </c>
      <c r="B292" s="58" t="s">
        <v>2220</v>
      </c>
      <c r="C292" s="58" t="s">
        <v>108</v>
      </c>
      <c r="D292" s="58" t="s">
        <v>2977</v>
      </c>
      <c r="E292" s="59" t="s">
        <v>108</v>
      </c>
      <c r="F292" s="59" t="s">
        <v>2970</v>
      </c>
      <c r="G292" s="58" t="s">
        <v>2120</v>
      </c>
    </row>
    <row r="293" spans="1:7">
      <c r="A293" s="304" t="s">
        <v>2233</v>
      </c>
      <c r="B293" s="58" t="s">
        <v>2234</v>
      </c>
      <c r="C293" s="58" t="s">
        <v>108</v>
      </c>
      <c r="D293" s="58" t="s">
        <v>2977</v>
      </c>
      <c r="E293" s="59" t="s">
        <v>108</v>
      </c>
      <c r="F293" s="59" t="s">
        <v>2970</v>
      </c>
      <c r="G293" s="58" t="s">
        <v>2235</v>
      </c>
    </row>
    <row r="294" spans="1:7">
      <c r="A294" s="304" t="s">
        <v>2236</v>
      </c>
      <c r="B294" s="58" t="s">
        <v>2237</v>
      </c>
      <c r="C294" s="58" t="s">
        <v>108</v>
      </c>
      <c r="D294" s="58" t="s">
        <v>2977</v>
      </c>
      <c r="E294" s="59" t="s">
        <v>108</v>
      </c>
      <c r="F294" s="59" t="s">
        <v>2970</v>
      </c>
      <c r="G294" s="58" t="s">
        <v>2231</v>
      </c>
    </row>
    <row r="295" spans="1:7">
      <c r="A295" s="304" t="s">
        <v>2238</v>
      </c>
      <c r="B295" s="58" t="s">
        <v>2237</v>
      </c>
      <c r="C295" s="58" t="s">
        <v>108</v>
      </c>
      <c r="D295" s="58" t="s">
        <v>2977</v>
      </c>
      <c r="E295" s="59" t="s">
        <v>108</v>
      </c>
      <c r="F295" s="59" t="s">
        <v>2970</v>
      </c>
      <c r="G295" s="58" t="s">
        <v>2239</v>
      </c>
    </row>
    <row r="296" spans="1:7">
      <c r="A296" s="304" t="s">
        <v>2240</v>
      </c>
      <c r="B296" s="58" t="s">
        <v>2241</v>
      </c>
      <c r="C296" s="58" t="s">
        <v>2193</v>
      </c>
      <c r="D296" s="58" t="s">
        <v>2977</v>
      </c>
      <c r="E296" s="59" t="s">
        <v>2193</v>
      </c>
      <c r="F296" s="59" t="s">
        <v>2970</v>
      </c>
      <c r="G296" s="58" t="s">
        <v>2120</v>
      </c>
    </row>
    <row r="297" spans="1:7">
      <c r="A297" s="304" t="s">
        <v>2242</v>
      </c>
      <c r="B297" s="58" t="s">
        <v>2220</v>
      </c>
      <c r="C297" s="58" t="s">
        <v>2243</v>
      </c>
      <c r="D297" s="58" t="s">
        <v>2977</v>
      </c>
      <c r="E297" s="59" t="s">
        <v>2982</v>
      </c>
      <c r="F297" s="59" t="s">
        <v>2970</v>
      </c>
      <c r="G297" s="58" t="s">
        <v>2244</v>
      </c>
    </row>
    <row r="298" spans="1:7">
      <c r="A298" s="304" t="s">
        <v>2245</v>
      </c>
      <c r="B298" s="58" t="s">
        <v>2241</v>
      </c>
      <c r="C298" s="58" t="s">
        <v>2246</v>
      </c>
      <c r="D298" s="58" t="s">
        <v>2977</v>
      </c>
      <c r="E298" s="59" t="s">
        <v>108</v>
      </c>
      <c r="F298" s="59" t="s">
        <v>2970</v>
      </c>
      <c r="G298" s="58" t="s">
        <v>2120</v>
      </c>
    </row>
    <row r="299" spans="1:7">
      <c r="A299" s="304" t="s">
        <v>2247</v>
      </c>
      <c r="B299" s="58" t="s">
        <v>2248</v>
      </c>
      <c r="C299" s="58" t="s">
        <v>108</v>
      </c>
      <c r="D299" s="58" t="s">
        <v>2977</v>
      </c>
      <c r="E299" s="59" t="s">
        <v>108</v>
      </c>
      <c r="F299" s="59" t="s">
        <v>2970</v>
      </c>
      <c r="G299" s="58" t="s">
        <v>2249</v>
      </c>
    </row>
    <row r="300" spans="1:7" ht="17.25">
      <c r="A300" s="305" t="s">
        <v>2983</v>
      </c>
      <c r="B300" s="76"/>
      <c r="C300" s="76"/>
      <c r="D300" s="76"/>
      <c r="E300" s="77"/>
      <c r="F300" s="76"/>
      <c r="G300" s="76"/>
    </row>
    <row r="301" spans="1:7">
      <c r="A301" s="304" t="s">
        <v>2251</v>
      </c>
      <c r="B301" s="58" t="s">
        <v>2252</v>
      </c>
      <c r="C301" s="58" t="s">
        <v>108</v>
      </c>
      <c r="D301" s="58" t="s">
        <v>2977</v>
      </c>
      <c r="E301" s="59" t="s">
        <v>108</v>
      </c>
      <c r="F301" s="59" t="s">
        <v>2970</v>
      </c>
      <c r="G301" s="58" t="s">
        <v>2120</v>
      </c>
    </row>
    <row r="302" spans="1:7">
      <c r="A302" s="304" t="s">
        <v>2253</v>
      </c>
      <c r="B302" s="58" t="s">
        <v>2252</v>
      </c>
      <c r="C302" s="58" t="s">
        <v>2193</v>
      </c>
      <c r="D302" s="58" t="s">
        <v>2977</v>
      </c>
      <c r="E302" s="59" t="s">
        <v>2193</v>
      </c>
      <c r="F302" s="59" t="s">
        <v>2970</v>
      </c>
      <c r="G302" s="58" t="s">
        <v>2254</v>
      </c>
    </row>
    <row r="303" spans="1:7">
      <c r="A303" s="304" t="s">
        <v>2255</v>
      </c>
      <c r="B303" s="58" t="s">
        <v>2256</v>
      </c>
      <c r="C303" s="58" t="s">
        <v>2257</v>
      </c>
      <c r="D303" s="58" t="s">
        <v>2977</v>
      </c>
      <c r="E303" s="59" t="s">
        <v>108</v>
      </c>
      <c r="F303" s="59" t="s">
        <v>2970</v>
      </c>
      <c r="G303" s="58" t="s">
        <v>2120</v>
      </c>
    </row>
    <row r="304" spans="1:7">
      <c r="A304" s="304" t="s">
        <v>2258</v>
      </c>
      <c r="B304" s="58" t="s">
        <v>2259</v>
      </c>
      <c r="C304" s="58" t="s">
        <v>2260</v>
      </c>
      <c r="D304" s="58" t="s">
        <v>2977</v>
      </c>
      <c r="E304" s="59" t="s">
        <v>2984</v>
      </c>
      <c r="F304" s="59" t="s">
        <v>2970</v>
      </c>
      <c r="G304" s="58" t="s">
        <v>2261</v>
      </c>
    </row>
    <row r="305" spans="1:7">
      <c r="A305" s="304" t="s">
        <v>2262</v>
      </c>
      <c r="B305" s="58" t="s">
        <v>2259</v>
      </c>
      <c r="C305" s="58" t="s">
        <v>2147</v>
      </c>
      <c r="D305" s="58" t="s">
        <v>2977</v>
      </c>
      <c r="E305" s="59" t="s">
        <v>108</v>
      </c>
      <c r="F305" s="59" t="s">
        <v>2970</v>
      </c>
      <c r="G305" s="58" t="s">
        <v>2263</v>
      </c>
    </row>
    <row r="306" spans="1:7">
      <c r="A306" s="304" t="s">
        <v>2264</v>
      </c>
      <c r="B306" s="58" t="s">
        <v>2252</v>
      </c>
      <c r="C306" s="58" t="s">
        <v>2265</v>
      </c>
      <c r="D306" s="58" t="s">
        <v>2977</v>
      </c>
      <c r="E306" s="59" t="s">
        <v>108</v>
      </c>
      <c r="F306" s="59" t="s">
        <v>2970</v>
      </c>
      <c r="G306" s="58" t="s">
        <v>2120</v>
      </c>
    </row>
    <row r="307" spans="1:7">
      <c r="A307" s="304" t="s">
        <v>2266</v>
      </c>
      <c r="B307" s="58" t="s">
        <v>2252</v>
      </c>
      <c r="C307" s="58" t="s">
        <v>2267</v>
      </c>
      <c r="D307" s="58" t="s">
        <v>2977</v>
      </c>
      <c r="E307" s="59" t="s">
        <v>108</v>
      </c>
      <c r="F307" s="59" t="s">
        <v>2970</v>
      </c>
      <c r="G307" s="58" t="s">
        <v>2268</v>
      </c>
    </row>
    <row r="308" spans="1:7">
      <c r="A308" s="304" t="s">
        <v>2269</v>
      </c>
      <c r="B308" s="58" t="s">
        <v>2252</v>
      </c>
      <c r="C308" s="58" t="s">
        <v>2270</v>
      </c>
      <c r="D308" s="58" t="s">
        <v>2977</v>
      </c>
      <c r="E308" s="59" t="s">
        <v>108</v>
      </c>
      <c r="F308" s="59" t="s">
        <v>2970</v>
      </c>
      <c r="G308" s="58" t="s">
        <v>2120</v>
      </c>
    </row>
    <row r="309" spans="1:7" ht="17.25">
      <c r="A309" s="305" t="s">
        <v>2404</v>
      </c>
      <c r="B309" s="76"/>
      <c r="C309" s="76"/>
      <c r="D309" s="76"/>
      <c r="E309" s="77"/>
      <c r="F309" s="76"/>
      <c r="G309" s="76"/>
    </row>
    <row r="310" spans="1:7">
      <c r="A310" s="304" t="s">
        <v>2272</v>
      </c>
      <c r="B310" s="58" t="s">
        <v>2273</v>
      </c>
      <c r="C310" s="58" t="s">
        <v>2274</v>
      </c>
      <c r="D310" s="58" t="s">
        <v>2977</v>
      </c>
      <c r="E310" s="59" t="s">
        <v>108</v>
      </c>
      <c r="F310" s="59" t="s">
        <v>2970</v>
      </c>
      <c r="G310" s="58" t="s">
        <v>2275</v>
      </c>
    </row>
    <row r="311" spans="1:7">
      <c r="A311" s="304" t="s">
        <v>2276</v>
      </c>
      <c r="B311" s="58" t="s">
        <v>2248</v>
      </c>
      <c r="C311" s="58" t="s">
        <v>2277</v>
      </c>
      <c r="D311" s="58" t="s">
        <v>2977</v>
      </c>
      <c r="E311" s="59" t="s">
        <v>108</v>
      </c>
      <c r="F311" s="59" t="s">
        <v>2970</v>
      </c>
      <c r="G311" s="58" t="s">
        <v>2278</v>
      </c>
    </row>
    <row r="312" spans="1:7">
      <c r="A312" s="304" t="s">
        <v>2279</v>
      </c>
      <c r="B312" s="58" t="s">
        <v>2280</v>
      </c>
      <c r="C312" s="58" t="s">
        <v>2281</v>
      </c>
      <c r="D312" s="58" t="s">
        <v>2977</v>
      </c>
      <c r="E312" s="59" t="s">
        <v>108</v>
      </c>
      <c r="F312" s="59" t="s">
        <v>2970</v>
      </c>
      <c r="G312" s="58" t="s">
        <v>2282</v>
      </c>
    </row>
    <row r="313" spans="1:7">
      <c r="A313" s="304" t="s">
        <v>2283</v>
      </c>
      <c r="B313" s="58" t="s">
        <v>2273</v>
      </c>
      <c r="C313" s="58" t="s">
        <v>108</v>
      </c>
      <c r="D313" s="58" t="s">
        <v>2977</v>
      </c>
      <c r="E313" s="59" t="s">
        <v>108</v>
      </c>
      <c r="F313" s="59" t="s">
        <v>2970</v>
      </c>
      <c r="G313" s="58" t="s">
        <v>2284</v>
      </c>
    </row>
    <row r="314" spans="1:7">
      <c r="A314" s="304" t="s">
        <v>2285</v>
      </c>
      <c r="B314" s="58"/>
      <c r="C314" s="58" t="s">
        <v>2135</v>
      </c>
      <c r="D314" s="58" t="s">
        <v>2977</v>
      </c>
      <c r="E314" s="59" t="s">
        <v>2136</v>
      </c>
      <c r="F314" s="59" t="s">
        <v>2970</v>
      </c>
      <c r="G314" s="58" t="s">
        <v>2120</v>
      </c>
    </row>
    <row r="315" spans="1:7">
      <c r="A315" s="304" t="s">
        <v>2286</v>
      </c>
      <c r="B315" s="58"/>
      <c r="C315" s="58" t="s">
        <v>108</v>
      </c>
      <c r="D315" s="58" t="s">
        <v>2977</v>
      </c>
      <c r="E315" s="59" t="s">
        <v>108</v>
      </c>
      <c r="F315" s="59" t="s">
        <v>2970</v>
      </c>
      <c r="G315" s="58" t="s">
        <v>2120</v>
      </c>
    </row>
    <row r="316" spans="1:7">
      <c r="A316" s="304" t="s">
        <v>2287</v>
      </c>
      <c r="B316" s="58" t="s">
        <v>2273</v>
      </c>
      <c r="C316" s="58" t="s">
        <v>2288</v>
      </c>
      <c r="D316" s="58" t="s">
        <v>2977</v>
      </c>
      <c r="E316" s="59" t="s">
        <v>2288</v>
      </c>
      <c r="F316" s="59" t="s">
        <v>2970</v>
      </c>
      <c r="G316" s="58" t="s">
        <v>2289</v>
      </c>
    </row>
    <row r="317" spans="1:7" ht="17.25">
      <c r="A317" s="305" t="s">
        <v>2405</v>
      </c>
      <c r="B317" s="76"/>
      <c r="C317" s="76"/>
      <c r="D317" s="76"/>
      <c r="E317" s="77"/>
      <c r="F317" s="76"/>
      <c r="G317" s="76"/>
    </row>
    <row r="318" spans="1:7">
      <c r="A318" s="304" t="s">
        <v>2291</v>
      </c>
      <c r="B318" s="58"/>
      <c r="C318" s="58" t="s">
        <v>2135</v>
      </c>
      <c r="D318" s="58" t="s">
        <v>2977</v>
      </c>
      <c r="E318" s="59" t="s">
        <v>2136</v>
      </c>
      <c r="F318" s="59" t="s">
        <v>2970</v>
      </c>
      <c r="G318" s="58" t="s">
        <v>2292</v>
      </c>
    </row>
    <row r="319" spans="1:7">
      <c r="A319" s="304" t="s">
        <v>2293</v>
      </c>
      <c r="B319" s="58" t="s">
        <v>2294</v>
      </c>
      <c r="C319" s="58" t="s">
        <v>2295</v>
      </c>
      <c r="D319" s="58" t="s">
        <v>2977</v>
      </c>
      <c r="E319" s="59" t="s">
        <v>108</v>
      </c>
      <c r="F319" s="59" t="s">
        <v>2970</v>
      </c>
      <c r="G319" s="58" t="s">
        <v>2296</v>
      </c>
    </row>
    <row r="320" spans="1:7">
      <c r="A320" s="304" t="s">
        <v>2297</v>
      </c>
      <c r="B320" s="58" t="s">
        <v>2298</v>
      </c>
      <c r="C320" s="58" t="s">
        <v>108</v>
      </c>
      <c r="D320" s="58" t="s">
        <v>2977</v>
      </c>
      <c r="E320" s="59" t="s">
        <v>108</v>
      </c>
      <c r="F320" s="59" t="s">
        <v>2970</v>
      </c>
      <c r="G320" s="58" t="s">
        <v>2299</v>
      </c>
    </row>
    <row r="321" spans="1:7">
      <c r="A321" s="304" t="s">
        <v>2300</v>
      </c>
      <c r="B321" s="58" t="s">
        <v>2294</v>
      </c>
      <c r="C321" s="58" t="s">
        <v>108</v>
      </c>
      <c r="D321" s="58" t="s">
        <v>2977</v>
      </c>
      <c r="E321" s="59" t="s">
        <v>108</v>
      </c>
      <c r="F321" s="59" t="s">
        <v>2970</v>
      </c>
      <c r="G321" s="58" t="s">
        <v>2299</v>
      </c>
    </row>
    <row r="322" spans="1:7">
      <c r="A322" s="304" t="s">
        <v>2301</v>
      </c>
      <c r="B322" s="58" t="s">
        <v>2302</v>
      </c>
      <c r="C322" s="58" t="s">
        <v>2193</v>
      </c>
      <c r="D322" s="58" t="s">
        <v>2977</v>
      </c>
      <c r="E322" s="59" t="s">
        <v>2193</v>
      </c>
      <c r="F322" s="59" t="s">
        <v>2970</v>
      </c>
      <c r="G322" s="58" t="s">
        <v>2303</v>
      </c>
    </row>
    <row r="323" spans="1:7">
      <c r="A323" s="304" t="s">
        <v>2304</v>
      </c>
      <c r="B323" s="58" t="s">
        <v>2305</v>
      </c>
      <c r="C323" s="58" t="s">
        <v>2257</v>
      </c>
      <c r="D323" s="58" t="s">
        <v>2977</v>
      </c>
      <c r="E323" s="59" t="s">
        <v>108</v>
      </c>
      <c r="F323" s="59" t="s">
        <v>2970</v>
      </c>
      <c r="G323" s="58" t="s">
        <v>2306</v>
      </c>
    </row>
    <row r="324" spans="1:7" ht="17.25">
      <c r="A324" s="305" t="s">
        <v>2406</v>
      </c>
      <c r="B324" s="76"/>
      <c r="C324" s="76"/>
      <c r="D324" s="76"/>
      <c r="E324" s="77"/>
      <c r="F324" s="76"/>
      <c r="G324" s="76"/>
    </row>
    <row r="325" spans="1:7">
      <c r="A325" s="304" t="s">
        <v>2352</v>
      </c>
      <c r="B325" s="58"/>
      <c r="C325" s="58" t="s">
        <v>1201</v>
      </c>
      <c r="D325" s="58" t="s">
        <v>2969</v>
      </c>
      <c r="E325" s="59" t="s">
        <v>1201</v>
      </c>
      <c r="F325" s="59" t="s">
        <v>2970</v>
      </c>
      <c r="G325" s="58" t="s">
        <v>2120</v>
      </c>
    </row>
    <row r="326" spans="1:7">
      <c r="A326" s="304" t="s">
        <v>2118</v>
      </c>
      <c r="B326" s="58"/>
      <c r="C326" s="58" t="s">
        <v>2119</v>
      </c>
      <c r="D326" s="58" t="s">
        <v>2969</v>
      </c>
      <c r="E326" s="59" t="s">
        <v>1201</v>
      </c>
      <c r="F326" s="59" t="s">
        <v>2970</v>
      </c>
      <c r="G326" s="58" t="s">
        <v>2120</v>
      </c>
    </row>
    <row r="327" spans="1:7" ht="17.25">
      <c r="A327" s="305" t="s">
        <v>2408</v>
      </c>
      <c r="B327" s="76"/>
      <c r="C327" s="76"/>
      <c r="D327" s="76"/>
      <c r="E327" s="77"/>
      <c r="F327" s="76"/>
      <c r="G327" s="76"/>
    </row>
    <row r="328" spans="1:7">
      <c r="A328" s="304" t="s">
        <v>2144</v>
      </c>
      <c r="B328" s="58" t="s">
        <v>2143</v>
      </c>
      <c r="C328" s="58" t="s">
        <v>2145</v>
      </c>
      <c r="D328" s="58" t="s">
        <v>2969</v>
      </c>
      <c r="E328" s="59" t="s">
        <v>2463</v>
      </c>
      <c r="F328" s="59" t="s">
        <v>2970</v>
      </c>
      <c r="G328" s="58" t="s">
        <v>2120</v>
      </c>
    </row>
    <row r="329" spans="1:7" ht="17.25">
      <c r="A329" s="305" t="s">
        <v>2409</v>
      </c>
      <c r="B329" s="76"/>
      <c r="C329" s="76"/>
      <c r="D329" s="76"/>
      <c r="E329" s="77"/>
      <c r="F329" s="76"/>
      <c r="G329" s="76"/>
    </row>
    <row r="330" spans="1:7">
      <c r="A330" s="304" t="s">
        <v>2465</v>
      </c>
      <c r="B330" s="58" t="s">
        <v>2248</v>
      </c>
      <c r="C330" s="58" t="s">
        <v>2466</v>
      </c>
      <c r="D330" s="58" t="s">
        <v>2969</v>
      </c>
      <c r="E330" s="59" t="s">
        <v>2463</v>
      </c>
      <c r="F330" s="59" t="s">
        <v>2970</v>
      </c>
      <c r="G330" s="58" t="s">
        <v>2120</v>
      </c>
    </row>
    <row r="331" spans="1:7">
      <c r="A331" s="304" t="s">
        <v>2158</v>
      </c>
      <c r="B331" s="58" t="s">
        <v>2155</v>
      </c>
      <c r="C331" s="58" t="s">
        <v>2159</v>
      </c>
      <c r="D331" s="58" t="s">
        <v>2969</v>
      </c>
      <c r="E331" s="59" t="s">
        <v>2463</v>
      </c>
      <c r="F331" s="59" t="s">
        <v>2970</v>
      </c>
      <c r="G331" s="58" t="s">
        <v>2160</v>
      </c>
    </row>
    <row r="332" spans="1:7" ht="17.25">
      <c r="A332" s="305" t="s">
        <v>2415</v>
      </c>
      <c r="B332" s="76"/>
      <c r="C332" s="76"/>
      <c r="D332" s="76"/>
      <c r="E332" s="77"/>
      <c r="F332" s="76"/>
      <c r="G332" s="76"/>
    </row>
    <row r="333" spans="1:7">
      <c r="A333" s="304" t="s">
        <v>2242</v>
      </c>
      <c r="B333" s="58" t="s">
        <v>2220</v>
      </c>
      <c r="C333" s="58" t="s">
        <v>2243</v>
      </c>
      <c r="D333" s="58" t="s">
        <v>2969</v>
      </c>
      <c r="E333" s="59" t="s">
        <v>2971</v>
      </c>
      <c r="F333" s="59" t="s">
        <v>2970</v>
      </c>
      <c r="G333" s="58" t="s">
        <v>2244</v>
      </c>
    </row>
    <row r="334" spans="1:7" ht="17.25">
      <c r="A334" s="305" t="s">
        <v>2416</v>
      </c>
      <c r="B334" s="76"/>
      <c r="C334" s="76"/>
      <c r="D334" s="76"/>
      <c r="E334" s="77"/>
      <c r="F334" s="76"/>
      <c r="G334" s="76"/>
    </row>
    <row r="335" spans="1:7">
      <c r="A335" s="304" t="s">
        <v>2255</v>
      </c>
      <c r="B335" s="58" t="s">
        <v>2256</v>
      </c>
      <c r="C335" s="58" t="s">
        <v>2257</v>
      </c>
      <c r="D335" s="58" t="s">
        <v>2969</v>
      </c>
      <c r="E335" s="59" t="s">
        <v>2463</v>
      </c>
      <c r="F335" s="59" t="s">
        <v>2970</v>
      </c>
      <c r="G335" s="58" t="s">
        <v>2120</v>
      </c>
    </row>
    <row r="336" spans="1:7">
      <c r="A336" s="304" t="s">
        <v>2258</v>
      </c>
      <c r="B336" s="58" t="s">
        <v>2259</v>
      </c>
      <c r="C336" s="58" t="s">
        <v>2260</v>
      </c>
      <c r="D336" s="58" t="s">
        <v>2969</v>
      </c>
      <c r="E336" s="59" t="s">
        <v>2775</v>
      </c>
      <c r="F336" s="59" t="s">
        <v>2970</v>
      </c>
      <c r="G336" s="58" t="s">
        <v>2261</v>
      </c>
    </row>
    <row r="337" spans="1:7" ht="17.25">
      <c r="A337" s="305" t="s">
        <v>2418</v>
      </c>
      <c r="B337" s="76"/>
      <c r="C337" s="76"/>
      <c r="D337" s="76"/>
      <c r="E337" s="77"/>
      <c r="F337" s="76"/>
      <c r="G337" s="76"/>
    </row>
    <row r="338" spans="1:7">
      <c r="A338" s="304" t="s">
        <v>2304</v>
      </c>
      <c r="B338" s="58" t="s">
        <v>2305</v>
      </c>
      <c r="C338" s="58" t="s">
        <v>2257</v>
      </c>
      <c r="D338" s="58" t="s">
        <v>2969</v>
      </c>
      <c r="E338" s="59" t="s">
        <v>2463</v>
      </c>
      <c r="F338" s="59" t="s">
        <v>2970</v>
      </c>
      <c r="G338" s="58" t="s">
        <v>2306</v>
      </c>
    </row>
    <row r="339" spans="1:7">
      <c r="A339" s="304" t="s">
        <v>2477</v>
      </c>
      <c r="B339" s="58" t="s">
        <v>2213</v>
      </c>
      <c r="C339" s="58" t="s">
        <v>2463</v>
      </c>
      <c r="D339" s="58" t="s">
        <v>2969</v>
      </c>
      <c r="E339" s="59" t="s">
        <v>2463</v>
      </c>
      <c r="F339" s="59" t="s">
        <v>2970</v>
      </c>
      <c r="G339" s="58" t="s">
        <v>2292</v>
      </c>
    </row>
    <row r="340" spans="1:7" ht="17.25">
      <c r="A340" s="305" t="s">
        <v>2419</v>
      </c>
      <c r="B340" s="76"/>
      <c r="C340" s="76"/>
      <c r="D340" s="76"/>
      <c r="E340" s="77"/>
      <c r="F340" s="76"/>
      <c r="G340" s="76"/>
    </row>
    <row r="341" spans="1:7">
      <c r="A341" s="304" t="s">
        <v>2114</v>
      </c>
      <c r="B341" s="58" t="s">
        <v>2115</v>
      </c>
      <c r="C341" s="58" t="s">
        <v>1559</v>
      </c>
      <c r="D341" s="58" t="s">
        <v>2972</v>
      </c>
      <c r="E341" s="59" t="s">
        <v>108</v>
      </c>
      <c r="F341" s="59" t="s">
        <v>2970</v>
      </c>
      <c r="G341" s="58" t="s">
        <v>2117</v>
      </c>
    </row>
    <row r="342" spans="1:7">
      <c r="A342" s="304" t="s">
        <v>2352</v>
      </c>
      <c r="B342" s="58"/>
      <c r="C342" s="58" t="s">
        <v>1201</v>
      </c>
      <c r="D342" s="58" t="s">
        <v>2972</v>
      </c>
      <c r="E342" s="59" t="s">
        <v>1201</v>
      </c>
      <c r="F342" s="59" t="s">
        <v>2970</v>
      </c>
      <c r="G342" s="58" t="s">
        <v>2120</v>
      </c>
    </row>
    <row r="343" spans="1:7">
      <c r="A343" s="304" t="s">
        <v>2118</v>
      </c>
      <c r="B343" s="58"/>
      <c r="C343" s="58" t="s">
        <v>2119</v>
      </c>
      <c r="D343" s="58" t="s">
        <v>2972</v>
      </c>
      <c r="E343" s="59" t="s">
        <v>2119</v>
      </c>
      <c r="F343" s="59" t="s">
        <v>2970</v>
      </c>
      <c r="G343" s="58" t="s">
        <v>2120</v>
      </c>
    </row>
    <row r="344" spans="1:7">
      <c r="A344" s="304" t="s">
        <v>2121</v>
      </c>
      <c r="B344" s="58" t="s">
        <v>2122</v>
      </c>
      <c r="C344" s="58" t="s">
        <v>108</v>
      </c>
      <c r="D344" s="58" t="s">
        <v>2972</v>
      </c>
      <c r="E344" s="59" t="s">
        <v>108</v>
      </c>
      <c r="F344" s="59" t="s">
        <v>2970</v>
      </c>
      <c r="G344" s="58" t="s">
        <v>2120</v>
      </c>
    </row>
    <row r="345" spans="1:7">
      <c r="A345" s="304" t="s">
        <v>2123</v>
      </c>
      <c r="B345" s="58" t="s">
        <v>2124</v>
      </c>
      <c r="C345" s="58" t="s">
        <v>108</v>
      </c>
      <c r="D345" s="58" t="s">
        <v>2972</v>
      </c>
      <c r="E345" s="59" t="s">
        <v>108</v>
      </c>
      <c r="F345" s="59" t="s">
        <v>2970</v>
      </c>
      <c r="G345" s="58" t="s">
        <v>2125</v>
      </c>
    </row>
    <row r="346" spans="1:7">
      <c r="A346" s="304" t="s">
        <v>2126</v>
      </c>
      <c r="B346" s="58"/>
      <c r="C346" s="58" t="s">
        <v>108</v>
      </c>
      <c r="D346" s="58" t="s">
        <v>2972</v>
      </c>
      <c r="E346" s="59" t="s">
        <v>108</v>
      </c>
      <c r="F346" s="59" t="s">
        <v>2970</v>
      </c>
      <c r="G346" s="58" t="s">
        <v>2120</v>
      </c>
    </row>
    <row r="347" spans="1:7" ht="17.25">
      <c r="A347" s="305" t="s">
        <v>2420</v>
      </c>
      <c r="B347" s="76"/>
      <c r="C347" s="76"/>
      <c r="D347" s="76"/>
      <c r="E347" s="77"/>
      <c r="F347" s="76"/>
      <c r="G347" s="76"/>
    </row>
    <row r="348" spans="1:7">
      <c r="A348" s="304" t="s">
        <v>2128</v>
      </c>
      <c r="B348" s="58" t="s">
        <v>2129</v>
      </c>
      <c r="C348" s="58" t="s">
        <v>108</v>
      </c>
      <c r="D348" s="58" t="s">
        <v>2972</v>
      </c>
      <c r="E348" s="59" t="s">
        <v>108</v>
      </c>
      <c r="F348" s="59" t="s">
        <v>2970</v>
      </c>
      <c r="G348" s="58" t="s">
        <v>2120</v>
      </c>
    </row>
    <row r="349" spans="1:7">
      <c r="A349" s="304" t="s">
        <v>2130</v>
      </c>
      <c r="B349" s="58" t="s">
        <v>2131</v>
      </c>
      <c r="C349" s="58" t="s">
        <v>108</v>
      </c>
      <c r="D349" s="58" t="s">
        <v>2972</v>
      </c>
      <c r="E349" s="59" t="s">
        <v>108</v>
      </c>
      <c r="F349" s="59" t="s">
        <v>2970</v>
      </c>
      <c r="G349" s="58" t="s">
        <v>2132</v>
      </c>
    </row>
    <row r="350" spans="1:7">
      <c r="A350" s="304" t="s">
        <v>2133</v>
      </c>
      <c r="B350" s="58" t="s">
        <v>2131</v>
      </c>
      <c r="C350" s="58" t="s">
        <v>108</v>
      </c>
      <c r="D350" s="58" t="s">
        <v>2972</v>
      </c>
      <c r="E350" s="59" t="s">
        <v>108</v>
      </c>
      <c r="F350" s="59" t="s">
        <v>2970</v>
      </c>
      <c r="G350" s="58" t="s">
        <v>2120</v>
      </c>
    </row>
    <row r="351" spans="1:7">
      <c r="A351" s="304" t="s">
        <v>2134</v>
      </c>
      <c r="B351" s="58"/>
      <c r="C351" s="58" t="s">
        <v>2135</v>
      </c>
      <c r="D351" s="58" t="s">
        <v>2972</v>
      </c>
      <c r="E351" s="59" t="s">
        <v>2136</v>
      </c>
      <c r="F351" s="59" t="s">
        <v>2970</v>
      </c>
      <c r="G351" s="58" t="s">
        <v>2137</v>
      </c>
    </row>
    <row r="352" spans="1:7">
      <c r="A352" s="304" t="s">
        <v>2138</v>
      </c>
      <c r="B352" s="58" t="s">
        <v>2139</v>
      </c>
      <c r="C352" s="58" t="s">
        <v>108</v>
      </c>
      <c r="D352" s="58" t="s">
        <v>2972</v>
      </c>
      <c r="E352" s="59" t="s">
        <v>108</v>
      </c>
      <c r="F352" s="59" t="s">
        <v>2970</v>
      </c>
      <c r="G352" s="58" t="s">
        <v>2140</v>
      </c>
    </row>
    <row r="353" spans="1:7" ht="17.25">
      <c r="A353" s="305" t="s">
        <v>2421</v>
      </c>
      <c r="B353" s="76"/>
      <c r="C353" s="76"/>
      <c r="D353" s="76"/>
      <c r="E353" s="77"/>
      <c r="F353" s="76"/>
      <c r="G353" s="76"/>
    </row>
    <row r="354" spans="1:7">
      <c r="A354" s="304" t="s">
        <v>2142</v>
      </c>
      <c r="B354" s="58" t="s">
        <v>2143</v>
      </c>
      <c r="C354" s="58" t="s">
        <v>108</v>
      </c>
      <c r="D354" s="58" t="s">
        <v>2972</v>
      </c>
      <c r="E354" s="59" t="s">
        <v>108</v>
      </c>
      <c r="F354" s="59" t="s">
        <v>2970</v>
      </c>
      <c r="G354" s="58" t="s">
        <v>2120</v>
      </c>
    </row>
    <row r="355" spans="1:7">
      <c r="A355" s="304" t="s">
        <v>2144</v>
      </c>
      <c r="B355" s="58" t="s">
        <v>2143</v>
      </c>
      <c r="C355" s="58" t="s">
        <v>2145</v>
      </c>
      <c r="D355" s="58" t="s">
        <v>2972</v>
      </c>
      <c r="E355" s="59" t="s">
        <v>108</v>
      </c>
      <c r="F355" s="59" t="s">
        <v>2970</v>
      </c>
      <c r="G355" s="58" t="s">
        <v>2120</v>
      </c>
    </row>
    <row r="356" spans="1:7">
      <c r="A356" s="304" t="s">
        <v>2146</v>
      </c>
      <c r="B356" s="58" t="s">
        <v>2143</v>
      </c>
      <c r="C356" s="58" t="s">
        <v>2147</v>
      </c>
      <c r="D356" s="58" t="s">
        <v>2972</v>
      </c>
      <c r="E356" s="59" t="s">
        <v>108</v>
      </c>
      <c r="F356" s="59" t="s">
        <v>2970</v>
      </c>
      <c r="G356" s="58" t="s">
        <v>2148</v>
      </c>
    </row>
    <row r="357" spans="1:7">
      <c r="A357" s="304" t="s">
        <v>2149</v>
      </c>
      <c r="B357" s="58" t="s">
        <v>2143</v>
      </c>
      <c r="C357" s="58" t="s">
        <v>108</v>
      </c>
      <c r="D357" s="58" t="s">
        <v>2972</v>
      </c>
      <c r="E357" s="59" t="s">
        <v>108</v>
      </c>
      <c r="F357" s="59" t="s">
        <v>2970</v>
      </c>
      <c r="G357" s="58" t="s">
        <v>2120</v>
      </c>
    </row>
    <row r="358" spans="1:7" ht="17.25">
      <c r="A358" s="305" t="s">
        <v>2422</v>
      </c>
      <c r="B358" s="76"/>
      <c r="C358" s="76"/>
      <c r="D358" s="76"/>
      <c r="E358" s="77"/>
      <c r="F358" s="76"/>
      <c r="G358" s="76"/>
    </row>
    <row r="359" spans="1:7">
      <c r="A359" s="304" t="s">
        <v>2151</v>
      </c>
      <c r="B359" s="58" t="s">
        <v>2152</v>
      </c>
      <c r="C359" s="58" t="s">
        <v>2153</v>
      </c>
      <c r="D359" s="58" t="s">
        <v>2972</v>
      </c>
      <c r="E359" s="59" t="s">
        <v>108</v>
      </c>
      <c r="F359" s="59" t="s">
        <v>2970</v>
      </c>
      <c r="G359" s="58" t="s">
        <v>2120</v>
      </c>
    </row>
    <row r="360" spans="1:7">
      <c r="A360" s="304" t="s">
        <v>2154</v>
      </c>
      <c r="B360" s="58" t="s">
        <v>2155</v>
      </c>
      <c r="C360" s="58" t="s">
        <v>108</v>
      </c>
      <c r="D360" s="58" t="s">
        <v>2972</v>
      </c>
      <c r="E360" s="59" t="s">
        <v>108</v>
      </c>
      <c r="F360" s="59" t="s">
        <v>2970</v>
      </c>
      <c r="G360" s="58" t="s">
        <v>2120</v>
      </c>
    </row>
    <row r="361" spans="1:7">
      <c r="A361" s="304" t="s">
        <v>2156</v>
      </c>
      <c r="B361" s="58" t="s">
        <v>2152</v>
      </c>
      <c r="C361" s="58" t="s">
        <v>2157</v>
      </c>
      <c r="D361" s="58" t="s">
        <v>2972</v>
      </c>
      <c r="E361" s="59" t="s">
        <v>108</v>
      </c>
      <c r="F361" s="59" t="s">
        <v>2970</v>
      </c>
      <c r="G361" s="58" t="s">
        <v>2120</v>
      </c>
    </row>
    <row r="362" spans="1:7">
      <c r="A362" s="304" t="s">
        <v>2158</v>
      </c>
      <c r="B362" s="58" t="s">
        <v>2155</v>
      </c>
      <c r="C362" s="58" t="s">
        <v>2159</v>
      </c>
      <c r="D362" s="58" t="s">
        <v>2972</v>
      </c>
      <c r="E362" s="59" t="s">
        <v>108</v>
      </c>
      <c r="F362" s="59" t="s">
        <v>2970</v>
      </c>
      <c r="G362" s="58" t="s">
        <v>2160</v>
      </c>
    </row>
    <row r="363" spans="1:7">
      <c r="A363" s="304" t="s">
        <v>2161</v>
      </c>
      <c r="B363" s="58" t="s">
        <v>2162</v>
      </c>
      <c r="C363" s="58" t="s">
        <v>108</v>
      </c>
      <c r="D363" s="58" t="s">
        <v>2972</v>
      </c>
      <c r="E363" s="59" t="s">
        <v>108</v>
      </c>
      <c r="F363" s="59" t="s">
        <v>2970</v>
      </c>
      <c r="G363" s="58" t="s">
        <v>2163</v>
      </c>
    </row>
    <row r="364" spans="1:7">
      <c r="A364" s="304" t="s">
        <v>2164</v>
      </c>
      <c r="B364" s="58" t="s">
        <v>2162</v>
      </c>
      <c r="C364" s="58" t="s">
        <v>108</v>
      </c>
      <c r="D364" s="58" t="s">
        <v>2972</v>
      </c>
      <c r="E364" s="59" t="s">
        <v>108</v>
      </c>
      <c r="F364" s="59" t="s">
        <v>2970</v>
      </c>
      <c r="G364" s="58" t="s">
        <v>2120</v>
      </c>
    </row>
    <row r="365" spans="1:7" ht="17.25">
      <c r="A365" s="305" t="s">
        <v>2423</v>
      </c>
      <c r="B365" s="76"/>
      <c r="C365" s="76"/>
      <c r="D365" s="76"/>
      <c r="E365" s="77"/>
      <c r="F365" s="76"/>
      <c r="G365" s="76"/>
    </row>
    <row r="366" spans="1:7">
      <c r="A366" s="304" t="s">
        <v>2166</v>
      </c>
      <c r="B366" s="58" t="s">
        <v>2167</v>
      </c>
      <c r="C366" s="58" t="s">
        <v>108</v>
      </c>
      <c r="D366" s="58" t="s">
        <v>2972</v>
      </c>
      <c r="E366" s="59" t="s">
        <v>108</v>
      </c>
      <c r="F366" s="59" t="s">
        <v>2970</v>
      </c>
      <c r="G366" s="58" t="s">
        <v>2168</v>
      </c>
    </row>
    <row r="367" spans="1:7">
      <c r="A367" s="304" t="s">
        <v>2169</v>
      </c>
      <c r="B367" s="58" t="s">
        <v>2129</v>
      </c>
      <c r="C367" s="58" t="s">
        <v>2170</v>
      </c>
      <c r="D367" s="58" t="s">
        <v>2972</v>
      </c>
      <c r="E367" s="59" t="s">
        <v>2136</v>
      </c>
      <c r="F367" s="59" t="s">
        <v>2970</v>
      </c>
      <c r="G367" s="58" t="s">
        <v>2120</v>
      </c>
    </row>
    <row r="368" spans="1:7">
      <c r="A368" s="304" t="s">
        <v>2171</v>
      </c>
      <c r="B368" s="58" t="s">
        <v>2129</v>
      </c>
      <c r="C368" s="58" t="s">
        <v>2135</v>
      </c>
      <c r="D368" s="58" t="s">
        <v>2972</v>
      </c>
      <c r="E368" s="59" t="s">
        <v>2136</v>
      </c>
      <c r="F368" s="59" t="s">
        <v>2970</v>
      </c>
      <c r="G368" s="58" t="s">
        <v>2120</v>
      </c>
    </row>
    <row r="369" spans="1:7">
      <c r="A369" s="304" t="s">
        <v>2172</v>
      </c>
      <c r="B369" s="58" t="s">
        <v>2129</v>
      </c>
      <c r="C369" s="58" t="s">
        <v>2135</v>
      </c>
      <c r="D369" s="58" t="s">
        <v>2972</v>
      </c>
      <c r="E369" s="59" t="s">
        <v>2136</v>
      </c>
      <c r="F369" s="59" t="s">
        <v>2970</v>
      </c>
      <c r="G369" s="58" t="s">
        <v>2120</v>
      </c>
    </row>
    <row r="370" spans="1:7">
      <c r="A370" s="304" t="s">
        <v>2173</v>
      </c>
      <c r="B370" s="58" t="s">
        <v>2174</v>
      </c>
      <c r="C370" s="58" t="s">
        <v>2135</v>
      </c>
      <c r="D370" s="58" t="s">
        <v>2972</v>
      </c>
      <c r="E370" s="59" t="s">
        <v>2136</v>
      </c>
      <c r="F370" s="59" t="s">
        <v>2970</v>
      </c>
      <c r="G370" s="58" t="s">
        <v>2120</v>
      </c>
    </row>
    <row r="371" spans="1:7">
      <c r="A371" s="304" t="s">
        <v>2175</v>
      </c>
      <c r="B371" s="58"/>
      <c r="C371" s="58" t="s">
        <v>2135</v>
      </c>
      <c r="D371" s="58" t="s">
        <v>2972</v>
      </c>
      <c r="E371" s="59" t="s">
        <v>2136</v>
      </c>
      <c r="F371" s="59" t="s">
        <v>2970</v>
      </c>
      <c r="G371" s="58" t="s">
        <v>2120</v>
      </c>
    </row>
    <row r="372" spans="1:7">
      <c r="A372" s="304" t="s">
        <v>2176</v>
      </c>
      <c r="B372" s="58"/>
      <c r="C372" s="58" t="s">
        <v>2135</v>
      </c>
      <c r="D372" s="58" t="s">
        <v>2972</v>
      </c>
      <c r="E372" s="59" t="s">
        <v>2136</v>
      </c>
      <c r="F372" s="59" t="s">
        <v>2970</v>
      </c>
      <c r="G372" s="58" t="s">
        <v>2120</v>
      </c>
    </row>
    <row r="373" spans="1:7">
      <c r="A373" s="304" t="s">
        <v>2177</v>
      </c>
      <c r="B373" s="58"/>
      <c r="C373" s="58" t="s">
        <v>2135</v>
      </c>
      <c r="D373" s="58" t="s">
        <v>2972</v>
      </c>
      <c r="E373" s="59" t="s">
        <v>2136</v>
      </c>
      <c r="F373" s="59" t="s">
        <v>2970</v>
      </c>
      <c r="G373" s="58" t="s">
        <v>2120</v>
      </c>
    </row>
    <row r="374" spans="1:7" ht="17.25">
      <c r="A374" s="305" t="s">
        <v>2424</v>
      </c>
      <c r="B374" s="76"/>
      <c r="C374" s="76"/>
      <c r="D374" s="76"/>
      <c r="E374" s="77"/>
      <c r="F374" s="76"/>
      <c r="G374" s="76"/>
    </row>
    <row r="375" spans="1:7">
      <c r="A375" s="304" t="s">
        <v>2179</v>
      </c>
      <c r="B375" s="58" t="s">
        <v>2180</v>
      </c>
      <c r="C375" s="58" t="s">
        <v>108</v>
      </c>
      <c r="D375" s="58" t="s">
        <v>2972</v>
      </c>
      <c r="E375" s="59" t="s">
        <v>108</v>
      </c>
      <c r="F375" s="59" t="s">
        <v>2970</v>
      </c>
      <c r="G375" s="58" t="s">
        <v>2120</v>
      </c>
    </row>
    <row r="376" spans="1:7">
      <c r="A376" s="304" t="s">
        <v>2181</v>
      </c>
      <c r="B376" s="58" t="s">
        <v>2182</v>
      </c>
      <c r="C376" s="58" t="s">
        <v>108</v>
      </c>
      <c r="D376" s="58" t="s">
        <v>2972</v>
      </c>
      <c r="E376" s="59" t="s">
        <v>108</v>
      </c>
      <c r="F376" s="59" t="s">
        <v>2970</v>
      </c>
      <c r="G376" s="58" t="s">
        <v>2120</v>
      </c>
    </row>
    <row r="377" spans="1:7">
      <c r="A377" s="304" t="s">
        <v>2183</v>
      </c>
      <c r="B377" s="58" t="s">
        <v>2182</v>
      </c>
      <c r="C377" s="58" t="s">
        <v>2184</v>
      </c>
      <c r="D377" s="58" t="s">
        <v>2972</v>
      </c>
      <c r="E377" s="59" t="s">
        <v>108</v>
      </c>
      <c r="F377" s="59" t="s">
        <v>2970</v>
      </c>
      <c r="G377" s="58" t="s">
        <v>2185</v>
      </c>
    </row>
    <row r="378" spans="1:7">
      <c r="A378" s="304" t="s">
        <v>2186</v>
      </c>
      <c r="B378" s="58" t="s">
        <v>2187</v>
      </c>
      <c r="C378" s="58" t="s">
        <v>108</v>
      </c>
      <c r="D378" s="58" t="s">
        <v>2972</v>
      </c>
      <c r="E378" s="59" t="s">
        <v>108</v>
      </c>
      <c r="F378" s="59" t="s">
        <v>2970</v>
      </c>
      <c r="G378" s="58" t="s">
        <v>2120</v>
      </c>
    </row>
    <row r="379" spans="1:7">
      <c r="A379" s="304" t="s">
        <v>2188</v>
      </c>
      <c r="B379" s="58"/>
      <c r="C379" s="58" t="s">
        <v>2189</v>
      </c>
      <c r="D379" s="58" t="s">
        <v>2972</v>
      </c>
      <c r="E379" s="59" t="s">
        <v>108</v>
      </c>
      <c r="F379" s="59" t="s">
        <v>2970</v>
      </c>
      <c r="G379" s="58" t="s">
        <v>2120</v>
      </c>
    </row>
    <row r="380" spans="1:7">
      <c r="A380" s="304" t="s">
        <v>2190</v>
      </c>
      <c r="B380" s="58"/>
      <c r="C380" s="58" t="s">
        <v>2135</v>
      </c>
      <c r="D380" s="58" t="s">
        <v>2972</v>
      </c>
      <c r="E380" s="59" t="s">
        <v>2136</v>
      </c>
      <c r="F380" s="59" t="s">
        <v>2970</v>
      </c>
      <c r="G380" s="58" t="s">
        <v>2120</v>
      </c>
    </row>
    <row r="381" spans="1:7">
      <c r="A381" s="304" t="s">
        <v>2191</v>
      </c>
      <c r="B381" s="58"/>
      <c r="C381" s="58" t="s">
        <v>2135</v>
      </c>
      <c r="D381" s="58" t="s">
        <v>2972</v>
      </c>
      <c r="E381" s="59" t="s">
        <v>2136</v>
      </c>
      <c r="F381" s="59" t="s">
        <v>2970</v>
      </c>
      <c r="G381" s="58" t="s">
        <v>2120</v>
      </c>
    </row>
    <row r="382" spans="1:7">
      <c r="A382" s="304" t="s">
        <v>2192</v>
      </c>
      <c r="B382" s="58" t="s">
        <v>2182</v>
      </c>
      <c r="C382" s="58" t="s">
        <v>2193</v>
      </c>
      <c r="D382" s="58" t="s">
        <v>2972</v>
      </c>
      <c r="E382" s="59" t="s">
        <v>2193</v>
      </c>
      <c r="F382" s="59" t="s">
        <v>2970</v>
      </c>
      <c r="G382" s="58" t="s">
        <v>2120</v>
      </c>
    </row>
    <row r="383" spans="1:7">
      <c r="A383" s="304" t="s">
        <v>2194</v>
      </c>
      <c r="B383" s="58" t="s">
        <v>2187</v>
      </c>
      <c r="C383" s="58" t="s">
        <v>108</v>
      </c>
      <c r="D383" s="58" t="s">
        <v>2972</v>
      </c>
      <c r="E383" s="59" t="s">
        <v>108</v>
      </c>
      <c r="F383" s="59" t="s">
        <v>2970</v>
      </c>
      <c r="G383" s="58" t="s">
        <v>2120</v>
      </c>
    </row>
    <row r="384" spans="1:7" ht="17.25">
      <c r="A384" s="305" t="s">
        <v>2425</v>
      </c>
      <c r="B384" s="76"/>
      <c r="C384" s="76"/>
      <c r="D384" s="76"/>
      <c r="E384" s="77"/>
      <c r="F384" s="76"/>
      <c r="G384" s="76"/>
    </row>
    <row r="385" spans="1:7">
      <c r="A385" s="304" t="s">
        <v>2196</v>
      </c>
      <c r="B385" s="58"/>
      <c r="C385" s="58" t="s">
        <v>2193</v>
      </c>
      <c r="D385" s="58" t="s">
        <v>2972</v>
      </c>
      <c r="E385" s="59" t="s">
        <v>2193</v>
      </c>
      <c r="F385" s="59" t="s">
        <v>2970</v>
      </c>
      <c r="G385" s="58" t="s">
        <v>2120</v>
      </c>
    </row>
    <row r="386" spans="1:7">
      <c r="A386" s="304" t="s">
        <v>2197</v>
      </c>
      <c r="B386" s="58"/>
      <c r="C386" s="58" t="s">
        <v>2193</v>
      </c>
      <c r="D386" s="58" t="s">
        <v>2972</v>
      </c>
      <c r="E386" s="59" t="s">
        <v>2193</v>
      </c>
      <c r="F386" s="59" t="s">
        <v>2970</v>
      </c>
      <c r="G386" s="58" t="s">
        <v>2120</v>
      </c>
    </row>
    <row r="387" spans="1:7">
      <c r="A387" s="304" t="s">
        <v>2198</v>
      </c>
      <c r="B387" s="58"/>
      <c r="C387" s="58" t="s">
        <v>2199</v>
      </c>
      <c r="D387" s="58" t="s">
        <v>2972</v>
      </c>
      <c r="E387" s="59" t="s">
        <v>2193</v>
      </c>
      <c r="F387" s="59" t="s">
        <v>2970</v>
      </c>
      <c r="G387" s="58" t="s">
        <v>2120</v>
      </c>
    </row>
    <row r="388" spans="1:7">
      <c r="A388" s="304" t="s">
        <v>2200</v>
      </c>
      <c r="B388" s="58" t="s">
        <v>2182</v>
      </c>
      <c r="C388" s="58" t="s">
        <v>108</v>
      </c>
      <c r="D388" s="58" t="s">
        <v>2972</v>
      </c>
      <c r="E388" s="59" t="s">
        <v>108</v>
      </c>
      <c r="F388" s="59" t="s">
        <v>2970</v>
      </c>
      <c r="G388" s="58" t="s">
        <v>2120</v>
      </c>
    </row>
    <row r="389" spans="1:7">
      <c r="A389" s="304" t="s">
        <v>2201</v>
      </c>
      <c r="B389" s="58" t="s">
        <v>2182</v>
      </c>
      <c r="C389" s="58" t="s">
        <v>108</v>
      </c>
      <c r="D389" s="58" t="s">
        <v>2972</v>
      </c>
      <c r="E389" s="59" t="s">
        <v>108</v>
      </c>
      <c r="F389" s="59" t="s">
        <v>2970</v>
      </c>
      <c r="G389" s="58" t="s">
        <v>2120</v>
      </c>
    </row>
    <row r="390" spans="1:7">
      <c r="A390" s="304" t="s">
        <v>2202</v>
      </c>
      <c r="B390" s="58" t="s">
        <v>2174</v>
      </c>
      <c r="C390" s="58" t="s">
        <v>108</v>
      </c>
      <c r="D390" s="58" t="s">
        <v>2972</v>
      </c>
      <c r="E390" s="59" t="s">
        <v>108</v>
      </c>
      <c r="F390" s="59" t="s">
        <v>2970</v>
      </c>
      <c r="G390" s="58" t="s">
        <v>2120</v>
      </c>
    </row>
    <row r="391" spans="1:7">
      <c r="A391" s="304" t="s">
        <v>2203</v>
      </c>
      <c r="B391" s="58" t="s">
        <v>2204</v>
      </c>
      <c r="C391" s="58" t="s">
        <v>2193</v>
      </c>
      <c r="D391" s="58" t="s">
        <v>2972</v>
      </c>
      <c r="E391" s="59" t="s">
        <v>2193</v>
      </c>
      <c r="F391" s="59" t="s">
        <v>2970</v>
      </c>
      <c r="G391" s="58" t="s">
        <v>2120</v>
      </c>
    </row>
    <row r="392" spans="1:7">
      <c r="A392" s="304" t="s">
        <v>2205</v>
      </c>
      <c r="B392" s="58" t="s">
        <v>2204</v>
      </c>
      <c r="C392" s="58" t="s">
        <v>2193</v>
      </c>
      <c r="D392" s="58" t="s">
        <v>2972</v>
      </c>
      <c r="E392" s="59" t="s">
        <v>2193</v>
      </c>
      <c r="F392" s="59" t="s">
        <v>2970</v>
      </c>
      <c r="G392" s="58" t="s">
        <v>2120</v>
      </c>
    </row>
    <row r="393" spans="1:7">
      <c r="A393" s="304" t="s">
        <v>2206</v>
      </c>
      <c r="B393" s="58"/>
      <c r="C393" s="58" t="s">
        <v>2135</v>
      </c>
      <c r="D393" s="58" t="s">
        <v>2972</v>
      </c>
      <c r="E393" s="59" t="s">
        <v>2136</v>
      </c>
      <c r="F393" s="59" t="s">
        <v>2970</v>
      </c>
      <c r="G393" s="58" t="s">
        <v>2120</v>
      </c>
    </row>
    <row r="394" spans="1:7">
      <c r="A394" s="304" t="s">
        <v>2207</v>
      </c>
      <c r="B394" s="58" t="s">
        <v>2204</v>
      </c>
      <c r="C394" s="58" t="s">
        <v>108</v>
      </c>
      <c r="D394" s="58" t="s">
        <v>2972</v>
      </c>
      <c r="E394" s="59" t="s">
        <v>108</v>
      </c>
      <c r="F394" s="59" t="s">
        <v>2970</v>
      </c>
      <c r="G394" s="58" t="s">
        <v>2208</v>
      </c>
    </row>
    <row r="395" spans="1:7" ht="17.25">
      <c r="A395" s="305" t="s">
        <v>2426</v>
      </c>
      <c r="B395" s="76"/>
      <c r="C395" s="76"/>
      <c r="D395" s="76"/>
      <c r="E395" s="77"/>
      <c r="F395" s="76"/>
      <c r="G395" s="76"/>
    </row>
    <row r="396" spans="1:7">
      <c r="A396" s="304" t="s">
        <v>2210</v>
      </c>
      <c r="B396" s="58" t="s">
        <v>2211</v>
      </c>
      <c r="C396" s="58" t="s">
        <v>108</v>
      </c>
      <c r="D396" s="58" t="s">
        <v>2972</v>
      </c>
      <c r="E396" s="59" t="s">
        <v>108</v>
      </c>
      <c r="F396" s="59" t="s">
        <v>2970</v>
      </c>
      <c r="G396" s="58" t="s">
        <v>2120</v>
      </c>
    </row>
    <row r="397" spans="1:7">
      <c r="A397" s="304" t="s">
        <v>2212</v>
      </c>
      <c r="B397" s="58" t="s">
        <v>2213</v>
      </c>
      <c r="C397" s="58" t="s">
        <v>108</v>
      </c>
      <c r="D397" s="58" t="s">
        <v>2972</v>
      </c>
      <c r="E397" s="59" t="s">
        <v>108</v>
      </c>
      <c r="F397" s="59" t="s">
        <v>2970</v>
      </c>
      <c r="G397" s="58" t="s">
        <v>2120</v>
      </c>
    </row>
    <row r="398" spans="1:7">
      <c r="A398" s="304" t="s">
        <v>2214</v>
      </c>
      <c r="B398" s="58" t="s">
        <v>2213</v>
      </c>
      <c r="C398" s="58" t="s">
        <v>108</v>
      </c>
      <c r="D398" s="58" t="s">
        <v>2972</v>
      </c>
      <c r="E398" s="59" t="s">
        <v>108</v>
      </c>
      <c r="F398" s="59" t="s">
        <v>2970</v>
      </c>
      <c r="G398" s="58" t="s">
        <v>2120</v>
      </c>
    </row>
    <row r="399" spans="1:7" ht="17.25">
      <c r="A399" s="305" t="s">
        <v>2427</v>
      </c>
      <c r="B399" s="76"/>
      <c r="C399" s="76"/>
      <c r="D399" s="76"/>
      <c r="E399" s="77"/>
      <c r="F399" s="76"/>
      <c r="G399" s="76"/>
    </row>
    <row r="400" spans="1:7">
      <c r="A400" s="304" t="s">
        <v>2216</v>
      </c>
      <c r="B400" s="58" t="s">
        <v>2217</v>
      </c>
      <c r="C400" s="58" t="s">
        <v>2193</v>
      </c>
      <c r="D400" s="58" t="s">
        <v>2972</v>
      </c>
      <c r="E400" s="59" t="s">
        <v>2193</v>
      </c>
      <c r="F400" s="59" t="s">
        <v>2970</v>
      </c>
      <c r="G400" s="58" t="s">
        <v>2218</v>
      </c>
    </row>
    <row r="401" spans="1:7">
      <c r="A401" s="304" t="s">
        <v>2219</v>
      </c>
      <c r="B401" s="58" t="s">
        <v>2220</v>
      </c>
      <c r="C401" s="58" t="s">
        <v>108</v>
      </c>
      <c r="D401" s="58" t="s">
        <v>2972</v>
      </c>
      <c r="E401" s="59" t="s">
        <v>108</v>
      </c>
      <c r="F401" s="59" t="s">
        <v>2970</v>
      </c>
      <c r="G401" s="58" t="s">
        <v>2221</v>
      </c>
    </row>
    <row r="402" spans="1:7">
      <c r="A402" s="304" t="s">
        <v>2222</v>
      </c>
      <c r="B402" s="58" t="s">
        <v>2223</v>
      </c>
      <c r="C402" s="58" t="s">
        <v>108</v>
      </c>
      <c r="D402" s="58" t="s">
        <v>2972</v>
      </c>
      <c r="E402" s="59" t="s">
        <v>108</v>
      </c>
      <c r="F402" s="59" t="s">
        <v>2970</v>
      </c>
      <c r="G402" s="58" t="s">
        <v>2224</v>
      </c>
    </row>
    <row r="403" spans="1:7">
      <c r="A403" s="304" t="s">
        <v>2225</v>
      </c>
      <c r="B403" s="58" t="s">
        <v>2226</v>
      </c>
      <c r="C403" s="58" t="s">
        <v>108</v>
      </c>
      <c r="D403" s="58" t="s">
        <v>2972</v>
      </c>
      <c r="E403" s="59" t="s">
        <v>108</v>
      </c>
      <c r="F403" s="59" t="s">
        <v>2970</v>
      </c>
      <c r="G403" s="58" t="s">
        <v>2227</v>
      </c>
    </row>
    <row r="404" spans="1:7">
      <c r="A404" s="304" t="s">
        <v>2228</v>
      </c>
      <c r="B404" s="58"/>
      <c r="C404" s="58" t="s">
        <v>2135</v>
      </c>
      <c r="D404" s="58" t="s">
        <v>2972</v>
      </c>
      <c r="E404" s="59" t="s">
        <v>2136</v>
      </c>
      <c r="F404" s="59" t="s">
        <v>2970</v>
      </c>
      <c r="G404" s="58" t="s">
        <v>2120</v>
      </c>
    </row>
    <row r="405" spans="1:7" ht="17.25">
      <c r="A405" s="305" t="s">
        <v>2428</v>
      </c>
      <c r="B405" s="76"/>
      <c r="C405" s="76"/>
      <c r="D405" s="76"/>
      <c r="E405" s="77"/>
      <c r="F405" s="76"/>
      <c r="G405" s="76"/>
    </row>
    <row r="406" spans="1:7">
      <c r="A406" s="304" t="s">
        <v>2230</v>
      </c>
      <c r="B406" s="58" t="s">
        <v>2220</v>
      </c>
      <c r="C406" s="58" t="s">
        <v>108</v>
      </c>
      <c r="D406" s="58" t="s">
        <v>2972</v>
      </c>
      <c r="E406" s="59" t="s">
        <v>108</v>
      </c>
      <c r="F406" s="59" t="s">
        <v>2970</v>
      </c>
      <c r="G406" s="58" t="s">
        <v>2231</v>
      </c>
    </row>
    <row r="407" spans="1:7">
      <c r="A407" s="304" t="s">
        <v>2232</v>
      </c>
      <c r="B407" s="58" t="s">
        <v>2220</v>
      </c>
      <c r="C407" s="58" t="s">
        <v>108</v>
      </c>
      <c r="D407" s="58" t="s">
        <v>2972</v>
      </c>
      <c r="E407" s="59" t="s">
        <v>108</v>
      </c>
      <c r="F407" s="59" t="s">
        <v>2970</v>
      </c>
      <c r="G407" s="58" t="s">
        <v>2120</v>
      </c>
    </row>
    <row r="408" spans="1:7">
      <c r="A408" s="304" t="s">
        <v>2233</v>
      </c>
      <c r="B408" s="58" t="s">
        <v>2234</v>
      </c>
      <c r="C408" s="58" t="s">
        <v>108</v>
      </c>
      <c r="D408" s="58" t="s">
        <v>2972</v>
      </c>
      <c r="E408" s="59" t="s">
        <v>108</v>
      </c>
      <c r="F408" s="59" t="s">
        <v>2970</v>
      </c>
      <c r="G408" s="58" t="s">
        <v>2235</v>
      </c>
    </row>
    <row r="409" spans="1:7">
      <c r="A409" s="304" t="s">
        <v>2236</v>
      </c>
      <c r="B409" s="58" t="s">
        <v>2237</v>
      </c>
      <c r="C409" s="58" t="s">
        <v>108</v>
      </c>
      <c r="D409" s="58" t="s">
        <v>2972</v>
      </c>
      <c r="E409" s="59" t="s">
        <v>108</v>
      </c>
      <c r="F409" s="59" t="s">
        <v>2970</v>
      </c>
      <c r="G409" s="58" t="s">
        <v>2231</v>
      </c>
    </row>
    <row r="410" spans="1:7">
      <c r="A410" s="304" t="s">
        <v>2238</v>
      </c>
      <c r="B410" s="58" t="s">
        <v>2237</v>
      </c>
      <c r="C410" s="58" t="s">
        <v>108</v>
      </c>
      <c r="D410" s="58" t="s">
        <v>2972</v>
      </c>
      <c r="E410" s="59" t="s">
        <v>108</v>
      </c>
      <c r="F410" s="59" t="s">
        <v>2970</v>
      </c>
      <c r="G410" s="58" t="s">
        <v>2239</v>
      </c>
    </row>
    <row r="411" spans="1:7">
      <c r="A411" s="304" t="s">
        <v>2240</v>
      </c>
      <c r="B411" s="58" t="s">
        <v>2241</v>
      </c>
      <c r="C411" s="58" t="s">
        <v>2193</v>
      </c>
      <c r="D411" s="58" t="s">
        <v>2972</v>
      </c>
      <c r="E411" s="59" t="s">
        <v>2193</v>
      </c>
      <c r="F411" s="59" t="s">
        <v>2970</v>
      </c>
      <c r="G411" s="58" t="s">
        <v>2120</v>
      </c>
    </row>
    <row r="412" spans="1:7">
      <c r="A412" s="304" t="s">
        <v>2242</v>
      </c>
      <c r="B412" s="58" t="s">
        <v>2220</v>
      </c>
      <c r="C412" s="58" t="s">
        <v>2243</v>
      </c>
      <c r="D412" s="58" t="s">
        <v>2972</v>
      </c>
      <c r="E412" s="59" t="s">
        <v>2962</v>
      </c>
      <c r="F412" s="59" t="s">
        <v>2970</v>
      </c>
      <c r="G412" s="58" t="s">
        <v>2244</v>
      </c>
    </row>
    <row r="413" spans="1:7">
      <c r="A413" s="304" t="s">
        <v>2245</v>
      </c>
      <c r="B413" s="58" t="s">
        <v>2241</v>
      </c>
      <c r="C413" s="58" t="s">
        <v>2246</v>
      </c>
      <c r="D413" s="58" t="s">
        <v>2972</v>
      </c>
      <c r="E413" s="59" t="s">
        <v>108</v>
      </c>
      <c r="F413" s="59" t="s">
        <v>2970</v>
      </c>
      <c r="G413" s="58" t="s">
        <v>2120</v>
      </c>
    </row>
    <row r="414" spans="1:7">
      <c r="A414" s="304" t="s">
        <v>2247</v>
      </c>
      <c r="B414" s="58" t="s">
        <v>2248</v>
      </c>
      <c r="C414" s="58" t="s">
        <v>108</v>
      </c>
      <c r="D414" s="58" t="s">
        <v>2972</v>
      </c>
      <c r="E414" s="59" t="s">
        <v>108</v>
      </c>
      <c r="F414" s="59" t="s">
        <v>2970</v>
      </c>
      <c r="G414" s="58" t="s">
        <v>2249</v>
      </c>
    </row>
    <row r="415" spans="1:7" ht="17.25">
      <c r="A415" s="305" t="s">
        <v>2429</v>
      </c>
      <c r="B415" s="76"/>
      <c r="C415" s="76"/>
      <c r="D415" s="76"/>
      <c r="E415" s="77"/>
      <c r="F415" s="76"/>
      <c r="G415" s="76"/>
    </row>
    <row r="416" spans="1:7">
      <c r="A416" s="304" t="s">
        <v>2251</v>
      </c>
      <c r="B416" s="58" t="s">
        <v>2252</v>
      </c>
      <c r="C416" s="58" t="s">
        <v>108</v>
      </c>
      <c r="D416" s="58" t="s">
        <v>2972</v>
      </c>
      <c r="E416" s="59" t="s">
        <v>108</v>
      </c>
      <c r="F416" s="59" t="s">
        <v>2970</v>
      </c>
      <c r="G416" s="58" t="s">
        <v>2120</v>
      </c>
    </row>
    <row r="417" spans="1:7">
      <c r="A417" s="304" t="s">
        <v>2253</v>
      </c>
      <c r="B417" s="58" t="s">
        <v>2252</v>
      </c>
      <c r="C417" s="58" t="s">
        <v>2193</v>
      </c>
      <c r="D417" s="58" t="s">
        <v>2972</v>
      </c>
      <c r="E417" s="59" t="s">
        <v>2193</v>
      </c>
      <c r="F417" s="59" t="s">
        <v>2970</v>
      </c>
      <c r="G417" s="58" t="s">
        <v>2254</v>
      </c>
    </row>
    <row r="418" spans="1:7">
      <c r="A418" s="304" t="s">
        <v>2255</v>
      </c>
      <c r="B418" s="58" t="s">
        <v>2256</v>
      </c>
      <c r="C418" s="58" t="s">
        <v>2257</v>
      </c>
      <c r="D418" s="58" t="s">
        <v>2972</v>
      </c>
      <c r="E418" s="59" t="s">
        <v>108</v>
      </c>
      <c r="F418" s="59" t="s">
        <v>2970</v>
      </c>
      <c r="G418" s="58" t="s">
        <v>2120</v>
      </c>
    </row>
    <row r="419" spans="1:7">
      <c r="A419" s="304" t="s">
        <v>2258</v>
      </c>
      <c r="B419" s="58" t="s">
        <v>2259</v>
      </c>
      <c r="C419" s="58" t="s">
        <v>2260</v>
      </c>
      <c r="D419" s="58" t="s">
        <v>2972</v>
      </c>
      <c r="E419" s="59" t="s">
        <v>2964</v>
      </c>
      <c r="F419" s="59" t="s">
        <v>2970</v>
      </c>
      <c r="G419" s="58" t="s">
        <v>2261</v>
      </c>
    </row>
    <row r="420" spans="1:7">
      <c r="A420" s="304" t="s">
        <v>2262</v>
      </c>
      <c r="B420" s="58" t="s">
        <v>2259</v>
      </c>
      <c r="C420" s="58" t="s">
        <v>2147</v>
      </c>
      <c r="D420" s="58" t="s">
        <v>2972</v>
      </c>
      <c r="E420" s="59" t="s">
        <v>108</v>
      </c>
      <c r="F420" s="59" t="s">
        <v>2970</v>
      </c>
      <c r="G420" s="58" t="s">
        <v>2263</v>
      </c>
    </row>
    <row r="421" spans="1:7">
      <c r="A421" s="304" t="s">
        <v>2264</v>
      </c>
      <c r="B421" s="58" t="s">
        <v>2252</v>
      </c>
      <c r="C421" s="58" t="s">
        <v>2265</v>
      </c>
      <c r="D421" s="58" t="s">
        <v>2972</v>
      </c>
      <c r="E421" s="59" t="s">
        <v>108</v>
      </c>
      <c r="F421" s="59" t="s">
        <v>2970</v>
      </c>
      <c r="G421" s="58" t="s">
        <v>2120</v>
      </c>
    </row>
    <row r="422" spans="1:7">
      <c r="A422" s="304" t="s">
        <v>2266</v>
      </c>
      <c r="B422" s="58" t="s">
        <v>2252</v>
      </c>
      <c r="C422" s="58" t="s">
        <v>2267</v>
      </c>
      <c r="D422" s="58" t="s">
        <v>2972</v>
      </c>
      <c r="E422" s="59" t="s">
        <v>108</v>
      </c>
      <c r="F422" s="59" t="s">
        <v>2970</v>
      </c>
      <c r="G422" s="58" t="s">
        <v>2268</v>
      </c>
    </row>
    <row r="423" spans="1:7">
      <c r="A423" s="304" t="s">
        <v>2269</v>
      </c>
      <c r="B423" s="58" t="s">
        <v>2252</v>
      </c>
      <c r="C423" s="58" t="s">
        <v>2270</v>
      </c>
      <c r="D423" s="58" t="s">
        <v>2972</v>
      </c>
      <c r="E423" s="59" t="s">
        <v>108</v>
      </c>
      <c r="F423" s="59" t="s">
        <v>2970</v>
      </c>
      <c r="G423" s="58" t="s">
        <v>2120</v>
      </c>
    </row>
    <row r="424" spans="1:7" ht="17.25">
      <c r="A424" s="305" t="s">
        <v>2430</v>
      </c>
      <c r="B424" s="76"/>
      <c r="C424" s="76"/>
      <c r="D424" s="76"/>
      <c r="E424" s="77"/>
      <c r="F424" s="76"/>
      <c r="G424" s="76"/>
    </row>
    <row r="425" spans="1:7">
      <c r="A425" s="304" t="s">
        <v>2272</v>
      </c>
      <c r="B425" s="58" t="s">
        <v>2273</v>
      </c>
      <c r="C425" s="58" t="s">
        <v>2274</v>
      </c>
      <c r="D425" s="58" t="s">
        <v>2972</v>
      </c>
      <c r="E425" s="59" t="s">
        <v>108</v>
      </c>
      <c r="F425" s="59" t="s">
        <v>2970</v>
      </c>
      <c r="G425" s="58" t="s">
        <v>2275</v>
      </c>
    </row>
    <row r="426" spans="1:7">
      <c r="A426" s="304" t="s">
        <v>2276</v>
      </c>
      <c r="B426" s="58" t="s">
        <v>2248</v>
      </c>
      <c r="C426" s="58" t="s">
        <v>2277</v>
      </c>
      <c r="D426" s="58" t="s">
        <v>2972</v>
      </c>
      <c r="E426" s="59" t="s">
        <v>108</v>
      </c>
      <c r="F426" s="59" t="s">
        <v>2970</v>
      </c>
      <c r="G426" s="58" t="s">
        <v>2278</v>
      </c>
    </row>
    <row r="427" spans="1:7">
      <c r="A427" s="304" t="s">
        <v>2279</v>
      </c>
      <c r="B427" s="58" t="s">
        <v>2280</v>
      </c>
      <c r="C427" s="58" t="s">
        <v>2281</v>
      </c>
      <c r="D427" s="58" t="s">
        <v>2972</v>
      </c>
      <c r="E427" s="59" t="s">
        <v>108</v>
      </c>
      <c r="F427" s="59" t="s">
        <v>2970</v>
      </c>
      <c r="G427" s="58" t="s">
        <v>2282</v>
      </c>
    </row>
    <row r="428" spans="1:7">
      <c r="A428" s="304" t="s">
        <v>2283</v>
      </c>
      <c r="B428" s="58" t="s">
        <v>2273</v>
      </c>
      <c r="C428" s="58" t="s">
        <v>108</v>
      </c>
      <c r="D428" s="58" t="s">
        <v>2972</v>
      </c>
      <c r="E428" s="59" t="s">
        <v>108</v>
      </c>
      <c r="F428" s="59" t="s">
        <v>2970</v>
      </c>
      <c r="G428" s="58" t="s">
        <v>2284</v>
      </c>
    </row>
    <row r="429" spans="1:7">
      <c r="A429" s="304" t="s">
        <v>2285</v>
      </c>
      <c r="B429" s="58"/>
      <c r="C429" s="58" t="s">
        <v>2135</v>
      </c>
      <c r="D429" s="58" t="s">
        <v>2972</v>
      </c>
      <c r="E429" s="59" t="s">
        <v>2136</v>
      </c>
      <c r="F429" s="59" t="s">
        <v>2970</v>
      </c>
      <c r="G429" s="58" t="s">
        <v>2120</v>
      </c>
    </row>
    <row r="430" spans="1:7">
      <c r="A430" s="304" t="s">
        <v>2286</v>
      </c>
      <c r="B430" s="58"/>
      <c r="C430" s="58" t="s">
        <v>108</v>
      </c>
      <c r="D430" s="58" t="s">
        <v>2972</v>
      </c>
      <c r="E430" s="59" t="s">
        <v>108</v>
      </c>
      <c r="F430" s="59" t="s">
        <v>2970</v>
      </c>
      <c r="G430" s="58" t="s">
        <v>2120</v>
      </c>
    </row>
    <row r="431" spans="1:7">
      <c r="A431" s="304" t="s">
        <v>2287</v>
      </c>
      <c r="B431" s="58" t="s">
        <v>2273</v>
      </c>
      <c r="C431" s="58" t="s">
        <v>2288</v>
      </c>
      <c r="D431" s="58" t="s">
        <v>2972</v>
      </c>
      <c r="E431" s="59" t="s">
        <v>2288</v>
      </c>
      <c r="F431" s="59" t="s">
        <v>2970</v>
      </c>
      <c r="G431" s="58" t="s">
        <v>2289</v>
      </c>
    </row>
    <row r="432" spans="1:7" ht="17.25">
      <c r="A432" s="305" t="s">
        <v>2431</v>
      </c>
      <c r="B432" s="76"/>
      <c r="C432" s="76"/>
      <c r="D432" s="76"/>
      <c r="E432" s="77"/>
      <c r="F432" s="76"/>
      <c r="G432" s="76"/>
    </row>
    <row r="433" spans="1:7">
      <c r="A433" s="304" t="s">
        <v>2291</v>
      </c>
      <c r="B433" s="58"/>
      <c r="C433" s="58" t="s">
        <v>2135</v>
      </c>
      <c r="D433" s="58" t="s">
        <v>2972</v>
      </c>
      <c r="E433" s="59" t="s">
        <v>2136</v>
      </c>
      <c r="F433" s="59" t="s">
        <v>2970</v>
      </c>
      <c r="G433" s="58" t="s">
        <v>2292</v>
      </c>
    </row>
    <row r="434" spans="1:7">
      <c r="A434" s="304" t="s">
        <v>2293</v>
      </c>
      <c r="B434" s="58" t="s">
        <v>2294</v>
      </c>
      <c r="C434" s="58" t="s">
        <v>2295</v>
      </c>
      <c r="D434" s="58" t="s">
        <v>2972</v>
      </c>
      <c r="E434" s="59" t="s">
        <v>108</v>
      </c>
      <c r="F434" s="59" t="s">
        <v>2970</v>
      </c>
      <c r="G434" s="58" t="s">
        <v>2296</v>
      </c>
    </row>
    <row r="435" spans="1:7">
      <c r="A435" s="304" t="s">
        <v>2297</v>
      </c>
      <c r="B435" s="58" t="s">
        <v>2298</v>
      </c>
      <c r="C435" s="58" t="s">
        <v>108</v>
      </c>
      <c r="D435" s="58" t="s">
        <v>2972</v>
      </c>
      <c r="E435" s="59" t="s">
        <v>108</v>
      </c>
      <c r="F435" s="59" t="s">
        <v>2970</v>
      </c>
      <c r="G435" s="58" t="s">
        <v>2299</v>
      </c>
    </row>
    <row r="436" spans="1:7">
      <c r="A436" s="304" t="s">
        <v>2300</v>
      </c>
      <c r="B436" s="58" t="s">
        <v>2294</v>
      </c>
      <c r="C436" s="58" t="s">
        <v>108</v>
      </c>
      <c r="D436" s="58" t="s">
        <v>2972</v>
      </c>
      <c r="E436" s="59" t="s">
        <v>108</v>
      </c>
      <c r="F436" s="59" t="s">
        <v>2970</v>
      </c>
      <c r="G436" s="58" t="s">
        <v>2299</v>
      </c>
    </row>
    <row r="437" spans="1:7">
      <c r="A437" s="304" t="s">
        <v>2301</v>
      </c>
      <c r="B437" s="58" t="s">
        <v>2302</v>
      </c>
      <c r="C437" s="58" t="s">
        <v>2193</v>
      </c>
      <c r="D437" s="58" t="s">
        <v>2972</v>
      </c>
      <c r="E437" s="59" t="s">
        <v>2193</v>
      </c>
      <c r="F437" s="59" t="s">
        <v>2970</v>
      </c>
      <c r="G437" s="58" t="s">
        <v>2303</v>
      </c>
    </row>
    <row r="438" spans="1:7">
      <c r="A438" s="304" t="s">
        <v>2304</v>
      </c>
      <c r="B438" s="58" t="s">
        <v>2305</v>
      </c>
      <c r="C438" s="58" t="s">
        <v>2257</v>
      </c>
      <c r="D438" s="58" t="s">
        <v>2972</v>
      </c>
      <c r="E438" s="59" t="s">
        <v>108</v>
      </c>
      <c r="F438" s="59" t="s">
        <v>2970</v>
      </c>
      <c r="G438" s="58" t="s">
        <v>2306</v>
      </c>
    </row>
    <row r="439" spans="1:7" ht="17.25">
      <c r="A439" s="305" t="s">
        <v>2432</v>
      </c>
      <c r="B439" s="76"/>
      <c r="C439" s="76"/>
      <c r="D439" s="76"/>
      <c r="E439" s="77"/>
      <c r="F439" s="76"/>
      <c r="G439" s="76"/>
    </row>
    <row r="440" spans="1:7">
      <c r="A440" s="304" t="s">
        <v>2114</v>
      </c>
      <c r="B440" s="58" t="s">
        <v>2115</v>
      </c>
      <c r="C440" s="58" t="s">
        <v>1559</v>
      </c>
      <c r="D440" s="58" t="s">
        <v>2973</v>
      </c>
      <c r="E440" s="59" t="s">
        <v>108</v>
      </c>
      <c r="F440" s="59" t="s">
        <v>2970</v>
      </c>
      <c r="G440" s="58" t="s">
        <v>2117</v>
      </c>
    </row>
    <row r="441" spans="1:7">
      <c r="A441" s="304" t="s">
        <v>2352</v>
      </c>
      <c r="B441" s="58"/>
      <c r="C441" s="58" t="s">
        <v>1201</v>
      </c>
      <c r="D441" s="58" t="s">
        <v>2973</v>
      </c>
      <c r="E441" s="59" t="s">
        <v>1201</v>
      </c>
      <c r="F441" s="59" t="s">
        <v>2970</v>
      </c>
      <c r="G441" s="58" t="s">
        <v>2120</v>
      </c>
    </row>
    <row r="442" spans="1:7">
      <c r="A442" s="304" t="s">
        <v>2118</v>
      </c>
      <c r="B442" s="58"/>
      <c r="C442" s="58" t="s">
        <v>2119</v>
      </c>
      <c r="D442" s="58" t="s">
        <v>2973</v>
      </c>
      <c r="E442" s="59" t="s">
        <v>2119</v>
      </c>
      <c r="F442" s="59" t="s">
        <v>2970</v>
      </c>
      <c r="G442" s="58" t="s">
        <v>2120</v>
      </c>
    </row>
    <row r="443" spans="1:7">
      <c r="A443" s="304" t="s">
        <v>2121</v>
      </c>
      <c r="B443" s="58" t="s">
        <v>2122</v>
      </c>
      <c r="C443" s="58" t="s">
        <v>108</v>
      </c>
      <c r="D443" s="58" t="s">
        <v>2973</v>
      </c>
      <c r="E443" s="59" t="s">
        <v>108</v>
      </c>
      <c r="F443" s="59" t="s">
        <v>2970</v>
      </c>
      <c r="G443" s="58" t="s">
        <v>2120</v>
      </c>
    </row>
    <row r="444" spans="1:7">
      <c r="A444" s="304" t="s">
        <v>2123</v>
      </c>
      <c r="B444" s="58" t="s">
        <v>2124</v>
      </c>
      <c r="C444" s="58" t="s">
        <v>108</v>
      </c>
      <c r="D444" s="58" t="s">
        <v>2973</v>
      </c>
      <c r="E444" s="59" t="s">
        <v>108</v>
      </c>
      <c r="F444" s="59" t="s">
        <v>2970</v>
      </c>
      <c r="G444" s="58" t="s">
        <v>2125</v>
      </c>
    </row>
    <row r="445" spans="1:7">
      <c r="A445" s="304" t="s">
        <v>2126</v>
      </c>
      <c r="B445" s="58"/>
      <c r="C445" s="58" t="s">
        <v>108</v>
      </c>
      <c r="D445" s="58" t="s">
        <v>2973</v>
      </c>
      <c r="E445" s="59" t="s">
        <v>108</v>
      </c>
      <c r="F445" s="59" t="s">
        <v>2970</v>
      </c>
      <c r="G445" s="58" t="s">
        <v>2120</v>
      </c>
    </row>
    <row r="446" spans="1:7" ht="17.25">
      <c r="A446" s="305" t="s">
        <v>2433</v>
      </c>
      <c r="B446" s="76"/>
      <c r="C446" s="76"/>
      <c r="D446" s="76"/>
      <c r="E446" s="77"/>
      <c r="F446" s="76"/>
      <c r="G446" s="76"/>
    </row>
    <row r="447" spans="1:7">
      <c r="A447" s="304" t="s">
        <v>2128</v>
      </c>
      <c r="B447" s="58" t="s">
        <v>2129</v>
      </c>
      <c r="C447" s="58" t="s">
        <v>108</v>
      </c>
      <c r="D447" s="58" t="s">
        <v>2973</v>
      </c>
      <c r="E447" s="59" t="s">
        <v>108</v>
      </c>
      <c r="F447" s="59" t="s">
        <v>2970</v>
      </c>
      <c r="G447" s="58" t="s">
        <v>2120</v>
      </c>
    </row>
    <row r="448" spans="1:7">
      <c r="A448" s="304" t="s">
        <v>2130</v>
      </c>
      <c r="B448" s="58" t="s">
        <v>2131</v>
      </c>
      <c r="C448" s="58" t="s">
        <v>108</v>
      </c>
      <c r="D448" s="58" t="s">
        <v>2973</v>
      </c>
      <c r="E448" s="59" t="s">
        <v>108</v>
      </c>
      <c r="F448" s="59" t="s">
        <v>2970</v>
      </c>
      <c r="G448" s="58" t="s">
        <v>2132</v>
      </c>
    </row>
    <row r="449" spans="1:7">
      <c r="A449" s="304" t="s">
        <v>2133</v>
      </c>
      <c r="B449" s="58" t="s">
        <v>2131</v>
      </c>
      <c r="C449" s="58" t="s">
        <v>108</v>
      </c>
      <c r="D449" s="58" t="s">
        <v>2973</v>
      </c>
      <c r="E449" s="59" t="s">
        <v>108</v>
      </c>
      <c r="F449" s="59" t="s">
        <v>2970</v>
      </c>
      <c r="G449" s="58" t="s">
        <v>2120</v>
      </c>
    </row>
    <row r="450" spans="1:7">
      <c r="A450" s="304" t="s">
        <v>2134</v>
      </c>
      <c r="B450" s="58"/>
      <c r="C450" s="58" t="s">
        <v>2135</v>
      </c>
      <c r="D450" s="58" t="s">
        <v>2973</v>
      </c>
      <c r="E450" s="59" t="s">
        <v>2136</v>
      </c>
      <c r="F450" s="59" t="s">
        <v>2970</v>
      </c>
      <c r="G450" s="58" t="s">
        <v>2137</v>
      </c>
    </row>
    <row r="451" spans="1:7">
      <c r="A451" s="304" t="s">
        <v>2138</v>
      </c>
      <c r="B451" s="58" t="s">
        <v>2139</v>
      </c>
      <c r="C451" s="58" t="s">
        <v>108</v>
      </c>
      <c r="D451" s="58" t="s">
        <v>2973</v>
      </c>
      <c r="E451" s="59" t="s">
        <v>108</v>
      </c>
      <c r="F451" s="59" t="s">
        <v>2970</v>
      </c>
      <c r="G451" s="58" t="s">
        <v>2140</v>
      </c>
    </row>
    <row r="452" spans="1:7" ht="17.25">
      <c r="A452" s="305" t="s">
        <v>2434</v>
      </c>
      <c r="B452" s="76"/>
      <c r="C452" s="76"/>
      <c r="D452" s="76"/>
      <c r="E452" s="77"/>
      <c r="F452" s="76"/>
      <c r="G452" s="76"/>
    </row>
    <row r="453" spans="1:7">
      <c r="A453" s="304" t="s">
        <v>2142</v>
      </c>
      <c r="B453" s="58" t="s">
        <v>2143</v>
      </c>
      <c r="C453" s="58" t="s">
        <v>108</v>
      </c>
      <c r="D453" s="58" t="s">
        <v>2973</v>
      </c>
      <c r="E453" s="59" t="s">
        <v>108</v>
      </c>
      <c r="F453" s="59" t="s">
        <v>2970</v>
      </c>
      <c r="G453" s="58" t="s">
        <v>2120</v>
      </c>
    </row>
    <row r="454" spans="1:7">
      <c r="A454" s="304" t="s">
        <v>2144</v>
      </c>
      <c r="B454" s="58" t="s">
        <v>2143</v>
      </c>
      <c r="C454" s="58" t="s">
        <v>2145</v>
      </c>
      <c r="D454" s="58" t="s">
        <v>2973</v>
      </c>
      <c r="E454" s="59" t="s">
        <v>108</v>
      </c>
      <c r="F454" s="59" t="s">
        <v>2970</v>
      </c>
      <c r="G454" s="58" t="s">
        <v>2120</v>
      </c>
    </row>
    <row r="455" spans="1:7">
      <c r="A455" s="304" t="s">
        <v>2146</v>
      </c>
      <c r="B455" s="58" t="s">
        <v>2143</v>
      </c>
      <c r="C455" s="58" t="s">
        <v>2147</v>
      </c>
      <c r="D455" s="58" t="s">
        <v>2973</v>
      </c>
      <c r="E455" s="59" t="s">
        <v>108</v>
      </c>
      <c r="F455" s="59" t="s">
        <v>2970</v>
      </c>
      <c r="G455" s="58" t="s">
        <v>2148</v>
      </c>
    </row>
    <row r="456" spans="1:7">
      <c r="A456" s="304" t="s">
        <v>2149</v>
      </c>
      <c r="B456" s="58" t="s">
        <v>2143</v>
      </c>
      <c r="C456" s="58" t="s">
        <v>108</v>
      </c>
      <c r="D456" s="58" t="s">
        <v>2973</v>
      </c>
      <c r="E456" s="59" t="s">
        <v>108</v>
      </c>
      <c r="F456" s="59" t="s">
        <v>2970</v>
      </c>
      <c r="G456" s="58" t="s">
        <v>2120</v>
      </c>
    </row>
    <row r="457" spans="1:7" ht="17.25">
      <c r="A457" s="305" t="s">
        <v>2435</v>
      </c>
      <c r="B457" s="76"/>
      <c r="C457" s="76"/>
      <c r="D457" s="76"/>
      <c r="E457" s="77"/>
      <c r="F457" s="76"/>
      <c r="G457" s="76"/>
    </row>
    <row r="458" spans="1:7">
      <c r="A458" s="304" t="s">
        <v>2151</v>
      </c>
      <c r="B458" s="58" t="s">
        <v>2152</v>
      </c>
      <c r="C458" s="58" t="s">
        <v>2153</v>
      </c>
      <c r="D458" s="58" t="s">
        <v>2973</v>
      </c>
      <c r="E458" s="59" t="s">
        <v>108</v>
      </c>
      <c r="F458" s="59" t="s">
        <v>2970</v>
      </c>
      <c r="G458" s="58" t="s">
        <v>2120</v>
      </c>
    </row>
    <row r="459" spans="1:7">
      <c r="A459" s="304" t="s">
        <v>2154</v>
      </c>
      <c r="B459" s="58" t="s">
        <v>2155</v>
      </c>
      <c r="C459" s="58" t="s">
        <v>108</v>
      </c>
      <c r="D459" s="58" t="s">
        <v>2973</v>
      </c>
      <c r="E459" s="59" t="s">
        <v>108</v>
      </c>
      <c r="F459" s="59" t="s">
        <v>2970</v>
      </c>
      <c r="G459" s="58" t="s">
        <v>2120</v>
      </c>
    </row>
    <row r="460" spans="1:7">
      <c r="A460" s="304" t="s">
        <v>2156</v>
      </c>
      <c r="B460" s="58" t="s">
        <v>2152</v>
      </c>
      <c r="C460" s="58" t="s">
        <v>2157</v>
      </c>
      <c r="D460" s="58" t="s">
        <v>2973</v>
      </c>
      <c r="E460" s="59" t="s">
        <v>108</v>
      </c>
      <c r="F460" s="59" t="s">
        <v>2970</v>
      </c>
      <c r="G460" s="58" t="s">
        <v>2120</v>
      </c>
    </row>
    <row r="461" spans="1:7">
      <c r="A461" s="304" t="s">
        <v>2158</v>
      </c>
      <c r="B461" s="58" t="s">
        <v>2155</v>
      </c>
      <c r="C461" s="58" t="s">
        <v>2159</v>
      </c>
      <c r="D461" s="58" t="s">
        <v>2973</v>
      </c>
      <c r="E461" s="59" t="s">
        <v>108</v>
      </c>
      <c r="F461" s="59" t="s">
        <v>2970</v>
      </c>
      <c r="G461" s="58" t="s">
        <v>2160</v>
      </c>
    </row>
    <row r="462" spans="1:7">
      <c r="A462" s="304" t="s">
        <v>2161</v>
      </c>
      <c r="B462" s="58" t="s">
        <v>2162</v>
      </c>
      <c r="C462" s="58" t="s">
        <v>108</v>
      </c>
      <c r="D462" s="58" t="s">
        <v>2973</v>
      </c>
      <c r="E462" s="59" t="s">
        <v>108</v>
      </c>
      <c r="F462" s="59" t="s">
        <v>2970</v>
      </c>
      <c r="G462" s="58" t="s">
        <v>2163</v>
      </c>
    </row>
    <row r="463" spans="1:7">
      <c r="A463" s="304" t="s">
        <v>2164</v>
      </c>
      <c r="B463" s="58" t="s">
        <v>2162</v>
      </c>
      <c r="C463" s="58" t="s">
        <v>108</v>
      </c>
      <c r="D463" s="58" t="s">
        <v>2973</v>
      </c>
      <c r="E463" s="59" t="s">
        <v>108</v>
      </c>
      <c r="F463" s="59" t="s">
        <v>2970</v>
      </c>
      <c r="G463" s="58" t="s">
        <v>2120</v>
      </c>
    </row>
    <row r="464" spans="1:7" ht="17.25">
      <c r="A464" s="305" t="s">
        <v>2436</v>
      </c>
      <c r="B464" s="76"/>
      <c r="C464" s="76"/>
      <c r="D464" s="76"/>
      <c r="E464" s="77"/>
      <c r="F464" s="76"/>
      <c r="G464" s="76"/>
    </row>
    <row r="465" spans="1:7">
      <c r="A465" s="304" t="s">
        <v>2166</v>
      </c>
      <c r="B465" s="58" t="s">
        <v>2167</v>
      </c>
      <c r="C465" s="58" t="s">
        <v>108</v>
      </c>
      <c r="D465" s="58" t="s">
        <v>2973</v>
      </c>
      <c r="E465" s="59" t="s">
        <v>108</v>
      </c>
      <c r="F465" s="59" t="s">
        <v>2970</v>
      </c>
      <c r="G465" s="58" t="s">
        <v>2168</v>
      </c>
    </row>
    <row r="466" spans="1:7">
      <c r="A466" s="304" t="s">
        <v>2169</v>
      </c>
      <c r="B466" s="58" t="s">
        <v>2129</v>
      </c>
      <c r="C466" s="58" t="s">
        <v>2170</v>
      </c>
      <c r="D466" s="58" t="s">
        <v>2973</v>
      </c>
      <c r="E466" s="59" t="s">
        <v>2136</v>
      </c>
      <c r="F466" s="59" t="s">
        <v>2970</v>
      </c>
      <c r="G466" s="58" t="s">
        <v>2120</v>
      </c>
    </row>
    <row r="467" spans="1:7">
      <c r="A467" s="304" t="s">
        <v>2171</v>
      </c>
      <c r="B467" s="58" t="s">
        <v>2129</v>
      </c>
      <c r="C467" s="58" t="s">
        <v>2135</v>
      </c>
      <c r="D467" s="58" t="s">
        <v>2973</v>
      </c>
      <c r="E467" s="59" t="s">
        <v>2136</v>
      </c>
      <c r="F467" s="59" t="s">
        <v>2970</v>
      </c>
      <c r="G467" s="58" t="s">
        <v>2120</v>
      </c>
    </row>
    <row r="468" spans="1:7">
      <c r="A468" s="304" t="s">
        <v>2172</v>
      </c>
      <c r="B468" s="58" t="s">
        <v>2129</v>
      </c>
      <c r="C468" s="58" t="s">
        <v>2135</v>
      </c>
      <c r="D468" s="58" t="s">
        <v>2973</v>
      </c>
      <c r="E468" s="59" t="s">
        <v>2136</v>
      </c>
      <c r="F468" s="59" t="s">
        <v>2970</v>
      </c>
      <c r="G468" s="58" t="s">
        <v>2120</v>
      </c>
    </row>
    <row r="469" spans="1:7">
      <c r="A469" s="304" t="s">
        <v>2173</v>
      </c>
      <c r="B469" s="58" t="s">
        <v>2174</v>
      </c>
      <c r="C469" s="58" t="s">
        <v>2135</v>
      </c>
      <c r="D469" s="58" t="s">
        <v>2973</v>
      </c>
      <c r="E469" s="59" t="s">
        <v>2136</v>
      </c>
      <c r="F469" s="59" t="s">
        <v>2970</v>
      </c>
      <c r="G469" s="58" t="s">
        <v>2120</v>
      </c>
    </row>
    <row r="470" spans="1:7">
      <c r="A470" s="304" t="s">
        <v>2175</v>
      </c>
      <c r="B470" s="58"/>
      <c r="C470" s="58" t="s">
        <v>2135</v>
      </c>
      <c r="D470" s="58" t="s">
        <v>2973</v>
      </c>
      <c r="E470" s="59" t="s">
        <v>2136</v>
      </c>
      <c r="F470" s="59" t="s">
        <v>2970</v>
      </c>
      <c r="G470" s="58" t="s">
        <v>2120</v>
      </c>
    </row>
    <row r="471" spans="1:7">
      <c r="A471" s="304" t="s">
        <v>2176</v>
      </c>
      <c r="B471" s="58"/>
      <c r="C471" s="58" t="s">
        <v>2135</v>
      </c>
      <c r="D471" s="58" t="s">
        <v>2973</v>
      </c>
      <c r="E471" s="59" t="s">
        <v>2136</v>
      </c>
      <c r="F471" s="59" t="s">
        <v>2970</v>
      </c>
      <c r="G471" s="58" t="s">
        <v>2120</v>
      </c>
    </row>
    <row r="472" spans="1:7">
      <c r="A472" s="304" t="s">
        <v>2177</v>
      </c>
      <c r="B472" s="58"/>
      <c r="C472" s="58" t="s">
        <v>2135</v>
      </c>
      <c r="D472" s="58" t="s">
        <v>2973</v>
      </c>
      <c r="E472" s="59" t="s">
        <v>2136</v>
      </c>
      <c r="F472" s="59" t="s">
        <v>2970</v>
      </c>
      <c r="G472" s="58" t="s">
        <v>2120</v>
      </c>
    </row>
    <row r="473" spans="1:7" ht="17.25">
      <c r="A473" s="305" t="s">
        <v>2437</v>
      </c>
      <c r="B473" s="76"/>
      <c r="C473" s="76"/>
      <c r="D473" s="76"/>
      <c r="E473" s="77"/>
      <c r="F473" s="76"/>
      <c r="G473" s="76"/>
    </row>
    <row r="474" spans="1:7">
      <c r="A474" s="304" t="s">
        <v>2179</v>
      </c>
      <c r="B474" s="58" t="s">
        <v>2180</v>
      </c>
      <c r="C474" s="58" t="s">
        <v>108</v>
      </c>
      <c r="D474" s="58" t="s">
        <v>2973</v>
      </c>
      <c r="E474" s="59" t="s">
        <v>108</v>
      </c>
      <c r="F474" s="59" t="s">
        <v>2970</v>
      </c>
      <c r="G474" s="58" t="s">
        <v>2120</v>
      </c>
    </row>
    <row r="475" spans="1:7">
      <c r="A475" s="304" t="s">
        <v>2181</v>
      </c>
      <c r="B475" s="58" t="s">
        <v>2182</v>
      </c>
      <c r="C475" s="58" t="s">
        <v>108</v>
      </c>
      <c r="D475" s="58" t="s">
        <v>2973</v>
      </c>
      <c r="E475" s="59" t="s">
        <v>108</v>
      </c>
      <c r="F475" s="59" t="s">
        <v>2970</v>
      </c>
      <c r="G475" s="58" t="s">
        <v>2120</v>
      </c>
    </row>
    <row r="476" spans="1:7">
      <c r="A476" s="304" t="s">
        <v>2183</v>
      </c>
      <c r="B476" s="58" t="s">
        <v>2182</v>
      </c>
      <c r="C476" s="58" t="s">
        <v>2184</v>
      </c>
      <c r="D476" s="58" t="s">
        <v>2973</v>
      </c>
      <c r="E476" s="59" t="s">
        <v>108</v>
      </c>
      <c r="F476" s="59" t="s">
        <v>2970</v>
      </c>
      <c r="G476" s="58" t="s">
        <v>2185</v>
      </c>
    </row>
    <row r="477" spans="1:7">
      <c r="A477" s="304" t="s">
        <v>2186</v>
      </c>
      <c r="B477" s="58" t="s">
        <v>2187</v>
      </c>
      <c r="C477" s="58" t="s">
        <v>108</v>
      </c>
      <c r="D477" s="58" t="s">
        <v>2973</v>
      </c>
      <c r="E477" s="59" t="s">
        <v>108</v>
      </c>
      <c r="F477" s="59" t="s">
        <v>2970</v>
      </c>
      <c r="G477" s="58" t="s">
        <v>2120</v>
      </c>
    </row>
    <row r="478" spans="1:7">
      <c r="A478" s="304" t="s">
        <v>2188</v>
      </c>
      <c r="B478" s="58"/>
      <c r="C478" s="58" t="s">
        <v>2189</v>
      </c>
      <c r="D478" s="58" t="s">
        <v>2973</v>
      </c>
      <c r="E478" s="59" t="s">
        <v>108</v>
      </c>
      <c r="F478" s="59" t="s">
        <v>2970</v>
      </c>
      <c r="G478" s="58" t="s">
        <v>2120</v>
      </c>
    </row>
    <row r="479" spans="1:7">
      <c r="A479" s="304" t="s">
        <v>2190</v>
      </c>
      <c r="B479" s="58"/>
      <c r="C479" s="58" t="s">
        <v>2135</v>
      </c>
      <c r="D479" s="58" t="s">
        <v>2973</v>
      </c>
      <c r="E479" s="59" t="s">
        <v>2136</v>
      </c>
      <c r="F479" s="59" t="s">
        <v>2970</v>
      </c>
      <c r="G479" s="58" t="s">
        <v>2120</v>
      </c>
    </row>
    <row r="480" spans="1:7">
      <c r="A480" s="304" t="s">
        <v>2191</v>
      </c>
      <c r="B480" s="58"/>
      <c r="C480" s="58" t="s">
        <v>2135</v>
      </c>
      <c r="D480" s="58" t="s">
        <v>2973</v>
      </c>
      <c r="E480" s="59" t="s">
        <v>2136</v>
      </c>
      <c r="F480" s="59" t="s">
        <v>2970</v>
      </c>
      <c r="G480" s="58" t="s">
        <v>2120</v>
      </c>
    </row>
    <row r="481" spans="1:7">
      <c r="A481" s="304" t="s">
        <v>2192</v>
      </c>
      <c r="B481" s="58" t="s">
        <v>2182</v>
      </c>
      <c r="C481" s="58" t="s">
        <v>2193</v>
      </c>
      <c r="D481" s="58" t="s">
        <v>2973</v>
      </c>
      <c r="E481" s="59" t="s">
        <v>2193</v>
      </c>
      <c r="F481" s="59" t="s">
        <v>2970</v>
      </c>
      <c r="G481" s="58" t="s">
        <v>2120</v>
      </c>
    </row>
    <row r="482" spans="1:7">
      <c r="A482" s="304" t="s">
        <v>2194</v>
      </c>
      <c r="B482" s="58" t="s">
        <v>2187</v>
      </c>
      <c r="C482" s="58" t="s">
        <v>108</v>
      </c>
      <c r="D482" s="58" t="s">
        <v>2973</v>
      </c>
      <c r="E482" s="59" t="s">
        <v>108</v>
      </c>
      <c r="F482" s="59" t="s">
        <v>2970</v>
      </c>
      <c r="G482" s="58" t="s">
        <v>2120</v>
      </c>
    </row>
    <row r="483" spans="1:7" ht="17.25">
      <c r="A483" s="305" t="s">
        <v>2438</v>
      </c>
      <c r="B483" s="76"/>
      <c r="C483" s="76"/>
      <c r="D483" s="76"/>
      <c r="E483" s="77"/>
      <c r="F483" s="76"/>
      <c r="G483" s="76"/>
    </row>
    <row r="484" spans="1:7">
      <c r="A484" s="304" t="s">
        <v>2196</v>
      </c>
      <c r="B484" s="58"/>
      <c r="C484" s="58" t="s">
        <v>2193</v>
      </c>
      <c r="D484" s="58" t="s">
        <v>2973</v>
      </c>
      <c r="E484" s="59" t="s">
        <v>2193</v>
      </c>
      <c r="F484" s="59" t="s">
        <v>2970</v>
      </c>
      <c r="G484" s="58" t="s">
        <v>2120</v>
      </c>
    </row>
    <row r="485" spans="1:7">
      <c r="A485" s="304" t="s">
        <v>2197</v>
      </c>
      <c r="B485" s="58"/>
      <c r="C485" s="58" t="s">
        <v>2193</v>
      </c>
      <c r="D485" s="58" t="s">
        <v>2973</v>
      </c>
      <c r="E485" s="59" t="s">
        <v>2193</v>
      </c>
      <c r="F485" s="59" t="s">
        <v>2970</v>
      </c>
      <c r="G485" s="58" t="s">
        <v>2120</v>
      </c>
    </row>
    <row r="486" spans="1:7">
      <c r="A486" s="304" t="s">
        <v>2198</v>
      </c>
      <c r="B486" s="58"/>
      <c r="C486" s="58" t="s">
        <v>2199</v>
      </c>
      <c r="D486" s="58" t="s">
        <v>2973</v>
      </c>
      <c r="E486" s="59" t="s">
        <v>2193</v>
      </c>
      <c r="F486" s="59" t="s">
        <v>2970</v>
      </c>
      <c r="G486" s="58" t="s">
        <v>2120</v>
      </c>
    </row>
    <row r="487" spans="1:7">
      <c r="A487" s="304" t="s">
        <v>2200</v>
      </c>
      <c r="B487" s="58" t="s">
        <v>2182</v>
      </c>
      <c r="C487" s="58" t="s">
        <v>108</v>
      </c>
      <c r="D487" s="58" t="s">
        <v>2973</v>
      </c>
      <c r="E487" s="59" t="s">
        <v>108</v>
      </c>
      <c r="F487" s="59" t="s">
        <v>2970</v>
      </c>
      <c r="G487" s="58" t="s">
        <v>2120</v>
      </c>
    </row>
    <row r="488" spans="1:7">
      <c r="A488" s="304" t="s">
        <v>2201</v>
      </c>
      <c r="B488" s="58" t="s">
        <v>2182</v>
      </c>
      <c r="C488" s="58" t="s">
        <v>108</v>
      </c>
      <c r="D488" s="58" t="s">
        <v>2973</v>
      </c>
      <c r="E488" s="59" t="s">
        <v>108</v>
      </c>
      <c r="F488" s="59" t="s">
        <v>2970</v>
      </c>
      <c r="G488" s="58" t="s">
        <v>2120</v>
      </c>
    </row>
    <row r="489" spans="1:7">
      <c r="A489" s="304" t="s">
        <v>2202</v>
      </c>
      <c r="B489" s="58" t="s">
        <v>2174</v>
      </c>
      <c r="C489" s="58" t="s">
        <v>108</v>
      </c>
      <c r="D489" s="58" t="s">
        <v>2973</v>
      </c>
      <c r="E489" s="59" t="s">
        <v>108</v>
      </c>
      <c r="F489" s="59" t="s">
        <v>2970</v>
      </c>
      <c r="G489" s="58" t="s">
        <v>2120</v>
      </c>
    </row>
    <row r="490" spans="1:7">
      <c r="A490" s="304" t="s">
        <v>2203</v>
      </c>
      <c r="B490" s="58" t="s">
        <v>2204</v>
      </c>
      <c r="C490" s="58" t="s">
        <v>2193</v>
      </c>
      <c r="D490" s="58" t="s">
        <v>2973</v>
      </c>
      <c r="E490" s="59" t="s">
        <v>2193</v>
      </c>
      <c r="F490" s="59" t="s">
        <v>2970</v>
      </c>
      <c r="G490" s="58" t="s">
        <v>2120</v>
      </c>
    </row>
    <row r="491" spans="1:7">
      <c r="A491" s="304" t="s">
        <v>2205</v>
      </c>
      <c r="B491" s="58" t="s">
        <v>2204</v>
      </c>
      <c r="C491" s="58" t="s">
        <v>2193</v>
      </c>
      <c r="D491" s="58" t="s">
        <v>2973</v>
      </c>
      <c r="E491" s="59" t="s">
        <v>2193</v>
      </c>
      <c r="F491" s="59" t="s">
        <v>2970</v>
      </c>
      <c r="G491" s="58" t="s">
        <v>2120</v>
      </c>
    </row>
    <row r="492" spans="1:7">
      <c r="A492" s="304" t="s">
        <v>2206</v>
      </c>
      <c r="B492" s="58"/>
      <c r="C492" s="58" t="s">
        <v>2135</v>
      </c>
      <c r="D492" s="58" t="s">
        <v>2973</v>
      </c>
      <c r="E492" s="59" t="s">
        <v>2136</v>
      </c>
      <c r="F492" s="59" t="s">
        <v>2970</v>
      </c>
      <c r="G492" s="58" t="s">
        <v>2120</v>
      </c>
    </row>
    <row r="493" spans="1:7">
      <c r="A493" s="304" t="s">
        <v>2207</v>
      </c>
      <c r="B493" s="58" t="s">
        <v>2204</v>
      </c>
      <c r="C493" s="58" t="s">
        <v>108</v>
      </c>
      <c r="D493" s="58" t="s">
        <v>2973</v>
      </c>
      <c r="E493" s="59" t="s">
        <v>108</v>
      </c>
      <c r="F493" s="59" t="s">
        <v>2970</v>
      </c>
      <c r="G493" s="58" t="s">
        <v>2208</v>
      </c>
    </row>
    <row r="494" spans="1:7" ht="17.25">
      <c r="A494" s="305" t="s">
        <v>2439</v>
      </c>
      <c r="B494" s="76"/>
      <c r="C494" s="76"/>
      <c r="D494" s="76"/>
      <c r="E494" s="77"/>
      <c r="F494" s="76"/>
      <c r="G494" s="76"/>
    </row>
    <row r="495" spans="1:7">
      <c r="A495" s="304" t="s">
        <v>2210</v>
      </c>
      <c r="B495" s="58" t="s">
        <v>2211</v>
      </c>
      <c r="C495" s="58" t="s">
        <v>108</v>
      </c>
      <c r="D495" s="58" t="s">
        <v>2973</v>
      </c>
      <c r="E495" s="59" t="s">
        <v>108</v>
      </c>
      <c r="F495" s="59" t="s">
        <v>2970</v>
      </c>
      <c r="G495" s="58" t="s">
        <v>2120</v>
      </c>
    </row>
    <row r="496" spans="1:7">
      <c r="A496" s="304" t="s">
        <v>2212</v>
      </c>
      <c r="B496" s="58" t="s">
        <v>2213</v>
      </c>
      <c r="C496" s="58" t="s">
        <v>108</v>
      </c>
      <c r="D496" s="58" t="s">
        <v>2973</v>
      </c>
      <c r="E496" s="59" t="s">
        <v>108</v>
      </c>
      <c r="F496" s="59" t="s">
        <v>2970</v>
      </c>
      <c r="G496" s="58" t="s">
        <v>2120</v>
      </c>
    </row>
    <row r="497" spans="1:7">
      <c r="A497" s="304" t="s">
        <v>2214</v>
      </c>
      <c r="B497" s="58" t="s">
        <v>2213</v>
      </c>
      <c r="C497" s="58" t="s">
        <v>108</v>
      </c>
      <c r="D497" s="58" t="s">
        <v>2973</v>
      </c>
      <c r="E497" s="59" t="s">
        <v>108</v>
      </c>
      <c r="F497" s="59" t="s">
        <v>2970</v>
      </c>
      <c r="G497" s="58" t="s">
        <v>2120</v>
      </c>
    </row>
    <row r="498" spans="1:7" ht="17.25">
      <c r="A498" s="305" t="s">
        <v>2440</v>
      </c>
      <c r="B498" s="76"/>
      <c r="C498" s="76"/>
      <c r="D498" s="76"/>
      <c r="E498" s="77"/>
      <c r="F498" s="76"/>
      <c r="G498" s="76"/>
    </row>
    <row r="499" spans="1:7">
      <c r="A499" s="304" t="s">
        <v>2216</v>
      </c>
      <c r="B499" s="58" t="s">
        <v>2217</v>
      </c>
      <c r="C499" s="58" t="s">
        <v>2193</v>
      </c>
      <c r="D499" s="58" t="s">
        <v>2973</v>
      </c>
      <c r="E499" s="59" t="s">
        <v>2193</v>
      </c>
      <c r="F499" s="59" t="s">
        <v>2970</v>
      </c>
      <c r="G499" s="58" t="s">
        <v>2218</v>
      </c>
    </row>
    <row r="500" spans="1:7">
      <c r="A500" s="304" t="s">
        <v>2219</v>
      </c>
      <c r="B500" s="58" t="s">
        <v>2220</v>
      </c>
      <c r="C500" s="58" t="s">
        <v>108</v>
      </c>
      <c r="D500" s="58" t="s">
        <v>2973</v>
      </c>
      <c r="E500" s="59" t="s">
        <v>108</v>
      </c>
      <c r="F500" s="59" t="s">
        <v>2970</v>
      </c>
      <c r="G500" s="58" t="s">
        <v>2221</v>
      </c>
    </row>
    <row r="501" spans="1:7">
      <c r="A501" s="304" t="s">
        <v>2222</v>
      </c>
      <c r="B501" s="58" t="s">
        <v>2223</v>
      </c>
      <c r="C501" s="58" t="s">
        <v>108</v>
      </c>
      <c r="D501" s="58" t="s">
        <v>2973</v>
      </c>
      <c r="E501" s="59" t="s">
        <v>108</v>
      </c>
      <c r="F501" s="59" t="s">
        <v>2970</v>
      </c>
      <c r="G501" s="58" t="s">
        <v>2224</v>
      </c>
    </row>
    <row r="502" spans="1:7">
      <c r="A502" s="304" t="s">
        <v>2225</v>
      </c>
      <c r="B502" s="58" t="s">
        <v>2226</v>
      </c>
      <c r="C502" s="58" t="s">
        <v>108</v>
      </c>
      <c r="D502" s="58" t="s">
        <v>2973</v>
      </c>
      <c r="E502" s="59" t="s">
        <v>108</v>
      </c>
      <c r="F502" s="59" t="s">
        <v>2970</v>
      </c>
      <c r="G502" s="58" t="s">
        <v>2227</v>
      </c>
    </row>
    <row r="503" spans="1:7">
      <c r="A503" s="304" t="s">
        <v>2228</v>
      </c>
      <c r="B503" s="58"/>
      <c r="C503" s="58" t="s">
        <v>2135</v>
      </c>
      <c r="D503" s="58" t="s">
        <v>2973</v>
      </c>
      <c r="E503" s="59" t="s">
        <v>2136</v>
      </c>
      <c r="F503" s="59" t="s">
        <v>2970</v>
      </c>
      <c r="G503" s="58" t="s">
        <v>2120</v>
      </c>
    </row>
    <row r="504" spans="1:7" ht="17.25">
      <c r="A504" s="305" t="s">
        <v>2441</v>
      </c>
      <c r="B504" s="76"/>
      <c r="C504" s="76"/>
      <c r="D504" s="76"/>
      <c r="E504" s="77"/>
      <c r="F504" s="76"/>
      <c r="G504" s="76"/>
    </row>
    <row r="505" spans="1:7">
      <c r="A505" s="304" t="s">
        <v>2230</v>
      </c>
      <c r="B505" s="58" t="s">
        <v>2220</v>
      </c>
      <c r="C505" s="58" t="s">
        <v>108</v>
      </c>
      <c r="D505" s="58" t="s">
        <v>2973</v>
      </c>
      <c r="E505" s="59" t="s">
        <v>108</v>
      </c>
      <c r="F505" s="59" t="s">
        <v>2970</v>
      </c>
      <c r="G505" s="58" t="s">
        <v>2231</v>
      </c>
    </row>
    <row r="506" spans="1:7">
      <c r="A506" s="304" t="s">
        <v>2232</v>
      </c>
      <c r="B506" s="58" t="s">
        <v>2220</v>
      </c>
      <c r="C506" s="58" t="s">
        <v>108</v>
      </c>
      <c r="D506" s="58" t="s">
        <v>2973</v>
      </c>
      <c r="E506" s="59" t="s">
        <v>108</v>
      </c>
      <c r="F506" s="59" t="s">
        <v>2970</v>
      </c>
      <c r="G506" s="58" t="s">
        <v>2120</v>
      </c>
    </row>
    <row r="507" spans="1:7">
      <c r="A507" s="304" t="s">
        <v>2233</v>
      </c>
      <c r="B507" s="58" t="s">
        <v>2234</v>
      </c>
      <c r="C507" s="58" t="s">
        <v>108</v>
      </c>
      <c r="D507" s="58" t="s">
        <v>2973</v>
      </c>
      <c r="E507" s="59" t="s">
        <v>108</v>
      </c>
      <c r="F507" s="59" t="s">
        <v>2970</v>
      </c>
      <c r="G507" s="58" t="s">
        <v>2235</v>
      </c>
    </row>
    <row r="508" spans="1:7">
      <c r="A508" s="304" t="s">
        <v>2236</v>
      </c>
      <c r="B508" s="58" t="s">
        <v>2237</v>
      </c>
      <c r="C508" s="58" t="s">
        <v>108</v>
      </c>
      <c r="D508" s="58" t="s">
        <v>2973</v>
      </c>
      <c r="E508" s="59" t="s">
        <v>108</v>
      </c>
      <c r="F508" s="59" t="s">
        <v>2970</v>
      </c>
      <c r="G508" s="58" t="s">
        <v>2231</v>
      </c>
    </row>
    <row r="509" spans="1:7">
      <c r="A509" s="304" t="s">
        <v>2238</v>
      </c>
      <c r="B509" s="58" t="s">
        <v>2237</v>
      </c>
      <c r="C509" s="58" t="s">
        <v>108</v>
      </c>
      <c r="D509" s="58" t="s">
        <v>2973</v>
      </c>
      <c r="E509" s="59" t="s">
        <v>108</v>
      </c>
      <c r="F509" s="59" t="s">
        <v>2970</v>
      </c>
      <c r="G509" s="58" t="s">
        <v>2239</v>
      </c>
    </row>
    <row r="510" spans="1:7">
      <c r="A510" s="304" t="s">
        <v>2240</v>
      </c>
      <c r="B510" s="58" t="s">
        <v>2241</v>
      </c>
      <c r="C510" s="58" t="s">
        <v>2193</v>
      </c>
      <c r="D510" s="58" t="s">
        <v>2973</v>
      </c>
      <c r="E510" s="59" t="s">
        <v>2193</v>
      </c>
      <c r="F510" s="59" t="s">
        <v>2970</v>
      </c>
      <c r="G510" s="58" t="s">
        <v>2120</v>
      </c>
    </row>
    <row r="511" spans="1:7">
      <c r="A511" s="304" t="s">
        <v>2242</v>
      </c>
      <c r="B511" s="58" t="s">
        <v>2220</v>
      </c>
      <c r="C511" s="58" t="s">
        <v>2243</v>
      </c>
      <c r="D511" s="58" t="s">
        <v>2973</v>
      </c>
      <c r="E511" s="59" t="s">
        <v>2974</v>
      </c>
      <c r="F511" s="59" t="s">
        <v>2970</v>
      </c>
      <c r="G511" s="58" t="s">
        <v>2244</v>
      </c>
    </row>
    <row r="512" spans="1:7">
      <c r="A512" s="304" t="s">
        <v>2245</v>
      </c>
      <c r="B512" s="58" t="s">
        <v>2241</v>
      </c>
      <c r="C512" s="58" t="s">
        <v>2246</v>
      </c>
      <c r="D512" s="58" t="s">
        <v>2973</v>
      </c>
      <c r="E512" s="59" t="s">
        <v>108</v>
      </c>
      <c r="F512" s="59" t="s">
        <v>2970</v>
      </c>
      <c r="G512" s="58" t="s">
        <v>2120</v>
      </c>
    </row>
    <row r="513" spans="1:7">
      <c r="A513" s="304" t="s">
        <v>2247</v>
      </c>
      <c r="B513" s="58" t="s">
        <v>2248</v>
      </c>
      <c r="C513" s="58" t="s">
        <v>108</v>
      </c>
      <c r="D513" s="58" t="s">
        <v>2973</v>
      </c>
      <c r="E513" s="59" t="s">
        <v>108</v>
      </c>
      <c r="F513" s="59" t="s">
        <v>2970</v>
      </c>
      <c r="G513" s="58" t="s">
        <v>2249</v>
      </c>
    </row>
    <row r="514" spans="1:7" ht="17.25">
      <c r="A514" s="305" t="s">
        <v>2442</v>
      </c>
      <c r="B514" s="76"/>
      <c r="C514" s="76"/>
      <c r="D514" s="76"/>
      <c r="E514" s="77"/>
      <c r="F514" s="76"/>
      <c r="G514" s="76"/>
    </row>
    <row r="515" spans="1:7">
      <c r="A515" s="304" t="s">
        <v>2251</v>
      </c>
      <c r="B515" s="58" t="s">
        <v>2252</v>
      </c>
      <c r="C515" s="58" t="s">
        <v>108</v>
      </c>
      <c r="D515" s="58" t="s">
        <v>2973</v>
      </c>
      <c r="E515" s="59" t="s">
        <v>108</v>
      </c>
      <c r="F515" s="59" t="s">
        <v>2970</v>
      </c>
      <c r="G515" s="58" t="s">
        <v>2120</v>
      </c>
    </row>
    <row r="516" spans="1:7">
      <c r="A516" s="304" t="s">
        <v>2253</v>
      </c>
      <c r="B516" s="58" t="s">
        <v>2252</v>
      </c>
      <c r="C516" s="58" t="s">
        <v>2193</v>
      </c>
      <c r="D516" s="58" t="s">
        <v>2973</v>
      </c>
      <c r="E516" s="59" t="s">
        <v>2193</v>
      </c>
      <c r="F516" s="59" t="s">
        <v>2970</v>
      </c>
      <c r="G516" s="58" t="s">
        <v>2254</v>
      </c>
    </row>
    <row r="517" spans="1:7">
      <c r="A517" s="304" t="s">
        <v>2255</v>
      </c>
      <c r="B517" s="58" t="s">
        <v>2256</v>
      </c>
      <c r="C517" s="58" t="s">
        <v>2257</v>
      </c>
      <c r="D517" s="58" t="s">
        <v>2973</v>
      </c>
      <c r="E517" s="59" t="s">
        <v>108</v>
      </c>
      <c r="F517" s="59" t="s">
        <v>2970</v>
      </c>
      <c r="G517" s="58" t="s">
        <v>2120</v>
      </c>
    </row>
    <row r="518" spans="1:7">
      <c r="A518" s="304" t="s">
        <v>2258</v>
      </c>
      <c r="B518" s="58" t="s">
        <v>2259</v>
      </c>
      <c r="C518" s="58" t="s">
        <v>2260</v>
      </c>
      <c r="D518" s="58" t="s">
        <v>2973</v>
      </c>
      <c r="E518" s="59" t="s">
        <v>2964</v>
      </c>
      <c r="F518" s="59" t="s">
        <v>2970</v>
      </c>
      <c r="G518" s="58" t="s">
        <v>2261</v>
      </c>
    </row>
    <row r="519" spans="1:7">
      <c r="A519" s="304" t="s">
        <v>2262</v>
      </c>
      <c r="B519" s="58" t="s">
        <v>2259</v>
      </c>
      <c r="C519" s="58" t="s">
        <v>2147</v>
      </c>
      <c r="D519" s="58" t="s">
        <v>2973</v>
      </c>
      <c r="E519" s="59" t="s">
        <v>108</v>
      </c>
      <c r="F519" s="59" t="s">
        <v>2970</v>
      </c>
      <c r="G519" s="58" t="s">
        <v>2263</v>
      </c>
    </row>
    <row r="520" spans="1:7">
      <c r="A520" s="304" t="s">
        <v>2264</v>
      </c>
      <c r="B520" s="58" t="s">
        <v>2252</v>
      </c>
      <c r="C520" s="58" t="s">
        <v>2265</v>
      </c>
      <c r="D520" s="58" t="s">
        <v>2973</v>
      </c>
      <c r="E520" s="59" t="s">
        <v>108</v>
      </c>
      <c r="F520" s="59" t="s">
        <v>2970</v>
      </c>
      <c r="G520" s="58" t="s">
        <v>2120</v>
      </c>
    </row>
    <row r="521" spans="1:7">
      <c r="A521" s="304" t="s">
        <v>2266</v>
      </c>
      <c r="B521" s="58" t="s">
        <v>2252</v>
      </c>
      <c r="C521" s="58" t="s">
        <v>2267</v>
      </c>
      <c r="D521" s="58" t="s">
        <v>2973</v>
      </c>
      <c r="E521" s="59" t="s">
        <v>108</v>
      </c>
      <c r="F521" s="59" t="s">
        <v>2970</v>
      </c>
      <c r="G521" s="58" t="s">
        <v>2268</v>
      </c>
    </row>
    <row r="522" spans="1:7">
      <c r="A522" s="304" t="s">
        <v>2269</v>
      </c>
      <c r="B522" s="58" t="s">
        <v>2252</v>
      </c>
      <c r="C522" s="58" t="s">
        <v>2270</v>
      </c>
      <c r="D522" s="58" t="s">
        <v>2973</v>
      </c>
      <c r="E522" s="59" t="s">
        <v>108</v>
      </c>
      <c r="F522" s="59" t="s">
        <v>2970</v>
      </c>
      <c r="G522" s="58" t="s">
        <v>2120</v>
      </c>
    </row>
    <row r="523" spans="1:7" ht="17.25">
      <c r="A523" s="305" t="s">
        <v>2443</v>
      </c>
      <c r="B523" s="76"/>
      <c r="C523" s="76"/>
      <c r="D523" s="76"/>
      <c r="E523" s="77"/>
      <c r="F523" s="76"/>
      <c r="G523" s="76"/>
    </row>
    <row r="524" spans="1:7">
      <c r="A524" s="304" t="s">
        <v>2272</v>
      </c>
      <c r="B524" s="58" t="s">
        <v>2273</v>
      </c>
      <c r="C524" s="58" t="s">
        <v>2274</v>
      </c>
      <c r="D524" s="58" t="s">
        <v>2973</v>
      </c>
      <c r="E524" s="59" t="s">
        <v>108</v>
      </c>
      <c r="F524" s="59" t="s">
        <v>2970</v>
      </c>
      <c r="G524" s="58" t="s">
        <v>2275</v>
      </c>
    </row>
    <row r="525" spans="1:7">
      <c r="A525" s="304" t="s">
        <v>2276</v>
      </c>
      <c r="B525" s="58" t="s">
        <v>2248</v>
      </c>
      <c r="C525" s="58" t="s">
        <v>2277</v>
      </c>
      <c r="D525" s="58" t="s">
        <v>2973</v>
      </c>
      <c r="E525" s="59" t="s">
        <v>108</v>
      </c>
      <c r="F525" s="59" t="s">
        <v>2970</v>
      </c>
      <c r="G525" s="58" t="s">
        <v>2278</v>
      </c>
    </row>
    <row r="526" spans="1:7">
      <c r="A526" s="304" t="s">
        <v>2279</v>
      </c>
      <c r="B526" s="58" t="s">
        <v>2280</v>
      </c>
      <c r="C526" s="58" t="s">
        <v>2281</v>
      </c>
      <c r="D526" s="58" t="s">
        <v>2973</v>
      </c>
      <c r="E526" s="59" t="s">
        <v>108</v>
      </c>
      <c r="F526" s="59" t="s">
        <v>2970</v>
      </c>
      <c r="G526" s="58" t="s">
        <v>2282</v>
      </c>
    </row>
    <row r="527" spans="1:7">
      <c r="A527" s="304" t="s">
        <v>2283</v>
      </c>
      <c r="B527" s="58" t="s">
        <v>2273</v>
      </c>
      <c r="C527" s="58" t="s">
        <v>108</v>
      </c>
      <c r="D527" s="58" t="s">
        <v>2973</v>
      </c>
      <c r="E527" s="59" t="s">
        <v>108</v>
      </c>
      <c r="F527" s="59" t="s">
        <v>2970</v>
      </c>
      <c r="G527" s="58" t="s">
        <v>2284</v>
      </c>
    </row>
    <row r="528" spans="1:7">
      <c r="A528" s="304" t="s">
        <v>2285</v>
      </c>
      <c r="B528" s="58"/>
      <c r="C528" s="58" t="s">
        <v>2135</v>
      </c>
      <c r="D528" s="58" t="s">
        <v>2973</v>
      </c>
      <c r="E528" s="59" t="s">
        <v>2136</v>
      </c>
      <c r="F528" s="59" t="s">
        <v>2970</v>
      </c>
      <c r="G528" s="58" t="s">
        <v>2120</v>
      </c>
    </row>
    <row r="529" spans="1:7">
      <c r="A529" s="304" t="s">
        <v>2286</v>
      </c>
      <c r="B529" s="58"/>
      <c r="C529" s="58" t="s">
        <v>108</v>
      </c>
      <c r="D529" s="58" t="s">
        <v>2973</v>
      </c>
      <c r="E529" s="59" t="s">
        <v>108</v>
      </c>
      <c r="F529" s="59" t="s">
        <v>2970</v>
      </c>
      <c r="G529" s="58" t="s">
        <v>2120</v>
      </c>
    </row>
    <row r="530" spans="1:7">
      <c r="A530" s="304" t="s">
        <v>2287</v>
      </c>
      <c r="B530" s="58" t="s">
        <v>2273</v>
      </c>
      <c r="C530" s="58" t="s">
        <v>2288</v>
      </c>
      <c r="D530" s="58" t="s">
        <v>2973</v>
      </c>
      <c r="E530" s="59" t="s">
        <v>2288</v>
      </c>
      <c r="F530" s="59" t="s">
        <v>2970</v>
      </c>
      <c r="G530" s="58" t="s">
        <v>2289</v>
      </c>
    </row>
    <row r="531" spans="1:7" ht="17.25">
      <c r="A531" s="305" t="s">
        <v>2444</v>
      </c>
      <c r="B531" s="76"/>
      <c r="C531" s="76"/>
      <c r="D531" s="76"/>
      <c r="E531" s="77"/>
      <c r="F531" s="76"/>
      <c r="G531" s="76"/>
    </row>
    <row r="532" spans="1:7">
      <c r="A532" s="304" t="s">
        <v>2291</v>
      </c>
      <c r="B532" s="58"/>
      <c r="C532" s="58" t="s">
        <v>2135</v>
      </c>
      <c r="D532" s="58" t="s">
        <v>2973</v>
      </c>
      <c r="E532" s="59" t="s">
        <v>2136</v>
      </c>
      <c r="F532" s="59" t="s">
        <v>2970</v>
      </c>
      <c r="G532" s="58" t="s">
        <v>2292</v>
      </c>
    </row>
    <row r="533" spans="1:7">
      <c r="A533" s="304" t="s">
        <v>2293</v>
      </c>
      <c r="B533" s="58" t="s">
        <v>2294</v>
      </c>
      <c r="C533" s="58" t="s">
        <v>2295</v>
      </c>
      <c r="D533" s="58" t="s">
        <v>2973</v>
      </c>
      <c r="E533" s="59" t="s">
        <v>108</v>
      </c>
      <c r="F533" s="59" t="s">
        <v>2970</v>
      </c>
      <c r="G533" s="58" t="s">
        <v>2296</v>
      </c>
    </row>
    <row r="534" spans="1:7">
      <c r="A534" s="304" t="s">
        <v>2297</v>
      </c>
      <c r="B534" s="58" t="s">
        <v>2298</v>
      </c>
      <c r="C534" s="58" t="s">
        <v>108</v>
      </c>
      <c r="D534" s="58" t="s">
        <v>2973</v>
      </c>
      <c r="E534" s="59" t="s">
        <v>108</v>
      </c>
      <c r="F534" s="59" t="s">
        <v>2970</v>
      </c>
      <c r="G534" s="58" t="s">
        <v>2299</v>
      </c>
    </row>
    <row r="535" spans="1:7">
      <c r="A535" s="304" t="s">
        <v>2300</v>
      </c>
      <c r="B535" s="58" t="s">
        <v>2294</v>
      </c>
      <c r="C535" s="58" t="s">
        <v>108</v>
      </c>
      <c r="D535" s="58" t="s">
        <v>2973</v>
      </c>
      <c r="E535" s="59" t="s">
        <v>108</v>
      </c>
      <c r="F535" s="59" t="s">
        <v>2970</v>
      </c>
      <c r="G535" s="58" t="s">
        <v>2299</v>
      </c>
    </row>
    <row r="536" spans="1:7">
      <c r="A536" s="304" t="s">
        <v>2301</v>
      </c>
      <c r="B536" s="58" t="s">
        <v>2302</v>
      </c>
      <c r="C536" s="58" t="s">
        <v>2193</v>
      </c>
      <c r="D536" s="58" t="s">
        <v>2973</v>
      </c>
      <c r="E536" s="59" t="s">
        <v>2193</v>
      </c>
      <c r="F536" s="59" t="s">
        <v>2970</v>
      </c>
      <c r="G536" s="58" t="s">
        <v>2303</v>
      </c>
    </row>
    <row r="537" spans="1:7">
      <c r="A537" s="304" t="s">
        <v>2304</v>
      </c>
      <c r="B537" s="58" t="s">
        <v>2305</v>
      </c>
      <c r="C537" s="58" t="s">
        <v>2257</v>
      </c>
      <c r="D537" s="58" t="s">
        <v>2973</v>
      </c>
      <c r="E537" s="59" t="s">
        <v>108</v>
      </c>
      <c r="F537" s="59" t="s">
        <v>2970</v>
      </c>
      <c r="G537" s="58" t="s">
        <v>2306</v>
      </c>
    </row>
    <row r="538" spans="1:7" ht="17.25">
      <c r="A538" s="305" t="s">
        <v>2445</v>
      </c>
      <c r="B538" s="76"/>
      <c r="C538" s="76"/>
      <c r="D538" s="76"/>
      <c r="E538" s="77"/>
      <c r="F538" s="76"/>
      <c r="G538" s="76"/>
    </row>
    <row r="539" spans="1:7">
      <c r="A539" s="304" t="s">
        <v>2352</v>
      </c>
      <c r="B539" s="58"/>
      <c r="C539" s="58" t="s">
        <v>1201</v>
      </c>
      <c r="D539" s="58" t="s">
        <v>2975</v>
      </c>
      <c r="E539" s="59" t="s">
        <v>1201</v>
      </c>
      <c r="F539" s="59" t="s">
        <v>2970</v>
      </c>
      <c r="G539" s="58" t="s">
        <v>2120</v>
      </c>
    </row>
    <row r="540" spans="1:7">
      <c r="A540" s="304" t="s">
        <v>2118</v>
      </c>
      <c r="B540" s="58"/>
      <c r="C540" s="58" t="s">
        <v>2119</v>
      </c>
      <c r="D540" s="58" t="s">
        <v>2975</v>
      </c>
      <c r="E540" s="59" t="s">
        <v>1201</v>
      </c>
      <c r="F540" s="59" t="s">
        <v>2970</v>
      </c>
      <c r="G540" s="58" t="s">
        <v>2120</v>
      </c>
    </row>
    <row r="541" spans="1:7" ht="17.25">
      <c r="A541" s="305" t="s">
        <v>2446</v>
      </c>
      <c r="B541" s="76"/>
      <c r="C541" s="76"/>
      <c r="D541" s="76"/>
      <c r="E541" s="77"/>
      <c r="F541" s="76"/>
      <c r="G541" s="76"/>
    </row>
    <row r="542" spans="1:7">
      <c r="A542" s="304" t="s">
        <v>2242</v>
      </c>
      <c r="B542" s="58" t="s">
        <v>2220</v>
      </c>
      <c r="C542" s="58" t="s">
        <v>2243</v>
      </c>
      <c r="D542" s="58" t="s">
        <v>2975</v>
      </c>
      <c r="E542" s="59" t="s">
        <v>2976</v>
      </c>
      <c r="F542" s="59" t="s">
        <v>2970</v>
      </c>
      <c r="G542" s="58" t="s">
        <v>2244</v>
      </c>
    </row>
    <row r="543" spans="1:7" ht="17.25">
      <c r="A543" s="305" t="s">
        <v>2447</v>
      </c>
      <c r="B543" s="76"/>
      <c r="C543" s="76"/>
      <c r="D543" s="76"/>
      <c r="E543" s="77"/>
      <c r="F543" s="76"/>
      <c r="G543" s="76"/>
    </row>
    <row r="544" spans="1:7">
      <c r="A544" s="304" t="s">
        <v>2258</v>
      </c>
      <c r="B544" s="58" t="s">
        <v>2259</v>
      </c>
      <c r="C544" s="58" t="s">
        <v>2260</v>
      </c>
      <c r="D544" s="58" t="s">
        <v>2975</v>
      </c>
      <c r="E544" s="59" t="s">
        <v>2775</v>
      </c>
      <c r="F544" s="59" t="s">
        <v>2970</v>
      </c>
      <c r="G544" s="58" t="s">
        <v>2261</v>
      </c>
    </row>
    <row r="545" spans="1:7" ht="17.25">
      <c r="A545" s="305" t="s">
        <v>2449</v>
      </c>
      <c r="B545" s="76"/>
      <c r="C545" s="76"/>
      <c r="D545" s="76"/>
      <c r="E545" s="77"/>
      <c r="F545" s="76"/>
      <c r="G545" s="76"/>
    </row>
    <row r="546" spans="1:7">
      <c r="A546" s="304" t="s">
        <v>2114</v>
      </c>
      <c r="B546" s="58" t="s">
        <v>2115</v>
      </c>
      <c r="C546" s="58" t="s">
        <v>1559</v>
      </c>
      <c r="D546" s="58" t="s">
        <v>2977</v>
      </c>
      <c r="E546" s="59" t="s">
        <v>108</v>
      </c>
      <c r="F546" s="59" t="s">
        <v>2970</v>
      </c>
      <c r="G546" s="58" t="s">
        <v>2117</v>
      </c>
    </row>
    <row r="547" spans="1:7">
      <c r="A547" s="304" t="s">
        <v>2352</v>
      </c>
      <c r="B547" s="58"/>
      <c r="C547" s="58" t="s">
        <v>1201</v>
      </c>
      <c r="D547" s="58" t="s">
        <v>2977</v>
      </c>
      <c r="E547" s="59" t="s">
        <v>1201</v>
      </c>
      <c r="F547" s="59" t="s">
        <v>2970</v>
      </c>
      <c r="G547" s="58" t="s">
        <v>2120</v>
      </c>
    </row>
    <row r="548" spans="1:7">
      <c r="A548" s="304" t="s">
        <v>2118</v>
      </c>
      <c r="B548" s="58"/>
      <c r="C548" s="58" t="s">
        <v>2119</v>
      </c>
      <c r="D548" s="58" t="s">
        <v>2977</v>
      </c>
      <c r="E548" s="59" t="s">
        <v>2119</v>
      </c>
      <c r="F548" s="59" t="s">
        <v>2970</v>
      </c>
      <c r="G548" s="58" t="s">
        <v>2120</v>
      </c>
    </row>
    <row r="549" spans="1:7">
      <c r="A549" s="304" t="s">
        <v>2121</v>
      </c>
      <c r="B549" s="58" t="s">
        <v>2122</v>
      </c>
      <c r="C549" s="58" t="s">
        <v>108</v>
      </c>
      <c r="D549" s="58" t="s">
        <v>2977</v>
      </c>
      <c r="E549" s="59" t="s">
        <v>108</v>
      </c>
      <c r="F549" s="59" t="s">
        <v>2970</v>
      </c>
      <c r="G549" s="58" t="s">
        <v>2120</v>
      </c>
    </row>
    <row r="550" spans="1:7">
      <c r="A550" s="304" t="s">
        <v>2123</v>
      </c>
      <c r="B550" s="58" t="s">
        <v>2124</v>
      </c>
      <c r="C550" s="58" t="s">
        <v>108</v>
      </c>
      <c r="D550" s="58" t="s">
        <v>2977</v>
      </c>
      <c r="E550" s="59" t="s">
        <v>108</v>
      </c>
      <c r="F550" s="59" t="s">
        <v>2970</v>
      </c>
      <c r="G550" s="58" t="s">
        <v>2125</v>
      </c>
    </row>
    <row r="551" spans="1:7">
      <c r="A551" s="304" t="s">
        <v>2126</v>
      </c>
      <c r="B551" s="58"/>
      <c r="C551" s="58" t="s">
        <v>108</v>
      </c>
      <c r="D551" s="58" t="s">
        <v>2977</v>
      </c>
      <c r="E551" s="59" t="s">
        <v>108</v>
      </c>
      <c r="F551" s="59" t="s">
        <v>2970</v>
      </c>
      <c r="G551" s="58" t="s">
        <v>2120</v>
      </c>
    </row>
    <row r="552" spans="1:7" ht="17.25">
      <c r="A552" s="305" t="s">
        <v>2450</v>
      </c>
      <c r="B552" s="76"/>
      <c r="C552" s="76"/>
      <c r="D552" s="76"/>
      <c r="E552" s="77"/>
      <c r="F552" s="76"/>
      <c r="G552" s="76"/>
    </row>
    <row r="553" spans="1:7">
      <c r="A553" s="304" t="s">
        <v>2128</v>
      </c>
      <c r="B553" s="58" t="s">
        <v>2129</v>
      </c>
      <c r="C553" s="58" t="s">
        <v>108</v>
      </c>
      <c r="D553" s="58" t="s">
        <v>2977</v>
      </c>
      <c r="E553" s="59" t="s">
        <v>108</v>
      </c>
      <c r="F553" s="59" t="s">
        <v>2970</v>
      </c>
      <c r="G553" s="58" t="s">
        <v>2120</v>
      </c>
    </row>
    <row r="554" spans="1:7">
      <c r="A554" s="304" t="s">
        <v>2130</v>
      </c>
      <c r="B554" s="58" t="s">
        <v>2131</v>
      </c>
      <c r="C554" s="58" t="s">
        <v>108</v>
      </c>
      <c r="D554" s="58" t="s">
        <v>2977</v>
      </c>
      <c r="E554" s="59" t="s">
        <v>108</v>
      </c>
      <c r="F554" s="59" t="s">
        <v>2970</v>
      </c>
      <c r="G554" s="58" t="s">
        <v>2132</v>
      </c>
    </row>
    <row r="555" spans="1:7">
      <c r="A555" s="304" t="s">
        <v>2133</v>
      </c>
      <c r="B555" s="58" t="s">
        <v>2131</v>
      </c>
      <c r="C555" s="58" t="s">
        <v>108</v>
      </c>
      <c r="D555" s="58" t="s">
        <v>2977</v>
      </c>
      <c r="E555" s="59" t="s">
        <v>108</v>
      </c>
      <c r="F555" s="59" t="s">
        <v>2970</v>
      </c>
      <c r="G555" s="58" t="s">
        <v>2120</v>
      </c>
    </row>
    <row r="556" spans="1:7">
      <c r="A556" s="304" t="s">
        <v>2134</v>
      </c>
      <c r="B556" s="58"/>
      <c r="C556" s="58" t="s">
        <v>2135</v>
      </c>
      <c r="D556" s="58" t="s">
        <v>2977</v>
      </c>
      <c r="E556" s="59" t="s">
        <v>2136</v>
      </c>
      <c r="F556" s="59" t="s">
        <v>2970</v>
      </c>
      <c r="G556" s="58" t="s">
        <v>2137</v>
      </c>
    </row>
    <row r="557" spans="1:7">
      <c r="A557" s="304" t="s">
        <v>2138</v>
      </c>
      <c r="B557" s="58" t="s">
        <v>2139</v>
      </c>
      <c r="C557" s="58" t="s">
        <v>108</v>
      </c>
      <c r="D557" s="58" t="s">
        <v>2977</v>
      </c>
      <c r="E557" s="59" t="s">
        <v>108</v>
      </c>
      <c r="F557" s="59" t="s">
        <v>2970</v>
      </c>
      <c r="G557" s="58" t="s">
        <v>2140</v>
      </c>
    </row>
    <row r="558" spans="1:7" ht="17.25">
      <c r="A558" s="305" t="s">
        <v>2985</v>
      </c>
      <c r="B558" s="76"/>
      <c r="C558" s="76"/>
      <c r="D558" s="76"/>
      <c r="E558" s="77"/>
      <c r="F558" s="76"/>
      <c r="G558" s="76"/>
    </row>
    <row r="559" spans="1:7">
      <c r="A559" s="304" t="s">
        <v>2142</v>
      </c>
      <c r="B559" s="58" t="s">
        <v>2143</v>
      </c>
      <c r="C559" s="58" t="s">
        <v>108</v>
      </c>
      <c r="D559" s="58" t="s">
        <v>2977</v>
      </c>
      <c r="E559" s="59" t="s">
        <v>108</v>
      </c>
      <c r="F559" s="59" t="s">
        <v>2970</v>
      </c>
      <c r="G559" s="58" t="s">
        <v>2120</v>
      </c>
    </row>
    <row r="560" spans="1:7">
      <c r="A560" s="304" t="s">
        <v>2144</v>
      </c>
      <c r="B560" s="58" t="s">
        <v>2143</v>
      </c>
      <c r="C560" s="58" t="s">
        <v>2145</v>
      </c>
      <c r="D560" s="58" t="s">
        <v>2977</v>
      </c>
      <c r="E560" s="59" t="s">
        <v>2979</v>
      </c>
      <c r="F560" s="59" t="s">
        <v>2970</v>
      </c>
      <c r="G560" s="58" t="s">
        <v>2120</v>
      </c>
    </row>
    <row r="561" spans="1:7">
      <c r="A561" s="304" t="s">
        <v>2146</v>
      </c>
      <c r="B561" s="58" t="s">
        <v>2143</v>
      </c>
      <c r="C561" s="58" t="s">
        <v>2147</v>
      </c>
      <c r="D561" s="58" t="s">
        <v>2977</v>
      </c>
      <c r="E561" s="59" t="s">
        <v>108</v>
      </c>
      <c r="F561" s="59" t="s">
        <v>2970</v>
      </c>
      <c r="G561" s="58" t="s">
        <v>2148</v>
      </c>
    </row>
    <row r="562" spans="1:7">
      <c r="A562" s="304" t="s">
        <v>2149</v>
      </c>
      <c r="B562" s="58" t="s">
        <v>2143</v>
      </c>
      <c r="C562" s="58" t="s">
        <v>108</v>
      </c>
      <c r="D562" s="58" t="s">
        <v>2977</v>
      </c>
      <c r="E562" s="59" t="s">
        <v>108</v>
      </c>
      <c r="F562" s="59" t="s">
        <v>2970</v>
      </c>
      <c r="G562" s="58" t="s">
        <v>2120</v>
      </c>
    </row>
    <row r="563" spans="1:7" ht="17.25">
      <c r="A563" s="305" t="s">
        <v>2986</v>
      </c>
      <c r="B563" s="76"/>
      <c r="C563" s="76"/>
      <c r="D563" s="76"/>
      <c r="E563" s="77"/>
      <c r="F563" s="76"/>
      <c r="G563" s="76"/>
    </row>
    <row r="564" spans="1:7">
      <c r="A564" s="304" t="s">
        <v>2151</v>
      </c>
      <c r="B564" s="58" t="s">
        <v>2152</v>
      </c>
      <c r="C564" s="58" t="s">
        <v>2153</v>
      </c>
      <c r="D564" s="58" t="s">
        <v>2977</v>
      </c>
      <c r="E564" s="59" t="s">
        <v>108</v>
      </c>
      <c r="F564" s="59" t="s">
        <v>2970</v>
      </c>
      <c r="G564" s="58" t="s">
        <v>2120</v>
      </c>
    </row>
    <row r="565" spans="1:7">
      <c r="A565" s="304" t="s">
        <v>2154</v>
      </c>
      <c r="B565" s="58" t="s">
        <v>2155</v>
      </c>
      <c r="C565" s="58" t="s">
        <v>108</v>
      </c>
      <c r="D565" s="58" t="s">
        <v>2977</v>
      </c>
      <c r="E565" s="59" t="s">
        <v>108</v>
      </c>
      <c r="F565" s="59" t="s">
        <v>2970</v>
      </c>
      <c r="G565" s="58" t="s">
        <v>2120</v>
      </c>
    </row>
    <row r="566" spans="1:7">
      <c r="A566" s="304" t="s">
        <v>2156</v>
      </c>
      <c r="B566" s="58" t="s">
        <v>2152</v>
      </c>
      <c r="C566" s="58" t="s">
        <v>2157</v>
      </c>
      <c r="D566" s="58" t="s">
        <v>2977</v>
      </c>
      <c r="E566" s="59" t="s">
        <v>108</v>
      </c>
      <c r="F566" s="59" t="s">
        <v>2970</v>
      </c>
      <c r="G566" s="58" t="s">
        <v>2120</v>
      </c>
    </row>
    <row r="567" spans="1:7">
      <c r="A567" s="304" t="s">
        <v>2158</v>
      </c>
      <c r="B567" s="58" t="s">
        <v>2155</v>
      </c>
      <c r="C567" s="58" t="s">
        <v>2159</v>
      </c>
      <c r="D567" s="58" t="s">
        <v>2977</v>
      </c>
      <c r="E567" s="59" t="s">
        <v>108</v>
      </c>
      <c r="F567" s="59" t="s">
        <v>2970</v>
      </c>
      <c r="G567" s="58" t="s">
        <v>2160</v>
      </c>
    </row>
    <row r="568" spans="1:7">
      <c r="A568" s="304" t="s">
        <v>2161</v>
      </c>
      <c r="B568" s="58" t="s">
        <v>2162</v>
      </c>
      <c r="C568" s="58" t="s">
        <v>108</v>
      </c>
      <c r="D568" s="58" t="s">
        <v>2977</v>
      </c>
      <c r="E568" s="59" t="s">
        <v>108</v>
      </c>
      <c r="F568" s="59" t="s">
        <v>2970</v>
      </c>
      <c r="G568" s="58" t="s">
        <v>2163</v>
      </c>
    </row>
    <row r="569" spans="1:7">
      <c r="A569" s="304" t="s">
        <v>2164</v>
      </c>
      <c r="B569" s="58" t="s">
        <v>2162</v>
      </c>
      <c r="C569" s="58" t="s">
        <v>108</v>
      </c>
      <c r="D569" s="58" t="s">
        <v>2977</v>
      </c>
      <c r="E569" s="59" t="s">
        <v>108</v>
      </c>
      <c r="F569" s="59" t="s">
        <v>2970</v>
      </c>
      <c r="G569" s="58" t="s">
        <v>2120</v>
      </c>
    </row>
    <row r="570" spans="1:7" ht="17.25">
      <c r="A570" s="305" t="s">
        <v>2451</v>
      </c>
      <c r="B570" s="76"/>
      <c r="C570" s="76"/>
      <c r="D570" s="76"/>
      <c r="E570" s="77"/>
      <c r="F570" s="76"/>
      <c r="G570" s="76"/>
    </row>
    <row r="571" spans="1:7">
      <c r="A571" s="304" t="s">
        <v>2166</v>
      </c>
      <c r="B571" s="58" t="s">
        <v>2167</v>
      </c>
      <c r="C571" s="58" t="s">
        <v>108</v>
      </c>
      <c r="D571" s="58" t="s">
        <v>2977</v>
      </c>
      <c r="E571" s="59" t="s">
        <v>108</v>
      </c>
      <c r="F571" s="59" t="s">
        <v>2970</v>
      </c>
      <c r="G571" s="58" t="s">
        <v>2168</v>
      </c>
    </row>
    <row r="572" spans="1:7">
      <c r="A572" s="304" t="s">
        <v>2169</v>
      </c>
      <c r="B572" s="58" t="s">
        <v>2129</v>
      </c>
      <c r="C572" s="58" t="s">
        <v>2170</v>
      </c>
      <c r="D572" s="58" t="s">
        <v>2977</v>
      </c>
      <c r="E572" s="59" t="s">
        <v>2136</v>
      </c>
      <c r="F572" s="59" t="s">
        <v>2970</v>
      </c>
      <c r="G572" s="58" t="s">
        <v>2120</v>
      </c>
    </row>
    <row r="573" spans="1:7">
      <c r="A573" s="304" t="s">
        <v>2171</v>
      </c>
      <c r="B573" s="58" t="s">
        <v>2129</v>
      </c>
      <c r="C573" s="58" t="s">
        <v>2135</v>
      </c>
      <c r="D573" s="58" t="s">
        <v>2977</v>
      </c>
      <c r="E573" s="59" t="s">
        <v>2136</v>
      </c>
      <c r="F573" s="59" t="s">
        <v>2970</v>
      </c>
      <c r="G573" s="58" t="s">
        <v>2120</v>
      </c>
    </row>
    <row r="574" spans="1:7">
      <c r="A574" s="304" t="s">
        <v>2172</v>
      </c>
      <c r="B574" s="58" t="s">
        <v>2129</v>
      </c>
      <c r="C574" s="58" t="s">
        <v>2135</v>
      </c>
      <c r="D574" s="58" t="s">
        <v>2977</v>
      </c>
      <c r="E574" s="59" t="s">
        <v>2136</v>
      </c>
      <c r="F574" s="59" t="s">
        <v>2970</v>
      </c>
      <c r="G574" s="58" t="s">
        <v>2120</v>
      </c>
    </row>
    <row r="575" spans="1:7">
      <c r="A575" s="304" t="s">
        <v>2173</v>
      </c>
      <c r="B575" s="58" t="s">
        <v>2174</v>
      </c>
      <c r="C575" s="58" t="s">
        <v>2135</v>
      </c>
      <c r="D575" s="58" t="s">
        <v>2977</v>
      </c>
      <c r="E575" s="59" t="s">
        <v>2136</v>
      </c>
      <c r="F575" s="59" t="s">
        <v>2970</v>
      </c>
      <c r="G575" s="58" t="s">
        <v>2120</v>
      </c>
    </row>
    <row r="576" spans="1:7">
      <c r="A576" s="304" t="s">
        <v>2175</v>
      </c>
      <c r="B576" s="58"/>
      <c r="C576" s="58" t="s">
        <v>2135</v>
      </c>
      <c r="D576" s="58" t="s">
        <v>2977</v>
      </c>
      <c r="E576" s="59" t="s">
        <v>2136</v>
      </c>
      <c r="F576" s="59" t="s">
        <v>2970</v>
      </c>
      <c r="G576" s="58" t="s">
        <v>2120</v>
      </c>
    </row>
    <row r="577" spans="1:7">
      <c r="A577" s="304" t="s">
        <v>2176</v>
      </c>
      <c r="B577" s="58"/>
      <c r="C577" s="58" t="s">
        <v>2135</v>
      </c>
      <c r="D577" s="58" t="s">
        <v>2977</v>
      </c>
      <c r="E577" s="59" t="s">
        <v>2136</v>
      </c>
      <c r="F577" s="59" t="s">
        <v>2970</v>
      </c>
      <c r="G577" s="58" t="s">
        <v>2120</v>
      </c>
    </row>
    <row r="578" spans="1:7">
      <c r="A578" s="304" t="s">
        <v>2177</v>
      </c>
      <c r="B578" s="58"/>
      <c r="C578" s="58" t="s">
        <v>2135</v>
      </c>
      <c r="D578" s="58" t="s">
        <v>2977</v>
      </c>
      <c r="E578" s="59" t="s">
        <v>2136</v>
      </c>
      <c r="F578" s="59" t="s">
        <v>2970</v>
      </c>
      <c r="G578" s="58" t="s">
        <v>2120</v>
      </c>
    </row>
    <row r="579" spans="1:7" ht="17.25">
      <c r="A579" s="305" t="s">
        <v>2452</v>
      </c>
      <c r="B579" s="76"/>
      <c r="C579" s="76"/>
      <c r="D579" s="76"/>
      <c r="E579" s="77"/>
      <c r="F579" s="76"/>
      <c r="G579" s="76"/>
    </row>
    <row r="580" spans="1:7">
      <c r="A580" s="304" t="s">
        <v>2179</v>
      </c>
      <c r="B580" s="58" t="s">
        <v>2180</v>
      </c>
      <c r="C580" s="58" t="s">
        <v>108</v>
      </c>
      <c r="D580" s="58" t="s">
        <v>2977</v>
      </c>
      <c r="E580" s="59" t="s">
        <v>108</v>
      </c>
      <c r="F580" s="59" t="s">
        <v>2970</v>
      </c>
      <c r="G580" s="58" t="s">
        <v>2120</v>
      </c>
    </row>
    <row r="581" spans="1:7">
      <c r="A581" s="304" t="s">
        <v>2181</v>
      </c>
      <c r="B581" s="58" t="s">
        <v>2182</v>
      </c>
      <c r="C581" s="58" t="s">
        <v>108</v>
      </c>
      <c r="D581" s="58" t="s">
        <v>2977</v>
      </c>
      <c r="E581" s="59" t="s">
        <v>108</v>
      </c>
      <c r="F581" s="59" t="s">
        <v>2970</v>
      </c>
      <c r="G581" s="58" t="s">
        <v>2120</v>
      </c>
    </row>
    <row r="582" spans="1:7">
      <c r="A582" s="304" t="s">
        <v>2183</v>
      </c>
      <c r="B582" s="58" t="s">
        <v>2182</v>
      </c>
      <c r="C582" s="58" t="s">
        <v>2184</v>
      </c>
      <c r="D582" s="58" t="s">
        <v>2977</v>
      </c>
      <c r="E582" s="59" t="s">
        <v>108</v>
      </c>
      <c r="F582" s="59" t="s">
        <v>2970</v>
      </c>
      <c r="G582" s="58" t="s">
        <v>2185</v>
      </c>
    </row>
    <row r="583" spans="1:7">
      <c r="A583" s="304" t="s">
        <v>2186</v>
      </c>
      <c r="B583" s="58" t="s">
        <v>2187</v>
      </c>
      <c r="C583" s="58" t="s">
        <v>108</v>
      </c>
      <c r="D583" s="58" t="s">
        <v>2977</v>
      </c>
      <c r="E583" s="59" t="s">
        <v>108</v>
      </c>
      <c r="F583" s="59" t="s">
        <v>2970</v>
      </c>
      <c r="G583" s="58" t="s">
        <v>2120</v>
      </c>
    </row>
    <row r="584" spans="1:7">
      <c r="A584" s="304" t="s">
        <v>2188</v>
      </c>
      <c r="B584" s="58"/>
      <c r="C584" s="58" t="s">
        <v>2189</v>
      </c>
      <c r="D584" s="58" t="s">
        <v>2977</v>
      </c>
      <c r="E584" s="59" t="s">
        <v>108</v>
      </c>
      <c r="F584" s="59" t="s">
        <v>2970</v>
      </c>
      <c r="G584" s="58" t="s">
        <v>2120</v>
      </c>
    </row>
    <row r="585" spans="1:7">
      <c r="A585" s="304" t="s">
        <v>2190</v>
      </c>
      <c r="B585" s="58"/>
      <c r="C585" s="58" t="s">
        <v>2135</v>
      </c>
      <c r="D585" s="58" t="s">
        <v>2977</v>
      </c>
      <c r="E585" s="59" t="s">
        <v>2136</v>
      </c>
      <c r="F585" s="59" t="s">
        <v>2970</v>
      </c>
      <c r="G585" s="58" t="s">
        <v>2120</v>
      </c>
    </row>
    <row r="586" spans="1:7">
      <c r="A586" s="304" t="s">
        <v>2191</v>
      </c>
      <c r="B586" s="58"/>
      <c r="C586" s="58" t="s">
        <v>2135</v>
      </c>
      <c r="D586" s="58" t="s">
        <v>2977</v>
      </c>
      <c r="E586" s="59" t="s">
        <v>2136</v>
      </c>
      <c r="F586" s="59" t="s">
        <v>2970</v>
      </c>
      <c r="G586" s="58" t="s">
        <v>2120</v>
      </c>
    </row>
    <row r="587" spans="1:7">
      <c r="A587" s="304" t="s">
        <v>2192</v>
      </c>
      <c r="B587" s="58" t="s">
        <v>2182</v>
      </c>
      <c r="C587" s="58" t="s">
        <v>2193</v>
      </c>
      <c r="D587" s="58" t="s">
        <v>2977</v>
      </c>
      <c r="E587" s="59" t="s">
        <v>2193</v>
      </c>
      <c r="F587" s="59" t="s">
        <v>2970</v>
      </c>
      <c r="G587" s="58" t="s">
        <v>2120</v>
      </c>
    </row>
    <row r="588" spans="1:7">
      <c r="A588" s="304" t="s">
        <v>2194</v>
      </c>
      <c r="B588" s="58" t="s">
        <v>2187</v>
      </c>
      <c r="C588" s="58" t="s">
        <v>108</v>
      </c>
      <c r="D588" s="58" t="s">
        <v>2977</v>
      </c>
      <c r="E588" s="59" t="s">
        <v>108</v>
      </c>
      <c r="F588" s="59" t="s">
        <v>2970</v>
      </c>
      <c r="G588" s="58" t="s">
        <v>2120</v>
      </c>
    </row>
    <row r="589" spans="1:7" ht="17.25">
      <c r="A589" s="305" t="s">
        <v>2453</v>
      </c>
      <c r="B589" s="76"/>
      <c r="C589" s="76"/>
      <c r="D589" s="76"/>
      <c r="E589" s="77"/>
      <c r="F589" s="76"/>
      <c r="G589" s="76"/>
    </row>
    <row r="590" spans="1:7">
      <c r="A590" s="304" t="s">
        <v>2196</v>
      </c>
      <c r="B590" s="58"/>
      <c r="C590" s="58" t="s">
        <v>2193</v>
      </c>
      <c r="D590" s="58" t="s">
        <v>2977</v>
      </c>
      <c r="E590" s="59" t="s">
        <v>2193</v>
      </c>
      <c r="F590" s="59" t="s">
        <v>2970</v>
      </c>
      <c r="G590" s="58" t="s">
        <v>2120</v>
      </c>
    </row>
    <row r="591" spans="1:7">
      <c r="A591" s="304" t="s">
        <v>2197</v>
      </c>
      <c r="B591" s="58"/>
      <c r="C591" s="58" t="s">
        <v>2193</v>
      </c>
      <c r="D591" s="58" t="s">
        <v>2977</v>
      </c>
      <c r="E591" s="59" t="s">
        <v>2193</v>
      </c>
      <c r="F591" s="59" t="s">
        <v>2970</v>
      </c>
      <c r="G591" s="58" t="s">
        <v>2120</v>
      </c>
    </row>
    <row r="592" spans="1:7">
      <c r="A592" s="304" t="s">
        <v>2198</v>
      </c>
      <c r="B592" s="58"/>
      <c r="C592" s="58" t="s">
        <v>2199</v>
      </c>
      <c r="D592" s="58" t="s">
        <v>2977</v>
      </c>
      <c r="E592" s="59" t="s">
        <v>2193</v>
      </c>
      <c r="F592" s="59" t="s">
        <v>2970</v>
      </c>
      <c r="G592" s="58" t="s">
        <v>2120</v>
      </c>
    </row>
    <row r="593" spans="1:7">
      <c r="A593" s="304" t="s">
        <v>2200</v>
      </c>
      <c r="B593" s="58" t="s">
        <v>2182</v>
      </c>
      <c r="C593" s="58" t="s">
        <v>108</v>
      </c>
      <c r="D593" s="58" t="s">
        <v>2977</v>
      </c>
      <c r="E593" s="59" t="s">
        <v>108</v>
      </c>
      <c r="F593" s="59" t="s">
        <v>2970</v>
      </c>
      <c r="G593" s="58" t="s">
        <v>2120</v>
      </c>
    </row>
    <row r="594" spans="1:7">
      <c r="A594" s="304" t="s">
        <v>2201</v>
      </c>
      <c r="B594" s="58" t="s">
        <v>2182</v>
      </c>
      <c r="C594" s="58" t="s">
        <v>108</v>
      </c>
      <c r="D594" s="58" t="s">
        <v>2977</v>
      </c>
      <c r="E594" s="59" t="s">
        <v>108</v>
      </c>
      <c r="F594" s="59" t="s">
        <v>2970</v>
      </c>
      <c r="G594" s="58" t="s">
        <v>2120</v>
      </c>
    </row>
    <row r="595" spans="1:7">
      <c r="A595" s="304" t="s">
        <v>2202</v>
      </c>
      <c r="B595" s="58" t="s">
        <v>2174</v>
      </c>
      <c r="C595" s="58" t="s">
        <v>108</v>
      </c>
      <c r="D595" s="58" t="s">
        <v>2977</v>
      </c>
      <c r="E595" s="59" t="s">
        <v>108</v>
      </c>
      <c r="F595" s="59" t="s">
        <v>2970</v>
      </c>
      <c r="G595" s="58" t="s">
        <v>2120</v>
      </c>
    </row>
    <row r="596" spans="1:7">
      <c r="A596" s="304" t="s">
        <v>2203</v>
      </c>
      <c r="B596" s="58" t="s">
        <v>2204</v>
      </c>
      <c r="C596" s="58" t="s">
        <v>2193</v>
      </c>
      <c r="D596" s="58" t="s">
        <v>2977</v>
      </c>
      <c r="E596" s="59" t="s">
        <v>2193</v>
      </c>
      <c r="F596" s="59" t="s">
        <v>2970</v>
      </c>
      <c r="G596" s="58" t="s">
        <v>2120</v>
      </c>
    </row>
    <row r="597" spans="1:7">
      <c r="A597" s="304" t="s">
        <v>2205</v>
      </c>
      <c r="B597" s="58" t="s">
        <v>2204</v>
      </c>
      <c r="C597" s="58" t="s">
        <v>2193</v>
      </c>
      <c r="D597" s="58" t="s">
        <v>2977</v>
      </c>
      <c r="E597" s="59" t="s">
        <v>2193</v>
      </c>
      <c r="F597" s="59" t="s">
        <v>2970</v>
      </c>
      <c r="G597" s="58" t="s">
        <v>2120</v>
      </c>
    </row>
    <row r="598" spans="1:7">
      <c r="A598" s="304" t="s">
        <v>2206</v>
      </c>
      <c r="B598" s="58"/>
      <c r="C598" s="58" t="s">
        <v>2135</v>
      </c>
      <c r="D598" s="58" t="s">
        <v>2977</v>
      </c>
      <c r="E598" s="59" t="s">
        <v>2136</v>
      </c>
      <c r="F598" s="59" t="s">
        <v>2970</v>
      </c>
      <c r="G598" s="58" t="s">
        <v>2120</v>
      </c>
    </row>
    <row r="599" spans="1:7">
      <c r="A599" s="304" t="s">
        <v>2207</v>
      </c>
      <c r="B599" s="58" t="s">
        <v>2204</v>
      </c>
      <c r="C599" s="58" t="s">
        <v>108</v>
      </c>
      <c r="D599" s="58" t="s">
        <v>2977</v>
      </c>
      <c r="E599" s="59" t="s">
        <v>108</v>
      </c>
      <c r="F599" s="59" t="s">
        <v>2970</v>
      </c>
      <c r="G599" s="58" t="s">
        <v>2208</v>
      </c>
    </row>
    <row r="600" spans="1:7" ht="17.25">
      <c r="A600" s="305" t="s">
        <v>2987</v>
      </c>
      <c r="B600" s="76"/>
      <c r="C600" s="76"/>
      <c r="D600" s="76"/>
      <c r="E600" s="77"/>
      <c r="F600" s="76"/>
      <c r="G600" s="76"/>
    </row>
    <row r="601" spans="1:7">
      <c r="A601" s="304" t="s">
        <v>2210</v>
      </c>
      <c r="B601" s="58" t="s">
        <v>2211</v>
      </c>
      <c r="C601" s="58" t="s">
        <v>108</v>
      </c>
      <c r="D601" s="58" t="s">
        <v>2977</v>
      </c>
      <c r="E601" s="59" t="s">
        <v>108</v>
      </c>
      <c r="F601" s="59" t="s">
        <v>2970</v>
      </c>
      <c r="G601" s="58" t="s">
        <v>2120</v>
      </c>
    </row>
    <row r="602" spans="1:7">
      <c r="A602" s="304" t="s">
        <v>2212</v>
      </c>
      <c r="B602" s="58" t="s">
        <v>2213</v>
      </c>
      <c r="C602" s="58" t="s">
        <v>108</v>
      </c>
      <c r="D602" s="58" t="s">
        <v>2977</v>
      </c>
      <c r="E602" s="59" t="s">
        <v>108</v>
      </c>
      <c r="F602" s="59" t="s">
        <v>2970</v>
      </c>
      <c r="G602" s="58" t="s">
        <v>2120</v>
      </c>
    </row>
    <row r="603" spans="1:7">
      <c r="A603" s="304" t="s">
        <v>2214</v>
      </c>
      <c r="B603" s="58" t="s">
        <v>2213</v>
      </c>
      <c r="C603" s="58" t="s">
        <v>108</v>
      </c>
      <c r="D603" s="58" t="s">
        <v>2977</v>
      </c>
      <c r="E603" s="59" t="s">
        <v>108</v>
      </c>
      <c r="F603" s="59" t="s">
        <v>2970</v>
      </c>
      <c r="G603" s="58" t="s">
        <v>2120</v>
      </c>
    </row>
    <row r="604" spans="1:7" ht="17.25">
      <c r="A604" s="305" t="s">
        <v>2454</v>
      </c>
      <c r="B604" s="76"/>
      <c r="C604" s="76"/>
      <c r="D604" s="76"/>
      <c r="E604" s="77"/>
      <c r="F604" s="76"/>
      <c r="G604" s="76"/>
    </row>
    <row r="605" spans="1:7">
      <c r="A605" s="304" t="s">
        <v>2216</v>
      </c>
      <c r="B605" s="58" t="s">
        <v>2217</v>
      </c>
      <c r="C605" s="58" t="s">
        <v>2193</v>
      </c>
      <c r="D605" s="58" t="s">
        <v>2977</v>
      </c>
      <c r="E605" s="59" t="s">
        <v>2193</v>
      </c>
      <c r="F605" s="59" t="s">
        <v>2970</v>
      </c>
      <c r="G605" s="58" t="s">
        <v>2218</v>
      </c>
    </row>
    <row r="606" spans="1:7">
      <c r="A606" s="304" t="s">
        <v>2219</v>
      </c>
      <c r="B606" s="58" t="s">
        <v>2220</v>
      </c>
      <c r="C606" s="58" t="s">
        <v>108</v>
      </c>
      <c r="D606" s="58" t="s">
        <v>2977</v>
      </c>
      <c r="E606" s="59" t="s">
        <v>108</v>
      </c>
      <c r="F606" s="59" t="s">
        <v>2970</v>
      </c>
      <c r="G606" s="58" t="s">
        <v>2221</v>
      </c>
    </row>
    <row r="607" spans="1:7">
      <c r="A607" s="304" t="s">
        <v>2222</v>
      </c>
      <c r="B607" s="58" t="s">
        <v>2223</v>
      </c>
      <c r="C607" s="58" t="s">
        <v>108</v>
      </c>
      <c r="D607" s="58" t="s">
        <v>2977</v>
      </c>
      <c r="E607" s="59" t="s">
        <v>108</v>
      </c>
      <c r="F607" s="59" t="s">
        <v>2970</v>
      </c>
      <c r="G607" s="58" t="s">
        <v>2224</v>
      </c>
    </row>
    <row r="608" spans="1:7">
      <c r="A608" s="304" t="s">
        <v>2225</v>
      </c>
      <c r="B608" s="58" t="s">
        <v>2226</v>
      </c>
      <c r="C608" s="58" t="s">
        <v>108</v>
      </c>
      <c r="D608" s="58" t="s">
        <v>2977</v>
      </c>
      <c r="E608" s="59" t="s">
        <v>108</v>
      </c>
      <c r="F608" s="59" t="s">
        <v>2970</v>
      </c>
      <c r="G608" s="58" t="s">
        <v>2227</v>
      </c>
    </row>
    <row r="609" spans="1:7">
      <c r="A609" s="304" t="s">
        <v>2228</v>
      </c>
      <c r="B609" s="58"/>
      <c r="C609" s="58" t="s">
        <v>2135</v>
      </c>
      <c r="D609" s="58" t="s">
        <v>2977</v>
      </c>
      <c r="E609" s="59" t="s">
        <v>2136</v>
      </c>
      <c r="F609" s="59" t="s">
        <v>2970</v>
      </c>
      <c r="G609" s="58" t="s">
        <v>2120</v>
      </c>
    </row>
    <row r="610" spans="1:7" ht="17.25">
      <c r="A610" s="305" t="s">
        <v>2455</v>
      </c>
      <c r="B610" s="76"/>
      <c r="C610" s="76"/>
      <c r="D610" s="76"/>
      <c r="E610" s="77"/>
      <c r="F610" s="76"/>
      <c r="G610" s="76"/>
    </row>
    <row r="611" spans="1:7">
      <c r="A611" s="304" t="s">
        <v>2230</v>
      </c>
      <c r="B611" s="58" t="s">
        <v>2220</v>
      </c>
      <c r="C611" s="58" t="s">
        <v>108</v>
      </c>
      <c r="D611" s="58" t="s">
        <v>2977</v>
      </c>
      <c r="E611" s="59" t="s">
        <v>108</v>
      </c>
      <c r="F611" s="59" t="s">
        <v>2970</v>
      </c>
      <c r="G611" s="58" t="s">
        <v>2231</v>
      </c>
    </row>
    <row r="612" spans="1:7">
      <c r="A612" s="304" t="s">
        <v>2232</v>
      </c>
      <c r="B612" s="58" t="s">
        <v>2220</v>
      </c>
      <c r="C612" s="58" t="s">
        <v>108</v>
      </c>
      <c r="D612" s="58" t="s">
        <v>2977</v>
      </c>
      <c r="E612" s="59" t="s">
        <v>108</v>
      </c>
      <c r="F612" s="59" t="s">
        <v>2970</v>
      </c>
      <c r="G612" s="58" t="s">
        <v>2120</v>
      </c>
    </row>
    <row r="613" spans="1:7">
      <c r="A613" s="304" t="s">
        <v>2233</v>
      </c>
      <c r="B613" s="58" t="s">
        <v>2234</v>
      </c>
      <c r="C613" s="58" t="s">
        <v>108</v>
      </c>
      <c r="D613" s="58" t="s">
        <v>2977</v>
      </c>
      <c r="E613" s="59" t="s">
        <v>108</v>
      </c>
      <c r="F613" s="59" t="s">
        <v>2970</v>
      </c>
      <c r="G613" s="58" t="s">
        <v>2235</v>
      </c>
    </row>
    <row r="614" spans="1:7">
      <c r="A614" s="304" t="s">
        <v>2236</v>
      </c>
      <c r="B614" s="58" t="s">
        <v>2237</v>
      </c>
      <c r="C614" s="58" t="s">
        <v>108</v>
      </c>
      <c r="D614" s="58" t="s">
        <v>2977</v>
      </c>
      <c r="E614" s="59" t="s">
        <v>108</v>
      </c>
      <c r="F614" s="59" t="s">
        <v>2970</v>
      </c>
      <c r="G614" s="58" t="s">
        <v>2231</v>
      </c>
    </row>
    <row r="615" spans="1:7">
      <c r="A615" s="304" t="s">
        <v>2238</v>
      </c>
      <c r="B615" s="58" t="s">
        <v>2237</v>
      </c>
      <c r="C615" s="58" t="s">
        <v>108</v>
      </c>
      <c r="D615" s="58" t="s">
        <v>2977</v>
      </c>
      <c r="E615" s="59" t="s">
        <v>108</v>
      </c>
      <c r="F615" s="59" t="s">
        <v>2970</v>
      </c>
      <c r="G615" s="58" t="s">
        <v>2239</v>
      </c>
    </row>
    <row r="616" spans="1:7">
      <c r="A616" s="304" t="s">
        <v>2240</v>
      </c>
      <c r="B616" s="58" t="s">
        <v>2241</v>
      </c>
      <c r="C616" s="58" t="s">
        <v>2193</v>
      </c>
      <c r="D616" s="58" t="s">
        <v>2977</v>
      </c>
      <c r="E616" s="59" t="s">
        <v>2193</v>
      </c>
      <c r="F616" s="59" t="s">
        <v>2970</v>
      </c>
      <c r="G616" s="58" t="s">
        <v>2120</v>
      </c>
    </row>
    <row r="617" spans="1:7">
      <c r="A617" s="304" t="s">
        <v>2242</v>
      </c>
      <c r="B617" s="58" t="s">
        <v>2220</v>
      </c>
      <c r="C617" s="58" t="s">
        <v>2243</v>
      </c>
      <c r="D617" s="58" t="s">
        <v>2977</v>
      </c>
      <c r="E617" s="59" t="s">
        <v>2982</v>
      </c>
      <c r="F617" s="59" t="s">
        <v>2970</v>
      </c>
      <c r="G617" s="58" t="s">
        <v>2244</v>
      </c>
    </row>
    <row r="618" spans="1:7">
      <c r="A618" s="304" t="s">
        <v>2245</v>
      </c>
      <c r="B618" s="58" t="s">
        <v>2241</v>
      </c>
      <c r="C618" s="58" t="s">
        <v>2246</v>
      </c>
      <c r="D618" s="58" t="s">
        <v>2977</v>
      </c>
      <c r="E618" s="59" t="s">
        <v>108</v>
      </c>
      <c r="F618" s="59" t="s">
        <v>2970</v>
      </c>
      <c r="G618" s="58" t="s">
        <v>2120</v>
      </c>
    </row>
    <row r="619" spans="1:7">
      <c r="A619" s="304" t="s">
        <v>2247</v>
      </c>
      <c r="B619" s="58" t="s">
        <v>2248</v>
      </c>
      <c r="C619" s="58" t="s">
        <v>108</v>
      </c>
      <c r="D619" s="58" t="s">
        <v>2977</v>
      </c>
      <c r="E619" s="59" t="s">
        <v>108</v>
      </c>
      <c r="F619" s="59" t="s">
        <v>2970</v>
      </c>
      <c r="G619" s="58" t="s">
        <v>2249</v>
      </c>
    </row>
    <row r="620" spans="1:7" ht="17.25">
      <c r="A620" s="305" t="s">
        <v>2988</v>
      </c>
      <c r="B620" s="76"/>
      <c r="C620" s="76"/>
      <c r="D620" s="76"/>
      <c r="E620" s="77"/>
      <c r="F620" s="76"/>
      <c r="G620" s="76"/>
    </row>
    <row r="621" spans="1:7">
      <c r="A621" s="304" t="s">
        <v>2251</v>
      </c>
      <c r="B621" s="58" t="s">
        <v>2252</v>
      </c>
      <c r="C621" s="58" t="s">
        <v>108</v>
      </c>
      <c r="D621" s="58" t="s">
        <v>2977</v>
      </c>
      <c r="E621" s="59" t="s">
        <v>108</v>
      </c>
      <c r="F621" s="59" t="s">
        <v>2970</v>
      </c>
      <c r="G621" s="58" t="s">
        <v>2120</v>
      </c>
    </row>
    <row r="622" spans="1:7">
      <c r="A622" s="304" t="s">
        <v>2253</v>
      </c>
      <c r="B622" s="58" t="s">
        <v>2252</v>
      </c>
      <c r="C622" s="58" t="s">
        <v>2193</v>
      </c>
      <c r="D622" s="58" t="s">
        <v>2977</v>
      </c>
      <c r="E622" s="59" t="s">
        <v>2193</v>
      </c>
      <c r="F622" s="59" t="s">
        <v>2970</v>
      </c>
      <c r="G622" s="58" t="s">
        <v>2254</v>
      </c>
    </row>
    <row r="623" spans="1:7">
      <c r="A623" s="304" t="s">
        <v>2255</v>
      </c>
      <c r="B623" s="58" t="s">
        <v>2256</v>
      </c>
      <c r="C623" s="58" t="s">
        <v>2257</v>
      </c>
      <c r="D623" s="58" t="s">
        <v>2977</v>
      </c>
      <c r="E623" s="59" t="s">
        <v>108</v>
      </c>
      <c r="F623" s="59" t="s">
        <v>2970</v>
      </c>
      <c r="G623" s="58" t="s">
        <v>2120</v>
      </c>
    </row>
    <row r="624" spans="1:7">
      <c r="A624" s="304" t="s">
        <v>2258</v>
      </c>
      <c r="B624" s="58" t="s">
        <v>2259</v>
      </c>
      <c r="C624" s="58" t="s">
        <v>2260</v>
      </c>
      <c r="D624" s="58" t="s">
        <v>2977</v>
      </c>
      <c r="E624" s="59" t="s">
        <v>2984</v>
      </c>
      <c r="F624" s="59" t="s">
        <v>2970</v>
      </c>
      <c r="G624" s="58" t="s">
        <v>2261</v>
      </c>
    </row>
    <row r="625" spans="1:7">
      <c r="A625" s="304" t="s">
        <v>2262</v>
      </c>
      <c r="B625" s="58" t="s">
        <v>2259</v>
      </c>
      <c r="C625" s="58" t="s">
        <v>2147</v>
      </c>
      <c r="D625" s="58" t="s">
        <v>2977</v>
      </c>
      <c r="E625" s="59" t="s">
        <v>108</v>
      </c>
      <c r="F625" s="59" t="s">
        <v>2970</v>
      </c>
      <c r="G625" s="58" t="s">
        <v>2263</v>
      </c>
    </row>
    <row r="626" spans="1:7">
      <c r="A626" s="304" t="s">
        <v>2264</v>
      </c>
      <c r="B626" s="58" t="s">
        <v>2252</v>
      </c>
      <c r="C626" s="58" t="s">
        <v>2265</v>
      </c>
      <c r="D626" s="58" t="s">
        <v>2977</v>
      </c>
      <c r="E626" s="59" t="s">
        <v>108</v>
      </c>
      <c r="F626" s="59" t="s">
        <v>2970</v>
      </c>
      <c r="G626" s="58" t="s">
        <v>2120</v>
      </c>
    </row>
    <row r="627" spans="1:7">
      <c r="A627" s="304" t="s">
        <v>2266</v>
      </c>
      <c r="B627" s="58" t="s">
        <v>2252</v>
      </c>
      <c r="C627" s="58" t="s">
        <v>2267</v>
      </c>
      <c r="D627" s="58" t="s">
        <v>2977</v>
      </c>
      <c r="E627" s="59" t="s">
        <v>108</v>
      </c>
      <c r="F627" s="59" t="s">
        <v>2970</v>
      </c>
      <c r="G627" s="58" t="s">
        <v>2268</v>
      </c>
    </row>
    <row r="628" spans="1:7">
      <c r="A628" s="304" t="s">
        <v>2269</v>
      </c>
      <c r="B628" s="58" t="s">
        <v>2252</v>
      </c>
      <c r="C628" s="58" t="s">
        <v>2270</v>
      </c>
      <c r="D628" s="58" t="s">
        <v>2977</v>
      </c>
      <c r="E628" s="59" t="s">
        <v>108</v>
      </c>
      <c r="F628" s="59" t="s">
        <v>2970</v>
      </c>
      <c r="G628" s="58" t="s">
        <v>2120</v>
      </c>
    </row>
    <row r="629" spans="1:7" ht="17.25">
      <c r="A629" s="305" t="s">
        <v>2456</v>
      </c>
      <c r="B629" s="76"/>
      <c r="C629" s="76"/>
      <c r="D629" s="76"/>
      <c r="E629" s="77"/>
      <c r="F629" s="76"/>
      <c r="G629" s="76"/>
    </row>
    <row r="630" spans="1:7">
      <c r="A630" s="304" t="s">
        <v>2272</v>
      </c>
      <c r="B630" s="58" t="s">
        <v>2273</v>
      </c>
      <c r="C630" s="58" t="s">
        <v>2274</v>
      </c>
      <c r="D630" s="58" t="s">
        <v>2977</v>
      </c>
      <c r="E630" s="59" t="s">
        <v>108</v>
      </c>
      <c r="F630" s="59" t="s">
        <v>2970</v>
      </c>
      <c r="G630" s="58" t="s">
        <v>2275</v>
      </c>
    </row>
    <row r="631" spans="1:7">
      <c r="A631" s="304" t="s">
        <v>2276</v>
      </c>
      <c r="B631" s="58" t="s">
        <v>2248</v>
      </c>
      <c r="C631" s="58" t="s">
        <v>2277</v>
      </c>
      <c r="D631" s="58" t="s">
        <v>2977</v>
      </c>
      <c r="E631" s="59" t="s">
        <v>108</v>
      </c>
      <c r="F631" s="59" t="s">
        <v>2970</v>
      </c>
      <c r="G631" s="58" t="s">
        <v>2278</v>
      </c>
    </row>
    <row r="632" spans="1:7">
      <c r="A632" s="304" t="s">
        <v>2279</v>
      </c>
      <c r="B632" s="58" t="s">
        <v>2280</v>
      </c>
      <c r="C632" s="58" t="s">
        <v>2281</v>
      </c>
      <c r="D632" s="58" t="s">
        <v>2977</v>
      </c>
      <c r="E632" s="59" t="s">
        <v>108</v>
      </c>
      <c r="F632" s="59" t="s">
        <v>2970</v>
      </c>
      <c r="G632" s="58" t="s">
        <v>2282</v>
      </c>
    </row>
    <row r="633" spans="1:7">
      <c r="A633" s="304" t="s">
        <v>2283</v>
      </c>
      <c r="B633" s="58" t="s">
        <v>2273</v>
      </c>
      <c r="C633" s="58" t="s">
        <v>108</v>
      </c>
      <c r="D633" s="58" t="s">
        <v>2977</v>
      </c>
      <c r="E633" s="59" t="s">
        <v>108</v>
      </c>
      <c r="F633" s="59" t="s">
        <v>2970</v>
      </c>
      <c r="G633" s="58" t="s">
        <v>2284</v>
      </c>
    </row>
    <row r="634" spans="1:7">
      <c r="A634" s="304" t="s">
        <v>2285</v>
      </c>
      <c r="B634" s="58"/>
      <c r="C634" s="58" t="s">
        <v>2135</v>
      </c>
      <c r="D634" s="58" t="s">
        <v>2977</v>
      </c>
      <c r="E634" s="59" t="s">
        <v>2136</v>
      </c>
      <c r="F634" s="59" t="s">
        <v>2970</v>
      </c>
      <c r="G634" s="58" t="s">
        <v>2120</v>
      </c>
    </row>
    <row r="635" spans="1:7">
      <c r="A635" s="304" t="s">
        <v>2286</v>
      </c>
      <c r="B635" s="58"/>
      <c r="C635" s="58" t="s">
        <v>108</v>
      </c>
      <c r="D635" s="58" t="s">
        <v>2977</v>
      </c>
      <c r="E635" s="59" t="s">
        <v>108</v>
      </c>
      <c r="F635" s="59" t="s">
        <v>2970</v>
      </c>
      <c r="G635" s="58" t="s">
        <v>2120</v>
      </c>
    </row>
    <row r="636" spans="1:7">
      <c r="A636" s="304" t="s">
        <v>2287</v>
      </c>
      <c r="B636" s="58" t="s">
        <v>2273</v>
      </c>
      <c r="C636" s="58" t="s">
        <v>2288</v>
      </c>
      <c r="D636" s="58" t="s">
        <v>2977</v>
      </c>
      <c r="E636" s="59" t="s">
        <v>2288</v>
      </c>
      <c r="F636" s="59" t="s">
        <v>2970</v>
      </c>
      <c r="G636" s="58" t="s">
        <v>2289</v>
      </c>
    </row>
    <row r="637" spans="1:7" ht="17.25">
      <c r="A637" s="305" t="s">
        <v>2457</v>
      </c>
      <c r="B637" s="76"/>
      <c r="C637" s="76"/>
      <c r="D637" s="76"/>
      <c r="E637" s="77"/>
      <c r="F637" s="76"/>
      <c r="G637" s="76"/>
    </row>
    <row r="638" spans="1:7">
      <c r="A638" s="304" t="s">
        <v>2291</v>
      </c>
      <c r="B638" s="58"/>
      <c r="C638" s="58" t="s">
        <v>2135</v>
      </c>
      <c r="D638" s="58" t="s">
        <v>2977</v>
      </c>
      <c r="E638" s="59" t="s">
        <v>2136</v>
      </c>
      <c r="F638" s="59" t="s">
        <v>2970</v>
      </c>
      <c r="G638" s="58" t="s">
        <v>2292</v>
      </c>
    </row>
    <row r="639" spans="1:7">
      <c r="A639" s="304" t="s">
        <v>2293</v>
      </c>
      <c r="B639" s="58" t="s">
        <v>2294</v>
      </c>
      <c r="C639" s="58" t="s">
        <v>2295</v>
      </c>
      <c r="D639" s="58" t="s">
        <v>2977</v>
      </c>
      <c r="E639" s="59" t="s">
        <v>108</v>
      </c>
      <c r="F639" s="59" t="s">
        <v>2970</v>
      </c>
      <c r="G639" s="58" t="s">
        <v>2296</v>
      </c>
    </row>
    <row r="640" spans="1:7">
      <c r="A640" s="304" t="s">
        <v>2297</v>
      </c>
      <c r="B640" s="58" t="s">
        <v>2298</v>
      </c>
      <c r="C640" s="58" t="s">
        <v>108</v>
      </c>
      <c r="D640" s="58" t="s">
        <v>2977</v>
      </c>
      <c r="E640" s="59" t="s">
        <v>108</v>
      </c>
      <c r="F640" s="59" t="s">
        <v>2970</v>
      </c>
      <c r="G640" s="58" t="s">
        <v>2299</v>
      </c>
    </row>
    <row r="641" spans="1:7">
      <c r="A641" s="304" t="s">
        <v>2300</v>
      </c>
      <c r="B641" s="58" t="s">
        <v>2294</v>
      </c>
      <c r="C641" s="58" t="s">
        <v>108</v>
      </c>
      <c r="D641" s="58" t="s">
        <v>2977</v>
      </c>
      <c r="E641" s="59" t="s">
        <v>108</v>
      </c>
      <c r="F641" s="59" t="s">
        <v>2970</v>
      </c>
      <c r="G641" s="58" t="s">
        <v>2299</v>
      </c>
    </row>
    <row r="642" spans="1:7">
      <c r="A642" s="304" t="s">
        <v>2301</v>
      </c>
      <c r="B642" s="58" t="s">
        <v>2302</v>
      </c>
      <c r="C642" s="58" t="s">
        <v>2193</v>
      </c>
      <c r="D642" s="58" t="s">
        <v>2977</v>
      </c>
      <c r="E642" s="59" t="s">
        <v>2193</v>
      </c>
      <c r="F642" s="59" t="s">
        <v>2970</v>
      </c>
      <c r="G642" s="58" t="s">
        <v>2303</v>
      </c>
    </row>
    <row r="643" spans="1:7">
      <c r="A643" s="304" t="s">
        <v>2304</v>
      </c>
      <c r="B643" s="58" t="s">
        <v>2305</v>
      </c>
      <c r="C643" s="58" t="s">
        <v>2257</v>
      </c>
      <c r="D643" s="58" t="s">
        <v>2977</v>
      </c>
      <c r="E643" s="59" t="s">
        <v>108</v>
      </c>
      <c r="F643" s="59" t="s">
        <v>2970</v>
      </c>
      <c r="G643" s="58" t="s">
        <v>2306</v>
      </c>
    </row>
    <row r="644" spans="1:7" ht="17.25">
      <c r="A644" s="305" t="s">
        <v>2458</v>
      </c>
      <c r="B644" s="76"/>
      <c r="C644" s="76"/>
      <c r="D644" s="76"/>
      <c r="E644" s="77"/>
      <c r="F644" s="76"/>
      <c r="G644" s="76"/>
    </row>
    <row r="645" spans="1:7">
      <c r="A645" s="304" t="s">
        <v>2308</v>
      </c>
      <c r="B645" s="58" t="s">
        <v>2122</v>
      </c>
      <c r="C645" s="58" t="s">
        <v>2309</v>
      </c>
      <c r="D645" s="58" t="s">
        <v>2989</v>
      </c>
      <c r="E645" s="59" t="s">
        <v>2311</v>
      </c>
      <c r="F645" s="59" t="s">
        <v>2970</v>
      </c>
      <c r="G645" s="58" t="s">
        <v>2312</v>
      </c>
    </row>
    <row r="646" spans="1:7">
      <c r="A646" s="304" t="s">
        <v>2352</v>
      </c>
      <c r="B646" s="58"/>
      <c r="C646" s="58" t="s">
        <v>1201</v>
      </c>
      <c r="D646" s="58" t="s">
        <v>2989</v>
      </c>
      <c r="E646" s="59" t="s">
        <v>1201</v>
      </c>
      <c r="F646" s="59" t="s">
        <v>2970</v>
      </c>
      <c r="G646" s="58" t="s">
        <v>2120</v>
      </c>
    </row>
    <row r="647" spans="1:7">
      <c r="A647" s="304" t="s">
        <v>2118</v>
      </c>
      <c r="B647" s="58"/>
      <c r="C647" s="58" t="s">
        <v>2119</v>
      </c>
      <c r="D647" s="58" t="s">
        <v>2989</v>
      </c>
      <c r="E647" s="59" t="s">
        <v>1201</v>
      </c>
      <c r="F647" s="59" t="s">
        <v>2970</v>
      </c>
      <c r="G647" s="58" t="s">
        <v>2120</v>
      </c>
    </row>
    <row r="648" spans="1:7">
      <c r="A648" s="304" t="s">
        <v>2313</v>
      </c>
      <c r="B648" s="58" t="s">
        <v>2314</v>
      </c>
      <c r="C648" s="58" t="s">
        <v>2309</v>
      </c>
      <c r="D648" s="58" t="s">
        <v>2989</v>
      </c>
      <c r="E648" s="59" t="s">
        <v>2311</v>
      </c>
      <c r="F648" s="59" t="s">
        <v>2970</v>
      </c>
      <c r="G648" s="58" t="s">
        <v>2120</v>
      </c>
    </row>
    <row r="649" spans="1:7">
      <c r="A649" s="304" t="s">
        <v>2315</v>
      </c>
      <c r="B649" s="58" t="s">
        <v>2314</v>
      </c>
      <c r="C649" s="58" t="s">
        <v>2309</v>
      </c>
      <c r="D649" s="58" t="s">
        <v>2989</v>
      </c>
      <c r="E649" s="59" t="s">
        <v>2311</v>
      </c>
      <c r="F649" s="59" t="s">
        <v>2970</v>
      </c>
      <c r="G649" s="58" t="s">
        <v>2120</v>
      </c>
    </row>
    <row r="650" spans="1:7">
      <c r="A650" s="304" t="s">
        <v>2316</v>
      </c>
      <c r="B650" s="58" t="s">
        <v>2124</v>
      </c>
      <c r="C650" s="58" t="s">
        <v>2309</v>
      </c>
      <c r="D650" s="58" t="s">
        <v>2989</v>
      </c>
      <c r="E650" s="59" t="s">
        <v>2311</v>
      </c>
      <c r="F650" s="59" t="s">
        <v>2970</v>
      </c>
      <c r="G650" s="58" t="s">
        <v>2120</v>
      </c>
    </row>
    <row r="651" spans="1:7" ht="17.25">
      <c r="A651" s="305" t="s">
        <v>2460</v>
      </c>
      <c r="B651" s="76"/>
      <c r="C651" s="76"/>
      <c r="D651" s="76"/>
      <c r="E651" s="77"/>
      <c r="F651" s="76"/>
      <c r="G651" s="76"/>
    </row>
    <row r="652" spans="1:7">
      <c r="A652" s="304" t="s">
        <v>2134</v>
      </c>
      <c r="B652" s="58"/>
      <c r="C652" s="58" t="s">
        <v>2135</v>
      </c>
      <c r="D652" s="58" t="s">
        <v>2989</v>
      </c>
      <c r="E652" s="59" t="s">
        <v>2318</v>
      </c>
      <c r="F652" s="59" t="s">
        <v>2970</v>
      </c>
      <c r="G652" s="58" t="s">
        <v>2137</v>
      </c>
    </row>
    <row r="653" spans="1:7" ht="17.25">
      <c r="A653" s="305" t="s">
        <v>2462</v>
      </c>
      <c r="B653" s="76"/>
      <c r="C653" s="76"/>
      <c r="D653" s="76"/>
      <c r="E653" s="77"/>
      <c r="F653" s="76"/>
      <c r="G653" s="76"/>
    </row>
    <row r="654" spans="1:7">
      <c r="A654" s="304" t="s">
        <v>2144</v>
      </c>
      <c r="B654" s="58" t="s">
        <v>2143</v>
      </c>
      <c r="C654" s="58" t="s">
        <v>2145</v>
      </c>
      <c r="D654" s="58" t="s">
        <v>2989</v>
      </c>
      <c r="E654" s="59" t="s">
        <v>2990</v>
      </c>
      <c r="F654" s="59" t="s">
        <v>2970</v>
      </c>
      <c r="G654" s="58" t="s">
        <v>2120</v>
      </c>
    </row>
    <row r="655" spans="1:7" ht="17.25">
      <c r="A655" s="305" t="s">
        <v>2464</v>
      </c>
      <c r="B655" s="76"/>
      <c r="C655" s="76"/>
      <c r="D655" s="76"/>
      <c r="E655" s="77"/>
      <c r="F655" s="76"/>
      <c r="G655" s="76"/>
    </row>
    <row r="656" spans="1:7">
      <c r="A656" s="304" t="s">
        <v>2465</v>
      </c>
      <c r="B656" s="58" t="s">
        <v>2248</v>
      </c>
      <c r="C656" s="58" t="s">
        <v>2466</v>
      </c>
      <c r="D656" s="58" t="s">
        <v>2989</v>
      </c>
      <c r="E656" s="59" t="s">
        <v>2463</v>
      </c>
      <c r="F656" s="59" t="s">
        <v>2970</v>
      </c>
      <c r="G656" s="58" t="s">
        <v>2120</v>
      </c>
    </row>
    <row r="657" spans="1:7">
      <c r="A657" s="304" t="s">
        <v>2158</v>
      </c>
      <c r="B657" s="58" t="s">
        <v>2155</v>
      </c>
      <c r="C657" s="58" t="s">
        <v>2159</v>
      </c>
      <c r="D657" s="58" t="s">
        <v>2989</v>
      </c>
      <c r="E657" s="59" t="s">
        <v>2463</v>
      </c>
      <c r="F657" s="59" t="s">
        <v>2970</v>
      </c>
      <c r="G657" s="58" t="s">
        <v>2160</v>
      </c>
    </row>
    <row r="658" spans="1:7" ht="17.25">
      <c r="A658" s="305" t="s">
        <v>2468</v>
      </c>
      <c r="B658" s="76"/>
      <c r="C658" s="76"/>
      <c r="D658" s="76"/>
      <c r="E658" s="77"/>
      <c r="F658" s="76"/>
      <c r="G658" s="76"/>
    </row>
    <row r="659" spans="1:7">
      <c r="A659" s="304" t="s">
        <v>2169</v>
      </c>
      <c r="B659" s="58" t="s">
        <v>2129</v>
      </c>
      <c r="C659" s="58" t="s">
        <v>2170</v>
      </c>
      <c r="D659" s="58" t="s">
        <v>2989</v>
      </c>
      <c r="E659" s="59" t="s">
        <v>2318</v>
      </c>
      <c r="F659" s="59" t="s">
        <v>2970</v>
      </c>
      <c r="G659" s="58" t="s">
        <v>2120</v>
      </c>
    </row>
    <row r="660" spans="1:7">
      <c r="A660" s="304" t="s">
        <v>2171</v>
      </c>
      <c r="B660" s="58" t="s">
        <v>2129</v>
      </c>
      <c r="C660" s="58" t="s">
        <v>2135</v>
      </c>
      <c r="D660" s="58" t="s">
        <v>2989</v>
      </c>
      <c r="E660" s="59" t="s">
        <v>2318</v>
      </c>
      <c r="F660" s="59" t="s">
        <v>2970</v>
      </c>
      <c r="G660" s="58" t="s">
        <v>2120</v>
      </c>
    </row>
    <row r="661" spans="1:7">
      <c r="A661" s="304" t="s">
        <v>2172</v>
      </c>
      <c r="B661" s="58" t="s">
        <v>2129</v>
      </c>
      <c r="C661" s="58" t="s">
        <v>2135</v>
      </c>
      <c r="D661" s="58" t="s">
        <v>2989</v>
      </c>
      <c r="E661" s="59" t="s">
        <v>2318</v>
      </c>
      <c r="F661" s="59" t="s">
        <v>2970</v>
      </c>
      <c r="G661" s="58" t="s">
        <v>2120</v>
      </c>
    </row>
    <row r="662" spans="1:7">
      <c r="A662" s="304" t="s">
        <v>2173</v>
      </c>
      <c r="B662" s="58" t="s">
        <v>2174</v>
      </c>
      <c r="C662" s="58" t="s">
        <v>2135</v>
      </c>
      <c r="D662" s="58" t="s">
        <v>2989</v>
      </c>
      <c r="E662" s="59" t="s">
        <v>2318</v>
      </c>
      <c r="F662" s="59" t="s">
        <v>2970</v>
      </c>
      <c r="G662" s="58" t="s">
        <v>2120</v>
      </c>
    </row>
    <row r="663" spans="1:7">
      <c r="A663" s="304" t="s">
        <v>2175</v>
      </c>
      <c r="B663" s="58"/>
      <c r="C663" s="58" t="s">
        <v>2135</v>
      </c>
      <c r="D663" s="58" t="s">
        <v>2989</v>
      </c>
      <c r="E663" s="59" t="s">
        <v>2318</v>
      </c>
      <c r="F663" s="59" t="s">
        <v>2970</v>
      </c>
      <c r="G663" s="58" t="s">
        <v>2120</v>
      </c>
    </row>
    <row r="664" spans="1:7">
      <c r="A664" s="304" t="s">
        <v>2176</v>
      </c>
      <c r="B664" s="58"/>
      <c r="C664" s="58" t="s">
        <v>2135</v>
      </c>
      <c r="D664" s="58" t="s">
        <v>2989</v>
      </c>
      <c r="E664" s="59" t="s">
        <v>2318</v>
      </c>
      <c r="F664" s="59" t="s">
        <v>2970</v>
      </c>
      <c r="G664" s="58" t="s">
        <v>2120</v>
      </c>
    </row>
    <row r="665" spans="1:7">
      <c r="A665" s="304" t="s">
        <v>2177</v>
      </c>
      <c r="B665" s="58"/>
      <c r="C665" s="58" t="s">
        <v>2135</v>
      </c>
      <c r="D665" s="58" t="s">
        <v>2989</v>
      </c>
      <c r="E665" s="59" t="s">
        <v>2318</v>
      </c>
      <c r="F665" s="59" t="s">
        <v>2970</v>
      </c>
      <c r="G665" s="58" t="s">
        <v>2120</v>
      </c>
    </row>
    <row r="666" spans="1:7" ht="17.25">
      <c r="A666" s="305" t="s">
        <v>2469</v>
      </c>
      <c r="B666" s="76"/>
      <c r="C666" s="76"/>
      <c r="D666" s="76"/>
      <c r="E666" s="77"/>
      <c r="F666" s="76"/>
      <c r="G666" s="76"/>
    </row>
    <row r="667" spans="1:7">
      <c r="A667" s="304" t="s">
        <v>2190</v>
      </c>
      <c r="B667" s="58"/>
      <c r="C667" s="58" t="s">
        <v>2135</v>
      </c>
      <c r="D667" s="58" t="s">
        <v>2989</v>
      </c>
      <c r="E667" s="59" t="s">
        <v>2318</v>
      </c>
      <c r="F667" s="59" t="s">
        <v>2970</v>
      </c>
      <c r="G667" s="58" t="s">
        <v>2120</v>
      </c>
    </row>
    <row r="668" spans="1:7">
      <c r="A668" s="304" t="s">
        <v>2191</v>
      </c>
      <c r="B668" s="58"/>
      <c r="C668" s="58" t="s">
        <v>2135</v>
      </c>
      <c r="D668" s="58" t="s">
        <v>2989</v>
      </c>
      <c r="E668" s="59" t="s">
        <v>2318</v>
      </c>
      <c r="F668" s="59" t="s">
        <v>2970</v>
      </c>
      <c r="G668" s="58" t="s">
        <v>2120</v>
      </c>
    </row>
    <row r="669" spans="1:7" ht="17.25">
      <c r="A669" s="305" t="s">
        <v>2470</v>
      </c>
      <c r="B669" s="76"/>
      <c r="C669" s="76"/>
      <c r="D669" s="76"/>
      <c r="E669" s="77"/>
      <c r="F669" s="76"/>
      <c r="G669" s="76"/>
    </row>
    <row r="670" spans="1:7">
      <c r="A670" s="304" t="s">
        <v>2206</v>
      </c>
      <c r="B670" s="58"/>
      <c r="C670" s="58" t="s">
        <v>2135</v>
      </c>
      <c r="D670" s="58" t="s">
        <v>2989</v>
      </c>
      <c r="E670" s="59" t="s">
        <v>2318</v>
      </c>
      <c r="F670" s="59" t="s">
        <v>2970</v>
      </c>
      <c r="G670" s="58" t="s">
        <v>2120</v>
      </c>
    </row>
    <row r="671" spans="1:7" ht="17.25">
      <c r="A671" s="305" t="s">
        <v>2471</v>
      </c>
      <c r="B671" s="76"/>
      <c r="C671" s="76"/>
      <c r="D671" s="76"/>
      <c r="E671" s="77"/>
      <c r="F671" s="76"/>
      <c r="G671" s="76"/>
    </row>
    <row r="672" spans="1:7">
      <c r="A672" s="304" t="s">
        <v>2328</v>
      </c>
      <c r="B672" s="58" t="s">
        <v>2217</v>
      </c>
      <c r="C672" s="58" t="s">
        <v>2309</v>
      </c>
      <c r="D672" s="58" t="s">
        <v>2989</v>
      </c>
      <c r="E672" s="59" t="s">
        <v>2311</v>
      </c>
      <c r="F672" s="59" t="s">
        <v>2970</v>
      </c>
      <c r="G672" s="58" t="s">
        <v>2329</v>
      </c>
    </row>
    <row r="673" spans="1:7">
      <c r="A673" s="304" t="s">
        <v>2330</v>
      </c>
      <c r="B673" s="58" t="s">
        <v>2331</v>
      </c>
      <c r="C673" s="58" t="s">
        <v>2309</v>
      </c>
      <c r="D673" s="58" t="s">
        <v>2989</v>
      </c>
      <c r="E673" s="59" t="s">
        <v>2311</v>
      </c>
      <c r="F673" s="59" t="s">
        <v>2970</v>
      </c>
      <c r="G673" s="58" t="s">
        <v>2332</v>
      </c>
    </row>
    <row r="674" spans="1:7">
      <c r="A674" s="304" t="s">
        <v>2228</v>
      </c>
      <c r="B674" s="58"/>
      <c r="C674" s="58" t="s">
        <v>2135</v>
      </c>
      <c r="D674" s="58" t="s">
        <v>2989</v>
      </c>
      <c r="E674" s="59" t="s">
        <v>2318</v>
      </c>
      <c r="F674" s="59" t="s">
        <v>2970</v>
      </c>
      <c r="G674" s="58" t="s">
        <v>2120</v>
      </c>
    </row>
    <row r="675" spans="1:7" ht="17.25">
      <c r="A675" s="305" t="s">
        <v>2472</v>
      </c>
      <c r="B675" s="76"/>
      <c r="C675" s="76"/>
      <c r="D675" s="76"/>
      <c r="E675" s="77"/>
      <c r="F675" s="76"/>
      <c r="G675" s="76"/>
    </row>
    <row r="676" spans="1:7">
      <c r="A676" s="304" t="s">
        <v>2242</v>
      </c>
      <c r="B676" s="58" t="s">
        <v>2220</v>
      </c>
      <c r="C676" s="58" t="s">
        <v>2243</v>
      </c>
      <c r="D676" s="58" t="s">
        <v>2989</v>
      </c>
      <c r="E676" s="59" t="s">
        <v>2991</v>
      </c>
      <c r="F676" s="59" t="s">
        <v>2970</v>
      </c>
      <c r="G676" s="58" t="s">
        <v>2244</v>
      </c>
    </row>
    <row r="677" spans="1:7">
      <c r="A677" s="304" t="s">
        <v>2335</v>
      </c>
      <c r="B677" s="58"/>
      <c r="C677" s="58" t="s">
        <v>2309</v>
      </c>
      <c r="D677" s="58" t="s">
        <v>2989</v>
      </c>
      <c r="E677" s="59" t="s">
        <v>2311</v>
      </c>
      <c r="F677" s="59" t="s">
        <v>2970</v>
      </c>
      <c r="G677" s="58" t="s">
        <v>2336</v>
      </c>
    </row>
    <row r="678" spans="1:7">
      <c r="A678" s="304" t="s">
        <v>2337</v>
      </c>
      <c r="B678" s="58" t="s">
        <v>2248</v>
      </c>
      <c r="C678" s="58" t="s">
        <v>2338</v>
      </c>
      <c r="D678" s="58" t="s">
        <v>2989</v>
      </c>
      <c r="E678" s="59" t="s">
        <v>2339</v>
      </c>
      <c r="F678" s="59" t="s">
        <v>2970</v>
      </c>
      <c r="G678" s="58" t="s">
        <v>2120</v>
      </c>
    </row>
    <row r="679" spans="1:7" ht="17.25">
      <c r="A679" s="305" t="s">
        <v>2474</v>
      </c>
      <c r="B679" s="76"/>
      <c r="C679" s="76"/>
      <c r="D679" s="76"/>
      <c r="E679" s="77"/>
      <c r="F679" s="76"/>
      <c r="G679" s="76"/>
    </row>
    <row r="680" spans="1:7">
      <c r="A680" s="304" t="s">
        <v>2255</v>
      </c>
      <c r="B680" s="58" t="s">
        <v>2256</v>
      </c>
      <c r="C680" s="58" t="s">
        <v>2257</v>
      </c>
      <c r="D680" s="58" t="s">
        <v>2989</v>
      </c>
      <c r="E680" s="59" t="s">
        <v>2463</v>
      </c>
      <c r="F680" s="59" t="s">
        <v>2970</v>
      </c>
      <c r="G680" s="58" t="s">
        <v>2120</v>
      </c>
    </row>
    <row r="681" spans="1:7">
      <c r="A681" s="304" t="s">
        <v>2258</v>
      </c>
      <c r="B681" s="58" t="s">
        <v>2259</v>
      </c>
      <c r="C681" s="58" t="s">
        <v>2260</v>
      </c>
      <c r="D681" s="58" t="s">
        <v>2989</v>
      </c>
      <c r="E681" s="59" t="s">
        <v>2992</v>
      </c>
      <c r="F681" s="59" t="s">
        <v>2970</v>
      </c>
      <c r="G681" s="58" t="s">
        <v>2261</v>
      </c>
    </row>
    <row r="682" spans="1:7" ht="17.25">
      <c r="A682" s="305" t="s">
        <v>2475</v>
      </c>
      <c r="B682" s="76"/>
      <c r="C682" s="76"/>
      <c r="D682" s="76"/>
      <c r="E682" s="77"/>
      <c r="F682" s="76"/>
      <c r="G682" s="76"/>
    </row>
    <row r="683" spans="1:7">
      <c r="A683" s="304" t="s">
        <v>2342</v>
      </c>
      <c r="B683" s="58"/>
      <c r="C683" s="58" t="s">
        <v>2309</v>
      </c>
      <c r="D683" s="58" t="s">
        <v>2989</v>
      </c>
      <c r="E683" s="59" t="s">
        <v>2311</v>
      </c>
      <c r="F683" s="59" t="s">
        <v>2970</v>
      </c>
      <c r="G683" s="58" t="s">
        <v>2343</v>
      </c>
    </row>
    <row r="684" spans="1:7">
      <c r="A684" s="304" t="s">
        <v>2344</v>
      </c>
      <c r="B684" s="58" t="s">
        <v>2273</v>
      </c>
      <c r="C684" s="58" t="s">
        <v>2309</v>
      </c>
      <c r="D684" s="58" t="s">
        <v>2989</v>
      </c>
      <c r="E684" s="59" t="s">
        <v>2311</v>
      </c>
      <c r="F684" s="59" t="s">
        <v>2970</v>
      </c>
      <c r="G684" s="58" t="s">
        <v>2345</v>
      </c>
    </row>
    <row r="685" spans="1:7">
      <c r="A685" s="304" t="s">
        <v>2285</v>
      </c>
      <c r="B685" s="58"/>
      <c r="C685" s="58" t="s">
        <v>2135</v>
      </c>
      <c r="D685" s="58" t="s">
        <v>2989</v>
      </c>
      <c r="E685" s="59" t="s">
        <v>2318</v>
      </c>
      <c r="F685" s="59" t="s">
        <v>2970</v>
      </c>
      <c r="G685" s="58" t="s">
        <v>2120</v>
      </c>
    </row>
    <row r="686" spans="1:7" ht="17.25">
      <c r="A686" s="305" t="s">
        <v>2476</v>
      </c>
      <c r="B686" s="76"/>
      <c r="C686" s="76"/>
      <c r="D686" s="76"/>
      <c r="E686" s="77"/>
      <c r="F686" s="76"/>
      <c r="G686" s="76"/>
    </row>
    <row r="687" spans="1:7">
      <c r="A687" s="304" t="s">
        <v>2291</v>
      </c>
      <c r="B687" s="58"/>
      <c r="C687" s="58" t="s">
        <v>2135</v>
      </c>
      <c r="D687" s="58" t="s">
        <v>2989</v>
      </c>
      <c r="E687" s="59" t="s">
        <v>2318</v>
      </c>
      <c r="F687" s="59" t="s">
        <v>2970</v>
      </c>
      <c r="G687" s="58" t="s">
        <v>2292</v>
      </c>
    </row>
    <row r="688" spans="1:7">
      <c r="A688" s="304" t="s">
        <v>2304</v>
      </c>
      <c r="B688" s="58" t="s">
        <v>2305</v>
      </c>
      <c r="C688" s="58" t="s">
        <v>2257</v>
      </c>
      <c r="D688" s="58" t="s">
        <v>2989</v>
      </c>
      <c r="E688" s="59" t="s">
        <v>2463</v>
      </c>
      <c r="F688" s="59" t="s">
        <v>2970</v>
      </c>
      <c r="G688" s="58" t="s">
        <v>2306</v>
      </c>
    </row>
    <row r="689" spans="1:7">
      <c r="A689" s="304" t="s">
        <v>2477</v>
      </c>
      <c r="B689" s="58" t="s">
        <v>2213</v>
      </c>
      <c r="C689" s="58" t="s">
        <v>2463</v>
      </c>
      <c r="D689" s="58" t="s">
        <v>2989</v>
      </c>
      <c r="E689" s="59" t="s">
        <v>2463</v>
      </c>
      <c r="F689" s="59" t="s">
        <v>2970</v>
      </c>
      <c r="G689" s="58" t="s">
        <v>2292</v>
      </c>
    </row>
    <row r="690" spans="1:7" ht="17.25">
      <c r="A690" s="305" t="s">
        <v>2478</v>
      </c>
      <c r="B690" s="76"/>
      <c r="C690" s="76"/>
      <c r="D690" s="76"/>
      <c r="E690" s="77"/>
      <c r="F690" s="76"/>
      <c r="G690" s="76"/>
    </row>
    <row r="691" spans="1:7">
      <c r="A691" s="304" t="s">
        <v>2308</v>
      </c>
      <c r="B691" s="58" t="s">
        <v>2122</v>
      </c>
      <c r="C691" s="58" t="s">
        <v>2309</v>
      </c>
      <c r="D691" s="58" t="s">
        <v>2993</v>
      </c>
      <c r="E691" s="59" t="s">
        <v>2311</v>
      </c>
      <c r="F691" s="59" t="s">
        <v>2970</v>
      </c>
      <c r="G691" s="58" t="s">
        <v>2312</v>
      </c>
    </row>
    <row r="692" spans="1:7">
      <c r="A692" s="304" t="s">
        <v>2114</v>
      </c>
      <c r="B692" s="58" t="s">
        <v>2115</v>
      </c>
      <c r="C692" s="58" t="s">
        <v>1559</v>
      </c>
      <c r="D692" s="58" t="s">
        <v>2993</v>
      </c>
      <c r="E692" s="59" t="s">
        <v>108</v>
      </c>
      <c r="F692" s="59" t="s">
        <v>2970</v>
      </c>
      <c r="G692" s="58" t="s">
        <v>2117</v>
      </c>
    </row>
    <row r="693" spans="1:7">
      <c r="A693" s="304" t="s">
        <v>2352</v>
      </c>
      <c r="B693" s="58"/>
      <c r="C693" s="58" t="s">
        <v>1201</v>
      </c>
      <c r="D693" s="58" t="s">
        <v>2993</v>
      </c>
      <c r="E693" s="59" t="s">
        <v>1201</v>
      </c>
      <c r="F693" s="59" t="s">
        <v>2970</v>
      </c>
      <c r="G693" s="58" t="s">
        <v>2120</v>
      </c>
    </row>
    <row r="694" spans="1:7">
      <c r="A694" s="304" t="s">
        <v>2118</v>
      </c>
      <c r="B694" s="58"/>
      <c r="C694" s="58" t="s">
        <v>2119</v>
      </c>
      <c r="D694" s="58" t="s">
        <v>2993</v>
      </c>
      <c r="E694" s="59" t="s">
        <v>2353</v>
      </c>
      <c r="F694" s="59" t="s">
        <v>2970</v>
      </c>
      <c r="G694" s="58" t="s">
        <v>2120</v>
      </c>
    </row>
    <row r="695" spans="1:7">
      <c r="A695" s="304" t="s">
        <v>2121</v>
      </c>
      <c r="B695" s="58" t="s">
        <v>2122</v>
      </c>
      <c r="C695" s="58" t="s">
        <v>108</v>
      </c>
      <c r="D695" s="58" t="s">
        <v>2993</v>
      </c>
      <c r="E695" s="59" t="s">
        <v>108</v>
      </c>
      <c r="F695" s="59" t="s">
        <v>2970</v>
      </c>
      <c r="G695" s="58" t="s">
        <v>2120</v>
      </c>
    </row>
    <row r="696" spans="1:7">
      <c r="A696" s="304" t="s">
        <v>2123</v>
      </c>
      <c r="B696" s="58" t="s">
        <v>2124</v>
      </c>
      <c r="C696" s="58" t="s">
        <v>108</v>
      </c>
      <c r="D696" s="58" t="s">
        <v>2993</v>
      </c>
      <c r="E696" s="59" t="s">
        <v>108</v>
      </c>
      <c r="F696" s="59" t="s">
        <v>2970</v>
      </c>
      <c r="G696" s="58" t="s">
        <v>2125</v>
      </c>
    </row>
    <row r="697" spans="1:7">
      <c r="A697" s="304" t="s">
        <v>2126</v>
      </c>
      <c r="B697" s="58"/>
      <c r="C697" s="58" t="s">
        <v>108</v>
      </c>
      <c r="D697" s="58" t="s">
        <v>2993</v>
      </c>
      <c r="E697" s="59" t="s">
        <v>108</v>
      </c>
      <c r="F697" s="59" t="s">
        <v>2970</v>
      </c>
      <c r="G697" s="58" t="s">
        <v>2120</v>
      </c>
    </row>
    <row r="698" spans="1:7">
      <c r="A698" s="304" t="s">
        <v>2313</v>
      </c>
      <c r="B698" s="58" t="s">
        <v>2314</v>
      </c>
      <c r="C698" s="58" t="s">
        <v>2309</v>
      </c>
      <c r="D698" s="58" t="s">
        <v>2993</v>
      </c>
      <c r="E698" s="59" t="s">
        <v>2311</v>
      </c>
      <c r="F698" s="59" t="s">
        <v>2970</v>
      </c>
      <c r="G698" s="58" t="s">
        <v>2120</v>
      </c>
    </row>
    <row r="699" spans="1:7">
      <c r="A699" s="304" t="s">
        <v>2315</v>
      </c>
      <c r="B699" s="58" t="s">
        <v>2314</v>
      </c>
      <c r="C699" s="58" t="s">
        <v>2309</v>
      </c>
      <c r="D699" s="58" t="s">
        <v>2993</v>
      </c>
      <c r="E699" s="59" t="s">
        <v>2311</v>
      </c>
      <c r="F699" s="59" t="s">
        <v>2970</v>
      </c>
      <c r="G699" s="58" t="s">
        <v>2120</v>
      </c>
    </row>
    <row r="700" spans="1:7">
      <c r="A700" s="304" t="s">
        <v>2316</v>
      </c>
      <c r="B700" s="58" t="s">
        <v>2124</v>
      </c>
      <c r="C700" s="58" t="s">
        <v>2309</v>
      </c>
      <c r="D700" s="58" t="s">
        <v>2993</v>
      </c>
      <c r="E700" s="59" t="s">
        <v>2311</v>
      </c>
      <c r="F700" s="59" t="s">
        <v>2970</v>
      </c>
      <c r="G700" s="58" t="s">
        <v>2120</v>
      </c>
    </row>
    <row r="701" spans="1:7" ht="17.25">
      <c r="A701" s="305" t="s">
        <v>2480</v>
      </c>
      <c r="B701" s="76"/>
      <c r="C701" s="76"/>
      <c r="D701" s="76"/>
      <c r="E701" s="77"/>
      <c r="F701" s="76"/>
      <c r="G701" s="76"/>
    </row>
    <row r="702" spans="1:7">
      <c r="A702" s="304" t="s">
        <v>2128</v>
      </c>
      <c r="B702" s="58" t="s">
        <v>2129</v>
      </c>
      <c r="C702" s="58" t="s">
        <v>108</v>
      </c>
      <c r="D702" s="58" t="s">
        <v>2993</v>
      </c>
      <c r="E702" s="59" t="s">
        <v>108</v>
      </c>
      <c r="F702" s="59" t="s">
        <v>2970</v>
      </c>
      <c r="G702" s="58" t="s">
        <v>2120</v>
      </c>
    </row>
    <row r="703" spans="1:7">
      <c r="A703" s="304" t="s">
        <v>2130</v>
      </c>
      <c r="B703" s="58" t="s">
        <v>2131</v>
      </c>
      <c r="C703" s="58" t="s">
        <v>108</v>
      </c>
      <c r="D703" s="58" t="s">
        <v>2993</v>
      </c>
      <c r="E703" s="59" t="s">
        <v>108</v>
      </c>
      <c r="F703" s="59" t="s">
        <v>2970</v>
      </c>
      <c r="G703" s="58" t="s">
        <v>2132</v>
      </c>
    </row>
    <row r="704" spans="1:7">
      <c r="A704" s="304" t="s">
        <v>2133</v>
      </c>
      <c r="B704" s="58" t="s">
        <v>2131</v>
      </c>
      <c r="C704" s="58" t="s">
        <v>108</v>
      </c>
      <c r="D704" s="58" t="s">
        <v>2993</v>
      </c>
      <c r="E704" s="59" t="s">
        <v>108</v>
      </c>
      <c r="F704" s="59" t="s">
        <v>2970</v>
      </c>
      <c r="G704" s="58" t="s">
        <v>2120</v>
      </c>
    </row>
    <row r="705" spans="1:7">
      <c r="A705" s="304" t="s">
        <v>2134</v>
      </c>
      <c r="B705" s="58"/>
      <c r="C705" s="58" t="s">
        <v>2135</v>
      </c>
      <c r="D705" s="58" t="s">
        <v>2993</v>
      </c>
      <c r="E705" s="59" t="s">
        <v>2481</v>
      </c>
      <c r="F705" s="59" t="s">
        <v>2970</v>
      </c>
      <c r="G705" s="58" t="s">
        <v>2137</v>
      </c>
    </row>
    <row r="706" spans="1:7">
      <c r="A706" s="304" t="s">
        <v>2138</v>
      </c>
      <c r="B706" s="58" t="s">
        <v>2139</v>
      </c>
      <c r="C706" s="58" t="s">
        <v>108</v>
      </c>
      <c r="D706" s="58" t="s">
        <v>2993</v>
      </c>
      <c r="E706" s="59" t="s">
        <v>108</v>
      </c>
      <c r="F706" s="59" t="s">
        <v>2970</v>
      </c>
      <c r="G706" s="58" t="s">
        <v>2140</v>
      </c>
    </row>
    <row r="707" spans="1:7" ht="17.25">
      <c r="A707" s="305" t="s">
        <v>2482</v>
      </c>
      <c r="B707" s="76"/>
      <c r="C707" s="76"/>
      <c r="D707" s="76"/>
      <c r="E707" s="77"/>
      <c r="F707" s="76"/>
      <c r="G707" s="76"/>
    </row>
    <row r="708" spans="1:7">
      <c r="A708" s="304" t="s">
        <v>2142</v>
      </c>
      <c r="B708" s="58" t="s">
        <v>2143</v>
      </c>
      <c r="C708" s="58" t="s">
        <v>108</v>
      </c>
      <c r="D708" s="58" t="s">
        <v>2993</v>
      </c>
      <c r="E708" s="59" t="s">
        <v>108</v>
      </c>
      <c r="F708" s="59" t="s">
        <v>2970</v>
      </c>
      <c r="G708" s="58" t="s">
        <v>2120</v>
      </c>
    </row>
    <row r="709" spans="1:7">
      <c r="A709" s="304" t="s">
        <v>2144</v>
      </c>
      <c r="B709" s="58" t="s">
        <v>2143</v>
      </c>
      <c r="C709" s="58" t="s">
        <v>2145</v>
      </c>
      <c r="D709" s="58" t="s">
        <v>2993</v>
      </c>
      <c r="E709" s="59" t="s">
        <v>2483</v>
      </c>
      <c r="F709" s="59" t="s">
        <v>2970</v>
      </c>
      <c r="G709" s="58" t="s">
        <v>2120</v>
      </c>
    </row>
    <row r="710" spans="1:7">
      <c r="A710" s="304" t="s">
        <v>2146</v>
      </c>
      <c r="B710" s="58" t="s">
        <v>2143</v>
      </c>
      <c r="C710" s="58" t="s">
        <v>2147</v>
      </c>
      <c r="D710" s="58" t="s">
        <v>2993</v>
      </c>
      <c r="E710" s="59" t="s">
        <v>108</v>
      </c>
      <c r="F710" s="59" t="s">
        <v>2970</v>
      </c>
      <c r="G710" s="58" t="s">
        <v>2148</v>
      </c>
    </row>
    <row r="711" spans="1:7">
      <c r="A711" s="304" t="s">
        <v>2149</v>
      </c>
      <c r="B711" s="58" t="s">
        <v>2143</v>
      </c>
      <c r="C711" s="58" t="s">
        <v>108</v>
      </c>
      <c r="D711" s="58" t="s">
        <v>2993</v>
      </c>
      <c r="E711" s="59" t="s">
        <v>108</v>
      </c>
      <c r="F711" s="59" t="s">
        <v>2970</v>
      </c>
      <c r="G711" s="58" t="s">
        <v>2120</v>
      </c>
    </row>
    <row r="712" spans="1:7" ht="17.25">
      <c r="A712" s="305" t="s">
        <v>2484</v>
      </c>
      <c r="B712" s="76"/>
      <c r="C712" s="76"/>
      <c r="D712" s="76"/>
      <c r="E712" s="77"/>
      <c r="F712" s="76"/>
      <c r="G712" s="76"/>
    </row>
    <row r="713" spans="1:7">
      <c r="A713" s="304" t="s">
        <v>2151</v>
      </c>
      <c r="B713" s="58" t="s">
        <v>2152</v>
      </c>
      <c r="C713" s="58" t="s">
        <v>2153</v>
      </c>
      <c r="D713" s="58" t="s">
        <v>2993</v>
      </c>
      <c r="E713" s="59" t="s">
        <v>108</v>
      </c>
      <c r="F713" s="59" t="s">
        <v>2970</v>
      </c>
      <c r="G713" s="58" t="s">
        <v>2120</v>
      </c>
    </row>
    <row r="714" spans="1:7">
      <c r="A714" s="304" t="s">
        <v>2154</v>
      </c>
      <c r="B714" s="58" t="s">
        <v>2155</v>
      </c>
      <c r="C714" s="58" t="s">
        <v>108</v>
      </c>
      <c r="D714" s="58" t="s">
        <v>2993</v>
      </c>
      <c r="E714" s="59" t="s">
        <v>108</v>
      </c>
      <c r="F714" s="59" t="s">
        <v>2970</v>
      </c>
      <c r="G714" s="58" t="s">
        <v>2120</v>
      </c>
    </row>
    <row r="715" spans="1:7">
      <c r="A715" s="304" t="s">
        <v>2156</v>
      </c>
      <c r="B715" s="58" t="s">
        <v>2152</v>
      </c>
      <c r="C715" s="58" t="s">
        <v>2157</v>
      </c>
      <c r="D715" s="58" t="s">
        <v>2993</v>
      </c>
      <c r="E715" s="59" t="s">
        <v>108</v>
      </c>
      <c r="F715" s="59" t="s">
        <v>2970</v>
      </c>
      <c r="G715" s="58" t="s">
        <v>2120</v>
      </c>
    </row>
    <row r="716" spans="1:7">
      <c r="A716" s="304" t="s">
        <v>2158</v>
      </c>
      <c r="B716" s="58" t="s">
        <v>2155</v>
      </c>
      <c r="C716" s="58" t="s">
        <v>2159</v>
      </c>
      <c r="D716" s="58" t="s">
        <v>2993</v>
      </c>
      <c r="E716" s="59" t="s">
        <v>108</v>
      </c>
      <c r="F716" s="59" t="s">
        <v>2970</v>
      </c>
      <c r="G716" s="58" t="s">
        <v>2160</v>
      </c>
    </row>
    <row r="717" spans="1:7">
      <c r="A717" s="304" t="s">
        <v>2161</v>
      </c>
      <c r="B717" s="58" t="s">
        <v>2162</v>
      </c>
      <c r="C717" s="58" t="s">
        <v>108</v>
      </c>
      <c r="D717" s="58" t="s">
        <v>2993</v>
      </c>
      <c r="E717" s="59" t="s">
        <v>108</v>
      </c>
      <c r="F717" s="59" t="s">
        <v>2970</v>
      </c>
      <c r="G717" s="58" t="s">
        <v>2163</v>
      </c>
    </row>
    <row r="718" spans="1:7">
      <c r="A718" s="304" t="s">
        <v>2164</v>
      </c>
      <c r="B718" s="58" t="s">
        <v>2162</v>
      </c>
      <c r="C718" s="58" t="s">
        <v>108</v>
      </c>
      <c r="D718" s="58" t="s">
        <v>2993</v>
      </c>
      <c r="E718" s="59" t="s">
        <v>108</v>
      </c>
      <c r="F718" s="59" t="s">
        <v>2970</v>
      </c>
      <c r="G718" s="58" t="s">
        <v>2120</v>
      </c>
    </row>
    <row r="719" spans="1:7" ht="17.25">
      <c r="A719" s="305" t="s">
        <v>2485</v>
      </c>
      <c r="B719" s="76"/>
      <c r="C719" s="76"/>
      <c r="D719" s="76"/>
      <c r="E719" s="77"/>
      <c r="F719" s="76"/>
      <c r="G719" s="76"/>
    </row>
    <row r="720" spans="1:7">
      <c r="A720" s="304" t="s">
        <v>2166</v>
      </c>
      <c r="B720" s="58" t="s">
        <v>2167</v>
      </c>
      <c r="C720" s="58" t="s">
        <v>108</v>
      </c>
      <c r="D720" s="58" t="s">
        <v>2993</v>
      </c>
      <c r="E720" s="59" t="s">
        <v>108</v>
      </c>
      <c r="F720" s="59" t="s">
        <v>2970</v>
      </c>
      <c r="G720" s="58" t="s">
        <v>2168</v>
      </c>
    </row>
    <row r="721" spans="1:7">
      <c r="A721" s="304" t="s">
        <v>2169</v>
      </c>
      <c r="B721" s="58" t="s">
        <v>2129</v>
      </c>
      <c r="C721" s="58" t="s">
        <v>2170</v>
      </c>
      <c r="D721" s="58" t="s">
        <v>2993</v>
      </c>
      <c r="E721" s="59" t="s">
        <v>2481</v>
      </c>
      <c r="F721" s="59" t="s">
        <v>2970</v>
      </c>
      <c r="G721" s="58" t="s">
        <v>2120</v>
      </c>
    </row>
    <row r="722" spans="1:7">
      <c r="A722" s="304" t="s">
        <v>2171</v>
      </c>
      <c r="B722" s="58" t="s">
        <v>2129</v>
      </c>
      <c r="C722" s="58" t="s">
        <v>2135</v>
      </c>
      <c r="D722" s="58" t="s">
        <v>2993</v>
      </c>
      <c r="E722" s="59" t="s">
        <v>2481</v>
      </c>
      <c r="F722" s="59" t="s">
        <v>2970</v>
      </c>
      <c r="G722" s="58" t="s">
        <v>2120</v>
      </c>
    </row>
    <row r="723" spans="1:7">
      <c r="A723" s="304" t="s">
        <v>2172</v>
      </c>
      <c r="B723" s="58" t="s">
        <v>2129</v>
      </c>
      <c r="C723" s="58" t="s">
        <v>2135</v>
      </c>
      <c r="D723" s="58" t="s">
        <v>2993</v>
      </c>
      <c r="E723" s="59" t="s">
        <v>2481</v>
      </c>
      <c r="F723" s="59" t="s">
        <v>2970</v>
      </c>
      <c r="G723" s="58" t="s">
        <v>2120</v>
      </c>
    </row>
    <row r="724" spans="1:7">
      <c r="A724" s="304" t="s">
        <v>2173</v>
      </c>
      <c r="B724" s="58" t="s">
        <v>2174</v>
      </c>
      <c r="C724" s="58" t="s">
        <v>2135</v>
      </c>
      <c r="D724" s="58" t="s">
        <v>2993</v>
      </c>
      <c r="E724" s="59" t="s">
        <v>2481</v>
      </c>
      <c r="F724" s="59" t="s">
        <v>2970</v>
      </c>
      <c r="G724" s="58" t="s">
        <v>2120</v>
      </c>
    </row>
    <row r="725" spans="1:7">
      <c r="A725" s="304" t="s">
        <v>2175</v>
      </c>
      <c r="B725" s="58"/>
      <c r="C725" s="58" t="s">
        <v>2135</v>
      </c>
      <c r="D725" s="58" t="s">
        <v>2993</v>
      </c>
      <c r="E725" s="59" t="s">
        <v>2481</v>
      </c>
      <c r="F725" s="59" t="s">
        <v>2970</v>
      </c>
      <c r="G725" s="58" t="s">
        <v>2120</v>
      </c>
    </row>
    <row r="726" spans="1:7">
      <c r="A726" s="304" t="s">
        <v>2176</v>
      </c>
      <c r="B726" s="58"/>
      <c r="C726" s="58" t="s">
        <v>2135</v>
      </c>
      <c r="D726" s="58" t="s">
        <v>2993</v>
      </c>
      <c r="E726" s="59" t="s">
        <v>2481</v>
      </c>
      <c r="F726" s="59" t="s">
        <v>2970</v>
      </c>
      <c r="G726" s="58" t="s">
        <v>2120</v>
      </c>
    </row>
    <row r="727" spans="1:7">
      <c r="A727" s="304" t="s">
        <v>2177</v>
      </c>
      <c r="B727" s="58"/>
      <c r="C727" s="58" t="s">
        <v>2135</v>
      </c>
      <c r="D727" s="58" t="s">
        <v>2993</v>
      </c>
      <c r="E727" s="59" t="s">
        <v>2481</v>
      </c>
      <c r="F727" s="59" t="s">
        <v>2970</v>
      </c>
      <c r="G727" s="58" t="s">
        <v>2120</v>
      </c>
    </row>
    <row r="728" spans="1:7" ht="17.25">
      <c r="A728" s="305" t="s">
        <v>2486</v>
      </c>
      <c r="B728" s="76"/>
      <c r="C728" s="76"/>
      <c r="D728" s="76"/>
      <c r="E728" s="77"/>
      <c r="F728" s="76"/>
      <c r="G728" s="76"/>
    </row>
    <row r="729" spans="1:7">
      <c r="A729" s="304" t="s">
        <v>2179</v>
      </c>
      <c r="B729" s="58" t="s">
        <v>2180</v>
      </c>
      <c r="C729" s="58" t="s">
        <v>108</v>
      </c>
      <c r="D729" s="58" t="s">
        <v>2993</v>
      </c>
      <c r="E729" s="59" t="s">
        <v>108</v>
      </c>
      <c r="F729" s="59" t="s">
        <v>2970</v>
      </c>
      <c r="G729" s="58" t="s">
        <v>2120</v>
      </c>
    </row>
    <row r="730" spans="1:7">
      <c r="A730" s="304" t="s">
        <v>2181</v>
      </c>
      <c r="B730" s="58" t="s">
        <v>2182</v>
      </c>
      <c r="C730" s="58" t="s">
        <v>108</v>
      </c>
      <c r="D730" s="58" t="s">
        <v>2993</v>
      </c>
      <c r="E730" s="59" t="s">
        <v>108</v>
      </c>
      <c r="F730" s="59" t="s">
        <v>2970</v>
      </c>
      <c r="G730" s="58" t="s">
        <v>2120</v>
      </c>
    </row>
    <row r="731" spans="1:7">
      <c r="A731" s="304" t="s">
        <v>2183</v>
      </c>
      <c r="B731" s="58" t="s">
        <v>2182</v>
      </c>
      <c r="C731" s="58" t="s">
        <v>2184</v>
      </c>
      <c r="D731" s="58" t="s">
        <v>2993</v>
      </c>
      <c r="E731" s="59" t="s">
        <v>108</v>
      </c>
      <c r="F731" s="59" t="s">
        <v>2970</v>
      </c>
      <c r="G731" s="58" t="s">
        <v>2185</v>
      </c>
    </row>
    <row r="732" spans="1:7">
      <c r="A732" s="304" t="s">
        <v>2186</v>
      </c>
      <c r="B732" s="58" t="s">
        <v>2187</v>
      </c>
      <c r="C732" s="58" t="s">
        <v>108</v>
      </c>
      <c r="D732" s="58" t="s">
        <v>2993</v>
      </c>
      <c r="E732" s="59" t="s">
        <v>108</v>
      </c>
      <c r="F732" s="59" t="s">
        <v>2970</v>
      </c>
      <c r="G732" s="58" t="s">
        <v>2120</v>
      </c>
    </row>
    <row r="733" spans="1:7">
      <c r="A733" s="304" t="s">
        <v>2188</v>
      </c>
      <c r="B733" s="58"/>
      <c r="C733" s="58" t="s">
        <v>2189</v>
      </c>
      <c r="D733" s="58" t="s">
        <v>2993</v>
      </c>
      <c r="E733" s="59" t="s">
        <v>108</v>
      </c>
      <c r="F733" s="59" t="s">
        <v>2970</v>
      </c>
      <c r="G733" s="58" t="s">
        <v>2120</v>
      </c>
    </row>
    <row r="734" spans="1:7">
      <c r="A734" s="304" t="s">
        <v>2190</v>
      </c>
      <c r="B734" s="58"/>
      <c r="C734" s="58" t="s">
        <v>2135</v>
      </c>
      <c r="D734" s="58" t="s">
        <v>2993</v>
      </c>
      <c r="E734" s="59" t="s">
        <v>2481</v>
      </c>
      <c r="F734" s="59" t="s">
        <v>2970</v>
      </c>
      <c r="G734" s="58" t="s">
        <v>2120</v>
      </c>
    </row>
    <row r="735" spans="1:7">
      <c r="A735" s="304" t="s">
        <v>2191</v>
      </c>
      <c r="B735" s="58"/>
      <c r="C735" s="58" t="s">
        <v>2135</v>
      </c>
      <c r="D735" s="58" t="s">
        <v>2993</v>
      </c>
      <c r="E735" s="59" t="s">
        <v>2481</v>
      </c>
      <c r="F735" s="59" t="s">
        <v>2970</v>
      </c>
      <c r="G735" s="58" t="s">
        <v>2120</v>
      </c>
    </row>
    <row r="736" spans="1:7">
      <c r="A736" s="304" t="s">
        <v>2192</v>
      </c>
      <c r="B736" s="58" t="s">
        <v>2182</v>
      </c>
      <c r="C736" s="58" t="s">
        <v>2193</v>
      </c>
      <c r="D736" s="58" t="s">
        <v>2993</v>
      </c>
      <c r="E736" s="59" t="s">
        <v>2193</v>
      </c>
      <c r="F736" s="59" t="s">
        <v>2970</v>
      </c>
      <c r="G736" s="58" t="s">
        <v>2120</v>
      </c>
    </row>
    <row r="737" spans="1:7">
      <c r="A737" s="304" t="s">
        <v>2194</v>
      </c>
      <c r="B737" s="58" t="s">
        <v>2187</v>
      </c>
      <c r="C737" s="58" t="s">
        <v>108</v>
      </c>
      <c r="D737" s="58" t="s">
        <v>2993</v>
      </c>
      <c r="E737" s="59" t="s">
        <v>108</v>
      </c>
      <c r="F737" s="59" t="s">
        <v>2970</v>
      </c>
      <c r="G737" s="58" t="s">
        <v>2120</v>
      </c>
    </row>
    <row r="738" spans="1:7" ht="17.25">
      <c r="A738" s="305" t="s">
        <v>2487</v>
      </c>
      <c r="B738" s="76"/>
      <c r="C738" s="76"/>
      <c r="D738" s="76"/>
      <c r="E738" s="77"/>
      <c r="F738" s="76"/>
      <c r="G738" s="76"/>
    </row>
    <row r="739" spans="1:7">
      <c r="A739" s="304" t="s">
        <v>2488</v>
      </c>
      <c r="B739" s="58" t="s">
        <v>2182</v>
      </c>
      <c r="C739" s="58" t="s">
        <v>2489</v>
      </c>
      <c r="D739" s="58" t="s">
        <v>2993</v>
      </c>
      <c r="E739" s="59" t="s">
        <v>1997</v>
      </c>
      <c r="F739" s="59" t="s">
        <v>2970</v>
      </c>
      <c r="G739" s="58" t="s">
        <v>2120</v>
      </c>
    </row>
    <row r="740" spans="1:7">
      <c r="A740" s="304" t="s">
        <v>2490</v>
      </c>
      <c r="B740" s="58" t="s">
        <v>2174</v>
      </c>
      <c r="C740" s="58" t="s">
        <v>2489</v>
      </c>
      <c r="D740" s="58" t="s">
        <v>2993</v>
      </c>
      <c r="E740" s="59" t="s">
        <v>1997</v>
      </c>
      <c r="F740" s="59" t="s">
        <v>2970</v>
      </c>
      <c r="G740" s="58" t="s">
        <v>2120</v>
      </c>
    </row>
    <row r="741" spans="1:7">
      <c r="A741" s="304" t="s">
        <v>2196</v>
      </c>
      <c r="B741" s="58"/>
      <c r="C741" s="58" t="s">
        <v>2193</v>
      </c>
      <c r="D741" s="58" t="s">
        <v>2993</v>
      </c>
      <c r="E741" s="59" t="s">
        <v>2193</v>
      </c>
      <c r="F741" s="59" t="s">
        <v>2970</v>
      </c>
      <c r="G741" s="58" t="s">
        <v>2120</v>
      </c>
    </row>
    <row r="742" spans="1:7">
      <c r="A742" s="304" t="s">
        <v>2197</v>
      </c>
      <c r="B742" s="58"/>
      <c r="C742" s="58" t="s">
        <v>2193</v>
      </c>
      <c r="D742" s="58" t="s">
        <v>2993</v>
      </c>
      <c r="E742" s="59" t="s">
        <v>2193</v>
      </c>
      <c r="F742" s="59" t="s">
        <v>2970</v>
      </c>
      <c r="G742" s="58" t="s">
        <v>2120</v>
      </c>
    </row>
    <row r="743" spans="1:7">
      <c r="A743" s="304" t="s">
        <v>2198</v>
      </c>
      <c r="B743" s="58"/>
      <c r="C743" s="58" t="s">
        <v>2199</v>
      </c>
      <c r="D743" s="58" t="s">
        <v>2993</v>
      </c>
      <c r="E743" s="59" t="s">
        <v>2193</v>
      </c>
      <c r="F743" s="59" t="s">
        <v>2970</v>
      </c>
      <c r="G743" s="58" t="s">
        <v>2120</v>
      </c>
    </row>
    <row r="744" spans="1:7">
      <c r="A744" s="304" t="s">
        <v>2200</v>
      </c>
      <c r="B744" s="58" t="s">
        <v>2182</v>
      </c>
      <c r="C744" s="58" t="s">
        <v>108</v>
      </c>
      <c r="D744" s="58" t="s">
        <v>2993</v>
      </c>
      <c r="E744" s="59" t="s">
        <v>108</v>
      </c>
      <c r="F744" s="59" t="s">
        <v>2970</v>
      </c>
      <c r="G744" s="58" t="s">
        <v>2120</v>
      </c>
    </row>
    <row r="745" spans="1:7">
      <c r="A745" s="304" t="s">
        <v>2201</v>
      </c>
      <c r="B745" s="58" t="s">
        <v>2182</v>
      </c>
      <c r="C745" s="58" t="s">
        <v>108</v>
      </c>
      <c r="D745" s="58" t="s">
        <v>2993</v>
      </c>
      <c r="E745" s="59" t="s">
        <v>108</v>
      </c>
      <c r="F745" s="59" t="s">
        <v>2970</v>
      </c>
      <c r="G745" s="58" t="s">
        <v>2120</v>
      </c>
    </row>
    <row r="746" spans="1:7">
      <c r="A746" s="304" t="s">
        <v>2202</v>
      </c>
      <c r="B746" s="58" t="s">
        <v>2174</v>
      </c>
      <c r="C746" s="58" t="s">
        <v>108</v>
      </c>
      <c r="D746" s="58" t="s">
        <v>2993</v>
      </c>
      <c r="E746" s="59" t="s">
        <v>108</v>
      </c>
      <c r="F746" s="59" t="s">
        <v>2970</v>
      </c>
      <c r="G746" s="58" t="s">
        <v>2120</v>
      </c>
    </row>
    <row r="747" spans="1:7">
      <c r="A747" s="304" t="s">
        <v>2203</v>
      </c>
      <c r="B747" s="58" t="s">
        <v>2204</v>
      </c>
      <c r="C747" s="58" t="s">
        <v>2193</v>
      </c>
      <c r="D747" s="58" t="s">
        <v>2993</v>
      </c>
      <c r="E747" s="59" t="s">
        <v>2193</v>
      </c>
      <c r="F747" s="59" t="s">
        <v>2970</v>
      </c>
      <c r="G747" s="58" t="s">
        <v>2120</v>
      </c>
    </row>
    <row r="748" spans="1:7">
      <c r="A748" s="304" t="s">
        <v>2205</v>
      </c>
      <c r="B748" s="58" t="s">
        <v>2204</v>
      </c>
      <c r="C748" s="58" t="s">
        <v>2193</v>
      </c>
      <c r="D748" s="58" t="s">
        <v>2993</v>
      </c>
      <c r="E748" s="59" t="s">
        <v>2193</v>
      </c>
      <c r="F748" s="59" t="s">
        <v>2970</v>
      </c>
      <c r="G748" s="58" t="s">
        <v>2120</v>
      </c>
    </row>
    <row r="749" spans="1:7">
      <c r="A749" s="304" t="s">
        <v>2206</v>
      </c>
      <c r="B749" s="58"/>
      <c r="C749" s="58" t="s">
        <v>2135</v>
      </c>
      <c r="D749" s="58" t="s">
        <v>2993</v>
      </c>
      <c r="E749" s="59" t="s">
        <v>2481</v>
      </c>
      <c r="F749" s="59" t="s">
        <v>2970</v>
      </c>
      <c r="G749" s="58" t="s">
        <v>2120</v>
      </c>
    </row>
    <row r="750" spans="1:7">
      <c r="A750" s="304" t="s">
        <v>2207</v>
      </c>
      <c r="B750" s="58" t="s">
        <v>2204</v>
      </c>
      <c r="C750" s="58" t="s">
        <v>108</v>
      </c>
      <c r="D750" s="58" t="s">
        <v>2993</v>
      </c>
      <c r="E750" s="59" t="s">
        <v>108</v>
      </c>
      <c r="F750" s="59" t="s">
        <v>2970</v>
      </c>
      <c r="G750" s="58" t="s">
        <v>2208</v>
      </c>
    </row>
    <row r="751" spans="1:7" ht="17.25">
      <c r="A751" s="305" t="s">
        <v>2491</v>
      </c>
      <c r="B751" s="76"/>
      <c r="C751" s="76"/>
      <c r="D751" s="76"/>
      <c r="E751" s="77"/>
      <c r="F751" s="76"/>
      <c r="G751" s="76"/>
    </row>
    <row r="752" spans="1:7">
      <c r="A752" s="304" t="s">
        <v>2210</v>
      </c>
      <c r="B752" s="58" t="s">
        <v>2211</v>
      </c>
      <c r="C752" s="58" t="s">
        <v>108</v>
      </c>
      <c r="D752" s="58" t="s">
        <v>2993</v>
      </c>
      <c r="E752" s="59" t="s">
        <v>108</v>
      </c>
      <c r="F752" s="59" t="s">
        <v>2970</v>
      </c>
      <c r="G752" s="58" t="s">
        <v>2120</v>
      </c>
    </row>
    <row r="753" spans="1:7">
      <c r="A753" s="304" t="s">
        <v>2212</v>
      </c>
      <c r="B753" s="58" t="s">
        <v>2213</v>
      </c>
      <c r="C753" s="58" t="s">
        <v>108</v>
      </c>
      <c r="D753" s="58" t="s">
        <v>2993</v>
      </c>
      <c r="E753" s="59" t="s">
        <v>108</v>
      </c>
      <c r="F753" s="59" t="s">
        <v>2970</v>
      </c>
      <c r="G753" s="58" t="s">
        <v>2120</v>
      </c>
    </row>
    <row r="754" spans="1:7">
      <c r="A754" s="304" t="s">
        <v>2214</v>
      </c>
      <c r="B754" s="58" t="s">
        <v>2213</v>
      </c>
      <c r="C754" s="58" t="s">
        <v>108</v>
      </c>
      <c r="D754" s="58" t="s">
        <v>2993</v>
      </c>
      <c r="E754" s="59" t="s">
        <v>108</v>
      </c>
      <c r="F754" s="59" t="s">
        <v>2970</v>
      </c>
      <c r="G754" s="58" t="s">
        <v>2120</v>
      </c>
    </row>
    <row r="755" spans="1:7" ht="17.25">
      <c r="A755" s="305" t="s">
        <v>2492</v>
      </c>
      <c r="B755" s="76"/>
      <c r="C755" s="76"/>
      <c r="D755" s="76"/>
      <c r="E755" s="77"/>
      <c r="F755" s="76"/>
      <c r="G755" s="76"/>
    </row>
    <row r="756" spans="1:7">
      <c r="A756" s="304" t="s">
        <v>2328</v>
      </c>
      <c r="B756" s="58" t="s">
        <v>2217</v>
      </c>
      <c r="C756" s="58" t="s">
        <v>2309</v>
      </c>
      <c r="D756" s="58" t="s">
        <v>2993</v>
      </c>
      <c r="E756" s="59" t="s">
        <v>2311</v>
      </c>
      <c r="F756" s="59" t="s">
        <v>2970</v>
      </c>
      <c r="G756" s="58" t="s">
        <v>2329</v>
      </c>
    </row>
    <row r="757" spans="1:7">
      <c r="A757" s="304" t="s">
        <v>2330</v>
      </c>
      <c r="B757" s="58" t="s">
        <v>2331</v>
      </c>
      <c r="C757" s="58" t="s">
        <v>2309</v>
      </c>
      <c r="D757" s="58" t="s">
        <v>2993</v>
      </c>
      <c r="E757" s="59" t="s">
        <v>2311</v>
      </c>
      <c r="F757" s="59" t="s">
        <v>2970</v>
      </c>
      <c r="G757" s="58" t="s">
        <v>2332</v>
      </c>
    </row>
    <row r="758" spans="1:7">
      <c r="A758" s="304" t="s">
        <v>2216</v>
      </c>
      <c r="B758" s="58" t="s">
        <v>2217</v>
      </c>
      <c r="C758" s="58" t="s">
        <v>2193</v>
      </c>
      <c r="D758" s="58" t="s">
        <v>2993</v>
      </c>
      <c r="E758" s="59" t="s">
        <v>2193</v>
      </c>
      <c r="F758" s="59" t="s">
        <v>2970</v>
      </c>
      <c r="G758" s="58" t="s">
        <v>2218</v>
      </c>
    </row>
    <row r="759" spans="1:7">
      <c r="A759" s="304" t="s">
        <v>2219</v>
      </c>
      <c r="B759" s="58" t="s">
        <v>2220</v>
      </c>
      <c r="C759" s="58" t="s">
        <v>108</v>
      </c>
      <c r="D759" s="58" t="s">
        <v>2993</v>
      </c>
      <c r="E759" s="59" t="s">
        <v>108</v>
      </c>
      <c r="F759" s="59" t="s">
        <v>2970</v>
      </c>
      <c r="G759" s="58" t="s">
        <v>2221</v>
      </c>
    </row>
    <row r="760" spans="1:7">
      <c r="A760" s="304" t="s">
        <v>2222</v>
      </c>
      <c r="B760" s="58" t="s">
        <v>2223</v>
      </c>
      <c r="C760" s="58" t="s">
        <v>108</v>
      </c>
      <c r="D760" s="58" t="s">
        <v>2993</v>
      </c>
      <c r="E760" s="59" t="s">
        <v>108</v>
      </c>
      <c r="F760" s="59" t="s">
        <v>2970</v>
      </c>
      <c r="G760" s="58" t="s">
        <v>2224</v>
      </c>
    </row>
    <row r="761" spans="1:7">
      <c r="A761" s="304" t="s">
        <v>2225</v>
      </c>
      <c r="B761" s="58" t="s">
        <v>2226</v>
      </c>
      <c r="C761" s="58" t="s">
        <v>108</v>
      </c>
      <c r="D761" s="58" t="s">
        <v>2993</v>
      </c>
      <c r="E761" s="59" t="s">
        <v>108</v>
      </c>
      <c r="F761" s="59" t="s">
        <v>2970</v>
      </c>
      <c r="G761" s="58" t="s">
        <v>2227</v>
      </c>
    </row>
    <row r="762" spans="1:7">
      <c r="A762" s="304" t="s">
        <v>2228</v>
      </c>
      <c r="B762" s="58"/>
      <c r="C762" s="58" t="s">
        <v>2135</v>
      </c>
      <c r="D762" s="58" t="s">
        <v>2993</v>
      </c>
      <c r="E762" s="59" t="s">
        <v>2481</v>
      </c>
      <c r="F762" s="59" t="s">
        <v>2970</v>
      </c>
      <c r="G762" s="58" t="s">
        <v>2120</v>
      </c>
    </row>
    <row r="763" spans="1:7" ht="17.25">
      <c r="A763" s="305" t="s">
        <v>2493</v>
      </c>
      <c r="B763" s="76"/>
      <c r="C763" s="76"/>
      <c r="D763" s="76"/>
      <c r="E763" s="77"/>
      <c r="F763" s="76"/>
      <c r="G763" s="76"/>
    </row>
    <row r="764" spans="1:7">
      <c r="A764" s="304" t="s">
        <v>2230</v>
      </c>
      <c r="B764" s="58" t="s">
        <v>2220</v>
      </c>
      <c r="C764" s="58" t="s">
        <v>108</v>
      </c>
      <c r="D764" s="58" t="s">
        <v>2993</v>
      </c>
      <c r="E764" s="59" t="s">
        <v>108</v>
      </c>
      <c r="F764" s="59" t="s">
        <v>2970</v>
      </c>
      <c r="G764" s="58" t="s">
        <v>2231</v>
      </c>
    </row>
    <row r="765" spans="1:7">
      <c r="A765" s="304" t="s">
        <v>2232</v>
      </c>
      <c r="B765" s="58" t="s">
        <v>2220</v>
      </c>
      <c r="C765" s="58" t="s">
        <v>108</v>
      </c>
      <c r="D765" s="58" t="s">
        <v>2993</v>
      </c>
      <c r="E765" s="59" t="s">
        <v>108</v>
      </c>
      <c r="F765" s="59" t="s">
        <v>2970</v>
      </c>
      <c r="G765" s="58" t="s">
        <v>2120</v>
      </c>
    </row>
    <row r="766" spans="1:7">
      <c r="A766" s="304" t="s">
        <v>2233</v>
      </c>
      <c r="B766" s="58" t="s">
        <v>2234</v>
      </c>
      <c r="C766" s="58" t="s">
        <v>108</v>
      </c>
      <c r="D766" s="58" t="s">
        <v>2993</v>
      </c>
      <c r="E766" s="59" t="s">
        <v>108</v>
      </c>
      <c r="F766" s="59" t="s">
        <v>2970</v>
      </c>
      <c r="G766" s="58" t="s">
        <v>2235</v>
      </c>
    </row>
    <row r="767" spans="1:7">
      <c r="A767" s="304" t="s">
        <v>2236</v>
      </c>
      <c r="B767" s="58" t="s">
        <v>2237</v>
      </c>
      <c r="C767" s="58" t="s">
        <v>108</v>
      </c>
      <c r="D767" s="58" t="s">
        <v>2993</v>
      </c>
      <c r="E767" s="59" t="s">
        <v>108</v>
      </c>
      <c r="F767" s="59" t="s">
        <v>2970</v>
      </c>
      <c r="G767" s="58" t="s">
        <v>2231</v>
      </c>
    </row>
    <row r="768" spans="1:7">
      <c r="A768" s="304" t="s">
        <v>2238</v>
      </c>
      <c r="B768" s="58" t="s">
        <v>2237</v>
      </c>
      <c r="C768" s="58" t="s">
        <v>108</v>
      </c>
      <c r="D768" s="58" t="s">
        <v>2993</v>
      </c>
      <c r="E768" s="59" t="s">
        <v>108</v>
      </c>
      <c r="F768" s="59" t="s">
        <v>2970</v>
      </c>
      <c r="G768" s="58" t="s">
        <v>2239</v>
      </c>
    </row>
    <row r="769" spans="1:7">
      <c r="A769" s="304" t="s">
        <v>2240</v>
      </c>
      <c r="B769" s="58" t="s">
        <v>2241</v>
      </c>
      <c r="C769" s="58" t="s">
        <v>2193</v>
      </c>
      <c r="D769" s="58" t="s">
        <v>2993</v>
      </c>
      <c r="E769" s="59" t="s">
        <v>2193</v>
      </c>
      <c r="F769" s="59" t="s">
        <v>2970</v>
      </c>
      <c r="G769" s="58" t="s">
        <v>2120</v>
      </c>
    </row>
    <row r="770" spans="1:7">
      <c r="A770" s="304" t="s">
        <v>2242</v>
      </c>
      <c r="B770" s="58" t="s">
        <v>2220</v>
      </c>
      <c r="C770" s="58" t="s">
        <v>2243</v>
      </c>
      <c r="D770" s="58" t="s">
        <v>2993</v>
      </c>
      <c r="E770" s="59" t="s">
        <v>2994</v>
      </c>
      <c r="F770" s="59" t="s">
        <v>2970</v>
      </c>
      <c r="G770" s="58" t="s">
        <v>2244</v>
      </c>
    </row>
    <row r="771" spans="1:7">
      <c r="A771" s="304" t="s">
        <v>2245</v>
      </c>
      <c r="B771" s="58" t="s">
        <v>2241</v>
      </c>
      <c r="C771" s="58" t="s">
        <v>2246</v>
      </c>
      <c r="D771" s="58" t="s">
        <v>2993</v>
      </c>
      <c r="E771" s="59" t="s">
        <v>108</v>
      </c>
      <c r="F771" s="59" t="s">
        <v>2970</v>
      </c>
      <c r="G771" s="58" t="s">
        <v>2120</v>
      </c>
    </row>
    <row r="772" spans="1:7">
      <c r="A772" s="304" t="s">
        <v>2335</v>
      </c>
      <c r="B772" s="58"/>
      <c r="C772" s="58" t="s">
        <v>2309</v>
      </c>
      <c r="D772" s="58" t="s">
        <v>2993</v>
      </c>
      <c r="E772" s="59" t="s">
        <v>2311</v>
      </c>
      <c r="F772" s="59" t="s">
        <v>2970</v>
      </c>
      <c r="G772" s="58" t="s">
        <v>2336</v>
      </c>
    </row>
    <row r="773" spans="1:7">
      <c r="A773" s="304" t="s">
        <v>2247</v>
      </c>
      <c r="B773" s="58" t="s">
        <v>2248</v>
      </c>
      <c r="C773" s="58" t="s">
        <v>108</v>
      </c>
      <c r="D773" s="58" t="s">
        <v>2993</v>
      </c>
      <c r="E773" s="59" t="s">
        <v>108</v>
      </c>
      <c r="F773" s="59" t="s">
        <v>2970</v>
      </c>
      <c r="G773" s="58" t="s">
        <v>2249</v>
      </c>
    </row>
    <row r="774" spans="1:7">
      <c r="A774" s="304" t="s">
        <v>2337</v>
      </c>
      <c r="B774" s="58" t="s">
        <v>2248</v>
      </c>
      <c r="C774" s="58" t="s">
        <v>2338</v>
      </c>
      <c r="D774" s="58" t="s">
        <v>2993</v>
      </c>
      <c r="E774" s="59" t="s">
        <v>2339</v>
      </c>
      <c r="F774" s="59" t="s">
        <v>2970</v>
      </c>
      <c r="G774" s="58" t="s">
        <v>2120</v>
      </c>
    </row>
    <row r="775" spans="1:7" ht="17.25">
      <c r="A775" s="305" t="s">
        <v>2495</v>
      </c>
      <c r="B775" s="76"/>
      <c r="C775" s="76"/>
      <c r="D775" s="76"/>
      <c r="E775" s="77"/>
      <c r="F775" s="76"/>
      <c r="G775" s="76"/>
    </row>
    <row r="776" spans="1:7">
      <c r="A776" s="304" t="s">
        <v>2251</v>
      </c>
      <c r="B776" s="58" t="s">
        <v>2252</v>
      </c>
      <c r="C776" s="58" t="s">
        <v>108</v>
      </c>
      <c r="D776" s="58" t="s">
        <v>2993</v>
      </c>
      <c r="E776" s="59" t="s">
        <v>108</v>
      </c>
      <c r="F776" s="59" t="s">
        <v>2970</v>
      </c>
      <c r="G776" s="58" t="s">
        <v>2120</v>
      </c>
    </row>
    <row r="777" spans="1:7">
      <c r="A777" s="304" t="s">
        <v>2253</v>
      </c>
      <c r="B777" s="58" t="s">
        <v>2252</v>
      </c>
      <c r="C777" s="58" t="s">
        <v>2193</v>
      </c>
      <c r="D777" s="58" t="s">
        <v>2993</v>
      </c>
      <c r="E777" s="59" t="s">
        <v>2193</v>
      </c>
      <c r="F777" s="59" t="s">
        <v>2970</v>
      </c>
      <c r="G777" s="58" t="s">
        <v>2254</v>
      </c>
    </row>
    <row r="778" spans="1:7">
      <c r="A778" s="304" t="s">
        <v>2255</v>
      </c>
      <c r="B778" s="58" t="s">
        <v>2256</v>
      </c>
      <c r="C778" s="58" t="s">
        <v>2257</v>
      </c>
      <c r="D778" s="58" t="s">
        <v>2993</v>
      </c>
      <c r="E778" s="59" t="s">
        <v>108</v>
      </c>
      <c r="F778" s="59" t="s">
        <v>2970</v>
      </c>
      <c r="G778" s="58" t="s">
        <v>2120</v>
      </c>
    </row>
    <row r="779" spans="1:7">
      <c r="A779" s="304" t="s">
        <v>2258</v>
      </c>
      <c r="B779" s="58" t="s">
        <v>2259</v>
      </c>
      <c r="C779" s="58" t="s">
        <v>2260</v>
      </c>
      <c r="D779" s="58" t="s">
        <v>2993</v>
      </c>
      <c r="E779" s="59" t="s">
        <v>2995</v>
      </c>
      <c r="F779" s="59" t="s">
        <v>2970</v>
      </c>
      <c r="G779" s="58" t="s">
        <v>2261</v>
      </c>
    </row>
    <row r="780" spans="1:7">
      <c r="A780" s="304" t="s">
        <v>2262</v>
      </c>
      <c r="B780" s="58" t="s">
        <v>2259</v>
      </c>
      <c r="C780" s="58" t="s">
        <v>2147</v>
      </c>
      <c r="D780" s="58" t="s">
        <v>2993</v>
      </c>
      <c r="E780" s="59" t="s">
        <v>108</v>
      </c>
      <c r="F780" s="59" t="s">
        <v>2970</v>
      </c>
      <c r="G780" s="58" t="s">
        <v>2263</v>
      </c>
    </row>
    <row r="781" spans="1:7">
      <c r="A781" s="304" t="s">
        <v>2264</v>
      </c>
      <c r="B781" s="58" t="s">
        <v>2252</v>
      </c>
      <c r="C781" s="58" t="s">
        <v>2265</v>
      </c>
      <c r="D781" s="58" t="s">
        <v>2993</v>
      </c>
      <c r="E781" s="59" t="s">
        <v>108</v>
      </c>
      <c r="F781" s="59" t="s">
        <v>2970</v>
      </c>
      <c r="G781" s="58" t="s">
        <v>2120</v>
      </c>
    </row>
    <row r="782" spans="1:7">
      <c r="A782" s="304" t="s">
        <v>2266</v>
      </c>
      <c r="B782" s="58" t="s">
        <v>2252</v>
      </c>
      <c r="C782" s="58" t="s">
        <v>2267</v>
      </c>
      <c r="D782" s="58" t="s">
        <v>2993</v>
      </c>
      <c r="E782" s="59" t="s">
        <v>108</v>
      </c>
      <c r="F782" s="59" t="s">
        <v>2970</v>
      </c>
      <c r="G782" s="58" t="s">
        <v>2268</v>
      </c>
    </row>
    <row r="783" spans="1:7">
      <c r="A783" s="304" t="s">
        <v>2269</v>
      </c>
      <c r="B783" s="58" t="s">
        <v>2252</v>
      </c>
      <c r="C783" s="58" t="s">
        <v>2270</v>
      </c>
      <c r="D783" s="58" t="s">
        <v>2993</v>
      </c>
      <c r="E783" s="59" t="s">
        <v>108</v>
      </c>
      <c r="F783" s="59" t="s">
        <v>2970</v>
      </c>
      <c r="G783" s="58" t="s">
        <v>2120</v>
      </c>
    </row>
    <row r="784" spans="1:7" ht="17.25">
      <c r="A784" s="305" t="s">
        <v>2497</v>
      </c>
      <c r="B784" s="76"/>
      <c r="C784" s="76"/>
      <c r="D784" s="76"/>
      <c r="E784" s="77"/>
      <c r="F784" s="76"/>
      <c r="G784" s="76"/>
    </row>
    <row r="785" spans="1:7">
      <c r="A785" s="304" t="s">
        <v>2342</v>
      </c>
      <c r="B785" s="58"/>
      <c r="C785" s="58" t="s">
        <v>2309</v>
      </c>
      <c r="D785" s="58" t="s">
        <v>2993</v>
      </c>
      <c r="E785" s="59" t="s">
        <v>2311</v>
      </c>
      <c r="F785" s="59" t="s">
        <v>2970</v>
      </c>
      <c r="G785" s="58" t="s">
        <v>2343</v>
      </c>
    </row>
    <row r="786" spans="1:7">
      <c r="A786" s="304" t="s">
        <v>2272</v>
      </c>
      <c r="B786" s="58" t="s">
        <v>2273</v>
      </c>
      <c r="C786" s="58" t="s">
        <v>2274</v>
      </c>
      <c r="D786" s="58" t="s">
        <v>2993</v>
      </c>
      <c r="E786" s="59" t="s">
        <v>108</v>
      </c>
      <c r="F786" s="59" t="s">
        <v>2970</v>
      </c>
      <c r="G786" s="58" t="s">
        <v>2275</v>
      </c>
    </row>
    <row r="787" spans="1:7">
      <c r="A787" s="304" t="s">
        <v>2276</v>
      </c>
      <c r="B787" s="58" t="s">
        <v>2248</v>
      </c>
      <c r="C787" s="58" t="s">
        <v>2277</v>
      </c>
      <c r="D787" s="58" t="s">
        <v>2993</v>
      </c>
      <c r="E787" s="59" t="s">
        <v>108</v>
      </c>
      <c r="F787" s="59" t="s">
        <v>2970</v>
      </c>
      <c r="G787" s="58" t="s">
        <v>2278</v>
      </c>
    </row>
    <row r="788" spans="1:7">
      <c r="A788" s="304" t="s">
        <v>2279</v>
      </c>
      <c r="B788" s="58" t="s">
        <v>2280</v>
      </c>
      <c r="C788" s="58" t="s">
        <v>2281</v>
      </c>
      <c r="D788" s="58" t="s">
        <v>2993</v>
      </c>
      <c r="E788" s="59" t="s">
        <v>108</v>
      </c>
      <c r="F788" s="59" t="s">
        <v>2970</v>
      </c>
      <c r="G788" s="58" t="s">
        <v>2282</v>
      </c>
    </row>
    <row r="789" spans="1:7">
      <c r="A789" s="304" t="s">
        <v>2283</v>
      </c>
      <c r="B789" s="58" t="s">
        <v>2273</v>
      </c>
      <c r="C789" s="58" t="s">
        <v>108</v>
      </c>
      <c r="D789" s="58" t="s">
        <v>2993</v>
      </c>
      <c r="E789" s="59" t="s">
        <v>108</v>
      </c>
      <c r="F789" s="59" t="s">
        <v>2970</v>
      </c>
      <c r="G789" s="58" t="s">
        <v>2284</v>
      </c>
    </row>
    <row r="790" spans="1:7">
      <c r="A790" s="304" t="s">
        <v>2344</v>
      </c>
      <c r="B790" s="58" t="s">
        <v>2273</v>
      </c>
      <c r="C790" s="58" t="s">
        <v>2309</v>
      </c>
      <c r="D790" s="58" t="s">
        <v>2993</v>
      </c>
      <c r="E790" s="59" t="s">
        <v>2311</v>
      </c>
      <c r="F790" s="59" t="s">
        <v>2970</v>
      </c>
      <c r="G790" s="58" t="s">
        <v>2345</v>
      </c>
    </row>
    <row r="791" spans="1:7">
      <c r="A791" s="304" t="s">
        <v>2285</v>
      </c>
      <c r="B791" s="58"/>
      <c r="C791" s="58" t="s">
        <v>2135</v>
      </c>
      <c r="D791" s="58" t="s">
        <v>2993</v>
      </c>
      <c r="E791" s="59" t="s">
        <v>2481</v>
      </c>
      <c r="F791" s="59" t="s">
        <v>2970</v>
      </c>
      <c r="G791" s="58" t="s">
        <v>2120</v>
      </c>
    </row>
    <row r="792" spans="1:7">
      <c r="A792" s="304" t="s">
        <v>2286</v>
      </c>
      <c r="B792" s="58"/>
      <c r="C792" s="58" t="s">
        <v>108</v>
      </c>
      <c r="D792" s="58" t="s">
        <v>2993</v>
      </c>
      <c r="E792" s="59" t="s">
        <v>108</v>
      </c>
      <c r="F792" s="59" t="s">
        <v>2970</v>
      </c>
      <c r="G792" s="58" t="s">
        <v>2120</v>
      </c>
    </row>
    <row r="793" spans="1:7">
      <c r="A793" s="304" t="s">
        <v>2287</v>
      </c>
      <c r="B793" s="58" t="s">
        <v>2273</v>
      </c>
      <c r="C793" s="58" t="s">
        <v>2288</v>
      </c>
      <c r="D793" s="58" t="s">
        <v>2993</v>
      </c>
      <c r="E793" s="59" t="s">
        <v>2288</v>
      </c>
      <c r="F793" s="59" t="s">
        <v>2970</v>
      </c>
      <c r="G793" s="58" t="s">
        <v>2289</v>
      </c>
    </row>
    <row r="794" spans="1:7" ht="17.25">
      <c r="A794" s="305" t="s">
        <v>2498</v>
      </c>
      <c r="B794" s="76"/>
      <c r="C794" s="76"/>
      <c r="D794" s="76"/>
      <c r="E794" s="77"/>
      <c r="F794" s="76"/>
      <c r="G794" s="76"/>
    </row>
    <row r="795" spans="1:7">
      <c r="A795" s="304" t="s">
        <v>2291</v>
      </c>
      <c r="B795" s="58"/>
      <c r="C795" s="58" t="s">
        <v>2135</v>
      </c>
      <c r="D795" s="58" t="s">
        <v>2993</v>
      </c>
      <c r="E795" s="59" t="s">
        <v>2481</v>
      </c>
      <c r="F795" s="59" t="s">
        <v>2970</v>
      </c>
      <c r="G795" s="58" t="s">
        <v>2292</v>
      </c>
    </row>
    <row r="796" spans="1:7">
      <c r="A796" s="304" t="s">
        <v>2293</v>
      </c>
      <c r="B796" s="58" t="s">
        <v>2294</v>
      </c>
      <c r="C796" s="58" t="s">
        <v>2295</v>
      </c>
      <c r="D796" s="58" t="s">
        <v>2993</v>
      </c>
      <c r="E796" s="59" t="s">
        <v>108</v>
      </c>
      <c r="F796" s="59" t="s">
        <v>2970</v>
      </c>
      <c r="G796" s="58" t="s">
        <v>2296</v>
      </c>
    </row>
    <row r="797" spans="1:7">
      <c r="A797" s="304" t="s">
        <v>2297</v>
      </c>
      <c r="B797" s="58" t="s">
        <v>2298</v>
      </c>
      <c r="C797" s="58" t="s">
        <v>108</v>
      </c>
      <c r="D797" s="58" t="s">
        <v>2993</v>
      </c>
      <c r="E797" s="59" t="s">
        <v>108</v>
      </c>
      <c r="F797" s="59" t="s">
        <v>2970</v>
      </c>
      <c r="G797" s="58" t="s">
        <v>2299</v>
      </c>
    </row>
    <row r="798" spans="1:7">
      <c r="A798" s="304" t="s">
        <v>2300</v>
      </c>
      <c r="B798" s="58" t="s">
        <v>2294</v>
      </c>
      <c r="C798" s="58" t="s">
        <v>108</v>
      </c>
      <c r="D798" s="58" t="s">
        <v>2993</v>
      </c>
      <c r="E798" s="59" t="s">
        <v>108</v>
      </c>
      <c r="F798" s="59" t="s">
        <v>2970</v>
      </c>
      <c r="G798" s="58" t="s">
        <v>2299</v>
      </c>
    </row>
    <row r="799" spans="1:7">
      <c r="A799" s="304" t="s">
        <v>2301</v>
      </c>
      <c r="B799" s="58" t="s">
        <v>2302</v>
      </c>
      <c r="C799" s="58" t="s">
        <v>2193</v>
      </c>
      <c r="D799" s="58" t="s">
        <v>2993</v>
      </c>
      <c r="E799" s="59" t="s">
        <v>2193</v>
      </c>
      <c r="F799" s="59" t="s">
        <v>2970</v>
      </c>
      <c r="G799" s="58" t="s">
        <v>2303</v>
      </c>
    </row>
    <row r="800" spans="1:7">
      <c r="A800" s="304" t="s">
        <v>2304</v>
      </c>
      <c r="B800" s="58" t="s">
        <v>2305</v>
      </c>
      <c r="C800" s="58" t="s">
        <v>2257</v>
      </c>
      <c r="D800" s="58" t="s">
        <v>2993</v>
      </c>
      <c r="E800" s="59" t="s">
        <v>108</v>
      </c>
      <c r="F800" s="59" t="s">
        <v>2970</v>
      </c>
      <c r="G800" s="58" t="s">
        <v>2306</v>
      </c>
    </row>
    <row r="801" spans="1:7" ht="17.25">
      <c r="A801" s="305" t="s">
        <v>2499</v>
      </c>
      <c r="B801" s="76"/>
      <c r="C801" s="76"/>
      <c r="D801" s="76"/>
      <c r="E801" s="77"/>
      <c r="F801" s="76"/>
      <c r="G801" s="76"/>
    </row>
    <row r="802" spans="1:7">
      <c r="A802" s="304" t="s">
        <v>2352</v>
      </c>
      <c r="B802" s="58"/>
      <c r="C802" s="58" t="s">
        <v>1201</v>
      </c>
      <c r="D802" s="58" t="s">
        <v>2996</v>
      </c>
      <c r="E802" s="59" t="s">
        <v>1201</v>
      </c>
      <c r="F802" s="59" t="s">
        <v>2970</v>
      </c>
      <c r="G802" s="58" t="s">
        <v>2120</v>
      </c>
    </row>
    <row r="803" spans="1:7">
      <c r="A803" s="304" t="s">
        <v>2118</v>
      </c>
      <c r="B803" s="58"/>
      <c r="C803" s="58" t="s">
        <v>2119</v>
      </c>
      <c r="D803" s="58" t="s">
        <v>2996</v>
      </c>
      <c r="E803" s="59" t="s">
        <v>1201</v>
      </c>
      <c r="F803" s="59" t="s">
        <v>2970</v>
      </c>
      <c r="G803" s="58" t="s">
        <v>2120</v>
      </c>
    </row>
    <row r="804" spans="1:7" ht="17.25">
      <c r="A804" s="305" t="s">
        <v>2502</v>
      </c>
      <c r="B804" s="76"/>
      <c r="C804" s="76"/>
      <c r="D804" s="76"/>
      <c r="E804" s="77"/>
      <c r="F804" s="76"/>
      <c r="G804" s="76"/>
    </row>
    <row r="805" spans="1:7">
      <c r="A805" s="304" t="s">
        <v>2144</v>
      </c>
      <c r="B805" s="58" t="s">
        <v>2143</v>
      </c>
      <c r="C805" s="58" t="s">
        <v>2145</v>
      </c>
      <c r="D805" s="58" t="s">
        <v>2996</v>
      </c>
      <c r="E805" s="59" t="s">
        <v>2990</v>
      </c>
      <c r="F805" s="59" t="s">
        <v>2970</v>
      </c>
      <c r="G805" s="58" t="s">
        <v>2120</v>
      </c>
    </row>
    <row r="806" spans="1:7" ht="17.25">
      <c r="A806" s="305" t="s">
        <v>2503</v>
      </c>
      <c r="B806" s="76"/>
      <c r="C806" s="76"/>
      <c r="D806" s="76"/>
      <c r="E806" s="77"/>
      <c r="F806" s="76"/>
      <c r="G806" s="76"/>
    </row>
    <row r="807" spans="1:7">
      <c r="A807" s="304" t="s">
        <v>2465</v>
      </c>
      <c r="B807" s="58" t="s">
        <v>2248</v>
      </c>
      <c r="C807" s="58" t="s">
        <v>2466</v>
      </c>
      <c r="D807" s="58" t="s">
        <v>2996</v>
      </c>
      <c r="E807" s="59" t="s">
        <v>2463</v>
      </c>
      <c r="F807" s="59" t="s">
        <v>2970</v>
      </c>
      <c r="G807" s="58" t="s">
        <v>2120</v>
      </c>
    </row>
    <row r="808" spans="1:7">
      <c r="A808" s="304" t="s">
        <v>2158</v>
      </c>
      <c r="B808" s="58" t="s">
        <v>2155</v>
      </c>
      <c r="C808" s="58" t="s">
        <v>2159</v>
      </c>
      <c r="D808" s="58" t="s">
        <v>2996</v>
      </c>
      <c r="E808" s="59" t="s">
        <v>2463</v>
      </c>
      <c r="F808" s="59" t="s">
        <v>2970</v>
      </c>
      <c r="G808" s="58" t="s">
        <v>2160</v>
      </c>
    </row>
    <row r="809" spans="1:7" ht="17.25">
      <c r="A809" s="305" t="s">
        <v>2510</v>
      </c>
      <c r="B809" s="76"/>
      <c r="C809" s="76"/>
      <c r="D809" s="76"/>
      <c r="E809" s="77"/>
      <c r="F809" s="76"/>
      <c r="G809" s="76"/>
    </row>
    <row r="810" spans="1:7">
      <c r="A810" s="304" t="s">
        <v>2242</v>
      </c>
      <c r="B810" s="58" t="s">
        <v>2220</v>
      </c>
      <c r="C810" s="58" t="s">
        <v>2243</v>
      </c>
      <c r="D810" s="58" t="s">
        <v>2996</v>
      </c>
      <c r="E810" s="59" t="s">
        <v>2997</v>
      </c>
      <c r="F810" s="59" t="s">
        <v>2970</v>
      </c>
      <c r="G810" s="58" t="s">
        <v>2244</v>
      </c>
    </row>
    <row r="811" spans="1:7" ht="17.25">
      <c r="A811" s="305" t="s">
        <v>2511</v>
      </c>
      <c r="B811" s="76"/>
      <c r="C811" s="76"/>
      <c r="D811" s="76"/>
      <c r="E811" s="77"/>
      <c r="F811" s="76"/>
      <c r="G811" s="76"/>
    </row>
    <row r="812" spans="1:7">
      <c r="A812" s="304" t="s">
        <v>2255</v>
      </c>
      <c r="B812" s="58" t="s">
        <v>2256</v>
      </c>
      <c r="C812" s="58" t="s">
        <v>2257</v>
      </c>
      <c r="D812" s="58" t="s">
        <v>2996</v>
      </c>
      <c r="E812" s="59" t="s">
        <v>2463</v>
      </c>
      <c r="F812" s="59" t="s">
        <v>2970</v>
      </c>
      <c r="G812" s="58" t="s">
        <v>2120</v>
      </c>
    </row>
    <row r="813" spans="1:7">
      <c r="A813" s="304" t="s">
        <v>2258</v>
      </c>
      <c r="B813" s="58" t="s">
        <v>2259</v>
      </c>
      <c r="C813" s="58" t="s">
        <v>2260</v>
      </c>
      <c r="D813" s="58" t="s">
        <v>2996</v>
      </c>
      <c r="E813" s="59" t="s">
        <v>2992</v>
      </c>
      <c r="F813" s="59" t="s">
        <v>2970</v>
      </c>
      <c r="G813" s="58" t="s">
        <v>2261</v>
      </c>
    </row>
    <row r="814" spans="1:7" ht="17.25">
      <c r="A814" s="305" t="s">
        <v>2513</v>
      </c>
      <c r="B814" s="76"/>
      <c r="C814" s="76"/>
      <c r="D814" s="76"/>
      <c r="E814" s="77"/>
      <c r="F814" s="76"/>
      <c r="G814" s="76"/>
    </row>
    <row r="815" spans="1:7">
      <c r="A815" s="304" t="s">
        <v>2304</v>
      </c>
      <c r="B815" s="58" t="s">
        <v>2305</v>
      </c>
      <c r="C815" s="58" t="s">
        <v>2257</v>
      </c>
      <c r="D815" s="58" t="s">
        <v>2996</v>
      </c>
      <c r="E815" s="59" t="s">
        <v>2463</v>
      </c>
      <c r="F815" s="59" t="s">
        <v>2970</v>
      </c>
      <c r="G815" s="58" t="s">
        <v>2306</v>
      </c>
    </row>
    <row r="816" spans="1:7">
      <c r="A816" s="304" t="s">
        <v>2477</v>
      </c>
      <c r="B816" s="58" t="s">
        <v>2213</v>
      </c>
      <c r="C816" s="58" t="s">
        <v>2463</v>
      </c>
      <c r="D816" s="58" t="s">
        <v>2996</v>
      </c>
      <c r="E816" s="59" t="s">
        <v>2463</v>
      </c>
      <c r="F816" s="59" t="s">
        <v>2970</v>
      </c>
      <c r="G816" s="58" t="s">
        <v>2292</v>
      </c>
    </row>
    <row r="817" spans="1:7" ht="17.25">
      <c r="A817" s="305" t="s">
        <v>2514</v>
      </c>
      <c r="B817" s="76"/>
      <c r="C817" s="76"/>
      <c r="D817" s="76"/>
      <c r="E817" s="77"/>
      <c r="F817" s="76"/>
      <c r="G817" s="76"/>
    </row>
    <row r="818" spans="1:7">
      <c r="A818" s="304" t="s">
        <v>2308</v>
      </c>
      <c r="B818" s="58" t="s">
        <v>2122</v>
      </c>
      <c r="C818" s="58" t="s">
        <v>2309</v>
      </c>
      <c r="D818" s="58" t="s">
        <v>2998</v>
      </c>
      <c r="E818" s="59" t="s">
        <v>2311</v>
      </c>
      <c r="F818" s="59" t="s">
        <v>2970</v>
      </c>
      <c r="G818" s="58" t="s">
        <v>2312</v>
      </c>
    </row>
    <row r="819" spans="1:7">
      <c r="A819" s="304" t="s">
        <v>2352</v>
      </c>
      <c r="B819" s="58"/>
      <c r="C819" s="58" t="s">
        <v>1201</v>
      </c>
      <c r="D819" s="58" t="s">
        <v>2998</v>
      </c>
      <c r="E819" s="59" t="s">
        <v>1201</v>
      </c>
      <c r="F819" s="59" t="s">
        <v>2970</v>
      </c>
      <c r="G819" s="58" t="s">
        <v>2120</v>
      </c>
    </row>
    <row r="820" spans="1:7">
      <c r="A820" s="304" t="s">
        <v>2118</v>
      </c>
      <c r="B820" s="58"/>
      <c r="C820" s="58" t="s">
        <v>2119</v>
      </c>
      <c r="D820" s="58" t="s">
        <v>2998</v>
      </c>
      <c r="E820" s="59" t="s">
        <v>1201</v>
      </c>
      <c r="F820" s="59" t="s">
        <v>2970</v>
      </c>
      <c r="G820" s="58" t="s">
        <v>2120</v>
      </c>
    </row>
    <row r="821" spans="1:7">
      <c r="A821" s="304" t="s">
        <v>2313</v>
      </c>
      <c r="B821" s="58" t="s">
        <v>2314</v>
      </c>
      <c r="C821" s="58" t="s">
        <v>2309</v>
      </c>
      <c r="D821" s="58" t="s">
        <v>2998</v>
      </c>
      <c r="E821" s="59" t="s">
        <v>2311</v>
      </c>
      <c r="F821" s="59" t="s">
        <v>2970</v>
      </c>
      <c r="G821" s="58" t="s">
        <v>2120</v>
      </c>
    </row>
    <row r="822" spans="1:7">
      <c r="A822" s="304" t="s">
        <v>2315</v>
      </c>
      <c r="B822" s="58" t="s">
        <v>2314</v>
      </c>
      <c r="C822" s="58" t="s">
        <v>2309</v>
      </c>
      <c r="D822" s="58" t="s">
        <v>2998</v>
      </c>
      <c r="E822" s="59" t="s">
        <v>2311</v>
      </c>
      <c r="F822" s="59" t="s">
        <v>2970</v>
      </c>
      <c r="G822" s="58" t="s">
        <v>2120</v>
      </c>
    </row>
    <row r="823" spans="1:7">
      <c r="A823" s="304" t="s">
        <v>2316</v>
      </c>
      <c r="B823" s="58" t="s">
        <v>2124</v>
      </c>
      <c r="C823" s="58" t="s">
        <v>2309</v>
      </c>
      <c r="D823" s="58" t="s">
        <v>2998</v>
      </c>
      <c r="E823" s="59" t="s">
        <v>2311</v>
      </c>
      <c r="F823" s="59" t="s">
        <v>2970</v>
      </c>
      <c r="G823" s="58" t="s">
        <v>2120</v>
      </c>
    </row>
    <row r="824" spans="1:7" ht="17.25">
      <c r="A824" s="305" t="s">
        <v>2516</v>
      </c>
      <c r="B824" s="76"/>
      <c r="C824" s="76"/>
      <c r="D824" s="76"/>
      <c r="E824" s="77"/>
      <c r="F824" s="76"/>
      <c r="G824" s="76"/>
    </row>
    <row r="825" spans="1:7">
      <c r="A825" s="304" t="s">
        <v>2134</v>
      </c>
      <c r="B825" s="58"/>
      <c r="C825" s="58" t="s">
        <v>2135</v>
      </c>
      <c r="D825" s="58" t="s">
        <v>2998</v>
      </c>
      <c r="E825" s="59" t="s">
        <v>2318</v>
      </c>
      <c r="F825" s="59" t="s">
        <v>2970</v>
      </c>
      <c r="G825" s="58" t="s">
        <v>2137</v>
      </c>
    </row>
    <row r="826" spans="1:7" ht="17.25">
      <c r="A826" s="305" t="s">
        <v>2520</v>
      </c>
      <c r="B826" s="76"/>
      <c r="C826" s="76"/>
      <c r="D826" s="76"/>
      <c r="E826" s="77"/>
      <c r="F826" s="76"/>
      <c r="G826" s="76"/>
    </row>
    <row r="827" spans="1:7">
      <c r="A827" s="304" t="s">
        <v>2169</v>
      </c>
      <c r="B827" s="58" t="s">
        <v>2129</v>
      </c>
      <c r="C827" s="58" t="s">
        <v>2170</v>
      </c>
      <c r="D827" s="58" t="s">
        <v>2998</v>
      </c>
      <c r="E827" s="59" t="s">
        <v>2318</v>
      </c>
      <c r="F827" s="59" t="s">
        <v>2970</v>
      </c>
      <c r="G827" s="58" t="s">
        <v>2120</v>
      </c>
    </row>
    <row r="828" spans="1:7">
      <c r="A828" s="304" t="s">
        <v>2171</v>
      </c>
      <c r="B828" s="58" t="s">
        <v>2129</v>
      </c>
      <c r="C828" s="58" t="s">
        <v>2135</v>
      </c>
      <c r="D828" s="58" t="s">
        <v>2998</v>
      </c>
      <c r="E828" s="59" t="s">
        <v>2318</v>
      </c>
      <c r="F828" s="59" t="s">
        <v>2970</v>
      </c>
      <c r="G828" s="58" t="s">
        <v>2120</v>
      </c>
    </row>
    <row r="829" spans="1:7">
      <c r="A829" s="304" t="s">
        <v>2172</v>
      </c>
      <c r="B829" s="58" t="s">
        <v>2129</v>
      </c>
      <c r="C829" s="58" t="s">
        <v>2135</v>
      </c>
      <c r="D829" s="58" t="s">
        <v>2998</v>
      </c>
      <c r="E829" s="59" t="s">
        <v>2318</v>
      </c>
      <c r="F829" s="59" t="s">
        <v>2970</v>
      </c>
      <c r="G829" s="58" t="s">
        <v>2120</v>
      </c>
    </row>
    <row r="830" spans="1:7">
      <c r="A830" s="304" t="s">
        <v>2173</v>
      </c>
      <c r="B830" s="58" t="s">
        <v>2174</v>
      </c>
      <c r="C830" s="58" t="s">
        <v>2135</v>
      </c>
      <c r="D830" s="58" t="s">
        <v>2998</v>
      </c>
      <c r="E830" s="59" t="s">
        <v>2318</v>
      </c>
      <c r="F830" s="59" t="s">
        <v>2970</v>
      </c>
      <c r="G830" s="58" t="s">
        <v>2120</v>
      </c>
    </row>
    <row r="831" spans="1:7">
      <c r="A831" s="304" t="s">
        <v>2175</v>
      </c>
      <c r="B831" s="58"/>
      <c r="C831" s="58" t="s">
        <v>2135</v>
      </c>
      <c r="D831" s="58" t="s">
        <v>2998</v>
      </c>
      <c r="E831" s="59" t="s">
        <v>2318</v>
      </c>
      <c r="F831" s="59" t="s">
        <v>2970</v>
      </c>
      <c r="G831" s="58" t="s">
        <v>2120</v>
      </c>
    </row>
    <row r="832" spans="1:7">
      <c r="A832" s="304" t="s">
        <v>2176</v>
      </c>
      <c r="B832" s="58"/>
      <c r="C832" s="58" t="s">
        <v>2135</v>
      </c>
      <c r="D832" s="58" t="s">
        <v>2998</v>
      </c>
      <c r="E832" s="59" t="s">
        <v>2318</v>
      </c>
      <c r="F832" s="59" t="s">
        <v>2970</v>
      </c>
      <c r="G832" s="58" t="s">
        <v>2120</v>
      </c>
    </row>
    <row r="833" spans="1:7">
      <c r="A833" s="304" t="s">
        <v>2177</v>
      </c>
      <c r="B833" s="58"/>
      <c r="C833" s="58" t="s">
        <v>2135</v>
      </c>
      <c r="D833" s="58" t="s">
        <v>2998</v>
      </c>
      <c r="E833" s="59" t="s">
        <v>2318</v>
      </c>
      <c r="F833" s="59" t="s">
        <v>2970</v>
      </c>
      <c r="G833" s="58" t="s">
        <v>2120</v>
      </c>
    </row>
    <row r="834" spans="1:7" ht="17.25">
      <c r="A834" s="305" t="s">
        <v>2521</v>
      </c>
      <c r="B834" s="76"/>
      <c r="C834" s="76"/>
      <c r="D834" s="76"/>
      <c r="E834" s="77"/>
      <c r="F834" s="76"/>
      <c r="G834" s="76"/>
    </row>
    <row r="835" spans="1:7">
      <c r="A835" s="304" t="s">
        <v>2190</v>
      </c>
      <c r="B835" s="58"/>
      <c r="C835" s="58" t="s">
        <v>2135</v>
      </c>
      <c r="D835" s="58" t="s">
        <v>2998</v>
      </c>
      <c r="E835" s="59" t="s">
        <v>2318</v>
      </c>
      <c r="F835" s="59" t="s">
        <v>2970</v>
      </c>
      <c r="G835" s="58" t="s">
        <v>2120</v>
      </c>
    </row>
    <row r="836" spans="1:7">
      <c r="A836" s="304" t="s">
        <v>2191</v>
      </c>
      <c r="B836" s="58"/>
      <c r="C836" s="58" t="s">
        <v>2135</v>
      </c>
      <c r="D836" s="58" t="s">
        <v>2998</v>
      </c>
      <c r="E836" s="59" t="s">
        <v>2318</v>
      </c>
      <c r="F836" s="59" t="s">
        <v>2970</v>
      </c>
      <c r="G836" s="58" t="s">
        <v>2120</v>
      </c>
    </row>
    <row r="837" spans="1:7" ht="17.25">
      <c r="A837" s="305" t="s">
        <v>2522</v>
      </c>
      <c r="B837" s="76"/>
      <c r="C837" s="76"/>
      <c r="D837" s="76"/>
      <c r="E837" s="77"/>
      <c r="F837" s="76"/>
      <c r="G837" s="76"/>
    </row>
    <row r="838" spans="1:7">
      <c r="A838" s="304" t="s">
        <v>2206</v>
      </c>
      <c r="B838" s="58"/>
      <c r="C838" s="58" t="s">
        <v>2135</v>
      </c>
      <c r="D838" s="58" t="s">
        <v>2998</v>
      </c>
      <c r="E838" s="59" t="s">
        <v>2318</v>
      </c>
      <c r="F838" s="59" t="s">
        <v>2970</v>
      </c>
      <c r="G838" s="58" t="s">
        <v>2120</v>
      </c>
    </row>
    <row r="839" spans="1:7" ht="17.25">
      <c r="A839" s="305" t="s">
        <v>2524</v>
      </c>
      <c r="B839" s="76"/>
      <c r="C839" s="76"/>
      <c r="D839" s="76"/>
      <c r="E839" s="77"/>
      <c r="F839" s="76"/>
      <c r="G839" s="76"/>
    </row>
    <row r="840" spans="1:7">
      <c r="A840" s="304" t="s">
        <v>2328</v>
      </c>
      <c r="B840" s="58" t="s">
        <v>2217</v>
      </c>
      <c r="C840" s="58" t="s">
        <v>2309</v>
      </c>
      <c r="D840" s="58" t="s">
        <v>2998</v>
      </c>
      <c r="E840" s="59" t="s">
        <v>2311</v>
      </c>
      <c r="F840" s="59" t="s">
        <v>2970</v>
      </c>
      <c r="G840" s="58" t="s">
        <v>2329</v>
      </c>
    </row>
    <row r="841" spans="1:7">
      <c r="A841" s="304" t="s">
        <v>2330</v>
      </c>
      <c r="B841" s="58" t="s">
        <v>2331</v>
      </c>
      <c r="C841" s="58" t="s">
        <v>2309</v>
      </c>
      <c r="D841" s="58" t="s">
        <v>2998</v>
      </c>
      <c r="E841" s="59" t="s">
        <v>2311</v>
      </c>
      <c r="F841" s="59" t="s">
        <v>2970</v>
      </c>
      <c r="G841" s="58" t="s">
        <v>2332</v>
      </c>
    </row>
    <row r="842" spans="1:7">
      <c r="A842" s="304" t="s">
        <v>2228</v>
      </c>
      <c r="B842" s="58"/>
      <c r="C842" s="58" t="s">
        <v>2135</v>
      </c>
      <c r="D842" s="58" t="s">
        <v>2998</v>
      </c>
      <c r="E842" s="59" t="s">
        <v>2318</v>
      </c>
      <c r="F842" s="59" t="s">
        <v>2970</v>
      </c>
      <c r="G842" s="58" t="s">
        <v>2120</v>
      </c>
    </row>
    <row r="843" spans="1:7" ht="17.25">
      <c r="A843" s="305" t="s">
        <v>2525</v>
      </c>
      <c r="B843" s="76"/>
      <c r="C843" s="76"/>
      <c r="D843" s="76"/>
      <c r="E843" s="77"/>
      <c r="F843" s="76"/>
      <c r="G843" s="76"/>
    </row>
    <row r="844" spans="1:7">
      <c r="A844" s="304" t="s">
        <v>2242</v>
      </c>
      <c r="B844" s="58" t="s">
        <v>2220</v>
      </c>
      <c r="C844" s="58" t="s">
        <v>2243</v>
      </c>
      <c r="D844" s="58" t="s">
        <v>2998</v>
      </c>
      <c r="E844" s="59" t="s">
        <v>2999</v>
      </c>
      <c r="F844" s="59" t="s">
        <v>2970</v>
      </c>
      <c r="G844" s="58" t="s">
        <v>2244</v>
      </c>
    </row>
    <row r="845" spans="1:7">
      <c r="A845" s="304" t="s">
        <v>2335</v>
      </c>
      <c r="B845" s="58"/>
      <c r="C845" s="58" t="s">
        <v>2309</v>
      </c>
      <c r="D845" s="58" t="s">
        <v>2998</v>
      </c>
      <c r="E845" s="59" t="s">
        <v>2311</v>
      </c>
      <c r="F845" s="59" t="s">
        <v>2970</v>
      </c>
      <c r="G845" s="58" t="s">
        <v>2336</v>
      </c>
    </row>
    <row r="846" spans="1:7">
      <c r="A846" s="304" t="s">
        <v>2337</v>
      </c>
      <c r="B846" s="58" t="s">
        <v>2248</v>
      </c>
      <c r="C846" s="58" t="s">
        <v>2338</v>
      </c>
      <c r="D846" s="58" t="s">
        <v>2998</v>
      </c>
      <c r="E846" s="59" t="s">
        <v>2339</v>
      </c>
      <c r="F846" s="59" t="s">
        <v>2970</v>
      </c>
      <c r="G846" s="58" t="s">
        <v>2120</v>
      </c>
    </row>
    <row r="847" spans="1:7" ht="17.25">
      <c r="A847" s="305" t="s">
        <v>2527</v>
      </c>
      <c r="B847" s="76"/>
      <c r="C847" s="76"/>
      <c r="D847" s="76"/>
      <c r="E847" s="77"/>
      <c r="F847" s="76"/>
      <c r="G847" s="76"/>
    </row>
    <row r="848" spans="1:7">
      <c r="A848" s="304" t="s">
        <v>2258</v>
      </c>
      <c r="B848" s="58" t="s">
        <v>2259</v>
      </c>
      <c r="C848" s="58" t="s">
        <v>2260</v>
      </c>
      <c r="D848" s="58" t="s">
        <v>2998</v>
      </c>
      <c r="E848" s="59" t="s">
        <v>3000</v>
      </c>
      <c r="F848" s="59" t="s">
        <v>2970</v>
      </c>
      <c r="G848" s="58" t="s">
        <v>2261</v>
      </c>
    </row>
    <row r="849" spans="1:7">
      <c r="A849" s="304" t="s">
        <v>3001</v>
      </c>
      <c r="B849" s="58"/>
      <c r="C849" s="58" t="s">
        <v>3002</v>
      </c>
      <c r="D849" s="58" t="s">
        <v>2998</v>
      </c>
      <c r="E849" s="59" t="s">
        <v>3003</v>
      </c>
      <c r="F849" s="59" t="s">
        <v>2970</v>
      </c>
      <c r="G849" s="58" t="s">
        <v>2120</v>
      </c>
    </row>
    <row r="850" spans="1:7" ht="17.25">
      <c r="A850" s="305" t="s">
        <v>2529</v>
      </c>
      <c r="B850" s="76"/>
      <c r="C850" s="76"/>
      <c r="D850" s="76"/>
      <c r="E850" s="77"/>
      <c r="F850" s="76"/>
      <c r="G850" s="76"/>
    </row>
    <row r="851" spans="1:7">
      <c r="A851" s="304" t="s">
        <v>2342</v>
      </c>
      <c r="B851" s="58"/>
      <c r="C851" s="58" t="s">
        <v>2309</v>
      </c>
      <c r="D851" s="58" t="s">
        <v>2998</v>
      </c>
      <c r="E851" s="59" t="s">
        <v>2311</v>
      </c>
      <c r="F851" s="59" t="s">
        <v>2970</v>
      </c>
      <c r="G851" s="58" t="s">
        <v>2343</v>
      </c>
    </row>
    <row r="852" spans="1:7">
      <c r="A852" s="304" t="s">
        <v>2344</v>
      </c>
      <c r="B852" s="58" t="s">
        <v>2273</v>
      </c>
      <c r="C852" s="58" t="s">
        <v>2309</v>
      </c>
      <c r="D852" s="58" t="s">
        <v>2998</v>
      </c>
      <c r="E852" s="59" t="s">
        <v>2311</v>
      </c>
      <c r="F852" s="59" t="s">
        <v>2970</v>
      </c>
      <c r="G852" s="58" t="s">
        <v>2345</v>
      </c>
    </row>
    <row r="853" spans="1:7">
      <c r="A853" s="304" t="s">
        <v>2285</v>
      </c>
      <c r="B853" s="58"/>
      <c r="C853" s="58" t="s">
        <v>2135</v>
      </c>
      <c r="D853" s="58" t="s">
        <v>2998</v>
      </c>
      <c r="E853" s="59" t="s">
        <v>2318</v>
      </c>
      <c r="F853" s="59" t="s">
        <v>2970</v>
      </c>
      <c r="G853" s="58" t="s">
        <v>2120</v>
      </c>
    </row>
    <row r="854" spans="1:7" ht="17.25">
      <c r="A854" s="305" t="s">
        <v>2530</v>
      </c>
      <c r="B854" s="76"/>
      <c r="C854" s="76"/>
      <c r="D854" s="76"/>
      <c r="E854" s="77"/>
      <c r="F854" s="76"/>
      <c r="G854" s="76"/>
    </row>
    <row r="855" spans="1:7">
      <c r="A855" s="304" t="s">
        <v>2291</v>
      </c>
      <c r="B855" s="58"/>
      <c r="C855" s="58" t="s">
        <v>2135</v>
      </c>
      <c r="D855" s="58" t="s">
        <v>2998</v>
      </c>
      <c r="E855" s="59" t="s">
        <v>2318</v>
      </c>
      <c r="F855" s="59" t="s">
        <v>2970</v>
      </c>
      <c r="G855" s="58" t="s">
        <v>2292</v>
      </c>
    </row>
    <row r="856" spans="1:7" ht="17.25">
      <c r="A856" s="305" t="s">
        <v>2766</v>
      </c>
      <c r="B856" s="76"/>
      <c r="C856" s="76"/>
      <c r="D856" s="76"/>
      <c r="E856" s="77"/>
      <c r="F856" s="76"/>
      <c r="G856" s="76"/>
    </row>
    <row r="857" spans="1:7">
      <c r="A857" s="304" t="s">
        <v>2114</v>
      </c>
      <c r="B857" s="58" t="s">
        <v>2115</v>
      </c>
      <c r="C857" s="58" t="s">
        <v>1559</v>
      </c>
      <c r="D857" s="58" t="s">
        <v>3004</v>
      </c>
      <c r="E857" s="59" t="s">
        <v>108</v>
      </c>
      <c r="F857" s="59" t="s">
        <v>2970</v>
      </c>
      <c r="G857" s="58" t="s">
        <v>2117</v>
      </c>
    </row>
    <row r="858" spans="1:7">
      <c r="A858" s="304" t="s">
        <v>2352</v>
      </c>
      <c r="B858" s="58"/>
      <c r="C858" s="58" t="s">
        <v>1201</v>
      </c>
      <c r="D858" s="58" t="s">
        <v>3004</v>
      </c>
      <c r="E858" s="59" t="s">
        <v>1201</v>
      </c>
      <c r="F858" s="59" t="s">
        <v>2970</v>
      </c>
      <c r="G858" s="58" t="s">
        <v>2120</v>
      </c>
    </row>
    <row r="859" spans="1:7">
      <c r="A859" s="304" t="s">
        <v>2118</v>
      </c>
      <c r="B859" s="58"/>
      <c r="C859" s="58" t="s">
        <v>2119</v>
      </c>
      <c r="D859" s="58" t="s">
        <v>3004</v>
      </c>
      <c r="E859" s="59" t="s">
        <v>2119</v>
      </c>
      <c r="F859" s="59" t="s">
        <v>2970</v>
      </c>
      <c r="G859" s="58" t="s">
        <v>2120</v>
      </c>
    </row>
    <row r="860" spans="1:7">
      <c r="A860" s="304" t="s">
        <v>2121</v>
      </c>
      <c r="B860" s="58" t="s">
        <v>2122</v>
      </c>
      <c r="C860" s="58" t="s">
        <v>108</v>
      </c>
      <c r="D860" s="58" t="s">
        <v>3004</v>
      </c>
      <c r="E860" s="59" t="s">
        <v>108</v>
      </c>
      <c r="F860" s="59" t="s">
        <v>2970</v>
      </c>
      <c r="G860" s="58" t="s">
        <v>2120</v>
      </c>
    </row>
    <row r="861" spans="1:7">
      <c r="A861" s="304" t="s">
        <v>2123</v>
      </c>
      <c r="B861" s="58" t="s">
        <v>2124</v>
      </c>
      <c r="C861" s="58" t="s">
        <v>108</v>
      </c>
      <c r="D861" s="58" t="s">
        <v>3004</v>
      </c>
      <c r="E861" s="59" t="s">
        <v>108</v>
      </c>
      <c r="F861" s="59" t="s">
        <v>2970</v>
      </c>
      <c r="G861" s="58" t="s">
        <v>2125</v>
      </c>
    </row>
    <row r="862" spans="1:7">
      <c r="A862" s="304" t="s">
        <v>2126</v>
      </c>
      <c r="B862" s="58"/>
      <c r="C862" s="58" t="s">
        <v>108</v>
      </c>
      <c r="D862" s="58" t="s">
        <v>3004</v>
      </c>
      <c r="E862" s="59" t="s">
        <v>108</v>
      </c>
      <c r="F862" s="59" t="s">
        <v>2970</v>
      </c>
      <c r="G862" s="58" t="s">
        <v>2120</v>
      </c>
    </row>
    <row r="863" spans="1:7" ht="17.25">
      <c r="A863" s="305" t="s">
        <v>2767</v>
      </c>
      <c r="B863" s="76"/>
      <c r="C863" s="76"/>
      <c r="D863" s="76"/>
      <c r="E863" s="77"/>
      <c r="F863" s="76"/>
      <c r="G863" s="76"/>
    </row>
    <row r="864" spans="1:7">
      <c r="A864" s="304" t="s">
        <v>2128</v>
      </c>
      <c r="B864" s="58" t="s">
        <v>2129</v>
      </c>
      <c r="C864" s="58" t="s">
        <v>108</v>
      </c>
      <c r="D864" s="58" t="s">
        <v>3004</v>
      </c>
      <c r="E864" s="59" t="s">
        <v>108</v>
      </c>
      <c r="F864" s="59" t="s">
        <v>2970</v>
      </c>
      <c r="G864" s="58" t="s">
        <v>2120</v>
      </c>
    </row>
    <row r="865" spans="1:7">
      <c r="A865" s="304" t="s">
        <v>2130</v>
      </c>
      <c r="B865" s="58" t="s">
        <v>2131</v>
      </c>
      <c r="C865" s="58" t="s">
        <v>108</v>
      </c>
      <c r="D865" s="58" t="s">
        <v>3004</v>
      </c>
      <c r="E865" s="59" t="s">
        <v>108</v>
      </c>
      <c r="F865" s="59" t="s">
        <v>2970</v>
      </c>
      <c r="G865" s="58" t="s">
        <v>2132</v>
      </c>
    </row>
    <row r="866" spans="1:7">
      <c r="A866" s="304" t="s">
        <v>2133</v>
      </c>
      <c r="B866" s="58" t="s">
        <v>2131</v>
      </c>
      <c r="C866" s="58" t="s">
        <v>108</v>
      </c>
      <c r="D866" s="58" t="s">
        <v>3004</v>
      </c>
      <c r="E866" s="59" t="s">
        <v>108</v>
      </c>
      <c r="F866" s="59" t="s">
        <v>2970</v>
      </c>
      <c r="G866" s="58" t="s">
        <v>2120</v>
      </c>
    </row>
    <row r="867" spans="1:7">
      <c r="A867" s="304" t="s">
        <v>2134</v>
      </c>
      <c r="B867" s="58"/>
      <c r="C867" s="58" t="s">
        <v>2135</v>
      </c>
      <c r="D867" s="58" t="s">
        <v>3004</v>
      </c>
      <c r="E867" s="59" t="s">
        <v>2136</v>
      </c>
      <c r="F867" s="59" t="s">
        <v>2970</v>
      </c>
      <c r="G867" s="58" t="s">
        <v>2137</v>
      </c>
    </row>
    <row r="868" spans="1:7">
      <c r="A868" s="304" t="s">
        <v>2138</v>
      </c>
      <c r="B868" s="58" t="s">
        <v>2139</v>
      </c>
      <c r="C868" s="58" t="s">
        <v>108</v>
      </c>
      <c r="D868" s="58" t="s">
        <v>3004</v>
      </c>
      <c r="E868" s="59" t="s">
        <v>108</v>
      </c>
      <c r="F868" s="59" t="s">
        <v>2970</v>
      </c>
      <c r="G868" s="58" t="s">
        <v>2140</v>
      </c>
    </row>
    <row r="869" spans="1:7" ht="17.25">
      <c r="A869" s="305" t="s">
        <v>3005</v>
      </c>
      <c r="B869" s="76"/>
      <c r="C869" s="76"/>
      <c r="D869" s="76"/>
      <c r="E869" s="77"/>
      <c r="F869" s="76"/>
      <c r="G869" s="76"/>
    </row>
    <row r="870" spans="1:7">
      <c r="A870" s="304" t="s">
        <v>2142</v>
      </c>
      <c r="B870" s="58" t="s">
        <v>2143</v>
      </c>
      <c r="C870" s="58" t="s">
        <v>108</v>
      </c>
      <c r="D870" s="58" t="s">
        <v>3004</v>
      </c>
      <c r="E870" s="59" t="s">
        <v>108</v>
      </c>
      <c r="F870" s="59" t="s">
        <v>2970</v>
      </c>
      <c r="G870" s="58" t="s">
        <v>2120</v>
      </c>
    </row>
    <row r="871" spans="1:7">
      <c r="A871" s="304" t="s">
        <v>2144</v>
      </c>
      <c r="B871" s="58" t="s">
        <v>2143</v>
      </c>
      <c r="C871" s="58" t="s">
        <v>2145</v>
      </c>
      <c r="D871" s="58" t="s">
        <v>3004</v>
      </c>
      <c r="E871" s="59" t="s">
        <v>108</v>
      </c>
      <c r="F871" s="59" t="s">
        <v>2970</v>
      </c>
      <c r="G871" s="58" t="s">
        <v>2120</v>
      </c>
    </row>
    <row r="872" spans="1:7">
      <c r="A872" s="304" t="s">
        <v>2146</v>
      </c>
      <c r="B872" s="58" t="s">
        <v>2143</v>
      </c>
      <c r="C872" s="58" t="s">
        <v>2147</v>
      </c>
      <c r="D872" s="58" t="s">
        <v>3004</v>
      </c>
      <c r="E872" s="59" t="s">
        <v>108</v>
      </c>
      <c r="F872" s="59" t="s">
        <v>2970</v>
      </c>
      <c r="G872" s="58" t="s">
        <v>2148</v>
      </c>
    </row>
    <row r="873" spans="1:7">
      <c r="A873" s="304" t="s">
        <v>2149</v>
      </c>
      <c r="B873" s="58" t="s">
        <v>2143</v>
      </c>
      <c r="C873" s="58" t="s">
        <v>108</v>
      </c>
      <c r="D873" s="58" t="s">
        <v>3004</v>
      </c>
      <c r="E873" s="59" t="s">
        <v>108</v>
      </c>
      <c r="F873" s="59" t="s">
        <v>2970</v>
      </c>
      <c r="G873" s="58" t="s">
        <v>2120</v>
      </c>
    </row>
    <row r="874" spans="1:7" ht="17.25">
      <c r="A874" s="305" t="s">
        <v>3006</v>
      </c>
      <c r="B874" s="76"/>
      <c r="C874" s="76"/>
      <c r="D874" s="76"/>
      <c r="E874" s="77"/>
      <c r="F874" s="76"/>
      <c r="G874" s="76"/>
    </row>
    <row r="875" spans="1:7">
      <c r="A875" s="304" t="s">
        <v>2151</v>
      </c>
      <c r="B875" s="58" t="s">
        <v>2152</v>
      </c>
      <c r="C875" s="58" t="s">
        <v>2153</v>
      </c>
      <c r="D875" s="58" t="s">
        <v>3004</v>
      </c>
      <c r="E875" s="59" t="s">
        <v>108</v>
      </c>
      <c r="F875" s="59" t="s">
        <v>2970</v>
      </c>
      <c r="G875" s="58" t="s">
        <v>2120</v>
      </c>
    </row>
    <row r="876" spans="1:7">
      <c r="A876" s="304" t="s">
        <v>2154</v>
      </c>
      <c r="B876" s="58" t="s">
        <v>2155</v>
      </c>
      <c r="C876" s="58" t="s">
        <v>108</v>
      </c>
      <c r="D876" s="58" t="s">
        <v>3004</v>
      </c>
      <c r="E876" s="59" t="s">
        <v>108</v>
      </c>
      <c r="F876" s="59" t="s">
        <v>2970</v>
      </c>
      <c r="G876" s="58" t="s">
        <v>2120</v>
      </c>
    </row>
    <row r="877" spans="1:7">
      <c r="A877" s="304" t="s">
        <v>2156</v>
      </c>
      <c r="B877" s="58" t="s">
        <v>2152</v>
      </c>
      <c r="C877" s="58" t="s">
        <v>2157</v>
      </c>
      <c r="D877" s="58" t="s">
        <v>3004</v>
      </c>
      <c r="E877" s="59" t="s">
        <v>108</v>
      </c>
      <c r="F877" s="59" t="s">
        <v>2970</v>
      </c>
      <c r="G877" s="58" t="s">
        <v>2120</v>
      </c>
    </row>
    <row r="878" spans="1:7">
      <c r="A878" s="304" t="s">
        <v>2158</v>
      </c>
      <c r="B878" s="58" t="s">
        <v>2155</v>
      </c>
      <c r="C878" s="58" t="s">
        <v>2159</v>
      </c>
      <c r="D878" s="58" t="s">
        <v>3004</v>
      </c>
      <c r="E878" s="59" t="s">
        <v>108</v>
      </c>
      <c r="F878" s="59" t="s">
        <v>2970</v>
      </c>
      <c r="G878" s="58" t="s">
        <v>2160</v>
      </c>
    </row>
    <row r="879" spans="1:7">
      <c r="A879" s="304" t="s">
        <v>2161</v>
      </c>
      <c r="B879" s="58" t="s">
        <v>2162</v>
      </c>
      <c r="C879" s="58" t="s">
        <v>108</v>
      </c>
      <c r="D879" s="58" t="s">
        <v>3004</v>
      </c>
      <c r="E879" s="59" t="s">
        <v>108</v>
      </c>
      <c r="F879" s="59" t="s">
        <v>2970</v>
      </c>
      <c r="G879" s="58" t="s">
        <v>2163</v>
      </c>
    </row>
    <row r="880" spans="1:7">
      <c r="A880" s="304" t="s">
        <v>2164</v>
      </c>
      <c r="B880" s="58" t="s">
        <v>2162</v>
      </c>
      <c r="C880" s="58" t="s">
        <v>108</v>
      </c>
      <c r="D880" s="58" t="s">
        <v>3004</v>
      </c>
      <c r="E880" s="59" t="s">
        <v>108</v>
      </c>
      <c r="F880" s="59" t="s">
        <v>2970</v>
      </c>
      <c r="G880" s="58" t="s">
        <v>2120</v>
      </c>
    </row>
    <row r="881" spans="1:7" ht="17.25">
      <c r="A881" s="305" t="s">
        <v>2768</v>
      </c>
      <c r="B881" s="76"/>
      <c r="C881" s="76"/>
      <c r="D881" s="76"/>
      <c r="E881" s="77"/>
      <c r="F881" s="76"/>
      <c r="G881" s="76"/>
    </row>
    <row r="882" spans="1:7">
      <c r="A882" s="304" t="s">
        <v>2166</v>
      </c>
      <c r="B882" s="58" t="s">
        <v>2167</v>
      </c>
      <c r="C882" s="58" t="s">
        <v>108</v>
      </c>
      <c r="D882" s="58" t="s">
        <v>3004</v>
      </c>
      <c r="E882" s="59" t="s">
        <v>108</v>
      </c>
      <c r="F882" s="59" t="s">
        <v>2970</v>
      </c>
      <c r="G882" s="58" t="s">
        <v>2168</v>
      </c>
    </row>
    <row r="883" spans="1:7">
      <c r="A883" s="304" t="s">
        <v>2169</v>
      </c>
      <c r="B883" s="58" t="s">
        <v>2129</v>
      </c>
      <c r="C883" s="58" t="s">
        <v>2170</v>
      </c>
      <c r="D883" s="58" t="s">
        <v>3004</v>
      </c>
      <c r="E883" s="59" t="s">
        <v>2136</v>
      </c>
      <c r="F883" s="59" t="s">
        <v>2970</v>
      </c>
      <c r="G883" s="58" t="s">
        <v>2120</v>
      </c>
    </row>
    <row r="884" spans="1:7">
      <c r="A884" s="304" t="s">
        <v>2171</v>
      </c>
      <c r="B884" s="58" t="s">
        <v>2129</v>
      </c>
      <c r="C884" s="58" t="s">
        <v>2135</v>
      </c>
      <c r="D884" s="58" t="s">
        <v>3004</v>
      </c>
      <c r="E884" s="59" t="s">
        <v>2136</v>
      </c>
      <c r="F884" s="59" t="s">
        <v>2970</v>
      </c>
      <c r="G884" s="58" t="s">
        <v>2120</v>
      </c>
    </row>
    <row r="885" spans="1:7">
      <c r="A885" s="304" t="s">
        <v>2172</v>
      </c>
      <c r="B885" s="58" t="s">
        <v>2129</v>
      </c>
      <c r="C885" s="58" t="s">
        <v>2135</v>
      </c>
      <c r="D885" s="58" t="s">
        <v>3004</v>
      </c>
      <c r="E885" s="59" t="s">
        <v>2136</v>
      </c>
      <c r="F885" s="59" t="s">
        <v>2970</v>
      </c>
      <c r="G885" s="58" t="s">
        <v>2120</v>
      </c>
    </row>
    <row r="886" spans="1:7">
      <c r="A886" s="304" t="s">
        <v>2173</v>
      </c>
      <c r="B886" s="58" t="s">
        <v>2174</v>
      </c>
      <c r="C886" s="58" t="s">
        <v>2135</v>
      </c>
      <c r="D886" s="58" t="s">
        <v>3004</v>
      </c>
      <c r="E886" s="59" t="s">
        <v>2136</v>
      </c>
      <c r="F886" s="59" t="s">
        <v>2970</v>
      </c>
      <c r="G886" s="58" t="s">
        <v>2120</v>
      </c>
    </row>
    <row r="887" spans="1:7">
      <c r="A887" s="304" t="s">
        <v>2175</v>
      </c>
      <c r="B887" s="58"/>
      <c r="C887" s="58" t="s">
        <v>2135</v>
      </c>
      <c r="D887" s="58" t="s">
        <v>3004</v>
      </c>
      <c r="E887" s="59" t="s">
        <v>2136</v>
      </c>
      <c r="F887" s="59" t="s">
        <v>2970</v>
      </c>
      <c r="G887" s="58" t="s">
        <v>2120</v>
      </c>
    </row>
    <row r="888" spans="1:7">
      <c r="A888" s="304" t="s">
        <v>2176</v>
      </c>
      <c r="B888" s="58"/>
      <c r="C888" s="58" t="s">
        <v>2135</v>
      </c>
      <c r="D888" s="58" t="s">
        <v>3004</v>
      </c>
      <c r="E888" s="59" t="s">
        <v>2136</v>
      </c>
      <c r="F888" s="59" t="s">
        <v>2970</v>
      </c>
      <c r="G888" s="58" t="s">
        <v>2120</v>
      </c>
    </row>
    <row r="889" spans="1:7">
      <c r="A889" s="304" t="s">
        <v>2177</v>
      </c>
      <c r="B889" s="58"/>
      <c r="C889" s="58" t="s">
        <v>2135</v>
      </c>
      <c r="D889" s="58" t="s">
        <v>3004</v>
      </c>
      <c r="E889" s="59" t="s">
        <v>2136</v>
      </c>
      <c r="F889" s="59" t="s">
        <v>2970</v>
      </c>
      <c r="G889" s="58" t="s">
        <v>2120</v>
      </c>
    </row>
    <row r="890" spans="1:7" ht="17.25">
      <c r="A890" s="305" t="s">
        <v>2769</v>
      </c>
      <c r="B890" s="76"/>
      <c r="C890" s="76"/>
      <c r="D890" s="76"/>
      <c r="E890" s="77"/>
      <c r="F890" s="76"/>
      <c r="G890" s="76"/>
    </row>
    <row r="891" spans="1:7">
      <c r="A891" s="304" t="s">
        <v>2179</v>
      </c>
      <c r="B891" s="58" t="s">
        <v>2180</v>
      </c>
      <c r="C891" s="58" t="s">
        <v>108</v>
      </c>
      <c r="D891" s="58" t="s">
        <v>3004</v>
      </c>
      <c r="E891" s="59" t="s">
        <v>108</v>
      </c>
      <c r="F891" s="59" t="s">
        <v>2970</v>
      </c>
      <c r="G891" s="58" t="s">
        <v>2120</v>
      </c>
    </row>
    <row r="892" spans="1:7">
      <c r="A892" s="304" t="s">
        <v>2181</v>
      </c>
      <c r="B892" s="58" t="s">
        <v>2182</v>
      </c>
      <c r="C892" s="58" t="s">
        <v>108</v>
      </c>
      <c r="D892" s="58" t="s">
        <v>3004</v>
      </c>
      <c r="E892" s="59" t="s">
        <v>108</v>
      </c>
      <c r="F892" s="59" t="s">
        <v>2970</v>
      </c>
      <c r="G892" s="58" t="s">
        <v>2120</v>
      </c>
    </row>
    <row r="893" spans="1:7">
      <c r="A893" s="304" t="s">
        <v>2183</v>
      </c>
      <c r="B893" s="58" t="s">
        <v>2182</v>
      </c>
      <c r="C893" s="58" t="s">
        <v>2184</v>
      </c>
      <c r="D893" s="58" t="s">
        <v>3004</v>
      </c>
      <c r="E893" s="59" t="s">
        <v>108</v>
      </c>
      <c r="F893" s="59" t="s">
        <v>2970</v>
      </c>
      <c r="G893" s="58" t="s">
        <v>2185</v>
      </c>
    </row>
    <row r="894" spans="1:7">
      <c r="A894" s="304" t="s">
        <v>2186</v>
      </c>
      <c r="B894" s="58" t="s">
        <v>2187</v>
      </c>
      <c r="C894" s="58" t="s">
        <v>108</v>
      </c>
      <c r="D894" s="58" t="s">
        <v>3004</v>
      </c>
      <c r="E894" s="59" t="s">
        <v>108</v>
      </c>
      <c r="F894" s="59" t="s">
        <v>2970</v>
      </c>
      <c r="G894" s="58" t="s">
        <v>2120</v>
      </c>
    </row>
    <row r="895" spans="1:7">
      <c r="A895" s="304" t="s">
        <v>2188</v>
      </c>
      <c r="B895" s="58"/>
      <c r="C895" s="58" t="s">
        <v>2189</v>
      </c>
      <c r="D895" s="58" t="s">
        <v>3004</v>
      </c>
      <c r="E895" s="59" t="s">
        <v>108</v>
      </c>
      <c r="F895" s="59" t="s">
        <v>2970</v>
      </c>
      <c r="G895" s="58" t="s">
        <v>2120</v>
      </c>
    </row>
    <row r="896" spans="1:7">
      <c r="A896" s="304" t="s">
        <v>2190</v>
      </c>
      <c r="B896" s="58"/>
      <c r="C896" s="58" t="s">
        <v>2135</v>
      </c>
      <c r="D896" s="58" t="s">
        <v>3004</v>
      </c>
      <c r="E896" s="59" t="s">
        <v>2136</v>
      </c>
      <c r="F896" s="59" t="s">
        <v>2970</v>
      </c>
      <c r="G896" s="58" t="s">
        <v>2120</v>
      </c>
    </row>
    <row r="897" spans="1:7">
      <c r="A897" s="304" t="s">
        <v>2191</v>
      </c>
      <c r="B897" s="58"/>
      <c r="C897" s="58" t="s">
        <v>2135</v>
      </c>
      <c r="D897" s="58" t="s">
        <v>3004</v>
      </c>
      <c r="E897" s="59" t="s">
        <v>2136</v>
      </c>
      <c r="F897" s="59" t="s">
        <v>2970</v>
      </c>
      <c r="G897" s="58" t="s">
        <v>2120</v>
      </c>
    </row>
    <row r="898" spans="1:7">
      <c r="A898" s="304" t="s">
        <v>2192</v>
      </c>
      <c r="B898" s="58" t="s">
        <v>2182</v>
      </c>
      <c r="C898" s="58" t="s">
        <v>2193</v>
      </c>
      <c r="D898" s="58" t="s">
        <v>3004</v>
      </c>
      <c r="E898" s="59" t="s">
        <v>2193</v>
      </c>
      <c r="F898" s="59" t="s">
        <v>2970</v>
      </c>
      <c r="G898" s="58" t="s">
        <v>2120</v>
      </c>
    </row>
    <row r="899" spans="1:7">
      <c r="A899" s="304" t="s">
        <v>2194</v>
      </c>
      <c r="B899" s="58" t="s">
        <v>2187</v>
      </c>
      <c r="C899" s="58" t="s">
        <v>108</v>
      </c>
      <c r="D899" s="58" t="s">
        <v>3004</v>
      </c>
      <c r="E899" s="59" t="s">
        <v>108</v>
      </c>
      <c r="F899" s="59" t="s">
        <v>2970</v>
      </c>
      <c r="G899" s="58" t="s">
        <v>2120</v>
      </c>
    </row>
    <row r="900" spans="1:7" ht="17.25">
      <c r="A900" s="305" t="s">
        <v>2770</v>
      </c>
      <c r="B900" s="76"/>
      <c r="C900" s="76"/>
      <c r="D900" s="76"/>
      <c r="E900" s="77"/>
      <c r="F900" s="76"/>
      <c r="G900" s="76"/>
    </row>
    <row r="901" spans="1:7">
      <c r="A901" s="304" t="s">
        <v>2196</v>
      </c>
      <c r="B901" s="58"/>
      <c r="C901" s="58" t="s">
        <v>2193</v>
      </c>
      <c r="D901" s="58" t="s">
        <v>3004</v>
      </c>
      <c r="E901" s="59" t="s">
        <v>2193</v>
      </c>
      <c r="F901" s="59" t="s">
        <v>2970</v>
      </c>
      <c r="G901" s="58" t="s">
        <v>2120</v>
      </c>
    </row>
    <row r="902" spans="1:7">
      <c r="A902" s="304" t="s">
        <v>2197</v>
      </c>
      <c r="B902" s="58"/>
      <c r="C902" s="58" t="s">
        <v>2193</v>
      </c>
      <c r="D902" s="58" t="s">
        <v>3004</v>
      </c>
      <c r="E902" s="59" t="s">
        <v>2193</v>
      </c>
      <c r="F902" s="59" t="s">
        <v>2970</v>
      </c>
      <c r="G902" s="58" t="s">
        <v>2120</v>
      </c>
    </row>
    <row r="903" spans="1:7">
      <c r="A903" s="304" t="s">
        <v>2198</v>
      </c>
      <c r="B903" s="58"/>
      <c r="C903" s="58" t="s">
        <v>2199</v>
      </c>
      <c r="D903" s="58" t="s">
        <v>3004</v>
      </c>
      <c r="E903" s="59" t="s">
        <v>2193</v>
      </c>
      <c r="F903" s="59" t="s">
        <v>2970</v>
      </c>
      <c r="G903" s="58" t="s">
        <v>2120</v>
      </c>
    </row>
    <row r="904" spans="1:7">
      <c r="A904" s="304" t="s">
        <v>2200</v>
      </c>
      <c r="B904" s="58" t="s">
        <v>2182</v>
      </c>
      <c r="C904" s="58" t="s">
        <v>108</v>
      </c>
      <c r="D904" s="58" t="s">
        <v>3004</v>
      </c>
      <c r="E904" s="59" t="s">
        <v>108</v>
      </c>
      <c r="F904" s="59" t="s">
        <v>2970</v>
      </c>
      <c r="G904" s="58" t="s">
        <v>2120</v>
      </c>
    </row>
    <row r="905" spans="1:7">
      <c r="A905" s="304" t="s">
        <v>2201</v>
      </c>
      <c r="B905" s="58" t="s">
        <v>2182</v>
      </c>
      <c r="C905" s="58" t="s">
        <v>108</v>
      </c>
      <c r="D905" s="58" t="s">
        <v>3004</v>
      </c>
      <c r="E905" s="59" t="s">
        <v>108</v>
      </c>
      <c r="F905" s="59" t="s">
        <v>2970</v>
      </c>
      <c r="G905" s="58" t="s">
        <v>2120</v>
      </c>
    </row>
    <row r="906" spans="1:7">
      <c r="A906" s="304" t="s">
        <v>2202</v>
      </c>
      <c r="B906" s="58" t="s">
        <v>2174</v>
      </c>
      <c r="C906" s="58" t="s">
        <v>108</v>
      </c>
      <c r="D906" s="58" t="s">
        <v>3004</v>
      </c>
      <c r="E906" s="59" t="s">
        <v>108</v>
      </c>
      <c r="F906" s="59" t="s">
        <v>2970</v>
      </c>
      <c r="G906" s="58" t="s">
        <v>2120</v>
      </c>
    </row>
    <row r="907" spans="1:7">
      <c r="A907" s="304" t="s">
        <v>2203</v>
      </c>
      <c r="B907" s="58" t="s">
        <v>2204</v>
      </c>
      <c r="C907" s="58" t="s">
        <v>2193</v>
      </c>
      <c r="D907" s="58" t="s">
        <v>3004</v>
      </c>
      <c r="E907" s="59" t="s">
        <v>2193</v>
      </c>
      <c r="F907" s="59" t="s">
        <v>2970</v>
      </c>
      <c r="G907" s="58" t="s">
        <v>2120</v>
      </c>
    </row>
    <row r="908" spans="1:7">
      <c r="A908" s="304" t="s">
        <v>2205</v>
      </c>
      <c r="B908" s="58" t="s">
        <v>2204</v>
      </c>
      <c r="C908" s="58" t="s">
        <v>2193</v>
      </c>
      <c r="D908" s="58" t="s">
        <v>3004</v>
      </c>
      <c r="E908" s="59" t="s">
        <v>2193</v>
      </c>
      <c r="F908" s="59" t="s">
        <v>2970</v>
      </c>
      <c r="G908" s="58" t="s">
        <v>2120</v>
      </c>
    </row>
    <row r="909" spans="1:7">
      <c r="A909" s="304" t="s">
        <v>2206</v>
      </c>
      <c r="B909" s="58"/>
      <c r="C909" s="58" t="s">
        <v>2135</v>
      </c>
      <c r="D909" s="58" t="s">
        <v>3004</v>
      </c>
      <c r="E909" s="59" t="s">
        <v>2136</v>
      </c>
      <c r="F909" s="59" t="s">
        <v>2970</v>
      </c>
      <c r="G909" s="58" t="s">
        <v>2120</v>
      </c>
    </row>
    <row r="910" spans="1:7">
      <c r="A910" s="304" t="s">
        <v>2207</v>
      </c>
      <c r="B910" s="58" t="s">
        <v>2204</v>
      </c>
      <c r="C910" s="58" t="s">
        <v>108</v>
      </c>
      <c r="D910" s="58" t="s">
        <v>3004</v>
      </c>
      <c r="E910" s="59" t="s">
        <v>108</v>
      </c>
      <c r="F910" s="59" t="s">
        <v>2970</v>
      </c>
      <c r="G910" s="58" t="s">
        <v>2208</v>
      </c>
    </row>
    <row r="911" spans="1:7" ht="17.25">
      <c r="A911" s="305" t="s">
        <v>3007</v>
      </c>
      <c r="B911" s="76"/>
      <c r="C911" s="76"/>
      <c r="D911" s="76"/>
      <c r="E911" s="77"/>
      <c r="F911" s="76"/>
      <c r="G911" s="76"/>
    </row>
    <row r="912" spans="1:7">
      <c r="A912" s="304" t="s">
        <v>2210</v>
      </c>
      <c r="B912" s="58" t="s">
        <v>2211</v>
      </c>
      <c r="C912" s="58" t="s">
        <v>108</v>
      </c>
      <c r="D912" s="58" t="s">
        <v>3004</v>
      </c>
      <c r="E912" s="59" t="s">
        <v>108</v>
      </c>
      <c r="F912" s="59" t="s">
        <v>2970</v>
      </c>
      <c r="G912" s="58" t="s">
        <v>2120</v>
      </c>
    </row>
    <row r="913" spans="1:7">
      <c r="A913" s="304" t="s">
        <v>2212</v>
      </c>
      <c r="B913" s="58" t="s">
        <v>2213</v>
      </c>
      <c r="C913" s="58" t="s">
        <v>108</v>
      </c>
      <c r="D913" s="58" t="s">
        <v>3004</v>
      </c>
      <c r="E913" s="59" t="s">
        <v>108</v>
      </c>
      <c r="F913" s="59" t="s">
        <v>2970</v>
      </c>
      <c r="G913" s="58" t="s">
        <v>2120</v>
      </c>
    </row>
    <row r="914" spans="1:7">
      <c r="A914" s="304" t="s">
        <v>2214</v>
      </c>
      <c r="B914" s="58" t="s">
        <v>2213</v>
      </c>
      <c r="C914" s="58" t="s">
        <v>108</v>
      </c>
      <c r="D914" s="58" t="s">
        <v>3004</v>
      </c>
      <c r="E914" s="59" t="s">
        <v>108</v>
      </c>
      <c r="F914" s="59" t="s">
        <v>2970</v>
      </c>
      <c r="G914" s="58" t="s">
        <v>2120</v>
      </c>
    </row>
    <row r="915" spans="1:7" ht="17.25">
      <c r="A915" s="305" t="s">
        <v>2771</v>
      </c>
      <c r="B915" s="76"/>
      <c r="C915" s="76"/>
      <c r="D915" s="76"/>
      <c r="E915" s="77"/>
      <c r="F915" s="76"/>
      <c r="G915" s="76"/>
    </row>
    <row r="916" spans="1:7">
      <c r="A916" s="304" t="s">
        <v>2216</v>
      </c>
      <c r="B916" s="58" t="s">
        <v>2217</v>
      </c>
      <c r="C916" s="58" t="s">
        <v>2193</v>
      </c>
      <c r="D916" s="58" t="s">
        <v>3004</v>
      </c>
      <c r="E916" s="59" t="s">
        <v>2193</v>
      </c>
      <c r="F916" s="59" t="s">
        <v>2970</v>
      </c>
      <c r="G916" s="58" t="s">
        <v>2218</v>
      </c>
    </row>
    <row r="917" spans="1:7">
      <c r="A917" s="304" t="s">
        <v>2219</v>
      </c>
      <c r="B917" s="58" t="s">
        <v>2220</v>
      </c>
      <c r="C917" s="58" t="s">
        <v>108</v>
      </c>
      <c r="D917" s="58" t="s">
        <v>3004</v>
      </c>
      <c r="E917" s="59" t="s">
        <v>108</v>
      </c>
      <c r="F917" s="59" t="s">
        <v>2970</v>
      </c>
      <c r="G917" s="58" t="s">
        <v>2221</v>
      </c>
    </row>
    <row r="918" spans="1:7">
      <c r="A918" s="304" t="s">
        <v>2222</v>
      </c>
      <c r="B918" s="58" t="s">
        <v>2223</v>
      </c>
      <c r="C918" s="58" t="s">
        <v>108</v>
      </c>
      <c r="D918" s="58" t="s">
        <v>3004</v>
      </c>
      <c r="E918" s="59" t="s">
        <v>108</v>
      </c>
      <c r="F918" s="59" t="s">
        <v>2970</v>
      </c>
      <c r="G918" s="58" t="s">
        <v>2224</v>
      </c>
    </row>
    <row r="919" spans="1:7">
      <c r="A919" s="304" t="s">
        <v>2225</v>
      </c>
      <c r="B919" s="58" t="s">
        <v>2226</v>
      </c>
      <c r="C919" s="58" t="s">
        <v>108</v>
      </c>
      <c r="D919" s="58" t="s">
        <v>3004</v>
      </c>
      <c r="E919" s="59" t="s">
        <v>108</v>
      </c>
      <c r="F919" s="59" t="s">
        <v>2970</v>
      </c>
      <c r="G919" s="58" t="s">
        <v>2227</v>
      </c>
    </row>
    <row r="920" spans="1:7">
      <c r="A920" s="304" t="s">
        <v>2228</v>
      </c>
      <c r="B920" s="58"/>
      <c r="C920" s="58" t="s">
        <v>2135</v>
      </c>
      <c r="D920" s="58" t="s">
        <v>3004</v>
      </c>
      <c r="E920" s="59" t="s">
        <v>2136</v>
      </c>
      <c r="F920" s="59" t="s">
        <v>2970</v>
      </c>
      <c r="G920" s="58" t="s">
        <v>2120</v>
      </c>
    </row>
    <row r="921" spans="1:7" ht="17.25">
      <c r="A921" s="305" t="s">
        <v>2772</v>
      </c>
      <c r="B921" s="76"/>
      <c r="C921" s="76"/>
      <c r="D921" s="76"/>
      <c r="E921" s="77"/>
      <c r="F921" s="76"/>
      <c r="G921" s="76"/>
    </row>
    <row r="922" spans="1:7">
      <c r="A922" s="304" t="s">
        <v>2230</v>
      </c>
      <c r="B922" s="58" t="s">
        <v>2220</v>
      </c>
      <c r="C922" s="58" t="s">
        <v>108</v>
      </c>
      <c r="D922" s="58" t="s">
        <v>3004</v>
      </c>
      <c r="E922" s="59" t="s">
        <v>108</v>
      </c>
      <c r="F922" s="59" t="s">
        <v>2970</v>
      </c>
      <c r="G922" s="58" t="s">
        <v>2231</v>
      </c>
    </row>
    <row r="923" spans="1:7">
      <c r="A923" s="304" t="s">
        <v>2232</v>
      </c>
      <c r="B923" s="58" t="s">
        <v>2220</v>
      </c>
      <c r="C923" s="58" t="s">
        <v>108</v>
      </c>
      <c r="D923" s="58" t="s">
        <v>3004</v>
      </c>
      <c r="E923" s="59" t="s">
        <v>108</v>
      </c>
      <c r="F923" s="59" t="s">
        <v>2970</v>
      </c>
      <c r="G923" s="58" t="s">
        <v>2120</v>
      </c>
    </row>
    <row r="924" spans="1:7">
      <c r="A924" s="304" t="s">
        <v>2233</v>
      </c>
      <c r="B924" s="58" t="s">
        <v>2234</v>
      </c>
      <c r="C924" s="58" t="s">
        <v>108</v>
      </c>
      <c r="D924" s="58" t="s">
        <v>3004</v>
      </c>
      <c r="E924" s="59" t="s">
        <v>108</v>
      </c>
      <c r="F924" s="59" t="s">
        <v>2970</v>
      </c>
      <c r="G924" s="58" t="s">
        <v>2235</v>
      </c>
    </row>
    <row r="925" spans="1:7">
      <c r="A925" s="304" t="s">
        <v>2236</v>
      </c>
      <c r="B925" s="58" t="s">
        <v>2237</v>
      </c>
      <c r="C925" s="58" t="s">
        <v>108</v>
      </c>
      <c r="D925" s="58" t="s">
        <v>3004</v>
      </c>
      <c r="E925" s="59" t="s">
        <v>108</v>
      </c>
      <c r="F925" s="59" t="s">
        <v>2970</v>
      </c>
      <c r="G925" s="58" t="s">
        <v>2231</v>
      </c>
    </row>
    <row r="926" spans="1:7">
      <c r="A926" s="304" t="s">
        <v>2238</v>
      </c>
      <c r="B926" s="58" t="s">
        <v>2237</v>
      </c>
      <c r="C926" s="58" t="s">
        <v>108</v>
      </c>
      <c r="D926" s="58" t="s">
        <v>3004</v>
      </c>
      <c r="E926" s="59" t="s">
        <v>108</v>
      </c>
      <c r="F926" s="59" t="s">
        <v>2970</v>
      </c>
      <c r="G926" s="58" t="s">
        <v>2239</v>
      </c>
    </row>
    <row r="927" spans="1:7">
      <c r="A927" s="304" t="s">
        <v>2240</v>
      </c>
      <c r="B927" s="58" t="s">
        <v>2241</v>
      </c>
      <c r="C927" s="58" t="s">
        <v>2193</v>
      </c>
      <c r="D927" s="58" t="s">
        <v>3004</v>
      </c>
      <c r="E927" s="59" t="s">
        <v>2193</v>
      </c>
      <c r="F927" s="59" t="s">
        <v>2970</v>
      </c>
      <c r="G927" s="58" t="s">
        <v>2120</v>
      </c>
    </row>
    <row r="928" spans="1:7">
      <c r="A928" s="304" t="s">
        <v>2242</v>
      </c>
      <c r="B928" s="58" t="s">
        <v>2220</v>
      </c>
      <c r="C928" s="58" t="s">
        <v>2243</v>
      </c>
      <c r="D928" s="58" t="s">
        <v>3004</v>
      </c>
      <c r="E928" s="59" t="s">
        <v>2962</v>
      </c>
      <c r="F928" s="59" t="s">
        <v>2970</v>
      </c>
      <c r="G928" s="58" t="s">
        <v>2244</v>
      </c>
    </row>
    <row r="929" spans="1:7">
      <c r="A929" s="304" t="s">
        <v>2245</v>
      </c>
      <c r="B929" s="58" t="s">
        <v>2241</v>
      </c>
      <c r="C929" s="58" t="s">
        <v>2246</v>
      </c>
      <c r="D929" s="58" t="s">
        <v>3004</v>
      </c>
      <c r="E929" s="59" t="s">
        <v>108</v>
      </c>
      <c r="F929" s="59" t="s">
        <v>2970</v>
      </c>
      <c r="G929" s="58" t="s">
        <v>2120</v>
      </c>
    </row>
    <row r="930" spans="1:7">
      <c r="A930" s="304" t="s">
        <v>2247</v>
      </c>
      <c r="B930" s="58" t="s">
        <v>2248</v>
      </c>
      <c r="C930" s="58" t="s">
        <v>108</v>
      </c>
      <c r="D930" s="58" t="s">
        <v>3004</v>
      </c>
      <c r="E930" s="59" t="s">
        <v>108</v>
      </c>
      <c r="F930" s="59" t="s">
        <v>2970</v>
      </c>
      <c r="G930" s="58" t="s">
        <v>2249</v>
      </c>
    </row>
    <row r="931" spans="1:7" ht="17.25">
      <c r="A931" s="305" t="s">
        <v>2774</v>
      </c>
      <c r="B931" s="76"/>
      <c r="C931" s="76"/>
      <c r="D931" s="76"/>
      <c r="E931" s="77"/>
      <c r="F931" s="76"/>
      <c r="G931" s="76"/>
    </row>
    <row r="932" spans="1:7">
      <c r="A932" s="304" t="s">
        <v>2251</v>
      </c>
      <c r="B932" s="58" t="s">
        <v>2252</v>
      </c>
      <c r="C932" s="58" t="s">
        <v>108</v>
      </c>
      <c r="D932" s="58" t="s">
        <v>3004</v>
      </c>
      <c r="E932" s="59" t="s">
        <v>108</v>
      </c>
      <c r="F932" s="59" t="s">
        <v>2970</v>
      </c>
      <c r="G932" s="58" t="s">
        <v>2120</v>
      </c>
    </row>
    <row r="933" spans="1:7">
      <c r="A933" s="304" t="s">
        <v>2253</v>
      </c>
      <c r="B933" s="58" t="s">
        <v>2252</v>
      </c>
      <c r="C933" s="58" t="s">
        <v>2193</v>
      </c>
      <c r="D933" s="58" t="s">
        <v>3004</v>
      </c>
      <c r="E933" s="59" t="s">
        <v>2193</v>
      </c>
      <c r="F933" s="59" t="s">
        <v>2970</v>
      </c>
      <c r="G933" s="58" t="s">
        <v>2254</v>
      </c>
    </row>
    <row r="934" spans="1:7">
      <c r="A934" s="304" t="s">
        <v>2255</v>
      </c>
      <c r="B934" s="58" t="s">
        <v>2256</v>
      </c>
      <c r="C934" s="58" t="s">
        <v>2257</v>
      </c>
      <c r="D934" s="58" t="s">
        <v>3004</v>
      </c>
      <c r="E934" s="59" t="s">
        <v>108</v>
      </c>
      <c r="F934" s="59" t="s">
        <v>2970</v>
      </c>
      <c r="G934" s="58" t="s">
        <v>2120</v>
      </c>
    </row>
    <row r="935" spans="1:7">
      <c r="A935" s="304" t="s">
        <v>2258</v>
      </c>
      <c r="B935" s="58" t="s">
        <v>2259</v>
      </c>
      <c r="C935" s="58" t="s">
        <v>2260</v>
      </c>
      <c r="D935" s="58" t="s">
        <v>3004</v>
      </c>
      <c r="E935" s="59" t="s">
        <v>2964</v>
      </c>
      <c r="F935" s="59" t="s">
        <v>2970</v>
      </c>
      <c r="G935" s="58" t="s">
        <v>2261</v>
      </c>
    </row>
    <row r="936" spans="1:7">
      <c r="A936" s="304" t="s">
        <v>2262</v>
      </c>
      <c r="B936" s="58" t="s">
        <v>2259</v>
      </c>
      <c r="C936" s="58" t="s">
        <v>2147</v>
      </c>
      <c r="D936" s="58" t="s">
        <v>3004</v>
      </c>
      <c r="E936" s="59" t="s">
        <v>108</v>
      </c>
      <c r="F936" s="59" t="s">
        <v>2970</v>
      </c>
      <c r="G936" s="58" t="s">
        <v>2263</v>
      </c>
    </row>
    <row r="937" spans="1:7">
      <c r="A937" s="304" t="s">
        <v>2264</v>
      </c>
      <c r="B937" s="58" t="s">
        <v>2252</v>
      </c>
      <c r="C937" s="58" t="s">
        <v>2265</v>
      </c>
      <c r="D937" s="58" t="s">
        <v>3004</v>
      </c>
      <c r="E937" s="59" t="s">
        <v>108</v>
      </c>
      <c r="F937" s="59" t="s">
        <v>2970</v>
      </c>
      <c r="G937" s="58" t="s">
        <v>2120</v>
      </c>
    </row>
    <row r="938" spans="1:7">
      <c r="A938" s="304" t="s">
        <v>2266</v>
      </c>
      <c r="B938" s="58" t="s">
        <v>2252</v>
      </c>
      <c r="C938" s="58" t="s">
        <v>2267</v>
      </c>
      <c r="D938" s="58" t="s">
        <v>3004</v>
      </c>
      <c r="E938" s="59" t="s">
        <v>108</v>
      </c>
      <c r="F938" s="59" t="s">
        <v>2970</v>
      </c>
      <c r="G938" s="58" t="s">
        <v>2268</v>
      </c>
    </row>
    <row r="939" spans="1:7">
      <c r="A939" s="304" t="s">
        <v>2269</v>
      </c>
      <c r="B939" s="58" t="s">
        <v>2252</v>
      </c>
      <c r="C939" s="58" t="s">
        <v>2270</v>
      </c>
      <c r="D939" s="58" t="s">
        <v>3004</v>
      </c>
      <c r="E939" s="59" t="s">
        <v>108</v>
      </c>
      <c r="F939" s="59" t="s">
        <v>2970</v>
      </c>
      <c r="G939" s="58" t="s">
        <v>2120</v>
      </c>
    </row>
    <row r="940" spans="1:7" ht="17.25">
      <c r="A940" s="305" t="s">
        <v>2776</v>
      </c>
      <c r="B940" s="76"/>
      <c r="C940" s="76"/>
      <c r="D940" s="76"/>
      <c r="E940" s="77"/>
      <c r="F940" s="76"/>
      <c r="G940" s="76"/>
    </row>
    <row r="941" spans="1:7">
      <c r="A941" s="304" t="s">
        <v>2272</v>
      </c>
      <c r="B941" s="58" t="s">
        <v>2273</v>
      </c>
      <c r="C941" s="58" t="s">
        <v>2274</v>
      </c>
      <c r="D941" s="58" t="s">
        <v>3004</v>
      </c>
      <c r="E941" s="59" t="s">
        <v>108</v>
      </c>
      <c r="F941" s="59" t="s">
        <v>2970</v>
      </c>
      <c r="G941" s="58" t="s">
        <v>2275</v>
      </c>
    </row>
    <row r="942" spans="1:7">
      <c r="A942" s="304" t="s">
        <v>2276</v>
      </c>
      <c r="B942" s="58" t="s">
        <v>2248</v>
      </c>
      <c r="C942" s="58" t="s">
        <v>2277</v>
      </c>
      <c r="D942" s="58" t="s">
        <v>3004</v>
      </c>
      <c r="E942" s="59" t="s">
        <v>108</v>
      </c>
      <c r="F942" s="59" t="s">
        <v>2970</v>
      </c>
      <c r="G942" s="58" t="s">
        <v>2278</v>
      </c>
    </row>
    <row r="943" spans="1:7">
      <c r="A943" s="304" t="s">
        <v>2279</v>
      </c>
      <c r="B943" s="58" t="s">
        <v>2280</v>
      </c>
      <c r="C943" s="58" t="s">
        <v>2281</v>
      </c>
      <c r="D943" s="58" t="s">
        <v>3004</v>
      </c>
      <c r="E943" s="59" t="s">
        <v>108</v>
      </c>
      <c r="F943" s="59" t="s">
        <v>2970</v>
      </c>
      <c r="G943" s="58" t="s">
        <v>2282</v>
      </c>
    </row>
    <row r="944" spans="1:7">
      <c r="A944" s="304" t="s">
        <v>2283</v>
      </c>
      <c r="B944" s="58" t="s">
        <v>2273</v>
      </c>
      <c r="C944" s="58" t="s">
        <v>108</v>
      </c>
      <c r="D944" s="58" t="s">
        <v>3004</v>
      </c>
      <c r="E944" s="59" t="s">
        <v>108</v>
      </c>
      <c r="F944" s="59" t="s">
        <v>2970</v>
      </c>
      <c r="G944" s="58" t="s">
        <v>2284</v>
      </c>
    </row>
    <row r="945" spans="1:7">
      <c r="A945" s="304" t="s">
        <v>2285</v>
      </c>
      <c r="B945" s="58"/>
      <c r="C945" s="58" t="s">
        <v>2135</v>
      </c>
      <c r="D945" s="58" t="s">
        <v>3004</v>
      </c>
      <c r="E945" s="59" t="s">
        <v>2136</v>
      </c>
      <c r="F945" s="59" t="s">
        <v>2970</v>
      </c>
      <c r="G945" s="58" t="s">
        <v>2120</v>
      </c>
    </row>
    <row r="946" spans="1:7">
      <c r="A946" s="304" t="s">
        <v>2286</v>
      </c>
      <c r="B946" s="58"/>
      <c r="C946" s="58" t="s">
        <v>108</v>
      </c>
      <c r="D946" s="58" t="s">
        <v>3004</v>
      </c>
      <c r="E946" s="59" t="s">
        <v>108</v>
      </c>
      <c r="F946" s="59" t="s">
        <v>2970</v>
      </c>
      <c r="G946" s="58" t="s">
        <v>2120</v>
      </c>
    </row>
    <row r="947" spans="1:7">
      <c r="A947" s="304" t="s">
        <v>2287</v>
      </c>
      <c r="B947" s="58" t="s">
        <v>2273</v>
      </c>
      <c r="C947" s="58" t="s">
        <v>2288</v>
      </c>
      <c r="D947" s="58" t="s">
        <v>3004</v>
      </c>
      <c r="E947" s="59" t="s">
        <v>2288</v>
      </c>
      <c r="F947" s="59" t="s">
        <v>2970</v>
      </c>
      <c r="G947" s="58" t="s">
        <v>2289</v>
      </c>
    </row>
    <row r="948" spans="1:7" ht="17.25">
      <c r="A948" s="305" t="s">
        <v>2777</v>
      </c>
      <c r="B948" s="76"/>
      <c r="C948" s="76"/>
      <c r="D948" s="76"/>
      <c r="E948" s="77"/>
      <c r="F948" s="76"/>
      <c r="G948" s="76"/>
    </row>
    <row r="949" spans="1:7">
      <c r="A949" s="304" t="s">
        <v>2291</v>
      </c>
      <c r="B949" s="58"/>
      <c r="C949" s="58" t="s">
        <v>2135</v>
      </c>
      <c r="D949" s="58" t="s">
        <v>3004</v>
      </c>
      <c r="E949" s="59" t="s">
        <v>2136</v>
      </c>
      <c r="F949" s="59" t="s">
        <v>2970</v>
      </c>
      <c r="G949" s="58" t="s">
        <v>2292</v>
      </c>
    </row>
    <row r="950" spans="1:7">
      <c r="A950" s="304" t="s">
        <v>2293</v>
      </c>
      <c r="B950" s="58" t="s">
        <v>2294</v>
      </c>
      <c r="C950" s="58" t="s">
        <v>2295</v>
      </c>
      <c r="D950" s="58" t="s">
        <v>3004</v>
      </c>
      <c r="E950" s="59" t="s">
        <v>108</v>
      </c>
      <c r="F950" s="59" t="s">
        <v>2970</v>
      </c>
      <c r="G950" s="58" t="s">
        <v>2296</v>
      </c>
    </row>
    <row r="951" spans="1:7">
      <c r="A951" s="304" t="s">
        <v>2297</v>
      </c>
      <c r="B951" s="58" t="s">
        <v>2298</v>
      </c>
      <c r="C951" s="58" t="s">
        <v>108</v>
      </c>
      <c r="D951" s="58" t="s">
        <v>3004</v>
      </c>
      <c r="E951" s="59" t="s">
        <v>108</v>
      </c>
      <c r="F951" s="59" t="s">
        <v>2970</v>
      </c>
      <c r="G951" s="58" t="s">
        <v>2299</v>
      </c>
    </row>
    <row r="952" spans="1:7">
      <c r="A952" s="304" t="s">
        <v>2300</v>
      </c>
      <c r="B952" s="58" t="s">
        <v>2294</v>
      </c>
      <c r="C952" s="58" t="s">
        <v>108</v>
      </c>
      <c r="D952" s="58" t="s">
        <v>3004</v>
      </c>
      <c r="E952" s="59" t="s">
        <v>108</v>
      </c>
      <c r="F952" s="59" t="s">
        <v>2970</v>
      </c>
      <c r="G952" s="58" t="s">
        <v>2299</v>
      </c>
    </row>
    <row r="953" spans="1:7">
      <c r="A953" s="304" t="s">
        <v>2301</v>
      </c>
      <c r="B953" s="58" t="s">
        <v>2302</v>
      </c>
      <c r="C953" s="58" t="s">
        <v>2193</v>
      </c>
      <c r="D953" s="58" t="s">
        <v>3004</v>
      </c>
      <c r="E953" s="59" t="s">
        <v>2193</v>
      </c>
      <c r="F953" s="59" t="s">
        <v>2970</v>
      </c>
      <c r="G953" s="58" t="s">
        <v>2303</v>
      </c>
    </row>
    <row r="954" spans="1:7">
      <c r="A954" s="304" t="s">
        <v>2304</v>
      </c>
      <c r="B954" s="58" t="s">
        <v>2305</v>
      </c>
      <c r="C954" s="58" t="s">
        <v>2257</v>
      </c>
      <c r="D954" s="58" t="s">
        <v>3004</v>
      </c>
      <c r="E954" s="59" t="s">
        <v>108</v>
      </c>
      <c r="F954" s="59" t="s">
        <v>2970</v>
      </c>
      <c r="G954" s="58" t="s">
        <v>2306</v>
      </c>
    </row>
    <row r="955" spans="1:7" ht="17.25">
      <c r="A955" s="305" t="s">
        <v>2795</v>
      </c>
      <c r="B955" s="76"/>
      <c r="C955" s="76"/>
      <c r="D955" s="76"/>
      <c r="E955" s="77"/>
      <c r="F955" s="76"/>
      <c r="G955" s="76"/>
    </row>
    <row r="956" spans="1:7">
      <c r="A956" s="304" t="s">
        <v>2352</v>
      </c>
      <c r="B956" s="58"/>
      <c r="C956" s="58" t="s">
        <v>1201</v>
      </c>
      <c r="D956" s="58" t="s">
        <v>3008</v>
      </c>
      <c r="E956" s="59" t="s">
        <v>1201</v>
      </c>
      <c r="F956" s="59" t="s">
        <v>2970</v>
      </c>
      <c r="G956" s="58" t="s">
        <v>2120</v>
      </c>
    </row>
    <row r="957" spans="1:7">
      <c r="A957" s="304" t="s">
        <v>2118</v>
      </c>
      <c r="B957" s="58"/>
      <c r="C957" s="58" t="s">
        <v>2119</v>
      </c>
      <c r="D957" s="58" t="s">
        <v>3008</v>
      </c>
      <c r="E957" s="59" t="s">
        <v>1201</v>
      </c>
      <c r="F957" s="59" t="s">
        <v>2970</v>
      </c>
      <c r="G957" s="58" t="s">
        <v>2120</v>
      </c>
    </row>
    <row r="958" spans="1:7" ht="17.25">
      <c r="A958" s="305" t="s">
        <v>2804</v>
      </c>
      <c r="B958" s="76"/>
      <c r="C958" s="76"/>
      <c r="D958" s="76"/>
      <c r="E958" s="77"/>
      <c r="F958" s="76"/>
      <c r="G958" s="76"/>
    </row>
    <row r="959" spans="1:7">
      <c r="A959" s="304" t="s">
        <v>2242</v>
      </c>
      <c r="B959" s="58" t="s">
        <v>2220</v>
      </c>
      <c r="C959" s="58" t="s">
        <v>2243</v>
      </c>
      <c r="D959" s="58" t="s">
        <v>3008</v>
      </c>
      <c r="E959" s="59" t="s">
        <v>3009</v>
      </c>
      <c r="F959" s="59" t="s">
        <v>2970</v>
      </c>
      <c r="G959" s="58" t="s">
        <v>2244</v>
      </c>
    </row>
    <row r="960" spans="1:7" ht="17.25">
      <c r="A960" s="305" t="s">
        <v>2805</v>
      </c>
      <c r="B960" s="76"/>
      <c r="C960" s="76"/>
      <c r="D960" s="76"/>
      <c r="E960" s="77"/>
      <c r="F960" s="76"/>
      <c r="G960" s="76"/>
    </row>
    <row r="961" spans="1:7">
      <c r="A961" s="304" t="s">
        <v>2258</v>
      </c>
      <c r="B961" s="58" t="s">
        <v>2259</v>
      </c>
      <c r="C961" s="58" t="s">
        <v>2260</v>
      </c>
      <c r="D961" s="58" t="s">
        <v>3008</v>
      </c>
      <c r="E961" s="59" t="s">
        <v>3000</v>
      </c>
      <c r="F961" s="59" t="s">
        <v>2970</v>
      </c>
      <c r="G961" s="58" t="s">
        <v>2261</v>
      </c>
    </row>
    <row r="962" spans="1:7" ht="17.25">
      <c r="A962" s="305" t="s">
        <v>2817</v>
      </c>
      <c r="B962" s="76"/>
      <c r="C962" s="76"/>
      <c r="D962" s="76"/>
      <c r="E962" s="77"/>
      <c r="F962" s="76"/>
      <c r="G962" s="76"/>
    </row>
    <row r="963" spans="1:7">
      <c r="A963" s="304" t="s">
        <v>2352</v>
      </c>
      <c r="B963" s="58"/>
      <c r="C963" s="58" t="s">
        <v>1201</v>
      </c>
      <c r="D963" s="58" t="s">
        <v>3010</v>
      </c>
      <c r="E963" s="59" t="s">
        <v>1201</v>
      </c>
      <c r="F963" s="59" t="s">
        <v>2970</v>
      </c>
      <c r="G963" s="58" t="s">
        <v>2120</v>
      </c>
    </row>
    <row r="964" spans="1:7">
      <c r="A964" s="304" t="s">
        <v>2118</v>
      </c>
      <c r="B964" s="58"/>
      <c r="C964" s="58" t="s">
        <v>2119</v>
      </c>
      <c r="D964" s="58" t="s">
        <v>3010</v>
      </c>
      <c r="E964" s="59" t="s">
        <v>1201</v>
      </c>
      <c r="F964" s="59" t="s">
        <v>2970</v>
      </c>
      <c r="G964" s="58" t="s">
        <v>2120</v>
      </c>
    </row>
    <row r="965" spans="1:7" ht="17.25">
      <c r="A965" s="305" t="s">
        <v>2819</v>
      </c>
      <c r="B965" s="76"/>
      <c r="C965" s="76"/>
      <c r="D965" s="76"/>
      <c r="E965" s="77"/>
      <c r="F965" s="76"/>
      <c r="G965" s="76"/>
    </row>
    <row r="966" spans="1:7">
      <c r="A966" s="304" t="s">
        <v>2144</v>
      </c>
      <c r="B966" s="58" t="s">
        <v>2143</v>
      </c>
      <c r="C966" s="58" t="s">
        <v>2145</v>
      </c>
      <c r="D966" s="58" t="s">
        <v>3010</v>
      </c>
      <c r="E966" s="59" t="s">
        <v>2463</v>
      </c>
      <c r="F966" s="59" t="s">
        <v>2970</v>
      </c>
      <c r="G966" s="58" t="s">
        <v>2120</v>
      </c>
    </row>
    <row r="967" spans="1:7" ht="17.25">
      <c r="A967" s="305" t="s">
        <v>2820</v>
      </c>
      <c r="B967" s="76"/>
      <c r="C967" s="76"/>
      <c r="D967" s="76"/>
      <c r="E967" s="77"/>
      <c r="F967" s="76"/>
      <c r="G967" s="76"/>
    </row>
    <row r="968" spans="1:7">
      <c r="A968" s="304" t="s">
        <v>2465</v>
      </c>
      <c r="B968" s="58" t="s">
        <v>2248</v>
      </c>
      <c r="C968" s="58" t="s">
        <v>2466</v>
      </c>
      <c r="D968" s="58" t="s">
        <v>3010</v>
      </c>
      <c r="E968" s="59" t="s">
        <v>2463</v>
      </c>
      <c r="F968" s="59" t="s">
        <v>2970</v>
      </c>
      <c r="G968" s="58" t="s">
        <v>2120</v>
      </c>
    </row>
    <row r="969" spans="1:7">
      <c r="A969" s="304" t="s">
        <v>2158</v>
      </c>
      <c r="B969" s="58" t="s">
        <v>2155</v>
      </c>
      <c r="C969" s="58" t="s">
        <v>2159</v>
      </c>
      <c r="D969" s="58" t="s">
        <v>3010</v>
      </c>
      <c r="E969" s="59" t="s">
        <v>2463</v>
      </c>
      <c r="F969" s="59" t="s">
        <v>2970</v>
      </c>
      <c r="G969" s="58" t="s">
        <v>2160</v>
      </c>
    </row>
    <row r="970" spans="1:7" ht="17.25">
      <c r="A970" s="305" t="s">
        <v>2826</v>
      </c>
      <c r="B970" s="76"/>
      <c r="C970" s="76"/>
      <c r="D970" s="76"/>
      <c r="E970" s="77"/>
      <c r="F970" s="76"/>
      <c r="G970" s="76"/>
    </row>
    <row r="971" spans="1:7">
      <c r="A971" s="304" t="s">
        <v>2242</v>
      </c>
      <c r="B971" s="58" t="s">
        <v>2220</v>
      </c>
      <c r="C971" s="58" t="s">
        <v>2243</v>
      </c>
      <c r="D971" s="58" t="s">
        <v>3010</v>
      </c>
      <c r="E971" s="59" t="s">
        <v>2773</v>
      </c>
      <c r="F971" s="59" t="s">
        <v>2970</v>
      </c>
      <c r="G971" s="58" t="s">
        <v>2244</v>
      </c>
    </row>
    <row r="972" spans="1:7" ht="17.25">
      <c r="A972" s="305" t="s">
        <v>2827</v>
      </c>
      <c r="B972" s="76"/>
      <c r="C972" s="76"/>
      <c r="D972" s="76"/>
      <c r="E972" s="77"/>
      <c r="F972" s="76"/>
      <c r="G972" s="76"/>
    </row>
    <row r="973" spans="1:7">
      <c r="A973" s="304" t="s">
        <v>2255</v>
      </c>
      <c r="B973" s="58" t="s">
        <v>2256</v>
      </c>
      <c r="C973" s="58" t="s">
        <v>2257</v>
      </c>
      <c r="D973" s="58" t="s">
        <v>3010</v>
      </c>
      <c r="E973" s="59" t="s">
        <v>2463</v>
      </c>
      <c r="F973" s="59" t="s">
        <v>2970</v>
      </c>
      <c r="G973" s="58" t="s">
        <v>2120</v>
      </c>
    </row>
    <row r="974" spans="1:7">
      <c r="A974" s="304" t="s">
        <v>2258</v>
      </c>
      <c r="B974" s="58" t="s">
        <v>2259</v>
      </c>
      <c r="C974" s="58" t="s">
        <v>2260</v>
      </c>
      <c r="D974" s="58" t="s">
        <v>3010</v>
      </c>
      <c r="E974" s="59" t="s">
        <v>2775</v>
      </c>
      <c r="F974" s="59" t="s">
        <v>2970</v>
      </c>
      <c r="G974" s="58" t="s">
        <v>2261</v>
      </c>
    </row>
    <row r="975" spans="1:7" ht="17.25">
      <c r="A975" s="305" t="s">
        <v>2829</v>
      </c>
      <c r="B975" s="76"/>
      <c r="C975" s="76"/>
      <c r="D975" s="76"/>
      <c r="E975" s="77"/>
      <c r="F975" s="76"/>
      <c r="G975" s="76"/>
    </row>
    <row r="976" spans="1:7">
      <c r="A976" s="304" t="s">
        <v>2304</v>
      </c>
      <c r="B976" s="58" t="s">
        <v>2305</v>
      </c>
      <c r="C976" s="58" t="s">
        <v>2257</v>
      </c>
      <c r="D976" s="58" t="s">
        <v>3010</v>
      </c>
      <c r="E976" s="59" t="s">
        <v>2463</v>
      </c>
      <c r="F976" s="59" t="s">
        <v>2970</v>
      </c>
      <c r="G976" s="58" t="s">
        <v>2306</v>
      </c>
    </row>
    <row r="977" spans="1:7">
      <c r="A977" s="304" t="s">
        <v>2477</v>
      </c>
      <c r="B977" s="58" t="s">
        <v>2213</v>
      </c>
      <c r="C977" s="58" t="s">
        <v>2463</v>
      </c>
      <c r="D977" s="58" t="s">
        <v>3010</v>
      </c>
      <c r="E977" s="59" t="s">
        <v>2463</v>
      </c>
      <c r="F977" s="59" t="s">
        <v>2970</v>
      </c>
      <c r="G977" s="58" t="s">
        <v>2292</v>
      </c>
    </row>
    <row r="978" spans="1:7" ht="17.25">
      <c r="A978" s="305" t="s">
        <v>2890</v>
      </c>
      <c r="B978" s="76"/>
      <c r="C978" s="76"/>
      <c r="D978" s="76"/>
      <c r="E978" s="77"/>
      <c r="F978" s="76"/>
      <c r="G978" s="76"/>
    </row>
    <row r="979" spans="1:7">
      <c r="A979" s="304" t="s">
        <v>2308</v>
      </c>
      <c r="B979" s="58" t="s">
        <v>2122</v>
      </c>
      <c r="C979" s="58" t="s">
        <v>2309</v>
      </c>
      <c r="D979" s="58" t="s">
        <v>3011</v>
      </c>
      <c r="E979" s="59" t="s">
        <v>2311</v>
      </c>
      <c r="F979" s="59" t="s">
        <v>2970</v>
      </c>
      <c r="G979" s="58" t="s">
        <v>2312</v>
      </c>
    </row>
    <row r="980" spans="1:7">
      <c r="A980" s="304" t="s">
        <v>2352</v>
      </c>
      <c r="B980" s="58"/>
      <c r="C980" s="58" t="s">
        <v>1201</v>
      </c>
      <c r="D980" s="58" t="s">
        <v>3011</v>
      </c>
      <c r="E980" s="59" t="s">
        <v>1201</v>
      </c>
      <c r="F980" s="59" t="s">
        <v>2970</v>
      </c>
      <c r="G980" s="58" t="s">
        <v>2120</v>
      </c>
    </row>
    <row r="981" spans="1:7">
      <c r="A981" s="304" t="s">
        <v>2118</v>
      </c>
      <c r="B981" s="58"/>
      <c r="C981" s="58" t="s">
        <v>2119</v>
      </c>
      <c r="D981" s="58" t="s">
        <v>3011</v>
      </c>
      <c r="E981" s="59" t="s">
        <v>1201</v>
      </c>
      <c r="F981" s="59" t="s">
        <v>2970</v>
      </c>
      <c r="G981" s="58" t="s">
        <v>2120</v>
      </c>
    </row>
    <row r="982" spans="1:7">
      <c r="A982" s="304" t="s">
        <v>2313</v>
      </c>
      <c r="B982" s="58" t="s">
        <v>2314</v>
      </c>
      <c r="C982" s="58" t="s">
        <v>2309</v>
      </c>
      <c r="D982" s="58" t="s">
        <v>3011</v>
      </c>
      <c r="E982" s="59" t="s">
        <v>2311</v>
      </c>
      <c r="F982" s="59" t="s">
        <v>2970</v>
      </c>
      <c r="G982" s="58" t="s">
        <v>2120</v>
      </c>
    </row>
    <row r="983" spans="1:7">
      <c r="A983" s="304" t="s">
        <v>2315</v>
      </c>
      <c r="B983" s="58" t="s">
        <v>2314</v>
      </c>
      <c r="C983" s="58" t="s">
        <v>2309</v>
      </c>
      <c r="D983" s="58" t="s">
        <v>3011</v>
      </c>
      <c r="E983" s="59" t="s">
        <v>2311</v>
      </c>
      <c r="F983" s="59" t="s">
        <v>2970</v>
      </c>
      <c r="G983" s="58" t="s">
        <v>2120</v>
      </c>
    </row>
    <row r="984" spans="1:7">
      <c r="A984" s="304" t="s">
        <v>2316</v>
      </c>
      <c r="B984" s="58" t="s">
        <v>2124</v>
      </c>
      <c r="C984" s="58" t="s">
        <v>2309</v>
      </c>
      <c r="D984" s="58" t="s">
        <v>3011</v>
      </c>
      <c r="E984" s="59" t="s">
        <v>2311</v>
      </c>
      <c r="F984" s="59" t="s">
        <v>2970</v>
      </c>
      <c r="G984" s="58" t="s">
        <v>2120</v>
      </c>
    </row>
    <row r="985" spans="1:7" ht="17.25">
      <c r="A985" s="305" t="s">
        <v>2891</v>
      </c>
      <c r="B985" s="76"/>
      <c r="C985" s="76"/>
      <c r="D985" s="76"/>
      <c r="E985" s="77"/>
      <c r="F985" s="76"/>
      <c r="G985" s="76"/>
    </row>
    <row r="986" spans="1:7">
      <c r="A986" s="304" t="s">
        <v>2134</v>
      </c>
      <c r="B986" s="58"/>
      <c r="C986" s="58" t="s">
        <v>2135</v>
      </c>
      <c r="D986" s="58" t="s">
        <v>3011</v>
      </c>
      <c r="E986" s="59" t="s">
        <v>2318</v>
      </c>
      <c r="F986" s="59" t="s">
        <v>2970</v>
      </c>
      <c r="G986" s="58" t="s">
        <v>2137</v>
      </c>
    </row>
    <row r="987" spans="1:7" ht="17.25">
      <c r="A987" s="305" t="s">
        <v>3012</v>
      </c>
      <c r="B987" s="76"/>
      <c r="C987" s="76"/>
      <c r="D987" s="76"/>
      <c r="E987" s="77"/>
      <c r="F987" s="76"/>
      <c r="G987" s="76"/>
    </row>
    <row r="988" spans="1:7">
      <c r="A988" s="304" t="s">
        <v>2144</v>
      </c>
      <c r="B988" s="58" t="s">
        <v>2143</v>
      </c>
      <c r="C988" s="58" t="s">
        <v>2145</v>
      </c>
      <c r="D988" s="58" t="s">
        <v>3011</v>
      </c>
      <c r="E988" s="59" t="s">
        <v>2463</v>
      </c>
      <c r="F988" s="59" t="s">
        <v>2970</v>
      </c>
      <c r="G988" s="58" t="s">
        <v>2120</v>
      </c>
    </row>
    <row r="989" spans="1:7" ht="17.25">
      <c r="A989" s="305" t="s">
        <v>2892</v>
      </c>
      <c r="B989" s="76"/>
      <c r="C989" s="76"/>
      <c r="D989" s="76"/>
      <c r="E989" s="77"/>
      <c r="F989" s="76"/>
      <c r="G989" s="76"/>
    </row>
    <row r="990" spans="1:7">
      <c r="A990" s="304" t="s">
        <v>2465</v>
      </c>
      <c r="B990" s="58" t="s">
        <v>2248</v>
      </c>
      <c r="C990" s="58" t="s">
        <v>2466</v>
      </c>
      <c r="D990" s="58" t="s">
        <v>3011</v>
      </c>
      <c r="E990" s="59" t="s">
        <v>2463</v>
      </c>
      <c r="F990" s="59" t="s">
        <v>2970</v>
      </c>
      <c r="G990" s="58" t="s">
        <v>2120</v>
      </c>
    </row>
    <row r="991" spans="1:7">
      <c r="A991" s="304" t="s">
        <v>2156</v>
      </c>
      <c r="B991" s="58" t="s">
        <v>2152</v>
      </c>
      <c r="C991" s="58" t="s">
        <v>2157</v>
      </c>
      <c r="D991" s="58" t="s">
        <v>3011</v>
      </c>
      <c r="E991" s="59" t="s">
        <v>3013</v>
      </c>
      <c r="F991" s="59" t="s">
        <v>2970</v>
      </c>
      <c r="G991" s="58" t="s">
        <v>2120</v>
      </c>
    </row>
    <row r="992" spans="1:7">
      <c r="A992" s="304" t="s">
        <v>2158</v>
      </c>
      <c r="B992" s="58" t="s">
        <v>2155</v>
      </c>
      <c r="C992" s="58" t="s">
        <v>2159</v>
      </c>
      <c r="D992" s="58" t="s">
        <v>3011</v>
      </c>
      <c r="E992" s="59" t="s">
        <v>2463</v>
      </c>
      <c r="F992" s="59" t="s">
        <v>2970</v>
      </c>
      <c r="G992" s="58" t="s">
        <v>2160</v>
      </c>
    </row>
    <row r="993" spans="1:7" ht="17.25">
      <c r="A993" s="305" t="s">
        <v>2893</v>
      </c>
      <c r="B993" s="76"/>
      <c r="C993" s="76"/>
      <c r="D993" s="76"/>
      <c r="E993" s="77"/>
      <c r="F993" s="76"/>
      <c r="G993" s="76"/>
    </row>
    <row r="994" spans="1:7">
      <c r="A994" s="304" t="s">
        <v>2169</v>
      </c>
      <c r="B994" s="58" t="s">
        <v>2129</v>
      </c>
      <c r="C994" s="58" t="s">
        <v>2170</v>
      </c>
      <c r="D994" s="58" t="s">
        <v>3011</v>
      </c>
      <c r="E994" s="59" t="s">
        <v>2318</v>
      </c>
      <c r="F994" s="59" t="s">
        <v>2970</v>
      </c>
      <c r="G994" s="58" t="s">
        <v>2120</v>
      </c>
    </row>
    <row r="995" spans="1:7">
      <c r="A995" s="304" t="s">
        <v>2171</v>
      </c>
      <c r="B995" s="58" t="s">
        <v>2129</v>
      </c>
      <c r="C995" s="58" t="s">
        <v>2135</v>
      </c>
      <c r="D995" s="58" t="s">
        <v>3011</v>
      </c>
      <c r="E995" s="59" t="s">
        <v>2318</v>
      </c>
      <c r="F995" s="59" t="s">
        <v>2970</v>
      </c>
      <c r="G995" s="58" t="s">
        <v>2120</v>
      </c>
    </row>
    <row r="996" spans="1:7">
      <c r="A996" s="304" t="s">
        <v>2172</v>
      </c>
      <c r="B996" s="58" t="s">
        <v>2129</v>
      </c>
      <c r="C996" s="58" t="s">
        <v>2135</v>
      </c>
      <c r="D996" s="58" t="s">
        <v>3011</v>
      </c>
      <c r="E996" s="59" t="s">
        <v>2318</v>
      </c>
      <c r="F996" s="59" t="s">
        <v>2970</v>
      </c>
      <c r="G996" s="58" t="s">
        <v>2120</v>
      </c>
    </row>
    <row r="997" spans="1:7">
      <c r="A997" s="304" t="s">
        <v>2173</v>
      </c>
      <c r="B997" s="58" t="s">
        <v>2174</v>
      </c>
      <c r="C997" s="58" t="s">
        <v>2135</v>
      </c>
      <c r="D997" s="58" t="s">
        <v>3011</v>
      </c>
      <c r="E997" s="59" t="s">
        <v>2318</v>
      </c>
      <c r="F997" s="59" t="s">
        <v>2970</v>
      </c>
      <c r="G997" s="58" t="s">
        <v>2120</v>
      </c>
    </row>
    <row r="998" spans="1:7">
      <c r="A998" s="304" t="s">
        <v>2175</v>
      </c>
      <c r="B998" s="58"/>
      <c r="C998" s="58" t="s">
        <v>2135</v>
      </c>
      <c r="D998" s="58" t="s">
        <v>3011</v>
      </c>
      <c r="E998" s="59" t="s">
        <v>2318</v>
      </c>
      <c r="F998" s="59" t="s">
        <v>2970</v>
      </c>
      <c r="G998" s="58" t="s">
        <v>2120</v>
      </c>
    </row>
    <row r="999" spans="1:7">
      <c r="A999" s="304" t="s">
        <v>2176</v>
      </c>
      <c r="B999" s="58"/>
      <c r="C999" s="58" t="s">
        <v>2135</v>
      </c>
      <c r="D999" s="58" t="s">
        <v>3011</v>
      </c>
      <c r="E999" s="59" t="s">
        <v>2318</v>
      </c>
      <c r="F999" s="59" t="s">
        <v>2970</v>
      </c>
      <c r="G999" s="58" t="s">
        <v>2120</v>
      </c>
    </row>
    <row r="1000" spans="1:7">
      <c r="A1000" s="304" t="s">
        <v>2177</v>
      </c>
      <c r="B1000" s="58"/>
      <c r="C1000" s="58" t="s">
        <v>2135</v>
      </c>
      <c r="D1000" s="58" t="s">
        <v>3011</v>
      </c>
      <c r="E1000" s="59" t="s">
        <v>2318</v>
      </c>
      <c r="F1000" s="59" t="s">
        <v>2970</v>
      </c>
      <c r="G1000" s="58" t="s">
        <v>2120</v>
      </c>
    </row>
    <row r="1001" spans="1:7" ht="17.25">
      <c r="A1001" s="305" t="s">
        <v>2894</v>
      </c>
      <c r="B1001" s="76"/>
      <c r="C1001" s="76"/>
      <c r="D1001" s="76"/>
      <c r="E1001" s="77"/>
      <c r="F1001" s="76"/>
      <c r="G1001" s="76"/>
    </row>
    <row r="1002" spans="1:7">
      <c r="A1002" s="304" t="s">
        <v>2190</v>
      </c>
      <c r="B1002" s="58"/>
      <c r="C1002" s="58" t="s">
        <v>2135</v>
      </c>
      <c r="D1002" s="58" t="s">
        <v>3011</v>
      </c>
      <c r="E1002" s="59" t="s">
        <v>2318</v>
      </c>
      <c r="F1002" s="59" t="s">
        <v>2970</v>
      </c>
      <c r="G1002" s="58" t="s">
        <v>2120</v>
      </c>
    </row>
    <row r="1003" spans="1:7">
      <c r="A1003" s="304" t="s">
        <v>2191</v>
      </c>
      <c r="B1003" s="58"/>
      <c r="C1003" s="58" t="s">
        <v>2135</v>
      </c>
      <c r="D1003" s="58" t="s">
        <v>3011</v>
      </c>
      <c r="E1003" s="59" t="s">
        <v>2318</v>
      </c>
      <c r="F1003" s="59" t="s">
        <v>2970</v>
      </c>
      <c r="G1003" s="58" t="s">
        <v>2120</v>
      </c>
    </row>
    <row r="1004" spans="1:7" ht="17.25">
      <c r="A1004" s="305" t="s">
        <v>2895</v>
      </c>
      <c r="B1004" s="76"/>
      <c r="C1004" s="76"/>
      <c r="D1004" s="76"/>
      <c r="E1004" s="77"/>
      <c r="F1004" s="76"/>
      <c r="G1004" s="76"/>
    </row>
    <row r="1005" spans="1:7">
      <c r="A1005" s="304" t="s">
        <v>2206</v>
      </c>
      <c r="B1005" s="58"/>
      <c r="C1005" s="58" t="s">
        <v>2135</v>
      </c>
      <c r="D1005" s="58" t="s">
        <v>3011</v>
      </c>
      <c r="E1005" s="59" t="s">
        <v>2318</v>
      </c>
      <c r="F1005" s="59" t="s">
        <v>2970</v>
      </c>
      <c r="G1005" s="58" t="s">
        <v>2120</v>
      </c>
    </row>
    <row r="1006" spans="1:7" ht="17.25">
      <c r="A1006" s="305" t="s">
        <v>2896</v>
      </c>
      <c r="B1006" s="76"/>
      <c r="C1006" s="76"/>
      <c r="D1006" s="76"/>
      <c r="E1006" s="77"/>
      <c r="F1006" s="76"/>
      <c r="G1006" s="76"/>
    </row>
    <row r="1007" spans="1:7">
      <c r="A1007" s="304" t="s">
        <v>2372</v>
      </c>
      <c r="B1007" s="58" t="s">
        <v>2220</v>
      </c>
      <c r="C1007" s="58" t="s">
        <v>2373</v>
      </c>
      <c r="D1007" s="58" t="s">
        <v>3011</v>
      </c>
      <c r="E1007" s="59" t="s">
        <v>3013</v>
      </c>
      <c r="F1007" s="59" t="s">
        <v>2970</v>
      </c>
      <c r="G1007" s="58" t="s">
        <v>2374</v>
      </c>
    </row>
    <row r="1008" spans="1:7">
      <c r="A1008" s="304" t="s">
        <v>2328</v>
      </c>
      <c r="B1008" s="58" t="s">
        <v>2217</v>
      </c>
      <c r="C1008" s="58" t="s">
        <v>2309</v>
      </c>
      <c r="D1008" s="58" t="s">
        <v>3011</v>
      </c>
      <c r="E1008" s="59" t="s">
        <v>2311</v>
      </c>
      <c r="F1008" s="59" t="s">
        <v>2970</v>
      </c>
      <c r="G1008" s="58" t="s">
        <v>2329</v>
      </c>
    </row>
    <row r="1009" spans="1:7">
      <c r="A1009" s="304" t="s">
        <v>2330</v>
      </c>
      <c r="B1009" s="58" t="s">
        <v>2331</v>
      </c>
      <c r="C1009" s="58" t="s">
        <v>2309</v>
      </c>
      <c r="D1009" s="58" t="s">
        <v>3011</v>
      </c>
      <c r="E1009" s="59" t="s">
        <v>2311</v>
      </c>
      <c r="F1009" s="59" t="s">
        <v>2970</v>
      </c>
      <c r="G1009" s="58" t="s">
        <v>2332</v>
      </c>
    </row>
    <row r="1010" spans="1:7">
      <c r="A1010" s="304" t="s">
        <v>2228</v>
      </c>
      <c r="B1010" s="58"/>
      <c r="C1010" s="58" t="s">
        <v>2135</v>
      </c>
      <c r="D1010" s="58" t="s">
        <v>3011</v>
      </c>
      <c r="E1010" s="59" t="s">
        <v>2318</v>
      </c>
      <c r="F1010" s="59" t="s">
        <v>2970</v>
      </c>
      <c r="G1010" s="58" t="s">
        <v>2120</v>
      </c>
    </row>
    <row r="1011" spans="1:7" ht="17.25">
      <c r="A1011" s="305" t="s">
        <v>2897</v>
      </c>
      <c r="B1011" s="76"/>
      <c r="C1011" s="76"/>
      <c r="D1011" s="76"/>
      <c r="E1011" s="77"/>
      <c r="F1011" s="76"/>
      <c r="G1011" s="76"/>
    </row>
    <row r="1012" spans="1:7">
      <c r="A1012" s="304" t="s">
        <v>2242</v>
      </c>
      <c r="B1012" s="58" t="s">
        <v>2220</v>
      </c>
      <c r="C1012" s="58" t="s">
        <v>2243</v>
      </c>
      <c r="D1012" s="58" t="s">
        <v>3011</v>
      </c>
      <c r="E1012" s="59" t="s">
        <v>3014</v>
      </c>
      <c r="F1012" s="59" t="s">
        <v>2970</v>
      </c>
      <c r="G1012" s="58" t="s">
        <v>2244</v>
      </c>
    </row>
    <row r="1013" spans="1:7">
      <c r="A1013" s="304" t="s">
        <v>2335</v>
      </c>
      <c r="B1013" s="58"/>
      <c r="C1013" s="58" t="s">
        <v>2309</v>
      </c>
      <c r="D1013" s="58" t="s">
        <v>3011</v>
      </c>
      <c r="E1013" s="59" t="s">
        <v>2311</v>
      </c>
      <c r="F1013" s="59" t="s">
        <v>2970</v>
      </c>
      <c r="G1013" s="58" t="s">
        <v>2336</v>
      </c>
    </row>
    <row r="1014" spans="1:7">
      <c r="A1014" s="304" t="s">
        <v>2337</v>
      </c>
      <c r="B1014" s="58" t="s">
        <v>2248</v>
      </c>
      <c r="C1014" s="58" t="s">
        <v>2338</v>
      </c>
      <c r="D1014" s="58" t="s">
        <v>3011</v>
      </c>
      <c r="E1014" s="59" t="s">
        <v>2339</v>
      </c>
      <c r="F1014" s="59" t="s">
        <v>2970</v>
      </c>
      <c r="G1014" s="58" t="s">
        <v>2120</v>
      </c>
    </row>
    <row r="1015" spans="1:7" ht="17.25">
      <c r="A1015" s="305" t="s">
        <v>2898</v>
      </c>
      <c r="B1015" s="76"/>
      <c r="C1015" s="76"/>
      <c r="D1015" s="76"/>
      <c r="E1015" s="77"/>
      <c r="F1015" s="76"/>
      <c r="G1015" s="76"/>
    </row>
    <row r="1016" spans="1:7">
      <c r="A1016" s="304" t="s">
        <v>2255</v>
      </c>
      <c r="B1016" s="58" t="s">
        <v>2256</v>
      </c>
      <c r="C1016" s="58" t="s">
        <v>2257</v>
      </c>
      <c r="D1016" s="58" t="s">
        <v>3011</v>
      </c>
      <c r="E1016" s="59" t="s">
        <v>2463</v>
      </c>
      <c r="F1016" s="59" t="s">
        <v>2970</v>
      </c>
      <c r="G1016" s="58" t="s">
        <v>2120</v>
      </c>
    </row>
    <row r="1017" spans="1:7">
      <c r="A1017" s="304" t="s">
        <v>2258</v>
      </c>
      <c r="B1017" s="58" t="s">
        <v>2259</v>
      </c>
      <c r="C1017" s="58" t="s">
        <v>2260</v>
      </c>
      <c r="D1017" s="58" t="s">
        <v>3011</v>
      </c>
      <c r="E1017" s="59" t="s">
        <v>3015</v>
      </c>
      <c r="F1017" s="59" t="s">
        <v>2970</v>
      </c>
      <c r="G1017" s="58" t="s">
        <v>2261</v>
      </c>
    </row>
    <row r="1018" spans="1:7">
      <c r="A1018" s="304" t="s">
        <v>3016</v>
      </c>
      <c r="B1018" s="58" t="s">
        <v>2252</v>
      </c>
      <c r="C1018" s="58" t="s">
        <v>3013</v>
      </c>
      <c r="D1018" s="58" t="s">
        <v>3011</v>
      </c>
      <c r="E1018" s="59" t="s">
        <v>3013</v>
      </c>
      <c r="F1018" s="59" t="s">
        <v>2970</v>
      </c>
      <c r="G1018" s="58" t="s">
        <v>2120</v>
      </c>
    </row>
    <row r="1019" spans="1:7" ht="17.25">
      <c r="A1019" s="305" t="s">
        <v>2899</v>
      </c>
      <c r="B1019" s="76"/>
      <c r="C1019" s="76"/>
      <c r="D1019" s="76"/>
      <c r="E1019" s="77"/>
      <c r="F1019" s="76"/>
      <c r="G1019" s="76"/>
    </row>
    <row r="1020" spans="1:7">
      <c r="A1020" s="304" t="s">
        <v>2342</v>
      </c>
      <c r="B1020" s="58"/>
      <c r="C1020" s="58" t="s">
        <v>2309</v>
      </c>
      <c r="D1020" s="58" t="s">
        <v>3011</v>
      </c>
      <c r="E1020" s="59" t="s">
        <v>2311</v>
      </c>
      <c r="F1020" s="59" t="s">
        <v>2970</v>
      </c>
      <c r="G1020" s="58" t="s">
        <v>2343</v>
      </c>
    </row>
    <row r="1021" spans="1:7">
      <c r="A1021" s="304" t="s">
        <v>2344</v>
      </c>
      <c r="B1021" s="58" t="s">
        <v>2273</v>
      </c>
      <c r="C1021" s="58" t="s">
        <v>2309</v>
      </c>
      <c r="D1021" s="58" t="s">
        <v>3011</v>
      </c>
      <c r="E1021" s="59" t="s">
        <v>2311</v>
      </c>
      <c r="F1021" s="59" t="s">
        <v>2970</v>
      </c>
      <c r="G1021" s="58" t="s">
        <v>2345</v>
      </c>
    </row>
    <row r="1022" spans="1:7">
      <c r="A1022" s="304" t="s">
        <v>2285</v>
      </c>
      <c r="B1022" s="58"/>
      <c r="C1022" s="58" t="s">
        <v>2135</v>
      </c>
      <c r="D1022" s="58" t="s">
        <v>3011</v>
      </c>
      <c r="E1022" s="59" t="s">
        <v>2318</v>
      </c>
      <c r="F1022" s="59" t="s">
        <v>2970</v>
      </c>
      <c r="G1022" s="58" t="s">
        <v>2120</v>
      </c>
    </row>
    <row r="1023" spans="1:7" ht="17.25">
      <c r="A1023" s="305" t="s">
        <v>2900</v>
      </c>
      <c r="B1023" s="76"/>
      <c r="C1023" s="76"/>
      <c r="D1023" s="76"/>
      <c r="E1023" s="77"/>
      <c r="F1023" s="76"/>
      <c r="G1023" s="76"/>
    </row>
    <row r="1024" spans="1:7">
      <c r="A1024" s="304" t="s">
        <v>2291</v>
      </c>
      <c r="B1024" s="58"/>
      <c r="C1024" s="58" t="s">
        <v>2135</v>
      </c>
      <c r="D1024" s="58" t="s">
        <v>3011</v>
      </c>
      <c r="E1024" s="59" t="s">
        <v>2318</v>
      </c>
      <c r="F1024" s="59" t="s">
        <v>2970</v>
      </c>
      <c r="G1024" s="58" t="s">
        <v>2292</v>
      </c>
    </row>
    <row r="1025" spans="1:7">
      <c r="A1025" s="304" t="s">
        <v>2304</v>
      </c>
      <c r="B1025" s="58" t="s">
        <v>2305</v>
      </c>
      <c r="C1025" s="58" t="s">
        <v>2257</v>
      </c>
      <c r="D1025" s="58" t="s">
        <v>3011</v>
      </c>
      <c r="E1025" s="59" t="s">
        <v>2463</v>
      </c>
      <c r="F1025" s="59" t="s">
        <v>2970</v>
      </c>
      <c r="G1025" s="58" t="s">
        <v>2306</v>
      </c>
    </row>
    <row r="1026" spans="1:7">
      <c r="A1026" s="304" t="s">
        <v>2477</v>
      </c>
      <c r="B1026" s="58" t="s">
        <v>2213</v>
      </c>
      <c r="C1026" s="58" t="s">
        <v>2463</v>
      </c>
      <c r="D1026" s="58" t="s">
        <v>3011</v>
      </c>
      <c r="E1026" s="59" t="s">
        <v>2463</v>
      </c>
      <c r="F1026" s="59" t="s">
        <v>2970</v>
      </c>
      <c r="G1026" s="58" t="s">
        <v>2292</v>
      </c>
    </row>
    <row r="1027" spans="1:7" ht="17.25">
      <c r="A1027" s="305" t="s">
        <v>2910</v>
      </c>
      <c r="B1027" s="76"/>
      <c r="C1027" s="76"/>
      <c r="D1027" s="76"/>
      <c r="E1027" s="77"/>
      <c r="F1027" s="76"/>
      <c r="G1027" s="76"/>
    </row>
    <row r="1028" spans="1:7">
      <c r="A1028" s="304" t="s">
        <v>2308</v>
      </c>
      <c r="B1028" s="58" t="s">
        <v>2122</v>
      </c>
      <c r="C1028" s="58" t="s">
        <v>2309</v>
      </c>
      <c r="D1028" s="58" t="s">
        <v>3017</v>
      </c>
      <c r="E1028" s="59" t="s">
        <v>2311</v>
      </c>
      <c r="F1028" s="59" t="s">
        <v>2970</v>
      </c>
      <c r="G1028" s="58" t="s">
        <v>2312</v>
      </c>
    </row>
    <row r="1029" spans="1:7">
      <c r="A1029" s="304" t="s">
        <v>2352</v>
      </c>
      <c r="B1029" s="58"/>
      <c r="C1029" s="58" t="s">
        <v>1201</v>
      </c>
      <c r="D1029" s="58" t="s">
        <v>3017</v>
      </c>
      <c r="E1029" s="59" t="s">
        <v>1201</v>
      </c>
      <c r="F1029" s="59" t="s">
        <v>2970</v>
      </c>
      <c r="G1029" s="58" t="s">
        <v>2120</v>
      </c>
    </row>
    <row r="1030" spans="1:7">
      <c r="A1030" s="304" t="s">
        <v>2118</v>
      </c>
      <c r="B1030" s="58"/>
      <c r="C1030" s="58" t="s">
        <v>2119</v>
      </c>
      <c r="D1030" s="58" t="s">
        <v>3017</v>
      </c>
      <c r="E1030" s="59" t="s">
        <v>1201</v>
      </c>
      <c r="F1030" s="59" t="s">
        <v>2970</v>
      </c>
      <c r="G1030" s="58" t="s">
        <v>2120</v>
      </c>
    </row>
    <row r="1031" spans="1:7">
      <c r="A1031" s="304" t="s">
        <v>2313</v>
      </c>
      <c r="B1031" s="58" t="s">
        <v>2314</v>
      </c>
      <c r="C1031" s="58" t="s">
        <v>2309</v>
      </c>
      <c r="D1031" s="58" t="s">
        <v>3017</v>
      </c>
      <c r="E1031" s="59" t="s">
        <v>2311</v>
      </c>
      <c r="F1031" s="59" t="s">
        <v>2970</v>
      </c>
      <c r="G1031" s="58" t="s">
        <v>2120</v>
      </c>
    </row>
    <row r="1032" spans="1:7">
      <c r="A1032" s="304" t="s">
        <v>2315</v>
      </c>
      <c r="B1032" s="58" t="s">
        <v>2314</v>
      </c>
      <c r="C1032" s="58" t="s">
        <v>2309</v>
      </c>
      <c r="D1032" s="58" t="s">
        <v>3017</v>
      </c>
      <c r="E1032" s="59" t="s">
        <v>2311</v>
      </c>
      <c r="F1032" s="59" t="s">
        <v>2970</v>
      </c>
      <c r="G1032" s="58" t="s">
        <v>2120</v>
      </c>
    </row>
    <row r="1033" spans="1:7">
      <c r="A1033" s="304" t="s">
        <v>2316</v>
      </c>
      <c r="B1033" s="58" t="s">
        <v>2124</v>
      </c>
      <c r="C1033" s="58" t="s">
        <v>2309</v>
      </c>
      <c r="D1033" s="58" t="s">
        <v>3017</v>
      </c>
      <c r="E1033" s="59" t="s">
        <v>2311</v>
      </c>
      <c r="F1033" s="59" t="s">
        <v>2970</v>
      </c>
      <c r="G1033" s="58" t="s">
        <v>2120</v>
      </c>
    </row>
    <row r="1034" spans="1:7" ht="17.25">
      <c r="A1034" s="305" t="s">
        <v>2911</v>
      </c>
      <c r="B1034" s="76"/>
      <c r="C1034" s="76"/>
      <c r="D1034" s="76"/>
      <c r="E1034" s="77"/>
      <c r="F1034" s="76"/>
      <c r="G1034" s="76"/>
    </row>
    <row r="1035" spans="1:7">
      <c r="A1035" s="304" t="s">
        <v>2134</v>
      </c>
      <c r="B1035" s="58"/>
      <c r="C1035" s="58" t="s">
        <v>2135</v>
      </c>
      <c r="D1035" s="58" t="s">
        <v>3017</v>
      </c>
      <c r="E1035" s="59" t="s">
        <v>2318</v>
      </c>
      <c r="F1035" s="59" t="s">
        <v>2970</v>
      </c>
      <c r="G1035" s="58" t="s">
        <v>2137</v>
      </c>
    </row>
    <row r="1036" spans="1:7" ht="17.25">
      <c r="A1036" s="305" t="s">
        <v>2912</v>
      </c>
      <c r="B1036" s="76"/>
      <c r="C1036" s="76"/>
      <c r="D1036" s="76"/>
      <c r="E1036" s="77"/>
      <c r="F1036" s="76"/>
      <c r="G1036" s="76"/>
    </row>
    <row r="1037" spans="1:7">
      <c r="A1037" s="304" t="s">
        <v>2169</v>
      </c>
      <c r="B1037" s="58" t="s">
        <v>2129</v>
      </c>
      <c r="C1037" s="58" t="s">
        <v>2170</v>
      </c>
      <c r="D1037" s="58" t="s">
        <v>3017</v>
      </c>
      <c r="E1037" s="59" t="s">
        <v>2318</v>
      </c>
      <c r="F1037" s="59" t="s">
        <v>2970</v>
      </c>
      <c r="G1037" s="58" t="s">
        <v>2120</v>
      </c>
    </row>
    <row r="1038" spans="1:7">
      <c r="A1038" s="304" t="s">
        <v>2171</v>
      </c>
      <c r="B1038" s="58" t="s">
        <v>2129</v>
      </c>
      <c r="C1038" s="58" t="s">
        <v>2135</v>
      </c>
      <c r="D1038" s="58" t="s">
        <v>3017</v>
      </c>
      <c r="E1038" s="59" t="s">
        <v>2318</v>
      </c>
      <c r="F1038" s="59" t="s">
        <v>2970</v>
      </c>
      <c r="G1038" s="58" t="s">
        <v>2120</v>
      </c>
    </row>
    <row r="1039" spans="1:7">
      <c r="A1039" s="304" t="s">
        <v>2172</v>
      </c>
      <c r="B1039" s="58" t="s">
        <v>2129</v>
      </c>
      <c r="C1039" s="58" t="s">
        <v>2135</v>
      </c>
      <c r="D1039" s="58" t="s">
        <v>3017</v>
      </c>
      <c r="E1039" s="59" t="s">
        <v>2318</v>
      </c>
      <c r="F1039" s="59" t="s">
        <v>2970</v>
      </c>
      <c r="G1039" s="58" t="s">
        <v>2120</v>
      </c>
    </row>
    <row r="1040" spans="1:7">
      <c r="A1040" s="304" t="s">
        <v>2173</v>
      </c>
      <c r="B1040" s="58" t="s">
        <v>2174</v>
      </c>
      <c r="C1040" s="58" t="s">
        <v>2135</v>
      </c>
      <c r="D1040" s="58" t="s">
        <v>3017</v>
      </c>
      <c r="E1040" s="59" t="s">
        <v>2318</v>
      </c>
      <c r="F1040" s="59" t="s">
        <v>2970</v>
      </c>
      <c r="G1040" s="58" t="s">
        <v>2120</v>
      </c>
    </row>
    <row r="1041" spans="1:7">
      <c r="A1041" s="304" t="s">
        <v>2175</v>
      </c>
      <c r="B1041" s="58"/>
      <c r="C1041" s="58" t="s">
        <v>2135</v>
      </c>
      <c r="D1041" s="58" t="s">
        <v>3017</v>
      </c>
      <c r="E1041" s="59" t="s">
        <v>2318</v>
      </c>
      <c r="F1041" s="59" t="s">
        <v>2970</v>
      </c>
      <c r="G1041" s="58" t="s">
        <v>2120</v>
      </c>
    </row>
    <row r="1042" spans="1:7">
      <c r="A1042" s="304" t="s">
        <v>2176</v>
      </c>
      <c r="B1042" s="58"/>
      <c r="C1042" s="58" t="s">
        <v>2135</v>
      </c>
      <c r="D1042" s="58" t="s">
        <v>3017</v>
      </c>
      <c r="E1042" s="59" t="s">
        <v>2318</v>
      </c>
      <c r="F1042" s="59" t="s">
        <v>2970</v>
      </c>
      <c r="G1042" s="58" t="s">
        <v>2120</v>
      </c>
    </row>
    <row r="1043" spans="1:7">
      <c r="A1043" s="304" t="s">
        <v>2177</v>
      </c>
      <c r="B1043" s="58"/>
      <c r="C1043" s="58" t="s">
        <v>2135</v>
      </c>
      <c r="D1043" s="58" t="s">
        <v>3017</v>
      </c>
      <c r="E1043" s="59" t="s">
        <v>2318</v>
      </c>
      <c r="F1043" s="59" t="s">
        <v>2970</v>
      </c>
      <c r="G1043" s="58" t="s">
        <v>2120</v>
      </c>
    </row>
    <row r="1044" spans="1:7" ht="17.25">
      <c r="A1044" s="305" t="s">
        <v>2913</v>
      </c>
      <c r="B1044" s="76"/>
      <c r="C1044" s="76"/>
      <c r="D1044" s="76"/>
      <c r="E1044" s="77"/>
      <c r="F1044" s="76"/>
      <c r="G1044" s="76"/>
    </row>
    <row r="1045" spans="1:7">
      <c r="A1045" s="304" t="s">
        <v>2190</v>
      </c>
      <c r="B1045" s="58"/>
      <c r="C1045" s="58" t="s">
        <v>2135</v>
      </c>
      <c r="D1045" s="58" t="s">
        <v>3017</v>
      </c>
      <c r="E1045" s="59" t="s">
        <v>2318</v>
      </c>
      <c r="F1045" s="59" t="s">
        <v>2970</v>
      </c>
      <c r="G1045" s="58" t="s">
        <v>2120</v>
      </c>
    </row>
    <row r="1046" spans="1:7">
      <c r="A1046" s="304" t="s">
        <v>2191</v>
      </c>
      <c r="B1046" s="58"/>
      <c r="C1046" s="58" t="s">
        <v>2135</v>
      </c>
      <c r="D1046" s="58" t="s">
        <v>3017</v>
      </c>
      <c r="E1046" s="59" t="s">
        <v>2318</v>
      </c>
      <c r="F1046" s="59" t="s">
        <v>2970</v>
      </c>
      <c r="G1046" s="58" t="s">
        <v>2120</v>
      </c>
    </row>
    <row r="1047" spans="1:7" ht="17.25">
      <c r="A1047" s="305" t="s">
        <v>2914</v>
      </c>
      <c r="B1047" s="76"/>
      <c r="C1047" s="76"/>
      <c r="D1047" s="76"/>
      <c r="E1047" s="77"/>
      <c r="F1047" s="76"/>
      <c r="G1047" s="76"/>
    </row>
    <row r="1048" spans="1:7">
      <c r="A1048" s="304" t="s">
        <v>2206</v>
      </c>
      <c r="B1048" s="58"/>
      <c r="C1048" s="58" t="s">
        <v>2135</v>
      </c>
      <c r="D1048" s="58" t="s">
        <v>3017</v>
      </c>
      <c r="E1048" s="59" t="s">
        <v>2318</v>
      </c>
      <c r="F1048" s="59" t="s">
        <v>2970</v>
      </c>
      <c r="G1048" s="58" t="s">
        <v>2120</v>
      </c>
    </row>
    <row r="1049" spans="1:7" ht="17.25">
      <c r="A1049" s="305" t="s">
        <v>2915</v>
      </c>
      <c r="B1049" s="76"/>
      <c r="C1049" s="76"/>
      <c r="D1049" s="76"/>
      <c r="E1049" s="77"/>
      <c r="F1049" s="76"/>
      <c r="G1049" s="76"/>
    </row>
    <row r="1050" spans="1:7">
      <c r="A1050" s="304" t="s">
        <v>2328</v>
      </c>
      <c r="B1050" s="58" t="s">
        <v>2217</v>
      </c>
      <c r="C1050" s="58" t="s">
        <v>2309</v>
      </c>
      <c r="D1050" s="58" t="s">
        <v>3017</v>
      </c>
      <c r="E1050" s="59" t="s">
        <v>2311</v>
      </c>
      <c r="F1050" s="59" t="s">
        <v>2970</v>
      </c>
      <c r="G1050" s="58" t="s">
        <v>2329</v>
      </c>
    </row>
    <row r="1051" spans="1:7">
      <c r="A1051" s="304" t="s">
        <v>2330</v>
      </c>
      <c r="B1051" s="58" t="s">
        <v>2331</v>
      </c>
      <c r="C1051" s="58" t="s">
        <v>2309</v>
      </c>
      <c r="D1051" s="58" t="s">
        <v>3017</v>
      </c>
      <c r="E1051" s="59" t="s">
        <v>2311</v>
      </c>
      <c r="F1051" s="59" t="s">
        <v>2970</v>
      </c>
      <c r="G1051" s="58" t="s">
        <v>2332</v>
      </c>
    </row>
    <row r="1052" spans="1:7">
      <c r="A1052" s="304" t="s">
        <v>2228</v>
      </c>
      <c r="B1052" s="58"/>
      <c r="C1052" s="58" t="s">
        <v>2135</v>
      </c>
      <c r="D1052" s="58" t="s">
        <v>3017</v>
      </c>
      <c r="E1052" s="59" t="s">
        <v>2318</v>
      </c>
      <c r="F1052" s="59" t="s">
        <v>2970</v>
      </c>
      <c r="G1052" s="58" t="s">
        <v>2120</v>
      </c>
    </row>
    <row r="1053" spans="1:7" ht="17.25">
      <c r="A1053" s="305" t="s">
        <v>2917</v>
      </c>
      <c r="B1053" s="76"/>
      <c r="C1053" s="76"/>
      <c r="D1053" s="76"/>
      <c r="E1053" s="77"/>
      <c r="F1053" s="76"/>
      <c r="G1053" s="76"/>
    </row>
    <row r="1054" spans="1:7">
      <c r="A1054" s="304" t="s">
        <v>2242</v>
      </c>
      <c r="B1054" s="58" t="s">
        <v>2220</v>
      </c>
      <c r="C1054" s="58" t="s">
        <v>2243</v>
      </c>
      <c r="D1054" s="58" t="s">
        <v>3017</v>
      </c>
      <c r="E1054" s="59" t="s">
        <v>2976</v>
      </c>
      <c r="F1054" s="59" t="s">
        <v>2970</v>
      </c>
      <c r="G1054" s="58" t="s">
        <v>2244</v>
      </c>
    </row>
    <row r="1055" spans="1:7">
      <c r="A1055" s="304" t="s">
        <v>2335</v>
      </c>
      <c r="B1055" s="58"/>
      <c r="C1055" s="58" t="s">
        <v>2309</v>
      </c>
      <c r="D1055" s="58" t="s">
        <v>3017</v>
      </c>
      <c r="E1055" s="59" t="s">
        <v>2311</v>
      </c>
      <c r="F1055" s="59" t="s">
        <v>2970</v>
      </c>
      <c r="G1055" s="58" t="s">
        <v>2336</v>
      </c>
    </row>
    <row r="1056" spans="1:7">
      <c r="A1056" s="304" t="s">
        <v>2337</v>
      </c>
      <c r="B1056" s="58" t="s">
        <v>2248</v>
      </c>
      <c r="C1056" s="58" t="s">
        <v>2338</v>
      </c>
      <c r="D1056" s="58" t="s">
        <v>3017</v>
      </c>
      <c r="E1056" s="59" t="s">
        <v>2339</v>
      </c>
      <c r="F1056" s="59" t="s">
        <v>2970</v>
      </c>
      <c r="G1056" s="58" t="s">
        <v>2120</v>
      </c>
    </row>
    <row r="1057" spans="1:7" ht="17.25">
      <c r="A1057" s="305" t="s">
        <v>2918</v>
      </c>
      <c r="B1057" s="76"/>
      <c r="C1057" s="76"/>
      <c r="D1057" s="76"/>
      <c r="E1057" s="77"/>
      <c r="F1057" s="76"/>
      <c r="G1057" s="76"/>
    </row>
    <row r="1058" spans="1:7">
      <c r="A1058" s="304" t="s">
        <v>2258</v>
      </c>
      <c r="B1058" s="58" t="s">
        <v>2259</v>
      </c>
      <c r="C1058" s="58" t="s">
        <v>2260</v>
      </c>
      <c r="D1058" s="58" t="s">
        <v>3017</v>
      </c>
      <c r="E1058" s="59" t="s">
        <v>2775</v>
      </c>
      <c r="F1058" s="59" t="s">
        <v>2970</v>
      </c>
      <c r="G1058" s="58" t="s">
        <v>2261</v>
      </c>
    </row>
    <row r="1059" spans="1:7">
      <c r="A1059" s="304" t="s">
        <v>3001</v>
      </c>
      <c r="B1059" s="58"/>
      <c r="C1059" s="58" t="s">
        <v>3002</v>
      </c>
      <c r="D1059" s="58" t="s">
        <v>3017</v>
      </c>
      <c r="E1059" s="59" t="s">
        <v>3003</v>
      </c>
      <c r="F1059" s="59" t="s">
        <v>2970</v>
      </c>
      <c r="G1059" s="58" t="s">
        <v>2120</v>
      </c>
    </row>
    <row r="1060" spans="1:7" ht="17.25">
      <c r="A1060" s="305" t="s">
        <v>2919</v>
      </c>
      <c r="B1060" s="76"/>
      <c r="C1060" s="76"/>
      <c r="D1060" s="76"/>
      <c r="E1060" s="77"/>
      <c r="F1060" s="76"/>
      <c r="G1060" s="76"/>
    </row>
    <row r="1061" spans="1:7">
      <c r="A1061" s="304" t="s">
        <v>2342</v>
      </c>
      <c r="B1061" s="58"/>
      <c r="C1061" s="58" t="s">
        <v>2309</v>
      </c>
      <c r="D1061" s="58" t="s">
        <v>3017</v>
      </c>
      <c r="E1061" s="59" t="s">
        <v>2311</v>
      </c>
      <c r="F1061" s="59" t="s">
        <v>2970</v>
      </c>
      <c r="G1061" s="58" t="s">
        <v>2343</v>
      </c>
    </row>
    <row r="1062" spans="1:7">
      <c r="A1062" s="304" t="s">
        <v>2344</v>
      </c>
      <c r="B1062" s="58" t="s">
        <v>2273</v>
      </c>
      <c r="C1062" s="58" t="s">
        <v>2309</v>
      </c>
      <c r="D1062" s="58" t="s">
        <v>3017</v>
      </c>
      <c r="E1062" s="59" t="s">
        <v>2311</v>
      </c>
      <c r="F1062" s="59" t="s">
        <v>2970</v>
      </c>
      <c r="G1062" s="58" t="s">
        <v>2345</v>
      </c>
    </row>
    <row r="1063" spans="1:7">
      <c r="A1063" s="304" t="s">
        <v>2285</v>
      </c>
      <c r="B1063" s="58"/>
      <c r="C1063" s="58" t="s">
        <v>2135</v>
      </c>
      <c r="D1063" s="58" t="s">
        <v>3017</v>
      </c>
      <c r="E1063" s="59" t="s">
        <v>2318</v>
      </c>
      <c r="F1063" s="59" t="s">
        <v>2970</v>
      </c>
      <c r="G1063" s="58" t="s">
        <v>2120</v>
      </c>
    </row>
    <row r="1064" spans="1:7" ht="17.25">
      <c r="A1064" s="305" t="s">
        <v>2920</v>
      </c>
      <c r="B1064" s="76"/>
      <c r="C1064" s="76"/>
      <c r="D1064" s="76"/>
      <c r="E1064" s="77"/>
      <c r="F1064" s="76"/>
      <c r="G1064" s="76"/>
    </row>
    <row r="1065" spans="1:7">
      <c r="A1065" s="304" t="s">
        <v>2291</v>
      </c>
      <c r="B1065" s="58"/>
      <c r="C1065" s="58" t="s">
        <v>2135</v>
      </c>
      <c r="D1065" s="58" t="s">
        <v>3017</v>
      </c>
      <c r="E1065" s="59" t="s">
        <v>2318</v>
      </c>
      <c r="F1065" s="59" t="s">
        <v>2970</v>
      </c>
      <c r="G1065" s="58" t="s">
        <v>2292</v>
      </c>
    </row>
    <row r="1066" spans="1:7" ht="17.25">
      <c r="A1066" s="305" t="s">
        <v>2930</v>
      </c>
      <c r="B1066" s="76"/>
      <c r="C1066" s="76"/>
      <c r="D1066" s="76"/>
      <c r="E1066" s="77"/>
      <c r="F1066" s="76"/>
      <c r="G1066" s="76"/>
    </row>
    <row r="1067" spans="1:7">
      <c r="A1067" s="304" t="s">
        <v>2114</v>
      </c>
      <c r="B1067" s="58" t="s">
        <v>2115</v>
      </c>
      <c r="C1067" s="58" t="s">
        <v>1559</v>
      </c>
      <c r="D1067" s="58" t="s">
        <v>2977</v>
      </c>
      <c r="E1067" s="59" t="s">
        <v>108</v>
      </c>
      <c r="F1067" s="59" t="s">
        <v>2970</v>
      </c>
      <c r="G1067" s="58" t="s">
        <v>2117</v>
      </c>
    </row>
    <row r="1068" spans="1:7">
      <c r="A1068" s="304" t="s">
        <v>2352</v>
      </c>
      <c r="B1068" s="58"/>
      <c r="C1068" s="58" t="s">
        <v>1201</v>
      </c>
      <c r="D1068" s="58" t="s">
        <v>2977</v>
      </c>
      <c r="E1068" s="59" t="s">
        <v>1201</v>
      </c>
      <c r="F1068" s="59" t="s">
        <v>2970</v>
      </c>
      <c r="G1068" s="58" t="s">
        <v>2120</v>
      </c>
    </row>
    <row r="1069" spans="1:7">
      <c r="A1069" s="304" t="s">
        <v>2118</v>
      </c>
      <c r="B1069" s="58"/>
      <c r="C1069" s="58" t="s">
        <v>2119</v>
      </c>
      <c r="D1069" s="58" t="s">
        <v>2977</v>
      </c>
      <c r="E1069" s="59" t="s">
        <v>2119</v>
      </c>
      <c r="F1069" s="59" t="s">
        <v>2970</v>
      </c>
      <c r="G1069" s="58" t="s">
        <v>2120</v>
      </c>
    </row>
    <row r="1070" spans="1:7">
      <c r="A1070" s="304" t="s">
        <v>2121</v>
      </c>
      <c r="B1070" s="58" t="s">
        <v>2122</v>
      </c>
      <c r="C1070" s="58" t="s">
        <v>108</v>
      </c>
      <c r="D1070" s="58" t="s">
        <v>2977</v>
      </c>
      <c r="E1070" s="59" t="s">
        <v>108</v>
      </c>
      <c r="F1070" s="59" t="s">
        <v>2970</v>
      </c>
      <c r="G1070" s="58" t="s">
        <v>2120</v>
      </c>
    </row>
    <row r="1071" spans="1:7">
      <c r="A1071" s="304" t="s">
        <v>2123</v>
      </c>
      <c r="B1071" s="58" t="s">
        <v>2124</v>
      </c>
      <c r="C1071" s="58" t="s">
        <v>108</v>
      </c>
      <c r="D1071" s="58" t="s">
        <v>2977</v>
      </c>
      <c r="E1071" s="59" t="s">
        <v>108</v>
      </c>
      <c r="F1071" s="59" t="s">
        <v>2970</v>
      </c>
      <c r="G1071" s="58" t="s">
        <v>2125</v>
      </c>
    </row>
    <row r="1072" spans="1:7">
      <c r="A1072" s="304" t="s">
        <v>2126</v>
      </c>
      <c r="B1072" s="58"/>
      <c r="C1072" s="58" t="s">
        <v>108</v>
      </c>
      <c r="D1072" s="58" t="s">
        <v>2977</v>
      </c>
      <c r="E1072" s="59" t="s">
        <v>108</v>
      </c>
      <c r="F1072" s="59" t="s">
        <v>2970</v>
      </c>
      <c r="G1072" s="58" t="s">
        <v>2120</v>
      </c>
    </row>
    <row r="1073" spans="1:7" ht="17.25">
      <c r="A1073" s="305" t="s">
        <v>2931</v>
      </c>
      <c r="B1073" s="76"/>
      <c r="C1073" s="76"/>
      <c r="D1073" s="76"/>
      <c r="E1073" s="77"/>
      <c r="F1073" s="76"/>
      <c r="G1073" s="76"/>
    </row>
    <row r="1074" spans="1:7">
      <c r="A1074" s="304" t="s">
        <v>2128</v>
      </c>
      <c r="B1074" s="58" t="s">
        <v>2129</v>
      </c>
      <c r="C1074" s="58" t="s">
        <v>108</v>
      </c>
      <c r="D1074" s="58" t="s">
        <v>2977</v>
      </c>
      <c r="E1074" s="59" t="s">
        <v>108</v>
      </c>
      <c r="F1074" s="59" t="s">
        <v>2970</v>
      </c>
      <c r="G1074" s="58" t="s">
        <v>2120</v>
      </c>
    </row>
    <row r="1075" spans="1:7">
      <c r="A1075" s="304" t="s">
        <v>2130</v>
      </c>
      <c r="B1075" s="58" t="s">
        <v>2131</v>
      </c>
      <c r="C1075" s="58" t="s">
        <v>108</v>
      </c>
      <c r="D1075" s="58" t="s">
        <v>2977</v>
      </c>
      <c r="E1075" s="59" t="s">
        <v>108</v>
      </c>
      <c r="F1075" s="59" t="s">
        <v>2970</v>
      </c>
      <c r="G1075" s="58" t="s">
        <v>2132</v>
      </c>
    </row>
    <row r="1076" spans="1:7">
      <c r="A1076" s="304" t="s">
        <v>2133</v>
      </c>
      <c r="B1076" s="58" t="s">
        <v>2131</v>
      </c>
      <c r="C1076" s="58" t="s">
        <v>108</v>
      </c>
      <c r="D1076" s="58" t="s">
        <v>2977</v>
      </c>
      <c r="E1076" s="59" t="s">
        <v>108</v>
      </c>
      <c r="F1076" s="59" t="s">
        <v>2970</v>
      </c>
      <c r="G1076" s="58" t="s">
        <v>2120</v>
      </c>
    </row>
    <row r="1077" spans="1:7">
      <c r="A1077" s="304" t="s">
        <v>2134</v>
      </c>
      <c r="B1077" s="58"/>
      <c r="C1077" s="58" t="s">
        <v>2135</v>
      </c>
      <c r="D1077" s="58" t="s">
        <v>2977</v>
      </c>
      <c r="E1077" s="59" t="s">
        <v>2136</v>
      </c>
      <c r="F1077" s="59" t="s">
        <v>2970</v>
      </c>
      <c r="G1077" s="58" t="s">
        <v>2137</v>
      </c>
    </row>
    <row r="1078" spans="1:7">
      <c r="A1078" s="304" t="s">
        <v>2138</v>
      </c>
      <c r="B1078" s="58" t="s">
        <v>2139</v>
      </c>
      <c r="C1078" s="58" t="s">
        <v>108</v>
      </c>
      <c r="D1078" s="58" t="s">
        <v>2977</v>
      </c>
      <c r="E1078" s="59" t="s">
        <v>108</v>
      </c>
      <c r="F1078" s="59" t="s">
        <v>2970</v>
      </c>
      <c r="G1078" s="58" t="s">
        <v>2140</v>
      </c>
    </row>
    <row r="1079" spans="1:7" ht="17.25">
      <c r="A1079" s="305" t="s">
        <v>2932</v>
      </c>
      <c r="B1079" s="76"/>
      <c r="C1079" s="76"/>
      <c r="D1079" s="76"/>
      <c r="E1079" s="77"/>
      <c r="F1079" s="76"/>
      <c r="G1079" s="76"/>
    </row>
    <row r="1080" spans="1:7">
      <c r="A1080" s="304" t="s">
        <v>2142</v>
      </c>
      <c r="B1080" s="58" t="s">
        <v>2143</v>
      </c>
      <c r="C1080" s="58" t="s">
        <v>108</v>
      </c>
      <c r="D1080" s="58" t="s">
        <v>2977</v>
      </c>
      <c r="E1080" s="59" t="s">
        <v>108</v>
      </c>
      <c r="F1080" s="59" t="s">
        <v>2970</v>
      </c>
      <c r="G1080" s="58" t="s">
        <v>2120</v>
      </c>
    </row>
    <row r="1081" spans="1:7">
      <c r="A1081" s="304" t="s">
        <v>2144</v>
      </c>
      <c r="B1081" s="58" t="s">
        <v>2143</v>
      </c>
      <c r="C1081" s="58" t="s">
        <v>2145</v>
      </c>
      <c r="D1081" s="58" t="s">
        <v>2977</v>
      </c>
      <c r="E1081" s="59" t="s">
        <v>2979</v>
      </c>
      <c r="F1081" s="59" t="s">
        <v>2970</v>
      </c>
      <c r="G1081" s="58" t="s">
        <v>2120</v>
      </c>
    </row>
    <row r="1082" spans="1:7">
      <c r="A1082" s="304" t="s">
        <v>2146</v>
      </c>
      <c r="B1082" s="58" t="s">
        <v>2143</v>
      </c>
      <c r="C1082" s="58" t="s">
        <v>2147</v>
      </c>
      <c r="D1082" s="58" t="s">
        <v>2977</v>
      </c>
      <c r="E1082" s="59" t="s">
        <v>108</v>
      </c>
      <c r="F1082" s="59" t="s">
        <v>2970</v>
      </c>
      <c r="G1082" s="58" t="s">
        <v>2148</v>
      </c>
    </row>
    <row r="1083" spans="1:7">
      <c r="A1083" s="304" t="s">
        <v>2149</v>
      </c>
      <c r="B1083" s="58" t="s">
        <v>2143</v>
      </c>
      <c r="C1083" s="58" t="s">
        <v>108</v>
      </c>
      <c r="D1083" s="58" t="s">
        <v>2977</v>
      </c>
      <c r="E1083" s="59" t="s">
        <v>108</v>
      </c>
      <c r="F1083" s="59" t="s">
        <v>2970</v>
      </c>
      <c r="G1083" s="58" t="s">
        <v>2120</v>
      </c>
    </row>
    <row r="1084" spans="1:7" ht="17.25">
      <c r="A1084" s="305" t="s">
        <v>2933</v>
      </c>
      <c r="B1084" s="76"/>
      <c r="C1084" s="76"/>
      <c r="D1084" s="76"/>
      <c r="E1084" s="77"/>
      <c r="F1084" s="76"/>
      <c r="G1084" s="76"/>
    </row>
    <row r="1085" spans="1:7">
      <c r="A1085" s="304" t="s">
        <v>2151</v>
      </c>
      <c r="B1085" s="58" t="s">
        <v>2152</v>
      </c>
      <c r="C1085" s="58" t="s">
        <v>2153</v>
      </c>
      <c r="D1085" s="58" t="s">
        <v>2977</v>
      </c>
      <c r="E1085" s="59" t="s">
        <v>108</v>
      </c>
      <c r="F1085" s="59" t="s">
        <v>2970</v>
      </c>
      <c r="G1085" s="58" t="s">
        <v>2120</v>
      </c>
    </row>
    <row r="1086" spans="1:7">
      <c r="A1086" s="304" t="s">
        <v>2154</v>
      </c>
      <c r="B1086" s="58" t="s">
        <v>2155</v>
      </c>
      <c r="C1086" s="58" t="s">
        <v>108</v>
      </c>
      <c r="D1086" s="58" t="s">
        <v>2977</v>
      </c>
      <c r="E1086" s="59" t="s">
        <v>108</v>
      </c>
      <c r="F1086" s="59" t="s">
        <v>2970</v>
      </c>
      <c r="G1086" s="58" t="s">
        <v>2120</v>
      </c>
    </row>
    <row r="1087" spans="1:7">
      <c r="A1087" s="304" t="s">
        <v>2156</v>
      </c>
      <c r="B1087" s="58" t="s">
        <v>2152</v>
      </c>
      <c r="C1087" s="58" t="s">
        <v>2157</v>
      </c>
      <c r="D1087" s="58" t="s">
        <v>2977</v>
      </c>
      <c r="E1087" s="59" t="s">
        <v>108</v>
      </c>
      <c r="F1087" s="59" t="s">
        <v>2970</v>
      </c>
      <c r="G1087" s="58" t="s">
        <v>2120</v>
      </c>
    </row>
    <row r="1088" spans="1:7">
      <c r="A1088" s="304" t="s">
        <v>2158</v>
      </c>
      <c r="B1088" s="58" t="s">
        <v>2155</v>
      </c>
      <c r="C1088" s="58" t="s">
        <v>2159</v>
      </c>
      <c r="D1088" s="58" t="s">
        <v>2977</v>
      </c>
      <c r="E1088" s="59" t="s">
        <v>108</v>
      </c>
      <c r="F1088" s="59" t="s">
        <v>2970</v>
      </c>
      <c r="G1088" s="58" t="s">
        <v>2160</v>
      </c>
    </row>
    <row r="1089" spans="1:7">
      <c r="A1089" s="304" t="s">
        <v>2161</v>
      </c>
      <c r="B1089" s="58" t="s">
        <v>2162</v>
      </c>
      <c r="C1089" s="58" t="s">
        <v>108</v>
      </c>
      <c r="D1089" s="58" t="s">
        <v>2977</v>
      </c>
      <c r="E1089" s="59" t="s">
        <v>108</v>
      </c>
      <c r="F1089" s="59" t="s">
        <v>2970</v>
      </c>
      <c r="G1089" s="58" t="s">
        <v>2163</v>
      </c>
    </row>
    <row r="1090" spans="1:7">
      <c r="A1090" s="304" t="s">
        <v>2164</v>
      </c>
      <c r="B1090" s="58" t="s">
        <v>2162</v>
      </c>
      <c r="C1090" s="58" t="s">
        <v>108</v>
      </c>
      <c r="D1090" s="58" t="s">
        <v>2977</v>
      </c>
      <c r="E1090" s="59" t="s">
        <v>108</v>
      </c>
      <c r="F1090" s="59" t="s">
        <v>2970</v>
      </c>
      <c r="G1090" s="58" t="s">
        <v>2120</v>
      </c>
    </row>
    <row r="1091" spans="1:7" ht="17.25">
      <c r="A1091" s="305" t="s">
        <v>2934</v>
      </c>
      <c r="B1091" s="76"/>
      <c r="C1091" s="76"/>
      <c r="D1091" s="76"/>
      <c r="E1091" s="77"/>
      <c r="F1091" s="76"/>
      <c r="G1091" s="76"/>
    </row>
    <row r="1092" spans="1:7">
      <c r="A1092" s="304" t="s">
        <v>2166</v>
      </c>
      <c r="B1092" s="58" t="s">
        <v>2167</v>
      </c>
      <c r="C1092" s="58" t="s">
        <v>108</v>
      </c>
      <c r="D1092" s="58" t="s">
        <v>2977</v>
      </c>
      <c r="E1092" s="59" t="s">
        <v>108</v>
      </c>
      <c r="F1092" s="59" t="s">
        <v>2970</v>
      </c>
      <c r="G1092" s="58" t="s">
        <v>2168</v>
      </c>
    </row>
    <row r="1093" spans="1:7">
      <c r="A1093" s="304" t="s">
        <v>2169</v>
      </c>
      <c r="B1093" s="58" t="s">
        <v>2129</v>
      </c>
      <c r="C1093" s="58" t="s">
        <v>2170</v>
      </c>
      <c r="D1093" s="58" t="s">
        <v>2977</v>
      </c>
      <c r="E1093" s="59" t="s">
        <v>2136</v>
      </c>
      <c r="F1093" s="59" t="s">
        <v>2970</v>
      </c>
      <c r="G1093" s="58" t="s">
        <v>2120</v>
      </c>
    </row>
    <row r="1094" spans="1:7">
      <c r="A1094" s="304" t="s">
        <v>2171</v>
      </c>
      <c r="B1094" s="58" t="s">
        <v>2129</v>
      </c>
      <c r="C1094" s="58" t="s">
        <v>2135</v>
      </c>
      <c r="D1094" s="58" t="s">
        <v>2977</v>
      </c>
      <c r="E1094" s="59" t="s">
        <v>2136</v>
      </c>
      <c r="F1094" s="59" t="s">
        <v>2970</v>
      </c>
      <c r="G1094" s="58" t="s">
        <v>2120</v>
      </c>
    </row>
    <row r="1095" spans="1:7">
      <c r="A1095" s="304" t="s">
        <v>2172</v>
      </c>
      <c r="B1095" s="58" t="s">
        <v>2129</v>
      </c>
      <c r="C1095" s="58" t="s">
        <v>2135</v>
      </c>
      <c r="D1095" s="58" t="s">
        <v>2977</v>
      </c>
      <c r="E1095" s="59" t="s">
        <v>2136</v>
      </c>
      <c r="F1095" s="59" t="s">
        <v>2970</v>
      </c>
      <c r="G1095" s="58" t="s">
        <v>2120</v>
      </c>
    </row>
    <row r="1096" spans="1:7">
      <c r="A1096" s="304" t="s">
        <v>2173</v>
      </c>
      <c r="B1096" s="58" t="s">
        <v>2174</v>
      </c>
      <c r="C1096" s="58" t="s">
        <v>2135</v>
      </c>
      <c r="D1096" s="58" t="s">
        <v>2977</v>
      </c>
      <c r="E1096" s="59" t="s">
        <v>2136</v>
      </c>
      <c r="F1096" s="59" t="s">
        <v>2970</v>
      </c>
      <c r="G1096" s="58" t="s">
        <v>2120</v>
      </c>
    </row>
    <row r="1097" spans="1:7">
      <c r="A1097" s="304" t="s">
        <v>2175</v>
      </c>
      <c r="B1097" s="58"/>
      <c r="C1097" s="58" t="s">
        <v>2135</v>
      </c>
      <c r="D1097" s="58" t="s">
        <v>2977</v>
      </c>
      <c r="E1097" s="59" t="s">
        <v>2136</v>
      </c>
      <c r="F1097" s="59" t="s">
        <v>2970</v>
      </c>
      <c r="G1097" s="58" t="s">
        <v>2120</v>
      </c>
    </row>
    <row r="1098" spans="1:7">
      <c r="A1098" s="304" t="s">
        <v>2176</v>
      </c>
      <c r="B1098" s="58"/>
      <c r="C1098" s="58" t="s">
        <v>2135</v>
      </c>
      <c r="D1098" s="58" t="s">
        <v>2977</v>
      </c>
      <c r="E1098" s="59" t="s">
        <v>2136</v>
      </c>
      <c r="F1098" s="59" t="s">
        <v>2970</v>
      </c>
      <c r="G1098" s="58" t="s">
        <v>2120</v>
      </c>
    </row>
    <row r="1099" spans="1:7">
      <c r="A1099" s="304" t="s">
        <v>2177</v>
      </c>
      <c r="B1099" s="58"/>
      <c r="C1099" s="58" t="s">
        <v>2135</v>
      </c>
      <c r="D1099" s="58" t="s">
        <v>2977</v>
      </c>
      <c r="E1099" s="59" t="s">
        <v>2136</v>
      </c>
      <c r="F1099" s="59" t="s">
        <v>2970</v>
      </c>
      <c r="G1099" s="58" t="s">
        <v>2120</v>
      </c>
    </row>
    <row r="1100" spans="1:7" ht="17.25">
      <c r="A1100" s="305" t="s">
        <v>2935</v>
      </c>
      <c r="B1100" s="76"/>
      <c r="C1100" s="76"/>
      <c r="D1100" s="76"/>
      <c r="E1100" s="77"/>
      <c r="F1100" s="76"/>
      <c r="G1100" s="76"/>
    </row>
    <row r="1101" spans="1:7">
      <c r="A1101" s="304" t="s">
        <v>2179</v>
      </c>
      <c r="B1101" s="58" t="s">
        <v>2180</v>
      </c>
      <c r="C1101" s="58" t="s">
        <v>108</v>
      </c>
      <c r="D1101" s="58" t="s">
        <v>2977</v>
      </c>
      <c r="E1101" s="59" t="s">
        <v>108</v>
      </c>
      <c r="F1101" s="59" t="s">
        <v>2970</v>
      </c>
      <c r="G1101" s="58" t="s">
        <v>2120</v>
      </c>
    </row>
    <row r="1102" spans="1:7">
      <c r="A1102" s="304" t="s">
        <v>2181</v>
      </c>
      <c r="B1102" s="58" t="s">
        <v>2182</v>
      </c>
      <c r="C1102" s="58" t="s">
        <v>108</v>
      </c>
      <c r="D1102" s="58" t="s">
        <v>2977</v>
      </c>
      <c r="E1102" s="59" t="s">
        <v>108</v>
      </c>
      <c r="F1102" s="59" t="s">
        <v>2970</v>
      </c>
      <c r="G1102" s="58" t="s">
        <v>2120</v>
      </c>
    </row>
    <row r="1103" spans="1:7">
      <c r="A1103" s="304" t="s">
        <v>2183</v>
      </c>
      <c r="B1103" s="58" t="s">
        <v>2182</v>
      </c>
      <c r="C1103" s="58" t="s">
        <v>2184</v>
      </c>
      <c r="D1103" s="58" t="s">
        <v>2977</v>
      </c>
      <c r="E1103" s="59" t="s">
        <v>108</v>
      </c>
      <c r="F1103" s="59" t="s">
        <v>2970</v>
      </c>
      <c r="G1103" s="58" t="s">
        <v>2185</v>
      </c>
    </row>
    <row r="1104" spans="1:7">
      <c r="A1104" s="304" t="s">
        <v>2186</v>
      </c>
      <c r="B1104" s="58" t="s">
        <v>2187</v>
      </c>
      <c r="C1104" s="58" t="s">
        <v>108</v>
      </c>
      <c r="D1104" s="58" t="s">
        <v>2977</v>
      </c>
      <c r="E1104" s="59" t="s">
        <v>108</v>
      </c>
      <c r="F1104" s="59" t="s">
        <v>2970</v>
      </c>
      <c r="G1104" s="58" t="s">
        <v>2120</v>
      </c>
    </row>
    <row r="1105" spans="1:7">
      <c r="A1105" s="304" t="s">
        <v>2188</v>
      </c>
      <c r="B1105" s="58"/>
      <c r="C1105" s="58" t="s">
        <v>2189</v>
      </c>
      <c r="D1105" s="58" t="s">
        <v>2977</v>
      </c>
      <c r="E1105" s="59" t="s">
        <v>108</v>
      </c>
      <c r="F1105" s="59" t="s">
        <v>2970</v>
      </c>
      <c r="G1105" s="58" t="s">
        <v>2120</v>
      </c>
    </row>
    <row r="1106" spans="1:7">
      <c r="A1106" s="304" t="s">
        <v>2190</v>
      </c>
      <c r="B1106" s="58"/>
      <c r="C1106" s="58" t="s">
        <v>2135</v>
      </c>
      <c r="D1106" s="58" t="s">
        <v>2977</v>
      </c>
      <c r="E1106" s="59" t="s">
        <v>2136</v>
      </c>
      <c r="F1106" s="59" t="s">
        <v>2970</v>
      </c>
      <c r="G1106" s="58" t="s">
        <v>2120</v>
      </c>
    </row>
    <row r="1107" spans="1:7">
      <c r="A1107" s="304" t="s">
        <v>2191</v>
      </c>
      <c r="B1107" s="58"/>
      <c r="C1107" s="58" t="s">
        <v>2135</v>
      </c>
      <c r="D1107" s="58" t="s">
        <v>2977</v>
      </c>
      <c r="E1107" s="59" t="s">
        <v>2136</v>
      </c>
      <c r="F1107" s="59" t="s">
        <v>2970</v>
      </c>
      <c r="G1107" s="58" t="s">
        <v>2120</v>
      </c>
    </row>
    <row r="1108" spans="1:7">
      <c r="A1108" s="304" t="s">
        <v>2192</v>
      </c>
      <c r="B1108" s="58" t="s">
        <v>2182</v>
      </c>
      <c r="C1108" s="58" t="s">
        <v>2193</v>
      </c>
      <c r="D1108" s="58" t="s">
        <v>2977</v>
      </c>
      <c r="E1108" s="59" t="s">
        <v>2193</v>
      </c>
      <c r="F1108" s="59" t="s">
        <v>2970</v>
      </c>
      <c r="G1108" s="58" t="s">
        <v>2120</v>
      </c>
    </row>
    <row r="1109" spans="1:7">
      <c r="A1109" s="304" t="s">
        <v>2194</v>
      </c>
      <c r="B1109" s="58" t="s">
        <v>2187</v>
      </c>
      <c r="C1109" s="58" t="s">
        <v>108</v>
      </c>
      <c r="D1109" s="58" t="s">
        <v>2977</v>
      </c>
      <c r="E1109" s="59" t="s">
        <v>108</v>
      </c>
      <c r="F1109" s="59" t="s">
        <v>2970</v>
      </c>
      <c r="G1109" s="58" t="s">
        <v>2120</v>
      </c>
    </row>
    <row r="1110" spans="1:7" ht="17.25">
      <c r="A1110" s="305" t="s">
        <v>2936</v>
      </c>
      <c r="B1110" s="76"/>
      <c r="C1110" s="76"/>
      <c r="D1110" s="76"/>
      <c r="E1110" s="77"/>
      <c r="F1110" s="76"/>
      <c r="G1110" s="76"/>
    </row>
    <row r="1111" spans="1:7">
      <c r="A1111" s="304" t="s">
        <v>2196</v>
      </c>
      <c r="B1111" s="58"/>
      <c r="C1111" s="58" t="s">
        <v>2193</v>
      </c>
      <c r="D1111" s="58" t="s">
        <v>2977</v>
      </c>
      <c r="E1111" s="59" t="s">
        <v>2193</v>
      </c>
      <c r="F1111" s="59" t="s">
        <v>2970</v>
      </c>
      <c r="G1111" s="58" t="s">
        <v>2120</v>
      </c>
    </row>
    <row r="1112" spans="1:7">
      <c r="A1112" s="304" t="s">
        <v>2197</v>
      </c>
      <c r="B1112" s="58"/>
      <c r="C1112" s="58" t="s">
        <v>2193</v>
      </c>
      <c r="D1112" s="58" t="s">
        <v>2977</v>
      </c>
      <c r="E1112" s="59" t="s">
        <v>2193</v>
      </c>
      <c r="F1112" s="59" t="s">
        <v>2970</v>
      </c>
      <c r="G1112" s="58" t="s">
        <v>2120</v>
      </c>
    </row>
    <row r="1113" spans="1:7">
      <c r="A1113" s="304" t="s">
        <v>2198</v>
      </c>
      <c r="B1113" s="58"/>
      <c r="C1113" s="58" t="s">
        <v>2199</v>
      </c>
      <c r="D1113" s="58" t="s">
        <v>2977</v>
      </c>
      <c r="E1113" s="59" t="s">
        <v>2193</v>
      </c>
      <c r="F1113" s="59" t="s">
        <v>2970</v>
      </c>
      <c r="G1113" s="58" t="s">
        <v>2120</v>
      </c>
    </row>
    <row r="1114" spans="1:7">
      <c r="A1114" s="304" t="s">
        <v>2200</v>
      </c>
      <c r="B1114" s="58" t="s">
        <v>2182</v>
      </c>
      <c r="C1114" s="58" t="s">
        <v>108</v>
      </c>
      <c r="D1114" s="58" t="s">
        <v>2977</v>
      </c>
      <c r="E1114" s="59" t="s">
        <v>108</v>
      </c>
      <c r="F1114" s="59" t="s">
        <v>2970</v>
      </c>
      <c r="G1114" s="58" t="s">
        <v>2120</v>
      </c>
    </row>
    <row r="1115" spans="1:7">
      <c r="A1115" s="304" t="s">
        <v>2201</v>
      </c>
      <c r="B1115" s="58" t="s">
        <v>2182</v>
      </c>
      <c r="C1115" s="58" t="s">
        <v>108</v>
      </c>
      <c r="D1115" s="58" t="s">
        <v>2977</v>
      </c>
      <c r="E1115" s="59" t="s">
        <v>108</v>
      </c>
      <c r="F1115" s="59" t="s">
        <v>2970</v>
      </c>
      <c r="G1115" s="58" t="s">
        <v>2120</v>
      </c>
    </row>
    <row r="1116" spans="1:7">
      <c r="A1116" s="304" t="s">
        <v>2202</v>
      </c>
      <c r="B1116" s="58" t="s">
        <v>2174</v>
      </c>
      <c r="C1116" s="58" t="s">
        <v>108</v>
      </c>
      <c r="D1116" s="58" t="s">
        <v>2977</v>
      </c>
      <c r="E1116" s="59" t="s">
        <v>108</v>
      </c>
      <c r="F1116" s="59" t="s">
        <v>2970</v>
      </c>
      <c r="G1116" s="58" t="s">
        <v>2120</v>
      </c>
    </row>
    <row r="1117" spans="1:7">
      <c r="A1117" s="304" t="s">
        <v>2203</v>
      </c>
      <c r="B1117" s="58" t="s">
        <v>2204</v>
      </c>
      <c r="C1117" s="58" t="s">
        <v>2193</v>
      </c>
      <c r="D1117" s="58" t="s">
        <v>2977</v>
      </c>
      <c r="E1117" s="59" t="s">
        <v>2193</v>
      </c>
      <c r="F1117" s="59" t="s">
        <v>2970</v>
      </c>
      <c r="G1117" s="58" t="s">
        <v>2120</v>
      </c>
    </row>
    <row r="1118" spans="1:7">
      <c r="A1118" s="304" t="s">
        <v>2205</v>
      </c>
      <c r="B1118" s="58" t="s">
        <v>2204</v>
      </c>
      <c r="C1118" s="58" t="s">
        <v>2193</v>
      </c>
      <c r="D1118" s="58" t="s">
        <v>2977</v>
      </c>
      <c r="E1118" s="59" t="s">
        <v>2193</v>
      </c>
      <c r="F1118" s="59" t="s">
        <v>2970</v>
      </c>
      <c r="G1118" s="58" t="s">
        <v>2120</v>
      </c>
    </row>
    <row r="1119" spans="1:7">
      <c r="A1119" s="304" t="s">
        <v>2206</v>
      </c>
      <c r="B1119" s="58"/>
      <c r="C1119" s="58" t="s">
        <v>2135</v>
      </c>
      <c r="D1119" s="58" t="s">
        <v>2977</v>
      </c>
      <c r="E1119" s="59" t="s">
        <v>2136</v>
      </c>
      <c r="F1119" s="59" t="s">
        <v>2970</v>
      </c>
      <c r="G1119" s="58" t="s">
        <v>2120</v>
      </c>
    </row>
    <row r="1120" spans="1:7">
      <c r="A1120" s="304" t="s">
        <v>2207</v>
      </c>
      <c r="B1120" s="58" t="s">
        <v>2204</v>
      </c>
      <c r="C1120" s="58" t="s">
        <v>108</v>
      </c>
      <c r="D1120" s="58" t="s">
        <v>2977</v>
      </c>
      <c r="E1120" s="59" t="s">
        <v>108</v>
      </c>
      <c r="F1120" s="59" t="s">
        <v>2970</v>
      </c>
      <c r="G1120" s="58" t="s">
        <v>2208</v>
      </c>
    </row>
    <row r="1121" spans="1:7" ht="17.25">
      <c r="A1121" s="305" t="s">
        <v>2937</v>
      </c>
      <c r="B1121" s="76"/>
      <c r="C1121" s="76"/>
      <c r="D1121" s="76"/>
      <c r="E1121" s="77"/>
      <c r="F1121" s="76"/>
      <c r="G1121" s="76"/>
    </row>
    <row r="1122" spans="1:7">
      <c r="A1122" s="304" t="s">
        <v>2210</v>
      </c>
      <c r="B1122" s="58" t="s">
        <v>2211</v>
      </c>
      <c r="C1122" s="58" t="s">
        <v>108</v>
      </c>
      <c r="D1122" s="58" t="s">
        <v>2977</v>
      </c>
      <c r="E1122" s="59" t="s">
        <v>108</v>
      </c>
      <c r="F1122" s="59" t="s">
        <v>2970</v>
      </c>
      <c r="G1122" s="58" t="s">
        <v>2120</v>
      </c>
    </row>
    <row r="1123" spans="1:7">
      <c r="A1123" s="304" t="s">
        <v>2212</v>
      </c>
      <c r="B1123" s="58" t="s">
        <v>2213</v>
      </c>
      <c r="C1123" s="58" t="s">
        <v>108</v>
      </c>
      <c r="D1123" s="58" t="s">
        <v>2977</v>
      </c>
      <c r="E1123" s="59" t="s">
        <v>108</v>
      </c>
      <c r="F1123" s="59" t="s">
        <v>2970</v>
      </c>
      <c r="G1123" s="58" t="s">
        <v>2120</v>
      </c>
    </row>
    <row r="1124" spans="1:7">
      <c r="A1124" s="304" t="s">
        <v>2214</v>
      </c>
      <c r="B1124" s="58" t="s">
        <v>2213</v>
      </c>
      <c r="C1124" s="58" t="s">
        <v>108</v>
      </c>
      <c r="D1124" s="58" t="s">
        <v>2977</v>
      </c>
      <c r="E1124" s="59" t="s">
        <v>108</v>
      </c>
      <c r="F1124" s="59" t="s">
        <v>2970</v>
      </c>
      <c r="G1124" s="58" t="s">
        <v>2120</v>
      </c>
    </row>
    <row r="1125" spans="1:7" ht="17.25">
      <c r="A1125" s="305" t="s">
        <v>2938</v>
      </c>
      <c r="B1125" s="76"/>
      <c r="C1125" s="76"/>
      <c r="D1125" s="76"/>
      <c r="E1125" s="77"/>
      <c r="F1125" s="76"/>
      <c r="G1125" s="76"/>
    </row>
    <row r="1126" spans="1:7">
      <c r="A1126" s="304" t="s">
        <v>2216</v>
      </c>
      <c r="B1126" s="58" t="s">
        <v>2217</v>
      </c>
      <c r="C1126" s="58" t="s">
        <v>2193</v>
      </c>
      <c r="D1126" s="58" t="s">
        <v>2977</v>
      </c>
      <c r="E1126" s="59" t="s">
        <v>2193</v>
      </c>
      <c r="F1126" s="59" t="s">
        <v>2970</v>
      </c>
      <c r="G1126" s="58" t="s">
        <v>2218</v>
      </c>
    </row>
    <row r="1127" spans="1:7">
      <c r="A1127" s="304" t="s">
        <v>2219</v>
      </c>
      <c r="B1127" s="58" t="s">
        <v>2220</v>
      </c>
      <c r="C1127" s="58" t="s">
        <v>108</v>
      </c>
      <c r="D1127" s="58" t="s">
        <v>2977</v>
      </c>
      <c r="E1127" s="59" t="s">
        <v>108</v>
      </c>
      <c r="F1127" s="59" t="s">
        <v>2970</v>
      </c>
      <c r="G1127" s="58" t="s">
        <v>2221</v>
      </c>
    </row>
    <row r="1128" spans="1:7">
      <c r="A1128" s="304" t="s">
        <v>2222</v>
      </c>
      <c r="B1128" s="58" t="s">
        <v>2223</v>
      </c>
      <c r="C1128" s="58" t="s">
        <v>108</v>
      </c>
      <c r="D1128" s="58" t="s">
        <v>2977</v>
      </c>
      <c r="E1128" s="59" t="s">
        <v>108</v>
      </c>
      <c r="F1128" s="59" t="s">
        <v>2970</v>
      </c>
      <c r="G1128" s="58" t="s">
        <v>2224</v>
      </c>
    </row>
    <row r="1129" spans="1:7">
      <c r="A1129" s="304" t="s">
        <v>2225</v>
      </c>
      <c r="B1129" s="58" t="s">
        <v>2226</v>
      </c>
      <c r="C1129" s="58" t="s">
        <v>108</v>
      </c>
      <c r="D1129" s="58" t="s">
        <v>2977</v>
      </c>
      <c r="E1129" s="59" t="s">
        <v>108</v>
      </c>
      <c r="F1129" s="59" t="s">
        <v>2970</v>
      </c>
      <c r="G1129" s="58" t="s">
        <v>2227</v>
      </c>
    </row>
    <row r="1130" spans="1:7">
      <c r="A1130" s="304" t="s">
        <v>2228</v>
      </c>
      <c r="B1130" s="58"/>
      <c r="C1130" s="58" t="s">
        <v>2135</v>
      </c>
      <c r="D1130" s="58" t="s">
        <v>2977</v>
      </c>
      <c r="E1130" s="59" t="s">
        <v>2136</v>
      </c>
      <c r="F1130" s="59" t="s">
        <v>2970</v>
      </c>
      <c r="G1130" s="58" t="s">
        <v>2120</v>
      </c>
    </row>
    <row r="1131" spans="1:7" ht="17.25">
      <c r="A1131" s="305" t="s">
        <v>2939</v>
      </c>
      <c r="B1131" s="76"/>
      <c r="C1131" s="76"/>
      <c r="D1131" s="76"/>
      <c r="E1131" s="77"/>
      <c r="F1131" s="76"/>
      <c r="G1131" s="76"/>
    </row>
    <row r="1132" spans="1:7">
      <c r="A1132" s="304" t="s">
        <v>2230</v>
      </c>
      <c r="B1132" s="58" t="s">
        <v>2220</v>
      </c>
      <c r="C1132" s="58" t="s">
        <v>108</v>
      </c>
      <c r="D1132" s="58" t="s">
        <v>2977</v>
      </c>
      <c r="E1132" s="59" t="s">
        <v>108</v>
      </c>
      <c r="F1132" s="59" t="s">
        <v>2970</v>
      </c>
      <c r="G1132" s="58" t="s">
        <v>2231</v>
      </c>
    </row>
    <row r="1133" spans="1:7">
      <c r="A1133" s="304" t="s">
        <v>2232</v>
      </c>
      <c r="B1133" s="58" t="s">
        <v>2220</v>
      </c>
      <c r="C1133" s="58" t="s">
        <v>108</v>
      </c>
      <c r="D1133" s="58" t="s">
        <v>2977</v>
      </c>
      <c r="E1133" s="59" t="s">
        <v>108</v>
      </c>
      <c r="F1133" s="59" t="s">
        <v>2970</v>
      </c>
      <c r="G1133" s="58" t="s">
        <v>2120</v>
      </c>
    </row>
    <row r="1134" spans="1:7">
      <c r="A1134" s="304" t="s">
        <v>2233</v>
      </c>
      <c r="B1134" s="58" t="s">
        <v>2234</v>
      </c>
      <c r="C1134" s="58" t="s">
        <v>108</v>
      </c>
      <c r="D1134" s="58" t="s">
        <v>2977</v>
      </c>
      <c r="E1134" s="59" t="s">
        <v>108</v>
      </c>
      <c r="F1134" s="59" t="s">
        <v>2970</v>
      </c>
      <c r="G1134" s="58" t="s">
        <v>2235</v>
      </c>
    </row>
    <row r="1135" spans="1:7">
      <c r="A1135" s="304" t="s">
        <v>2236</v>
      </c>
      <c r="B1135" s="58" t="s">
        <v>2237</v>
      </c>
      <c r="C1135" s="58" t="s">
        <v>108</v>
      </c>
      <c r="D1135" s="58" t="s">
        <v>2977</v>
      </c>
      <c r="E1135" s="59" t="s">
        <v>108</v>
      </c>
      <c r="F1135" s="59" t="s">
        <v>2970</v>
      </c>
      <c r="G1135" s="58" t="s">
        <v>2231</v>
      </c>
    </row>
    <row r="1136" spans="1:7">
      <c r="A1136" s="304" t="s">
        <v>2238</v>
      </c>
      <c r="B1136" s="58" t="s">
        <v>2237</v>
      </c>
      <c r="C1136" s="58" t="s">
        <v>108</v>
      </c>
      <c r="D1136" s="58" t="s">
        <v>2977</v>
      </c>
      <c r="E1136" s="59" t="s">
        <v>108</v>
      </c>
      <c r="F1136" s="59" t="s">
        <v>2970</v>
      </c>
      <c r="G1136" s="58" t="s">
        <v>2239</v>
      </c>
    </row>
    <row r="1137" spans="1:7">
      <c r="A1137" s="304" t="s">
        <v>2240</v>
      </c>
      <c r="B1137" s="58" t="s">
        <v>2241</v>
      </c>
      <c r="C1137" s="58" t="s">
        <v>2193</v>
      </c>
      <c r="D1137" s="58" t="s">
        <v>2977</v>
      </c>
      <c r="E1137" s="59" t="s">
        <v>2193</v>
      </c>
      <c r="F1137" s="59" t="s">
        <v>2970</v>
      </c>
      <c r="G1137" s="58" t="s">
        <v>2120</v>
      </c>
    </row>
    <row r="1138" spans="1:7">
      <c r="A1138" s="304" t="s">
        <v>2242</v>
      </c>
      <c r="B1138" s="58" t="s">
        <v>2220</v>
      </c>
      <c r="C1138" s="58" t="s">
        <v>2243</v>
      </c>
      <c r="D1138" s="58" t="s">
        <v>2977</v>
      </c>
      <c r="E1138" s="59" t="s">
        <v>2982</v>
      </c>
      <c r="F1138" s="59" t="s">
        <v>2970</v>
      </c>
      <c r="G1138" s="58" t="s">
        <v>2244</v>
      </c>
    </row>
    <row r="1139" spans="1:7">
      <c r="A1139" s="304" t="s">
        <v>2245</v>
      </c>
      <c r="B1139" s="58" t="s">
        <v>2241</v>
      </c>
      <c r="C1139" s="58" t="s">
        <v>2246</v>
      </c>
      <c r="D1139" s="58" t="s">
        <v>2977</v>
      </c>
      <c r="E1139" s="59" t="s">
        <v>108</v>
      </c>
      <c r="F1139" s="59" t="s">
        <v>2970</v>
      </c>
      <c r="G1139" s="58" t="s">
        <v>2120</v>
      </c>
    </row>
    <row r="1140" spans="1:7">
      <c r="A1140" s="304" t="s">
        <v>2247</v>
      </c>
      <c r="B1140" s="58" t="s">
        <v>2248</v>
      </c>
      <c r="C1140" s="58" t="s">
        <v>108</v>
      </c>
      <c r="D1140" s="58" t="s">
        <v>2977</v>
      </c>
      <c r="E1140" s="59" t="s">
        <v>108</v>
      </c>
      <c r="F1140" s="59" t="s">
        <v>2970</v>
      </c>
      <c r="G1140" s="58" t="s">
        <v>2249</v>
      </c>
    </row>
    <row r="1141" spans="1:7" ht="17.25">
      <c r="A1141" s="305" t="s">
        <v>2940</v>
      </c>
      <c r="B1141" s="76"/>
      <c r="C1141" s="76"/>
      <c r="D1141" s="76"/>
      <c r="E1141" s="77"/>
      <c r="F1141" s="76"/>
      <c r="G1141" s="76"/>
    </row>
    <row r="1142" spans="1:7">
      <c r="A1142" s="304" t="s">
        <v>2251</v>
      </c>
      <c r="B1142" s="58" t="s">
        <v>2252</v>
      </c>
      <c r="C1142" s="58" t="s">
        <v>108</v>
      </c>
      <c r="D1142" s="58" t="s">
        <v>2977</v>
      </c>
      <c r="E1142" s="59" t="s">
        <v>108</v>
      </c>
      <c r="F1142" s="59" t="s">
        <v>2970</v>
      </c>
      <c r="G1142" s="58" t="s">
        <v>2120</v>
      </c>
    </row>
    <row r="1143" spans="1:7">
      <c r="A1143" s="304" t="s">
        <v>2253</v>
      </c>
      <c r="B1143" s="58" t="s">
        <v>2252</v>
      </c>
      <c r="C1143" s="58" t="s">
        <v>2193</v>
      </c>
      <c r="D1143" s="58" t="s">
        <v>2977</v>
      </c>
      <c r="E1143" s="59" t="s">
        <v>2193</v>
      </c>
      <c r="F1143" s="59" t="s">
        <v>2970</v>
      </c>
      <c r="G1143" s="58" t="s">
        <v>2254</v>
      </c>
    </row>
    <row r="1144" spans="1:7">
      <c r="A1144" s="304" t="s">
        <v>2255</v>
      </c>
      <c r="B1144" s="58" t="s">
        <v>2256</v>
      </c>
      <c r="C1144" s="58" t="s">
        <v>2257</v>
      </c>
      <c r="D1144" s="58" t="s">
        <v>2977</v>
      </c>
      <c r="E1144" s="59" t="s">
        <v>108</v>
      </c>
      <c r="F1144" s="59" t="s">
        <v>2970</v>
      </c>
      <c r="G1144" s="58" t="s">
        <v>2120</v>
      </c>
    </row>
    <row r="1145" spans="1:7">
      <c r="A1145" s="304" t="s">
        <v>2258</v>
      </c>
      <c r="B1145" s="58" t="s">
        <v>2259</v>
      </c>
      <c r="C1145" s="58" t="s">
        <v>2260</v>
      </c>
      <c r="D1145" s="58" t="s">
        <v>2977</v>
      </c>
      <c r="E1145" s="59" t="s">
        <v>2984</v>
      </c>
      <c r="F1145" s="59" t="s">
        <v>2970</v>
      </c>
      <c r="G1145" s="58" t="s">
        <v>2261</v>
      </c>
    </row>
    <row r="1146" spans="1:7">
      <c r="A1146" s="304" t="s">
        <v>2262</v>
      </c>
      <c r="B1146" s="58" t="s">
        <v>2259</v>
      </c>
      <c r="C1146" s="58" t="s">
        <v>2147</v>
      </c>
      <c r="D1146" s="58" t="s">
        <v>2977</v>
      </c>
      <c r="E1146" s="59" t="s">
        <v>108</v>
      </c>
      <c r="F1146" s="59" t="s">
        <v>2970</v>
      </c>
      <c r="G1146" s="58" t="s">
        <v>2263</v>
      </c>
    </row>
    <row r="1147" spans="1:7">
      <c r="A1147" s="304" t="s">
        <v>2264</v>
      </c>
      <c r="B1147" s="58" t="s">
        <v>2252</v>
      </c>
      <c r="C1147" s="58" t="s">
        <v>2265</v>
      </c>
      <c r="D1147" s="58" t="s">
        <v>2977</v>
      </c>
      <c r="E1147" s="59" t="s">
        <v>108</v>
      </c>
      <c r="F1147" s="59" t="s">
        <v>2970</v>
      </c>
      <c r="G1147" s="58" t="s">
        <v>2120</v>
      </c>
    </row>
    <row r="1148" spans="1:7">
      <c r="A1148" s="304" t="s">
        <v>2266</v>
      </c>
      <c r="B1148" s="58" t="s">
        <v>2252</v>
      </c>
      <c r="C1148" s="58" t="s">
        <v>2267</v>
      </c>
      <c r="D1148" s="58" t="s">
        <v>2977</v>
      </c>
      <c r="E1148" s="59" t="s">
        <v>108</v>
      </c>
      <c r="F1148" s="59" t="s">
        <v>2970</v>
      </c>
      <c r="G1148" s="58" t="s">
        <v>2268</v>
      </c>
    </row>
    <row r="1149" spans="1:7">
      <c r="A1149" s="304" t="s">
        <v>2269</v>
      </c>
      <c r="B1149" s="58" t="s">
        <v>2252</v>
      </c>
      <c r="C1149" s="58" t="s">
        <v>2270</v>
      </c>
      <c r="D1149" s="58" t="s">
        <v>2977</v>
      </c>
      <c r="E1149" s="59" t="s">
        <v>108</v>
      </c>
      <c r="F1149" s="59" t="s">
        <v>2970</v>
      </c>
      <c r="G1149" s="58" t="s">
        <v>2120</v>
      </c>
    </row>
    <row r="1150" spans="1:7" ht="17.25">
      <c r="A1150" s="305" t="s">
        <v>2941</v>
      </c>
      <c r="B1150" s="76"/>
      <c r="C1150" s="76"/>
      <c r="D1150" s="76"/>
      <c r="E1150" s="77"/>
      <c r="F1150" s="76"/>
      <c r="G1150" s="76"/>
    </row>
    <row r="1151" spans="1:7">
      <c r="A1151" s="304" t="s">
        <v>2272</v>
      </c>
      <c r="B1151" s="58" t="s">
        <v>2273</v>
      </c>
      <c r="C1151" s="58" t="s">
        <v>2274</v>
      </c>
      <c r="D1151" s="58" t="s">
        <v>2977</v>
      </c>
      <c r="E1151" s="59" t="s">
        <v>108</v>
      </c>
      <c r="F1151" s="59" t="s">
        <v>2970</v>
      </c>
      <c r="G1151" s="58" t="s">
        <v>2275</v>
      </c>
    </row>
    <row r="1152" spans="1:7">
      <c r="A1152" s="304" t="s">
        <v>2276</v>
      </c>
      <c r="B1152" s="58" t="s">
        <v>2248</v>
      </c>
      <c r="C1152" s="58" t="s">
        <v>2277</v>
      </c>
      <c r="D1152" s="58" t="s">
        <v>2977</v>
      </c>
      <c r="E1152" s="59" t="s">
        <v>108</v>
      </c>
      <c r="F1152" s="59" t="s">
        <v>2970</v>
      </c>
      <c r="G1152" s="58" t="s">
        <v>2278</v>
      </c>
    </row>
    <row r="1153" spans="1:7">
      <c r="A1153" s="304" t="s">
        <v>2279</v>
      </c>
      <c r="B1153" s="58" t="s">
        <v>2280</v>
      </c>
      <c r="C1153" s="58" t="s">
        <v>2281</v>
      </c>
      <c r="D1153" s="58" t="s">
        <v>2977</v>
      </c>
      <c r="E1153" s="59" t="s">
        <v>108</v>
      </c>
      <c r="F1153" s="59" t="s">
        <v>2970</v>
      </c>
      <c r="G1153" s="58" t="s">
        <v>2282</v>
      </c>
    </row>
    <row r="1154" spans="1:7">
      <c r="A1154" s="304" t="s">
        <v>2283</v>
      </c>
      <c r="B1154" s="58" t="s">
        <v>2273</v>
      </c>
      <c r="C1154" s="58" t="s">
        <v>108</v>
      </c>
      <c r="D1154" s="58" t="s">
        <v>2977</v>
      </c>
      <c r="E1154" s="59" t="s">
        <v>108</v>
      </c>
      <c r="F1154" s="59" t="s">
        <v>2970</v>
      </c>
      <c r="G1154" s="58" t="s">
        <v>2284</v>
      </c>
    </row>
    <row r="1155" spans="1:7">
      <c r="A1155" s="304" t="s">
        <v>2285</v>
      </c>
      <c r="B1155" s="58"/>
      <c r="C1155" s="58" t="s">
        <v>2135</v>
      </c>
      <c r="D1155" s="58" t="s">
        <v>2977</v>
      </c>
      <c r="E1155" s="59" t="s">
        <v>2136</v>
      </c>
      <c r="F1155" s="59" t="s">
        <v>2970</v>
      </c>
      <c r="G1155" s="58" t="s">
        <v>2120</v>
      </c>
    </row>
    <row r="1156" spans="1:7">
      <c r="A1156" s="304" t="s">
        <v>2286</v>
      </c>
      <c r="B1156" s="58"/>
      <c r="C1156" s="58" t="s">
        <v>108</v>
      </c>
      <c r="D1156" s="58" t="s">
        <v>2977</v>
      </c>
      <c r="E1156" s="59" t="s">
        <v>108</v>
      </c>
      <c r="F1156" s="59" t="s">
        <v>2970</v>
      </c>
      <c r="G1156" s="58" t="s">
        <v>2120</v>
      </c>
    </row>
    <row r="1157" spans="1:7">
      <c r="A1157" s="304" t="s">
        <v>2287</v>
      </c>
      <c r="B1157" s="58" t="s">
        <v>2273</v>
      </c>
      <c r="C1157" s="58" t="s">
        <v>2288</v>
      </c>
      <c r="D1157" s="58" t="s">
        <v>2977</v>
      </c>
      <c r="E1157" s="59" t="s">
        <v>2288</v>
      </c>
      <c r="F1157" s="59" t="s">
        <v>2970</v>
      </c>
      <c r="G1157" s="58" t="s">
        <v>2289</v>
      </c>
    </row>
    <row r="1158" spans="1:7" ht="17.25">
      <c r="A1158" s="305" t="s">
        <v>2942</v>
      </c>
      <c r="B1158" s="76"/>
      <c r="C1158" s="76"/>
      <c r="D1158" s="76"/>
      <c r="E1158" s="77"/>
      <c r="F1158" s="76"/>
      <c r="G1158" s="76"/>
    </row>
    <row r="1159" spans="1:7">
      <c r="A1159" s="304" t="s">
        <v>2291</v>
      </c>
      <c r="B1159" s="58"/>
      <c r="C1159" s="58" t="s">
        <v>2135</v>
      </c>
      <c r="D1159" s="58" t="s">
        <v>2977</v>
      </c>
      <c r="E1159" s="59" t="s">
        <v>2136</v>
      </c>
      <c r="F1159" s="59" t="s">
        <v>2970</v>
      </c>
      <c r="G1159" s="58" t="s">
        <v>2292</v>
      </c>
    </row>
    <row r="1160" spans="1:7">
      <c r="A1160" s="304" t="s">
        <v>2293</v>
      </c>
      <c r="B1160" s="58" t="s">
        <v>2294</v>
      </c>
      <c r="C1160" s="58" t="s">
        <v>2295</v>
      </c>
      <c r="D1160" s="58" t="s">
        <v>2977</v>
      </c>
      <c r="E1160" s="59" t="s">
        <v>108</v>
      </c>
      <c r="F1160" s="59" t="s">
        <v>2970</v>
      </c>
      <c r="G1160" s="58" t="s">
        <v>2296</v>
      </c>
    </row>
    <row r="1161" spans="1:7">
      <c r="A1161" s="304" t="s">
        <v>2297</v>
      </c>
      <c r="B1161" s="58" t="s">
        <v>2298</v>
      </c>
      <c r="C1161" s="58" t="s">
        <v>108</v>
      </c>
      <c r="D1161" s="58" t="s">
        <v>2977</v>
      </c>
      <c r="E1161" s="59" t="s">
        <v>108</v>
      </c>
      <c r="F1161" s="59" t="s">
        <v>2970</v>
      </c>
      <c r="G1161" s="58" t="s">
        <v>2299</v>
      </c>
    </row>
    <row r="1162" spans="1:7">
      <c r="A1162" s="304" t="s">
        <v>2300</v>
      </c>
      <c r="B1162" s="58" t="s">
        <v>2294</v>
      </c>
      <c r="C1162" s="58" t="s">
        <v>108</v>
      </c>
      <c r="D1162" s="58" t="s">
        <v>2977</v>
      </c>
      <c r="E1162" s="59" t="s">
        <v>108</v>
      </c>
      <c r="F1162" s="59" t="s">
        <v>2970</v>
      </c>
      <c r="G1162" s="58" t="s">
        <v>2299</v>
      </c>
    </row>
    <row r="1163" spans="1:7">
      <c r="A1163" s="304" t="s">
        <v>2301</v>
      </c>
      <c r="B1163" s="58" t="s">
        <v>2302</v>
      </c>
      <c r="C1163" s="58" t="s">
        <v>2193</v>
      </c>
      <c r="D1163" s="58" t="s">
        <v>2977</v>
      </c>
      <c r="E1163" s="59" t="s">
        <v>2193</v>
      </c>
      <c r="F1163" s="59" t="s">
        <v>2970</v>
      </c>
      <c r="G1163" s="58" t="s">
        <v>2303</v>
      </c>
    </row>
    <row r="1164" spans="1:7">
      <c r="A1164" s="304" t="s">
        <v>2304</v>
      </c>
      <c r="B1164" s="58" t="s">
        <v>2305</v>
      </c>
      <c r="C1164" s="58" t="s">
        <v>2257</v>
      </c>
      <c r="D1164" s="58" t="s">
        <v>2977</v>
      </c>
      <c r="E1164" s="59" t="s">
        <v>108</v>
      </c>
      <c r="F1164" s="59" t="s">
        <v>2970</v>
      </c>
      <c r="G1164" s="58" t="s">
        <v>2306</v>
      </c>
    </row>
    <row r="1165" spans="1:7" ht="17.25">
      <c r="A1165" s="305" t="s">
        <v>2951</v>
      </c>
      <c r="B1165" s="76"/>
      <c r="C1165" s="76"/>
      <c r="D1165" s="76"/>
      <c r="E1165" s="77"/>
      <c r="F1165" s="76"/>
      <c r="G1165" s="76"/>
    </row>
    <row r="1166" spans="1:7">
      <c r="A1166" s="304" t="s">
        <v>2308</v>
      </c>
      <c r="B1166" s="58" t="s">
        <v>2122</v>
      </c>
      <c r="C1166" s="58" t="s">
        <v>2309</v>
      </c>
      <c r="D1166" s="58" t="s">
        <v>3018</v>
      </c>
      <c r="E1166" s="59" t="s">
        <v>2311</v>
      </c>
      <c r="F1166" s="59" t="s">
        <v>2970</v>
      </c>
      <c r="G1166" s="58" t="s">
        <v>2312</v>
      </c>
    </row>
    <row r="1167" spans="1:7">
      <c r="A1167" s="304" t="s">
        <v>2352</v>
      </c>
      <c r="B1167" s="58"/>
      <c r="C1167" s="58" t="s">
        <v>1201</v>
      </c>
      <c r="D1167" s="58" t="s">
        <v>3018</v>
      </c>
      <c r="E1167" s="59" t="s">
        <v>1201</v>
      </c>
      <c r="F1167" s="59" t="s">
        <v>2970</v>
      </c>
      <c r="G1167" s="58" t="s">
        <v>2120</v>
      </c>
    </row>
    <row r="1168" spans="1:7">
      <c r="A1168" s="304" t="s">
        <v>2118</v>
      </c>
      <c r="B1168" s="58"/>
      <c r="C1168" s="58" t="s">
        <v>2119</v>
      </c>
      <c r="D1168" s="58" t="s">
        <v>3018</v>
      </c>
      <c r="E1168" s="59" t="s">
        <v>1201</v>
      </c>
      <c r="F1168" s="59" t="s">
        <v>2970</v>
      </c>
      <c r="G1168" s="58" t="s">
        <v>2120</v>
      </c>
    </row>
    <row r="1169" spans="1:7">
      <c r="A1169" s="304" t="s">
        <v>2313</v>
      </c>
      <c r="B1169" s="58" t="s">
        <v>2314</v>
      </c>
      <c r="C1169" s="58" t="s">
        <v>2309</v>
      </c>
      <c r="D1169" s="58" t="s">
        <v>3018</v>
      </c>
      <c r="E1169" s="59" t="s">
        <v>2311</v>
      </c>
      <c r="F1169" s="59" t="s">
        <v>2970</v>
      </c>
      <c r="G1169" s="58" t="s">
        <v>2120</v>
      </c>
    </row>
    <row r="1170" spans="1:7">
      <c r="A1170" s="304" t="s">
        <v>2315</v>
      </c>
      <c r="B1170" s="58" t="s">
        <v>2314</v>
      </c>
      <c r="C1170" s="58" t="s">
        <v>2309</v>
      </c>
      <c r="D1170" s="58" t="s">
        <v>3018</v>
      </c>
      <c r="E1170" s="59" t="s">
        <v>2311</v>
      </c>
      <c r="F1170" s="59" t="s">
        <v>2970</v>
      </c>
      <c r="G1170" s="58" t="s">
        <v>2120</v>
      </c>
    </row>
    <row r="1171" spans="1:7">
      <c r="A1171" s="304" t="s">
        <v>2316</v>
      </c>
      <c r="B1171" s="58" t="s">
        <v>2124</v>
      </c>
      <c r="C1171" s="58" t="s">
        <v>2309</v>
      </c>
      <c r="D1171" s="58" t="s">
        <v>3018</v>
      </c>
      <c r="E1171" s="59" t="s">
        <v>2311</v>
      </c>
      <c r="F1171" s="59" t="s">
        <v>2970</v>
      </c>
      <c r="G1171" s="58" t="s">
        <v>2120</v>
      </c>
    </row>
    <row r="1172" spans="1:7" ht="17.25">
      <c r="A1172" s="305" t="s">
        <v>2952</v>
      </c>
      <c r="B1172" s="76"/>
      <c r="C1172" s="76"/>
      <c r="D1172" s="76"/>
      <c r="E1172" s="77"/>
      <c r="F1172" s="76"/>
      <c r="G1172" s="76"/>
    </row>
    <row r="1173" spans="1:7">
      <c r="A1173" s="304" t="s">
        <v>2134</v>
      </c>
      <c r="B1173" s="58"/>
      <c r="C1173" s="58" t="s">
        <v>2135</v>
      </c>
      <c r="D1173" s="58" t="s">
        <v>3018</v>
      </c>
      <c r="E1173" s="59" t="s">
        <v>2318</v>
      </c>
      <c r="F1173" s="59" t="s">
        <v>2970</v>
      </c>
      <c r="G1173" s="58" t="s">
        <v>2137</v>
      </c>
    </row>
    <row r="1174" spans="1:7" ht="17.25">
      <c r="A1174" s="305" t="s">
        <v>2954</v>
      </c>
      <c r="B1174" s="76"/>
      <c r="C1174" s="76"/>
      <c r="D1174" s="76"/>
      <c r="E1174" s="77"/>
      <c r="F1174" s="76"/>
      <c r="G1174" s="76"/>
    </row>
    <row r="1175" spans="1:7">
      <c r="A1175" s="304" t="s">
        <v>2144</v>
      </c>
      <c r="B1175" s="58" t="s">
        <v>2143</v>
      </c>
      <c r="C1175" s="58" t="s">
        <v>2145</v>
      </c>
      <c r="D1175" s="58" t="s">
        <v>3018</v>
      </c>
      <c r="E1175" s="59" t="s">
        <v>2990</v>
      </c>
      <c r="F1175" s="59" t="s">
        <v>2970</v>
      </c>
      <c r="G1175" s="58" t="s">
        <v>2120</v>
      </c>
    </row>
    <row r="1176" spans="1:7" ht="17.25">
      <c r="A1176" s="305" t="s">
        <v>2955</v>
      </c>
      <c r="B1176" s="76"/>
      <c r="C1176" s="76"/>
      <c r="D1176" s="76"/>
      <c r="E1176" s="77"/>
      <c r="F1176" s="76"/>
      <c r="G1176" s="76"/>
    </row>
    <row r="1177" spans="1:7">
      <c r="A1177" s="304" t="s">
        <v>2465</v>
      </c>
      <c r="B1177" s="58" t="s">
        <v>2248</v>
      </c>
      <c r="C1177" s="58" t="s">
        <v>2466</v>
      </c>
      <c r="D1177" s="58" t="s">
        <v>3018</v>
      </c>
      <c r="E1177" s="59" t="s">
        <v>2463</v>
      </c>
      <c r="F1177" s="59" t="s">
        <v>2970</v>
      </c>
      <c r="G1177" s="58" t="s">
        <v>2120</v>
      </c>
    </row>
    <row r="1178" spans="1:7">
      <c r="A1178" s="304" t="s">
        <v>2158</v>
      </c>
      <c r="B1178" s="58" t="s">
        <v>2155</v>
      </c>
      <c r="C1178" s="58" t="s">
        <v>2159</v>
      </c>
      <c r="D1178" s="58" t="s">
        <v>3018</v>
      </c>
      <c r="E1178" s="59" t="s">
        <v>2463</v>
      </c>
      <c r="F1178" s="59" t="s">
        <v>2970</v>
      </c>
      <c r="G1178" s="58" t="s">
        <v>2160</v>
      </c>
    </row>
    <row r="1179" spans="1:7" ht="17.25">
      <c r="A1179" s="305" t="s">
        <v>2956</v>
      </c>
      <c r="B1179" s="76"/>
      <c r="C1179" s="76"/>
      <c r="D1179" s="76"/>
      <c r="E1179" s="77"/>
      <c r="F1179" s="76"/>
      <c r="G1179" s="76"/>
    </row>
    <row r="1180" spans="1:7">
      <c r="A1180" s="304" t="s">
        <v>2169</v>
      </c>
      <c r="B1180" s="58" t="s">
        <v>2129</v>
      </c>
      <c r="C1180" s="58" t="s">
        <v>2170</v>
      </c>
      <c r="D1180" s="58" t="s">
        <v>3018</v>
      </c>
      <c r="E1180" s="59" t="s">
        <v>2318</v>
      </c>
      <c r="F1180" s="59" t="s">
        <v>2970</v>
      </c>
      <c r="G1180" s="58" t="s">
        <v>2120</v>
      </c>
    </row>
    <row r="1181" spans="1:7">
      <c r="A1181" s="304" t="s">
        <v>2171</v>
      </c>
      <c r="B1181" s="58" t="s">
        <v>2129</v>
      </c>
      <c r="C1181" s="58" t="s">
        <v>2135</v>
      </c>
      <c r="D1181" s="58" t="s">
        <v>3018</v>
      </c>
      <c r="E1181" s="59" t="s">
        <v>2318</v>
      </c>
      <c r="F1181" s="59" t="s">
        <v>2970</v>
      </c>
      <c r="G1181" s="58" t="s">
        <v>2120</v>
      </c>
    </row>
    <row r="1182" spans="1:7">
      <c r="A1182" s="304" t="s">
        <v>2172</v>
      </c>
      <c r="B1182" s="58" t="s">
        <v>2129</v>
      </c>
      <c r="C1182" s="58" t="s">
        <v>2135</v>
      </c>
      <c r="D1182" s="58" t="s">
        <v>3018</v>
      </c>
      <c r="E1182" s="59" t="s">
        <v>2318</v>
      </c>
      <c r="F1182" s="59" t="s">
        <v>2970</v>
      </c>
      <c r="G1182" s="58" t="s">
        <v>2120</v>
      </c>
    </row>
    <row r="1183" spans="1:7">
      <c r="A1183" s="304" t="s">
        <v>2173</v>
      </c>
      <c r="B1183" s="58" t="s">
        <v>2174</v>
      </c>
      <c r="C1183" s="58" t="s">
        <v>2135</v>
      </c>
      <c r="D1183" s="58" t="s">
        <v>3018</v>
      </c>
      <c r="E1183" s="59" t="s">
        <v>2318</v>
      </c>
      <c r="F1183" s="59" t="s">
        <v>2970</v>
      </c>
      <c r="G1183" s="58" t="s">
        <v>2120</v>
      </c>
    </row>
    <row r="1184" spans="1:7">
      <c r="A1184" s="304" t="s">
        <v>2175</v>
      </c>
      <c r="B1184" s="58"/>
      <c r="C1184" s="58" t="s">
        <v>2135</v>
      </c>
      <c r="D1184" s="58" t="s">
        <v>3018</v>
      </c>
      <c r="E1184" s="59" t="s">
        <v>2318</v>
      </c>
      <c r="F1184" s="59" t="s">
        <v>2970</v>
      </c>
      <c r="G1184" s="58" t="s">
        <v>2120</v>
      </c>
    </row>
    <row r="1185" spans="1:7">
      <c r="A1185" s="304" t="s">
        <v>2176</v>
      </c>
      <c r="B1185" s="58"/>
      <c r="C1185" s="58" t="s">
        <v>2135</v>
      </c>
      <c r="D1185" s="58" t="s">
        <v>3018</v>
      </c>
      <c r="E1185" s="59" t="s">
        <v>2318</v>
      </c>
      <c r="F1185" s="59" t="s">
        <v>2970</v>
      </c>
      <c r="G1185" s="58" t="s">
        <v>2120</v>
      </c>
    </row>
    <row r="1186" spans="1:7">
      <c r="A1186" s="304" t="s">
        <v>2177</v>
      </c>
      <c r="B1186" s="58"/>
      <c r="C1186" s="58" t="s">
        <v>2135</v>
      </c>
      <c r="D1186" s="58" t="s">
        <v>3018</v>
      </c>
      <c r="E1186" s="59" t="s">
        <v>2318</v>
      </c>
      <c r="F1186" s="59" t="s">
        <v>2970</v>
      </c>
      <c r="G1186" s="58" t="s">
        <v>2120</v>
      </c>
    </row>
    <row r="1187" spans="1:7" ht="17.25">
      <c r="A1187" s="305" t="s">
        <v>2957</v>
      </c>
      <c r="B1187" s="76"/>
      <c r="C1187" s="76"/>
      <c r="D1187" s="76"/>
      <c r="E1187" s="77"/>
      <c r="F1187" s="76"/>
      <c r="G1187" s="76"/>
    </row>
    <row r="1188" spans="1:7">
      <c r="A1188" s="304" t="s">
        <v>2190</v>
      </c>
      <c r="B1188" s="58"/>
      <c r="C1188" s="58" t="s">
        <v>2135</v>
      </c>
      <c r="D1188" s="58" t="s">
        <v>3018</v>
      </c>
      <c r="E1188" s="59" t="s">
        <v>2318</v>
      </c>
      <c r="F1188" s="59" t="s">
        <v>2970</v>
      </c>
      <c r="G1188" s="58" t="s">
        <v>2120</v>
      </c>
    </row>
    <row r="1189" spans="1:7">
      <c r="A1189" s="304" t="s">
        <v>2191</v>
      </c>
      <c r="B1189" s="58"/>
      <c r="C1189" s="58" t="s">
        <v>2135</v>
      </c>
      <c r="D1189" s="58" t="s">
        <v>3018</v>
      </c>
      <c r="E1189" s="59" t="s">
        <v>2318</v>
      </c>
      <c r="F1189" s="59" t="s">
        <v>2970</v>
      </c>
      <c r="G1189" s="58" t="s">
        <v>2120</v>
      </c>
    </row>
    <row r="1190" spans="1:7" ht="17.25">
      <c r="A1190" s="305" t="s">
        <v>2958</v>
      </c>
      <c r="B1190" s="76"/>
      <c r="C1190" s="76"/>
      <c r="D1190" s="76"/>
      <c r="E1190" s="77"/>
      <c r="F1190" s="76"/>
      <c r="G1190" s="76"/>
    </row>
    <row r="1191" spans="1:7">
      <c r="A1191" s="304" t="s">
        <v>2206</v>
      </c>
      <c r="B1191" s="58"/>
      <c r="C1191" s="58" t="s">
        <v>2135</v>
      </c>
      <c r="D1191" s="58" t="s">
        <v>3018</v>
      </c>
      <c r="E1191" s="59" t="s">
        <v>2318</v>
      </c>
      <c r="F1191" s="59" t="s">
        <v>2970</v>
      </c>
      <c r="G1191" s="58" t="s">
        <v>2120</v>
      </c>
    </row>
    <row r="1192" spans="1:7" ht="17.25">
      <c r="A1192" s="305" t="s">
        <v>2960</v>
      </c>
      <c r="B1192" s="76"/>
      <c r="C1192" s="76"/>
      <c r="D1192" s="76"/>
      <c r="E1192" s="77"/>
      <c r="F1192" s="76"/>
      <c r="G1192" s="76"/>
    </row>
    <row r="1193" spans="1:7">
      <c r="A1193" s="304" t="s">
        <v>2328</v>
      </c>
      <c r="B1193" s="58" t="s">
        <v>2217</v>
      </c>
      <c r="C1193" s="58" t="s">
        <v>2309</v>
      </c>
      <c r="D1193" s="58" t="s">
        <v>3018</v>
      </c>
      <c r="E1193" s="59" t="s">
        <v>2311</v>
      </c>
      <c r="F1193" s="59" t="s">
        <v>2970</v>
      </c>
      <c r="G1193" s="58" t="s">
        <v>2329</v>
      </c>
    </row>
    <row r="1194" spans="1:7">
      <c r="A1194" s="304" t="s">
        <v>2330</v>
      </c>
      <c r="B1194" s="58" t="s">
        <v>2331</v>
      </c>
      <c r="C1194" s="58" t="s">
        <v>2309</v>
      </c>
      <c r="D1194" s="58" t="s">
        <v>3018</v>
      </c>
      <c r="E1194" s="59" t="s">
        <v>2311</v>
      </c>
      <c r="F1194" s="59" t="s">
        <v>2970</v>
      </c>
      <c r="G1194" s="58" t="s">
        <v>2332</v>
      </c>
    </row>
    <row r="1195" spans="1:7">
      <c r="A1195" s="304" t="s">
        <v>2228</v>
      </c>
      <c r="B1195" s="58"/>
      <c r="C1195" s="58" t="s">
        <v>2135</v>
      </c>
      <c r="D1195" s="58" t="s">
        <v>3018</v>
      </c>
      <c r="E1195" s="59" t="s">
        <v>2318</v>
      </c>
      <c r="F1195" s="59" t="s">
        <v>2970</v>
      </c>
      <c r="G1195" s="58" t="s">
        <v>2120</v>
      </c>
    </row>
    <row r="1196" spans="1:7" ht="17.25">
      <c r="A1196" s="305" t="s">
        <v>2961</v>
      </c>
      <c r="B1196" s="76"/>
      <c r="C1196" s="76"/>
      <c r="D1196" s="76"/>
      <c r="E1196" s="77"/>
      <c r="F1196" s="76"/>
      <c r="G1196" s="76"/>
    </row>
    <row r="1197" spans="1:7">
      <c r="A1197" s="304" t="s">
        <v>2242</v>
      </c>
      <c r="B1197" s="58" t="s">
        <v>2220</v>
      </c>
      <c r="C1197" s="58" t="s">
        <v>2243</v>
      </c>
      <c r="D1197" s="58" t="s">
        <v>3018</v>
      </c>
      <c r="E1197" s="59" t="s">
        <v>2991</v>
      </c>
      <c r="F1197" s="59" t="s">
        <v>2970</v>
      </c>
      <c r="G1197" s="58" t="s">
        <v>2244</v>
      </c>
    </row>
    <row r="1198" spans="1:7">
      <c r="A1198" s="304" t="s">
        <v>2335</v>
      </c>
      <c r="B1198" s="58"/>
      <c r="C1198" s="58" t="s">
        <v>2309</v>
      </c>
      <c r="D1198" s="58" t="s">
        <v>3018</v>
      </c>
      <c r="E1198" s="59" t="s">
        <v>2311</v>
      </c>
      <c r="F1198" s="59" t="s">
        <v>2970</v>
      </c>
      <c r="G1198" s="58" t="s">
        <v>2336</v>
      </c>
    </row>
    <row r="1199" spans="1:7">
      <c r="A1199" s="304" t="s">
        <v>2337</v>
      </c>
      <c r="B1199" s="58" t="s">
        <v>2248</v>
      </c>
      <c r="C1199" s="58" t="s">
        <v>2338</v>
      </c>
      <c r="D1199" s="58" t="s">
        <v>3018</v>
      </c>
      <c r="E1199" s="59" t="s">
        <v>2339</v>
      </c>
      <c r="F1199" s="59" t="s">
        <v>2970</v>
      </c>
      <c r="G1199" s="58" t="s">
        <v>2120</v>
      </c>
    </row>
    <row r="1200" spans="1:7" ht="17.25">
      <c r="A1200" s="305" t="s">
        <v>2963</v>
      </c>
      <c r="B1200" s="76"/>
      <c r="C1200" s="76"/>
      <c r="D1200" s="76"/>
      <c r="E1200" s="77"/>
      <c r="F1200" s="76"/>
      <c r="G1200" s="76"/>
    </row>
    <row r="1201" spans="1:7">
      <c r="A1201" s="304" t="s">
        <v>2255</v>
      </c>
      <c r="B1201" s="58" t="s">
        <v>2256</v>
      </c>
      <c r="C1201" s="58" t="s">
        <v>2257</v>
      </c>
      <c r="D1201" s="58" t="s">
        <v>3018</v>
      </c>
      <c r="E1201" s="59" t="s">
        <v>2463</v>
      </c>
      <c r="F1201" s="59" t="s">
        <v>2970</v>
      </c>
      <c r="G1201" s="58" t="s">
        <v>2120</v>
      </c>
    </row>
    <row r="1202" spans="1:7">
      <c r="A1202" s="304" t="s">
        <v>2258</v>
      </c>
      <c r="B1202" s="58" t="s">
        <v>2259</v>
      </c>
      <c r="C1202" s="58" t="s">
        <v>2260</v>
      </c>
      <c r="D1202" s="58" t="s">
        <v>3018</v>
      </c>
      <c r="E1202" s="59" t="s">
        <v>2992</v>
      </c>
      <c r="F1202" s="59" t="s">
        <v>2970</v>
      </c>
      <c r="G1202" s="58" t="s">
        <v>2261</v>
      </c>
    </row>
    <row r="1203" spans="1:7" ht="17.25">
      <c r="A1203" s="305" t="s">
        <v>2965</v>
      </c>
      <c r="B1203" s="76"/>
      <c r="C1203" s="76"/>
      <c r="D1203" s="76"/>
      <c r="E1203" s="77"/>
      <c r="F1203" s="76"/>
      <c r="G1203" s="76"/>
    </row>
    <row r="1204" spans="1:7">
      <c r="A1204" s="304" t="s">
        <v>2342</v>
      </c>
      <c r="B1204" s="58"/>
      <c r="C1204" s="58" t="s">
        <v>2309</v>
      </c>
      <c r="D1204" s="58" t="s">
        <v>3018</v>
      </c>
      <c r="E1204" s="59" t="s">
        <v>2311</v>
      </c>
      <c r="F1204" s="59" t="s">
        <v>2970</v>
      </c>
      <c r="G1204" s="58" t="s">
        <v>2343</v>
      </c>
    </row>
    <row r="1205" spans="1:7">
      <c r="A1205" s="304" t="s">
        <v>2344</v>
      </c>
      <c r="B1205" s="58" t="s">
        <v>2273</v>
      </c>
      <c r="C1205" s="58" t="s">
        <v>2309</v>
      </c>
      <c r="D1205" s="58" t="s">
        <v>3018</v>
      </c>
      <c r="E1205" s="59" t="s">
        <v>2311</v>
      </c>
      <c r="F1205" s="59" t="s">
        <v>2970</v>
      </c>
      <c r="G1205" s="58" t="s">
        <v>2345</v>
      </c>
    </row>
    <row r="1206" spans="1:7">
      <c r="A1206" s="304" t="s">
        <v>2285</v>
      </c>
      <c r="B1206" s="58"/>
      <c r="C1206" s="58" t="s">
        <v>2135</v>
      </c>
      <c r="D1206" s="58" t="s">
        <v>3018</v>
      </c>
      <c r="E1206" s="59" t="s">
        <v>2318</v>
      </c>
      <c r="F1206" s="59" t="s">
        <v>2970</v>
      </c>
      <c r="G1206" s="58" t="s">
        <v>2120</v>
      </c>
    </row>
    <row r="1207" spans="1:7" ht="17.25">
      <c r="A1207" s="305" t="s">
        <v>2966</v>
      </c>
      <c r="B1207" s="76"/>
      <c r="C1207" s="76"/>
      <c r="D1207" s="76"/>
      <c r="E1207" s="77"/>
      <c r="F1207" s="76"/>
      <c r="G1207" s="76"/>
    </row>
    <row r="1208" spans="1:7">
      <c r="A1208" s="304" t="s">
        <v>2291</v>
      </c>
      <c r="B1208" s="58"/>
      <c r="C1208" s="58" t="s">
        <v>2135</v>
      </c>
      <c r="D1208" s="58" t="s">
        <v>3018</v>
      </c>
      <c r="E1208" s="59" t="s">
        <v>2318</v>
      </c>
      <c r="F1208" s="59" t="s">
        <v>2970</v>
      </c>
      <c r="G1208" s="58" t="s">
        <v>2292</v>
      </c>
    </row>
    <row r="1209" spans="1:7">
      <c r="A1209" s="304" t="s">
        <v>2304</v>
      </c>
      <c r="B1209" s="58" t="s">
        <v>2305</v>
      </c>
      <c r="C1209" s="58" t="s">
        <v>2257</v>
      </c>
      <c r="D1209" s="58" t="s">
        <v>3018</v>
      </c>
      <c r="E1209" s="59" t="s">
        <v>2463</v>
      </c>
      <c r="F1209" s="59" t="s">
        <v>2970</v>
      </c>
      <c r="G1209" s="58" t="s">
        <v>2306</v>
      </c>
    </row>
    <row r="1210" spans="1:7">
      <c r="A1210" s="304" t="s">
        <v>2477</v>
      </c>
      <c r="B1210" s="58" t="s">
        <v>2213</v>
      </c>
      <c r="C1210" s="58" t="s">
        <v>2463</v>
      </c>
      <c r="D1210" s="58" t="s">
        <v>3018</v>
      </c>
      <c r="E1210" s="59" t="s">
        <v>2463</v>
      </c>
      <c r="F1210" s="59" t="s">
        <v>2970</v>
      </c>
      <c r="G1210" s="58" t="s">
        <v>2292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3019</v>
      </c>
      <c r="B1" s="74" t="s">
        <v>2107</v>
      </c>
      <c r="C1" s="74" t="s">
        <v>3020</v>
      </c>
      <c r="D1" s="74" t="s">
        <v>3021</v>
      </c>
      <c r="E1" s="74" t="s">
        <v>3022</v>
      </c>
      <c r="F1" s="74" t="s">
        <v>3023</v>
      </c>
      <c r="G1" s="74" t="s">
        <v>3024</v>
      </c>
      <c r="H1" s="74" t="s">
        <v>3025</v>
      </c>
      <c r="I1" s="74" t="s">
        <v>3026</v>
      </c>
      <c r="J1" s="74" t="s">
        <v>3027</v>
      </c>
      <c r="K1" s="74" t="s">
        <v>3028</v>
      </c>
      <c r="L1" s="74" t="s">
        <v>3029</v>
      </c>
      <c r="M1" s="74" t="s">
        <v>3030</v>
      </c>
      <c r="N1" s="74" t="s">
        <v>3031</v>
      </c>
      <c r="O1" s="74" t="s">
        <v>3032</v>
      </c>
      <c r="P1" s="74" t="s">
        <v>3033</v>
      </c>
      <c r="Q1" s="74" t="s">
        <v>3034</v>
      </c>
      <c r="R1" s="74" t="s">
        <v>3035</v>
      </c>
      <c r="S1" s="74" t="s">
        <v>3036</v>
      </c>
      <c r="T1" s="74" t="s">
        <v>3037</v>
      </c>
      <c r="U1" s="74" t="s">
        <v>3038</v>
      </c>
      <c r="V1" s="74" t="s">
        <v>3039</v>
      </c>
      <c r="W1" s="74" t="s">
        <v>3040</v>
      </c>
      <c r="X1" s="74" t="s">
        <v>3041</v>
      </c>
      <c r="Y1" s="74" t="s">
        <v>3042</v>
      </c>
      <c r="Z1" s="74" t="s">
        <v>3043</v>
      </c>
      <c r="AA1" s="74" t="s">
        <v>3044</v>
      </c>
      <c r="AB1" s="74" t="s">
        <v>3045</v>
      </c>
      <c r="AC1" s="74" t="s">
        <v>3046</v>
      </c>
      <c r="AD1" s="74" t="s">
        <v>3047</v>
      </c>
      <c r="AE1" s="74" t="s">
        <v>3048</v>
      </c>
      <c r="AF1" s="74" t="s">
        <v>3049</v>
      </c>
      <c r="AG1" s="74" t="s">
        <v>3050</v>
      </c>
      <c r="AH1" s="74" t="s">
        <v>3051</v>
      </c>
      <c r="AI1" s="74" t="s">
        <v>3052</v>
      </c>
      <c r="AJ1" s="74" t="s">
        <v>3053</v>
      </c>
      <c r="AK1" s="74" t="s">
        <v>3054</v>
      </c>
      <c r="AL1" s="74" t="s">
        <v>3055</v>
      </c>
      <c r="AM1" s="74" t="s">
        <v>3056</v>
      </c>
      <c r="AN1" s="74" t="s">
        <v>3057</v>
      </c>
      <c r="AO1" s="74" t="s">
        <v>3058</v>
      </c>
      <c r="AP1" s="74" t="s">
        <v>3059</v>
      </c>
      <c r="AQ1" s="74" t="s">
        <v>3060</v>
      </c>
      <c r="AR1" s="74" t="s">
        <v>3061</v>
      </c>
      <c r="AS1" s="74" t="s">
        <v>3062</v>
      </c>
      <c r="AT1" s="74" t="s">
        <v>3063</v>
      </c>
      <c r="AU1" s="74" t="s">
        <v>3064</v>
      </c>
      <c r="AV1" s="74" t="s">
        <v>3065</v>
      </c>
      <c r="AW1" s="74" t="s">
        <v>3066</v>
      </c>
      <c r="AX1" s="74" t="s">
        <v>3067</v>
      </c>
      <c r="AY1" s="74" t="s">
        <v>3068</v>
      </c>
      <c r="AZ1" s="74" t="s">
        <v>3069</v>
      </c>
      <c r="BA1" s="74" t="s">
        <v>3070</v>
      </c>
      <c r="BB1" s="74" t="s">
        <v>3071</v>
      </c>
      <c r="BC1" s="74" t="s">
        <v>3072</v>
      </c>
      <c r="BD1" s="74" t="s">
        <v>3073</v>
      </c>
      <c r="BE1" s="74" t="s">
        <v>3074</v>
      </c>
      <c r="BF1" s="74" t="s">
        <v>3075</v>
      </c>
      <c r="BG1" s="74" t="s">
        <v>3076</v>
      </c>
      <c r="BH1" s="74" t="s">
        <v>3077</v>
      </c>
      <c r="BI1" s="74" t="s">
        <v>3078</v>
      </c>
      <c r="BJ1" s="74" t="s">
        <v>3079</v>
      </c>
      <c r="BK1" s="74" t="s">
        <v>3080</v>
      </c>
      <c r="BL1" s="74" t="s">
        <v>3081</v>
      </c>
      <c r="BM1" s="74" t="s">
        <v>3082</v>
      </c>
      <c r="BN1" s="74" t="s">
        <v>3083</v>
      </c>
      <c r="BO1" s="74" t="s">
        <v>3084</v>
      </c>
      <c r="BP1" s="74" t="s">
        <v>3085</v>
      </c>
      <c r="BQ1" s="74" t="s">
        <v>3086</v>
      </c>
      <c r="BR1" s="74" t="s">
        <v>3087</v>
      </c>
    </row>
    <row r="2" spans="1:70">
      <c r="A2" s="73" t="s">
        <v>1860</v>
      </c>
      <c r="B2" s="73" t="s">
        <v>2532</v>
      </c>
      <c r="C2" s="73" t="s">
        <v>2533</v>
      </c>
      <c r="D2" s="73" t="s">
        <v>3088</v>
      </c>
      <c r="E2" s="73" t="s">
        <v>3088</v>
      </c>
      <c r="F2" s="73" t="s">
        <v>3088</v>
      </c>
      <c r="G2" s="73" t="s">
        <v>3089</v>
      </c>
      <c r="H2" s="73" t="s">
        <v>3088</v>
      </c>
      <c r="I2" s="73" t="s">
        <v>543</v>
      </c>
      <c r="J2" s="73" t="s">
        <v>3090</v>
      </c>
      <c r="K2" s="73" t="s">
        <v>3089</v>
      </c>
      <c r="L2" s="73" t="s">
        <v>108</v>
      </c>
      <c r="M2" s="73" t="s">
        <v>3090</v>
      </c>
      <c r="N2" s="73" t="s">
        <v>3089</v>
      </c>
      <c r="O2" s="73" t="s">
        <v>3088</v>
      </c>
      <c r="P2" s="73" t="s">
        <v>3088</v>
      </c>
      <c r="Q2" s="73" t="s">
        <v>3088</v>
      </c>
      <c r="R2" s="73" t="s">
        <v>3088</v>
      </c>
      <c r="S2" s="73" t="s">
        <v>3088</v>
      </c>
      <c r="T2" s="73" t="s">
        <v>3088</v>
      </c>
      <c r="U2" s="73" t="s">
        <v>3088</v>
      </c>
      <c r="V2" s="73" t="s">
        <v>3088</v>
      </c>
      <c r="W2" s="73" t="s">
        <v>3088</v>
      </c>
      <c r="X2" s="73" t="s">
        <v>3088</v>
      </c>
      <c r="Y2" s="73" t="s">
        <v>3088</v>
      </c>
      <c r="Z2" s="73" t="s">
        <v>3088</v>
      </c>
      <c r="AA2" s="73" t="s">
        <v>3088</v>
      </c>
      <c r="AB2" s="73" t="s">
        <v>3088</v>
      </c>
      <c r="AC2" s="73" t="s">
        <v>3088</v>
      </c>
      <c r="AD2" s="73" t="s">
        <v>3088</v>
      </c>
      <c r="AE2" s="73" t="s">
        <v>3088</v>
      </c>
      <c r="AF2" s="73" t="s">
        <v>3088</v>
      </c>
      <c r="AG2" s="73" t="s">
        <v>3088</v>
      </c>
      <c r="AH2" s="73" t="s">
        <v>3088</v>
      </c>
      <c r="AI2" s="73" t="s">
        <v>3088</v>
      </c>
      <c r="AJ2" s="73" t="s">
        <v>3088</v>
      </c>
      <c r="AK2" s="73" t="s">
        <v>3088</v>
      </c>
      <c r="AL2" s="73" t="s">
        <v>3088</v>
      </c>
      <c r="AM2" s="73" t="s">
        <v>3088</v>
      </c>
      <c r="AN2" s="73" t="s">
        <v>3088</v>
      </c>
      <c r="AO2" s="73" t="s">
        <v>3088</v>
      </c>
      <c r="AP2" s="73" t="s">
        <v>3088</v>
      </c>
      <c r="AQ2" s="73" t="s">
        <v>3088</v>
      </c>
      <c r="AR2" s="73" t="s">
        <v>3088</v>
      </c>
      <c r="AS2" s="73" t="s">
        <v>3088</v>
      </c>
      <c r="AT2" s="73" t="s">
        <v>3088</v>
      </c>
      <c r="AU2" s="73" t="s">
        <v>3088</v>
      </c>
      <c r="AV2" s="73" t="s">
        <v>3088</v>
      </c>
      <c r="AW2" s="73" t="s">
        <v>3088</v>
      </c>
      <c r="AX2" s="73" t="s">
        <v>3088</v>
      </c>
      <c r="AY2" s="73" t="s">
        <v>3088</v>
      </c>
      <c r="AZ2" s="73" t="s">
        <v>3088</v>
      </c>
      <c r="BA2" s="73" t="s">
        <v>3088</v>
      </c>
      <c r="BB2" s="73" t="s">
        <v>3088</v>
      </c>
      <c r="BC2" s="73" t="s">
        <v>3088</v>
      </c>
      <c r="BD2" s="73" t="s">
        <v>3088</v>
      </c>
      <c r="BE2" s="73" t="s">
        <v>3088</v>
      </c>
      <c r="BF2" s="73" t="s">
        <v>3088</v>
      </c>
      <c r="BG2" s="73" t="s">
        <v>3088</v>
      </c>
      <c r="BH2" s="73" t="s">
        <v>3088</v>
      </c>
      <c r="BI2" s="73" t="s">
        <v>3088</v>
      </c>
      <c r="BJ2" s="73" t="s">
        <v>3088</v>
      </c>
      <c r="BK2" s="73" t="s">
        <v>3088</v>
      </c>
      <c r="BL2" s="73" t="s">
        <v>3088</v>
      </c>
      <c r="BM2" s="73" t="s">
        <v>3088</v>
      </c>
      <c r="BN2" s="73" t="s">
        <v>3088</v>
      </c>
      <c r="BO2" s="73" t="s">
        <v>3088</v>
      </c>
      <c r="BP2" s="73" t="s">
        <v>3088</v>
      </c>
      <c r="BQ2" s="73" t="s">
        <v>3091</v>
      </c>
      <c r="BR2" s="73" t="s">
        <v>3088</v>
      </c>
    </row>
    <row r="3" spans="1:70">
      <c r="A3" s="73" t="s">
        <v>1860</v>
      </c>
      <c r="B3" s="73" t="s">
        <v>3092</v>
      </c>
      <c r="C3" s="73" t="s">
        <v>2591</v>
      </c>
      <c r="D3" s="73" t="s">
        <v>3088</v>
      </c>
      <c r="E3" s="73" t="s">
        <v>3088</v>
      </c>
      <c r="F3" s="73" t="s">
        <v>3088</v>
      </c>
      <c r="G3" s="73" t="s">
        <v>3089</v>
      </c>
      <c r="H3" s="73" t="s">
        <v>3088</v>
      </c>
      <c r="I3" s="73" t="s">
        <v>3093</v>
      </c>
      <c r="J3" s="73" t="s">
        <v>3094</v>
      </c>
      <c r="K3" s="73" t="s">
        <v>3095</v>
      </c>
      <c r="L3" s="73" t="s">
        <v>3088</v>
      </c>
      <c r="M3" s="73" t="s">
        <v>3088</v>
      </c>
      <c r="N3" s="73" t="s">
        <v>3088</v>
      </c>
      <c r="O3" s="73" t="s">
        <v>3088</v>
      </c>
      <c r="P3" s="73" t="s">
        <v>3088</v>
      </c>
      <c r="Q3" s="73" t="s">
        <v>3088</v>
      </c>
      <c r="R3" s="73" t="s">
        <v>3088</v>
      </c>
      <c r="S3" s="73" t="s">
        <v>3088</v>
      </c>
      <c r="T3" s="73" t="s">
        <v>3088</v>
      </c>
      <c r="U3" s="73" t="s">
        <v>3088</v>
      </c>
      <c r="V3" s="73" t="s">
        <v>3088</v>
      </c>
      <c r="W3" s="73" t="s">
        <v>3088</v>
      </c>
      <c r="X3" s="73" t="s">
        <v>3088</v>
      </c>
      <c r="Y3" s="73" t="s">
        <v>3088</v>
      </c>
      <c r="Z3" s="73" t="s">
        <v>3088</v>
      </c>
      <c r="AA3" s="73" t="s">
        <v>3088</v>
      </c>
      <c r="AB3" s="73" t="s">
        <v>3088</v>
      </c>
      <c r="AC3" s="73" t="s">
        <v>3088</v>
      </c>
      <c r="AD3" s="73" t="s">
        <v>3088</v>
      </c>
      <c r="AE3" s="73" t="s">
        <v>3088</v>
      </c>
      <c r="AF3" s="73" t="s">
        <v>3088</v>
      </c>
      <c r="AG3" s="73" t="s">
        <v>3088</v>
      </c>
      <c r="AH3" s="73" t="s">
        <v>3088</v>
      </c>
      <c r="AI3" s="73" t="s">
        <v>3088</v>
      </c>
      <c r="AJ3" s="73" t="s">
        <v>3088</v>
      </c>
      <c r="AK3" s="73" t="s">
        <v>3088</v>
      </c>
      <c r="AL3" s="73" t="s">
        <v>3088</v>
      </c>
      <c r="AM3" s="73" t="s">
        <v>3088</v>
      </c>
      <c r="AN3" s="73" t="s">
        <v>3088</v>
      </c>
      <c r="AO3" s="73" t="s">
        <v>3088</v>
      </c>
      <c r="AP3" s="73" t="s">
        <v>3088</v>
      </c>
      <c r="AQ3" s="73" t="s">
        <v>3088</v>
      </c>
      <c r="AR3" s="73" t="s">
        <v>3088</v>
      </c>
      <c r="AS3" s="73" t="s">
        <v>3088</v>
      </c>
      <c r="AT3" s="73" t="s">
        <v>3088</v>
      </c>
      <c r="AU3" s="73" t="s">
        <v>3088</v>
      </c>
      <c r="AV3" s="73" t="s">
        <v>3088</v>
      </c>
      <c r="AW3" s="73" t="s">
        <v>3088</v>
      </c>
      <c r="AX3" s="73" t="s">
        <v>3088</v>
      </c>
      <c r="AY3" s="73" t="s">
        <v>3088</v>
      </c>
      <c r="AZ3" s="73" t="s">
        <v>3088</v>
      </c>
      <c r="BA3" s="73" t="s">
        <v>3088</v>
      </c>
      <c r="BB3" s="73" t="s">
        <v>3088</v>
      </c>
      <c r="BC3" s="73" t="s">
        <v>3088</v>
      </c>
      <c r="BD3" s="73" t="s">
        <v>3088</v>
      </c>
      <c r="BE3" s="73" t="s">
        <v>3088</v>
      </c>
      <c r="BF3" s="73" t="s">
        <v>3088</v>
      </c>
      <c r="BG3" s="73" t="s">
        <v>3088</v>
      </c>
      <c r="BH3" s="73" t="s">
        <v>3088</v>
      </c>
      <c r="BI3" s="73" t="s">
        <v>3088</v>
      </c>
      <c r="BJ3" s="73" t="s">
        <v>3088</v>
      </c>
      <c r="BK3" s="73" t="s">
        <v>3088</v>
      </c>
      <c r="BL3" s="73" t="s">
        <v>3088</v>
      </c>
      <c r="BM3" s="73" t="s">
        <v>3088</v>
      </c>
      <c r="BN3" s="73" t="s">
        <v>3088</v>
      </c>
      <c r="BO3" s="73" t="s">
        <v>3088</v>
      </c>
      <c r="BP3" s="73" t="s">
        <v>3088</v>
      </c>
      <c r="BQ3" s="73" t="s">
        <v>3096</v>
      </c>
      <c r="BR3" s="73" t="s">
        <v>3097</v>
      </c>
    </row>
    <row r="4" spans="1:70">
      <c r="A4" s="73" t="s">
        <v>1860</v>
      </c>
      <c r="B4" s="73" t="s">
        <v>2536</v>
      </c>
      <c r="C4" s="73" t="s">
        <v>2537</v>
      </c>
      <c r="D4" s="73" t="s">
        <v>3088</v>
      </c>
      <c r="E4" s="73" t="s">
        <v>3088</v>
      </c>
      <c r="F4" s="73" t="s">
        <v>3088</v>
      </c>
      <c r="G4" s="73" t="s">
        <v>3089</v>
      </c>
      <c r="H4" s="73" t="s">
        <v>3088</v>
      </c>
      <c r="I4" s="73" t="s">
        <v>3098</v>
      </c>
      <c r="J4" s="73" t="s">
        <v>3099</v>
      </c>
      <c r="K4" s="73" t="s">
        <v>3089</v>
      </c>
      <c r="L4" s="73" t="s">
        <v>108</v>
      </c>
      <c r="M4" s="73" t="s">
        <v>3099</v>
      </c>
      <c r="N4" s="73" t="s">
        <v>3089</v>
      </c>
      <c r="O4" s="73" t="s">
        <v>543</v>
      </c>
      <c r="P4" s="73" t="s">
        <v>3099</v>
      </c>
      <c r="Q4" s="73" t="s">
        <v>3089</v>
      </c>
      <c r="R4" s="73" t="s">
        <v>3088</v>
      </c>
      <c r="S4" s="73" t="s">
        <v>3088</v>
      </c>
      <c r="T4" s="73" t="s">
        <v>3088</v>
      </c>
      <c r="U4" s="73" t="s">
        <v>3088</v>
      </c>
      <c r="V4" s="73" t="s">
        <v>3088</v>
      </c>
      <c r="W4" s="73" t="s">
        <v>3088</v>
      </c>
      <c r="X4" s="73" t="s">
        <v>3088</v>
      </c>
      <c r="Y4" s="73" t="s">
        <v>3088</v>
      </c>
      <c r="Z4" s="73" t="s">
        <v>3088</v>
      </c>
      <c r="AA4" s="73" t="s">
        <v>3088</v>
      </c>
      <c r="AB4" s="73" t="s">
        <v>3088</v>
      </c>
      <c r="AC4" s="73" t="s">
        <v>3088</v>
      </c>
      <c r="AD4" s="73" t="s">
        <v>3088</v>
      </c>
      <c r="AE4" s="73" t="s">
        <v>3088</v>
      </c>
      <c r="AF4" s="73" t="s">
        <v>3088</v>
      </c>
      <c r="AG4" s="73" t="s">
        <v>3088</v>
      </c>
      <c r="AH4" s="73" t="s">
        <v>3088</v>
      </c>
      <c r="AI4" s="73" t="s">
        <v>3088</v>
      </c>
      <c r="AJ4" s="73" t="s">
        <v>3088</v>
      </c>
      <c r="AK4" s="73" t="s">
        <v>3088</v>
      </c>
      <c r="AL4" s="73" t="s">
        <v>3088</v>
      </c>
      <c r="AM4" s="73" t="s">
        <v>3088</v>
      </c>
      <c r="AN4" s="73" t="s">
        <v>3088</v>
      </c>
      <c r="AO4" s="73" t="s">
        <v>3088</v>
      </c>
      <c r="AP4" s="73" t="s">
        <v>3088</v>
      </c>
      <c r="AQ4" s="73" t="s">
        <v>3088</v>
      </c>
      <c r="AR4" s="73" t="s">
        <v>3088</v>
      </c>
      <c r="AS4" s="73" t="s">
        <v>3088</v>
      </c>
      <c r="AT4" s="73" t="s">
        <v>3088</v>
      </c>
      <c r="AU4" s="73" t="s">
        <v>3088</v>
      </c>
      <c r="AV4" s="73" t="s">
        <v>3088</v>
      </c>
      <c r="AW4" s="73" t="s">
        <v>3088</v>
      </c>
      <c r="AX4" s="73" t="s">
        <v>3088</v>
      </c>
      <c r="AY4" s="73" t="s">
        <v>3088</v>
      </c>
      <c r="AZ4" s="73" t="s">
        <v>3088</v>
      </c>
      <c r="BA4" s="73" t="s">
        <v>3088</v>
      </c>
      <c r="BB4" s="73" t="s">
        <v>3088</v>
      </c>
      <c r="BC4" s="73" t="s">
        <v>3088</v>
      </c>
      <c r="BD4" s="73" t="s">
        <v>3088</v>
      </c>
      <c r="BE4" s="73" t="s">
        <v>3088</v>
      </c>
      <c r="BF4" s="73" t="s">
        <v>3088</v>
      </c>
      <c r="BG4" s="73" t="s">
        <v>3088</v>
      </c>
      <c r="BH4" s="73" t="s">
        <v>3088</v>
      </c>
      <c r="BI4" s="73" t="s">
        <v>3088</v>
      </c>
      <c r="BJ4" s="73" t="s">
        <v>3088</v>
      </c>
      <c r="BK4" s="73" t="s">
        <v>3088</v>
      </c>
      <c r="BL4" s="73" t="s">
        <v>3088</v>
      </c>
      <c r="BM4" s="73" t="s">
        <v>3088</v>
      </c>
      <c r="BN4" s="73" t="s">
        <v>3088</v>
      </c>
      <c r="BO4" s="73" t="s">
        <v>3088</v>
      </c>
      <c r="BP4" s="73" t="s">
        <v>3088</v>
      </c>
      <c r="BQ4" s="73" t="s">
        <v>3100</v>
      </c>
      <c r="BR4" s="73" t="s">
        <v>3088</v>
      </c>
    </row>
    <row r="5" spans="1:70">
      <c r="A5" s="73" t="s">
        <v>1860</v>
      </c>
      <c r="B5" s="73" t="s">
        <v>3101</v>
      </c>
      <c r="C5" s="73" t="s">
        <v>2533</v>
      </c>
      <c r="D5" s="73" t="s">
        <v>3088</v>
      </c>
      <c r="E5" s="73" t="s">
        <v>3088</v>
      </c>
      <c r="F5" s="73" t="s">
        <v>3088</v>
      </c>
      <c r="G5" s="73" t="s">
        <v>3089</v>
      </c>
      <c r="H5" s="73" t="s">
        <v>3088</v>
      </c>
      <c r="I5" s="73" t="s">
        <v>2463</v>
      </c>
      <c r="J5" s="73" t="s">
        <v>3102</v>
      </c>
      <c r="K5" s="73" t="s">
        <v>3089</v>
      </c>
      <c r="L5" s="73" t="s">
        <v>3088</v>
      </c>
      <c r="M5" s="73" t="s">
        <v>3088</v>
      </c>
      <c r="N5" s="73" t="s">
        <v>3088</v>
      </c>
      <c r="O5" s="73" t="s">
        <v>3088</v>
      </c>
      <c r="P5" s="73" t="s">
        <v>3088</v>
      </c>
      <c r="Q5" s="73" t="s">
        <v>3088</v>
      </c>
      <c r="R5" s="73" t="s">
        <v>3088</v>
      </c>
      <c r="S5" s="73" t="s">
        <v>3088</v>
      </c>
      <c r="T5" s="73" t="s">
        <v>3088</v>
      </c>
      <c r="U5" s="73" t="s">
        <v>3088</v>
      </c>
      <c r="V5" s="73" t="s">
        <v>3088</v>
      </c>
      <c r="W5" s="73" t="s">
        <v>3088</v>
      </c>
      <c r="X5" s="73" t="s">
        <v>3088</v>
      </c>
      <c r="Y5" s="73" t="s">
        <v>3088</v>
      </c>
      <c r="Z5" s="73" t="s">
        <v>3088</v>
      </c>
      <c r="AA5" s="73" t="s">
        <v>3088</v>
      </c>
      <c r="AB5" s="73" t="s">
        <v>3088</v>
      </c>
      <c r="AC5" s="73" t="s">
        <v>3088</v>
      </c>
      <c r="AD5" s="73" t="s">
        <v>3088</v>
      </c>
      <c r="AE5" s="73" t="s">
        <v>3088</v>
      </c>
      <c r="AF5" s="73" t="s">
        <v>3088</v>
      </c>
      <c r="AG5" s="73" t="s">
        <v>3088</v>
      </c>
      <c r="AH5" s="73" t="s">
        <v>3088</v>
      </c>
      <c r="AI5" s="73" t="s">
        <v>3088</v>
      </c>
      <c r="AJ5" s="73" t="s">
        <v>3088</v>
      </c>
      <c r="AK5" s="73" t="s">
        <v>3088</v>
      </c>
      <c r="AL5" s="73" t="s">
        <v>3088</v>
      </c>
      <c r="AM5" s="73" t="s">
        <v>3088</v>
      </c>
      <c r="AN5" s="73" t="s">
        <v>3088</v>
      </c>
      <c r="AO5" s="73" t="s">
        <v>3088</v>
      </c>
      <c r="AP5" s="73" t="s">
        <v>3088</v>
      </c>
      <c r="AQ5" s="73" t="s">
        <v>3088</v>
      </c>
      <c r="AR5" s="73" t="s">
        <v>3088</v>
      </c>
      <c r="AS5" s="73" t="s">
        <v>3088</v>
      </c>
      <c r="AT5" s="73" t="s">
        <v>3088</v>
      </c>
      <c r="AU5" s="73" t="s">
        <v>3088</v>
      </c>
      <c r="AV5" s="73" t="s">
        <v>3088</v>
      </c>
      <c r="AW5" s="73" t="s">
        <v>3088</v>
      </c>
      <c r="AX5" s="73" t="s">
        <v>3088</v>
      </c>
      <c r="AY5" s="73" t="s">
        <v>3088</v>
      </c>
      <c r="AZ5" s="73" t="s">
        <v>3088</v>
      </c>
      <c r="BA5" s="73" t="s">
        <v>3088</v>
      </c>
      <c r="BB5" s="73" t="s">
        <v>3088</v>
      </c>
      <c r="BC5" s="73" t="s">
        <v>3088</v>
      </c>
      <c r="BD5" s="73" t="s">
        <v>3088</v>
      </c>
      <c r="BE5" s="73" t="s">
        <v>3088</v>
      </c>
      <c r="BF5" s="73" t="s">
        <v>3088</v>
      </c>
      <c r="BG5" s="73" t="s">
        <v>3088</v>
      </c>
      <c r="BH5" s="73" t="s">
        <v>3088</v>
      </c>
      <c r="BI5" s="73" t="s">
        <v>3088</v>
      </c>
      <c r="BJ5" s="73" t="s">
        <v>3088</v>
      </c>
      <c r="BK5" s="73" t="s">
        <v>3088</v>
      </c>
      <c r="BL5" s="73" t="s">
        <v>3088</v>
      </c>
      <c r="BM5" s="73" t="s">
        <v>3088</v>
      </c>
      <c r="BN5" s="73" t="s">
        <v>3088</v>
      </c>
      <c r="BO5" s="73" t="s">
        <v>3088</v>
      </c>
      <c r="BP5" s="73" t="s">
        <v>3088</v>
      </c>
      <c r="BQ5" s="73" t="s">
        <v>3103</v>
      </c>
      <c r="BR5" s="73" t="s">
        <v>3088</v>
      </c>
    </row>
    <row r="6" spans="1:70">
      <c r="A6" s="73" t="s">
        <v>1860</v>
      </c>
      <c r="B6" s="73" t="s">
        <v>3104</v>
      </c>
      <c r="C6" s="73" t="s">
        <v>2582</v>
      </c>
      <c r="D6" s="73" t="s">
        <v>3088</v>
      </c>
      <c r="E6" s="73" t="s">
        <v>3088</v>
      </c>
      <c r="F6" s="73" t="s">
        <v>3088</v>
      </c>
      <c r="G6" s="73" t="s">
        <v>3089</v>
      </c>
      <c r="H6" s="73" t="s">
        <v>3088</v>
      </c>
      <c r="I6" s="73" t="s">
        <v>3093</v>
      </c>
      <c r="J6" s="73" t="s">
        <v>3088</v>
      </c>
      <c r="K6" s="73" t="s">
        <v>3088</v>
      </c>
      <c r="L6" s="73" t="s">
        <v>3088</v>
      </c>
      <c r="M6" s="73" t="s">
        <v>3088</v>
      </c>
      <c r="N6" s="73" t="s">
        <v>3088</v>
      </c>
      <c r="O6" s="73" t="s">
        <v>3088</v>
      </c>
      <c r="P6" s="73" t="s">
        <v>3088</v>
      </c>
      <c r="Q6" s="73" t="s">
        <v>3088</v>
      </c>
      <c r="R6" s="73" t="s">
        <v>3088</v>
      </c>
      <c r="S6" s="73" t="s">
        <v>3088</v>
      </c>
      <c r="T6" s="73" t="s">
        <v>3088</v>
      </c>
      <c r="U6" s="73" t="s">
        <v>3088</v>
      </c>
      <c r="V6" s="73" t="s">
        <v>3088</v>
      </c>
      <c r="W6" s="73" t="s">
        <v>3088</v>
      </c>
      <c r="X6" s="73" t="s">
        <v>3088</v>
      </c>
      <c r="Y6" s="73" t="s">
        <v>3088</v>
      </c>
      <c r="Z6" s="73" t="s">
        <v>3088</v>
      </c>
      <c r="AA6" s="73" t="s">
        <v>3088</v>
      </c>
      <c r="AB6" s="73" t="s">
        <v>3088</v>
      </c>
      <c r="AC6" s="73" t="s">
        <v>3088</v>
      </c>
      <c r="AD6" s="73" t="s">
        <v>3088</v>
      </c>
      <c r="AE6" s="73" t="s">
        <v>3088</v>
      </c>
      <c r="AF6" s="73" t="s">
        <v>3088</v>
      </c>
      <c r="AG6" s="73" t="s">
        <v>3088</v>
      </c>
      <c r="AH6" s="73" t="s">
        <v>3088</v>
      </c>
      <c r="AI6" s="73" t="s">
        <v>3088</v>
      </c>
      <c r="AJ6" s="73" t="s">
        <v>3088</v>
      </c>
      <c r="AK6" s="73" t="s">
        <v>3088</v>
      </c>
      <c r="AL6" s="73" t="s">
        <v>3088</v>
      </c>
      <c r="AM6" s="73" t="s">
        <v>3088</v>
      </c>
      <c r="AN6" s="73" t="s">
        <v>3088</v>
      </c>
      <c r="AO6" s="73" t="s">
        <v>3088</v>
      </c>
      <c r="AP6" s="73" t="s">
        <v>3088</v>
      </c>
      <c r="AQ6" s="73" t="s">
        <v>3088</v>
      </c>
      <c r="AR6" s="73" t="s">
        <v>3088</v>
      </c>
      <c r="AS6" s="73" t="s">
        <v>3088</v>
      </c>
      <c r="AT6" s="73" t="s">
        <v>3088</v>
      </c>
      <c r="AU6" s="73" t="s">
        <v>3088</v>
      </c>
      <c r="AV6" s="73" t="s">
        <v>3088</v>
      </c>
      <c r="AW6" s="73" t="s">
        <v>3088</v>
      </c>
      <c r="AX6" s="73" t="s">
        <v>3088</v>
      </c>
      <c r="AY6" s="73" t="s">
        <v>3088</v>
      </c>
      <c r="AZ6" s="73" t="s">
        <v>3088</v>
      </c>
      <c r="BA6" s="73" t="s">
        <v>3088</v>
      </c>
      <c r="BB6" s="73" t="s">
        <v>3088</v>
      </c>
      <c r="BC6" s="73" t="s">
        <v>3088</v>
      </c>
      <c r="BD6" s="73" t="s">
        <v>3088</v>
      </c>
      <c r="BE6" s="73" t="s">
        <v>3088</v>
      </c>
      <c r="BF6" s="73" t="s">
        <v>3088</v>
      </c>
      <c r="BG6" s="73" t="s">
        <v>3088</v>
      </c>
      <c r="BH6" s="73" t="s">
        <v>3088</v>
      </c>
      <c r="BI6" s="73" t="s">
        <v>3088</v>
      </c>
      <c r="BJ6" s="73" t="s">
        <v>3088</v>
      </c>
      <c r="BK6" s="73" t="s">
        <v>3088</v>
      </c>
      <c r="BL6" s="73" t="s">
        <v>3088</v>
      </c>
      <c r="BM6" s="73" t="s">
        <v>3088</v>
      </c>
      <c r="BN6" s="73" t="s">
        <v>3088</v>
      </c>
      <c r="BO6" s="73" t="s">
        <v>3088</v>
      </c>
      <c r="BP6" s="73" t="s">
        <v>3088</v>
      </c>
      <c r="BQ6" s="73" t="s">
        <v>3105</v>
      </c>
      <c r="BR6" s="73" t="s">
        <v>3088</v>
      </c>
    </row>
    <row r="7" spans="1:70">
      <c r="A7" s="73" t="s">
        <v>1860</v>
      </c>
      <c r="B7" s="73" t="s">
        <v>3106</v>
      </c>
      <c r="C7" s="73" t="s">
        <v>2533</v>
      </c>
      <c r="D7" s="73" t="s">
        <v>3088</v>
      </c>
      <c r="E7" s="73" t="s">
        <v>3088</v>
      </c>
      <c r="F7" s="73" t="s">
        <v>3088</v>
      </c>
      <c r="G7" s="73" t="s">
        <v>3089</v>
      </c>
      <c r="H7" s="73" t="s">
        <v>3088</v>
      </c>
      <c r="I7" s="73" t="s">
        <v>3093</v>
      </c>
      <c r="J7" s="73" t="s">
        <v>3088</v>
      </c>
      <c r="K7" s="73" t="s">
        <v>3088</v>
      </c>
      <c r="L7" s="73" t="s">
        <v>3088</v>
      </c>
      <c r="M7" s="73" t="s">
        <v>3088</v>
      </c>
      <c r="N7" s="73" t="s">
        <v>3088</v>
      </c>
      <c r="O7" s="73" t="s">
        <v>3088</v>
      </c>
      <c r="P7" s="73" t="s">
        <v>3088</v>
      </c>
      <c r="Q7" s="73" t="s">
        <v>3088</v>
      </c>
      <c r="R7" s="73" t="s">
        <v>3088</v>
      </c>
      <c r="S7" s="73" t="s">
        <v>3088</v>
      </c>
      <c r="T7" s="73" t="s">
        <v>3088</v>
      </c>
      <c r="U7" s="73" t="s">
        <v>3088</v>
      </c>
      <c r="V7" s="73" t="s">
        <v>3088</v>
      </c>
      <c r="W7" s="73" t="s">
        <v>3088</v>
      </c>
      <c r="X7" s="73" t="s">
        <v>3088</v>
      </c>
      <c r="Y7" s="73" t="s">
        <v>3088</v>
      </c>
      <c r="Z7" s="73" t="s">
        <v>3088</v>
      </c>
      <c r="AA7" s="73" t="s">
        <v>3088</v>
      </c>
      <c r="AB7" s="73" t="s">
        <v>3088</v>
      </c>
      <c r="AC7" s="73" t="s">
        <v>3088</v>
      </c>
      <c r="AD7" s="73" t="s">
        <v>3088</v>
      </c>
      <c r="AE7" s="73" t="s">
        <v>3088</v>
      </c>
      <c r="AF7" s="73" t="s">
        <v>3088</v>
      </c>
      <c r="AG7" s="73" t="s">
        <v>3088</v>
      </c>
      <c r="AH7" s="73" t="s">
        <v>3088</v>
      </c>
      <c r="AI7" s="73" t="s">
        <v>3088</v>
      </c>
      <c r="AJ7" s="73" t="s">
        <v>3088</v>
      </c>
      <c r="AK7" s="73" t="s">
        <v>3088</v>
      </c>
      <c r="AL7" s="73" t="s">
        <v>3088</v>
      </c>
      <c r="AM7" s="73" t="s">
        <v>3088</v>
      </c>
      <c r="AN7" s="73" t="s">
        <v>3088</v>
      </c>
      <c r="AO7" s="73" t="s">
        <v>3088</v>
      </c>
      <c r="AP7" s="73" t="s">
        <v>3088</v>
      </c>
      <c r="AQ7" s="73" t="s">
        <v>3088</v>
      </c>
      <c r="AR7" s="73" t="s">
        <v>3088</v>
      </c>
      <c r="AS7" s="73" t="s">
        <v>3088</v>
      </c>
      <c r="AT7" s="73" t="s">
        <v>3088</v>
      </c>
      <c r="AU7" s="73" t="s">
        <v>3088</v>
      </c>
      <c r="AV7" s="73" t="s">
        <v>3088</v>
      </c>
      <c r="AW7" s="73" t="s">
        <v>3088</v>
      </c>
      <c r="AX7" s="73" t="s">
        <v>3088</v>
      </c>
      <c r="AY7" s="73" t="s">
        <v>3088</v>
      </c>
      <c r="AZ7" s="73" t="s">
        <v>3088</v>
      </c>
      <c r="BA7" s="73" t="s">
        <v>3088</v>
      </c>
      <c r="BB7" s="73" t="s">
        <v>3088</v>
      </c>
      <c r="BC7" s="73" t="s">
        <v>3088</v>
      </c>
      <c r="BD7" s="73" t="s">
        <v>3088</v>
      </c>
      <c r="BE7" s="73" t="s">
        <v>3088</v>
      </c>
      <c r="BF7" s="73" t="s">
        <v>3088</v>
      </c>
      <c r="BG7" s="73" t="s">
        <v>3088</v>
      </c>
      <c r="BH7" s="73" t="s">
        <v>3088</v>
      </c>
      <c r="BI7" s="73" t="s">
        <v>3088</v>
      </c>
      <c r="BJ7" s="73" t="s">
        <v>3088</v>
      </c>
      <c r="BK7" s="73" t="s">
        <v>3088</v>
      </c>
      <c r="BL7" s="73" t="s">
        <v>3088</v>
      </c>
      <c r="BM7" s="73" t="s">
        <v>3088</v>
      </c>
      <c r="BN7" s="73" t="s">
        <v>3088</v>
      </c>
      <c r="BO7" s="73" t="s">
        <v>3088</v>
      </c>
      <c r="BP7" s="73" t="s">
        <v>3088</v>
      </c>
      <c r="BQ7" s="73" t="s">
        <v>3107</v>
      </c>
      <c r="BR7" s="73" t="s">
        <v>3088</v>
      </c>
    </row>
    <row r="8" spans="1:70">
      <c r="A8" s="73" t="s">
        <v>1860</v>
      </c>
      <c r="B8" s="73" t="s">
        <v>3108</v>
      </c>
      <c r="C8" s="73" t="s">
        <v>2545</v>
      </c>
      <c r="D8" s="73" t="s">
        <v>3088</v>
      </c>
      <c r="E8" s="73" t="s">
        <v>3088</v>
      </c>
      <c r="F8" s="73" t="s">
        <v>3088</v>
      </c>
      <c r="G8" s="73" t="s">
        <v>3089</v>
      </c>
      <c r="H8" s="73" t="s">
        <v>3088</v>
      </c>
      <c r="I8" s="73" t="s">
        <v>3093</v>
      </c>
      <c r="J8" s="73" t="s">
        <v>3109</v>
      </c>
      <c r="K8" s="73" t="s">
        <v>3089</v>
      </c>
      <c r="L8" s="73" t="s">
        <v>3088</v>
      </c>
      <c r="M8" s="73" t="s">
        <v>3088</v>
      </c>
      <c r="N8" s="73" t="s">
        <v>3088</v>
      </c>
      <c r="O8" s="73" t="s">
        <v>3088</v>
      </c>
      <c r="P8" s="73" t="s">
        <v>3088</v>
      </c>
      <c r="Q8" s="73" t="s">
        <v>3088</v>
      </c>
      <c r="R8" s="73" t="s">
        <v>3088</v>
      </c>
      <c r="S8" s="73" t="s">
        <v>3088</v>
      </c>
      <c r="T8" s="73" t="s">
        <v>3088</v>
      </c>
      <c r="U8" s="73" t="s">
        <v>3088</v>
      </c>
      <c r="V8" s="73" t="s">
        <v>3088</v>
      </c>
      <c r="W8" s="73" t="s">
        <v>3088</v>
      </c>
      <c r="X8" s="73" t="s">
        <v>3088</v>
      </c>
      <c r="Y8" s="73" t="s">
        <v>3088</v>
      </c>
      <c r="Z8" s="73" t="s">
        <v>3088</v>
      </c>
      <c r="AA8" s="73" t="s">
        <v>3088</v>
      </c>
      <c r="AB8" s="73" t="s">
        <v>3088</v>
      </c>
      <c r="AC8" s="73" t="s">
        <v>3088</v>
      </c>
      <c r="AD8" s="73" t="s">
        <v>3088</v>
      </c>
      <c r="AE8" s="73" t="s">
        <v>3088</v>
      </c>
      <c r="AF8" s="73" t="s">
        <v>3088</v>
      </c>
      <c r="AG8" s="73" t="s">
        <v>3088</v>
      </c>
      <c r="AH8" s="73" t="s">
        <v>3088</v>
      </c>
      <c r="AI8" s="73" t="s">
        <v>3088</v>
      </c>
      <c r="AJ8" s="73" t="s">
        <v>3088</v>
      </c>
      <c r="AK8" s="73" t="s">
        <v>3088</v>
      </c>
      <c r="AL8" s="73" t="s">
        <v>3088</v>
      </c>
      <c r="AM8" s="73" t="s">
        <v>3088</v>
      </c>
      <c r="AN8" s="73" t="s">
        <v>3088</v>
      </c>
      <c r="AO8" s="73" t="s">
        <v>3088</v>
      </c>
      <c r="AP8" s="73" t="s">
        <v>3088</v>
      </c>
      <c r="AQ8" s="73" t="s">
        <v>3088</v>
      </c>
      <c r="AR8" s="73" t="s">
        <v>3088</v>
      </c>
      <c r="AS8" s="73" t="s">
        <v>3088</v>
      </c>
      <c r="AT8" s="73" t="s">
        <v>3088</v>
      </c>
      <c r="AU8" s="73" t="s">
        <v>3088</v>
      </c>
      <c r="AV8" s="73" t="s">
        <v>3088</v>
      </c>
      <c r="AW8" s="73" t="s">
        <v>3088</v>
      </c>
      <c r="AX8" s="73" t="s">
        <v>3088</v>
      </c>
      <c r="AY8" s="73" t="s">
        <v>3088</v>
      </c>
      <c r="AZ8" s="73" t="s">
        <v>3088</v>
      </c>
      <c r="BA8" s="73" t="s">
        <v>3088</v>
      </c>
      <c r="BB8" s="73" t="s">
        <v>3088</v>
      </c>
      <c r="BC8" s="73" t="s">
        <v>3088</v>
      </c>
      <c r="BD8" s="73" t="s">
        <v>3088</v>
      </c>
      <c r="BE8" s="73" t="s">
        <v>3088</v>
      </c>
      <c r="BF8" s="73" t="s">
        <v>3088</v>
      </c>
      <c r="BG8" s="73" t="s">
        <v>3088</v>
      </c>
      <c r="BH8" s="73" t="s">
        <v>3088</v>
      </c>
      <c r="BI8" s="73" t="s">
        <v>3088</v>
      </c>
      <c r="BJ8" s="73" t="s">
        <v>3088</v>
      </c>
      <c r="BK8" s="73" t="s">
        <v>3088</v>
      </c>
      <c r="BL8" s="73" t="s">
        <v>3088</v>
      </c>
      <c r="BM8" s="73" t="s">
        <v>3088</v>
      </c>
      <c r="BN8" s="73" t="s">
        <v>3088</v>
      </c>
      <c r="BO8" s="73" t="s">
        <v>3088</v>
      </c>
      <c r="BP8" s="73" t="s">
        <v>3088</v>
      </c>
      <c r="BQ8" s="73" t="s">
        <v>3110</v>
      </c>
      <c r="BR8" s="73" t="s">
        <v>3088</v>
      </c>
    </row>
    <row r="9" spans="1:70">
      <c r="A9" s="73" t="s">
        <v>1860</v>
      </c>
      <c r="B9" s="73" t="s">
        <v>2540</v>
      </c>
      <c r="C9" s="73" t="s">
        <v>2537</v>
      </c>
      <c r="D9" s="73" t="s">
        <v>3088</v>
      </c>
      <c r="E9" s="73" t="s">
        <v>3088</v>
      </c>
      <c r="F9" s="73" t="s">
        <v>3088</v>
      </c>
      <c r="G9" s="73" t="s">
        <v>3089</v>
      </c>
      <c r="H9" s="73" t="s">
        <v>3088</v>
      </c>
      <c r="I9" s="73" t="s">
        <v>2193</v>
      </c>
      <c r="J9" s="73" t="s">
        <v>2541</v>
      </c>
      <c r="K9" s="73" t="s">
        <v>3089</v>
      </c>
      <c r="L9" s="73" t="s">
        <v>3088</v>
      </c>
      <c r="M9" s="73" t="s">
        <v>3088</v>
      </c>
      <c r="N9" s="73" t="s">
        <v>3088</v>
      </c>
      <c r="O9" s="73" t="s">
        <v>3088</v>
      </c>
      <c r="P9" s="73" t="s">
        <v>3088</v>
      </c>
      <c r="Q9" s="73" t="s">
        <v>3088</v>
      </c>
      <c r="R9" s="73" t="s">
        <v>3088</v>
      </c>
      <c r="S9" s="73" t="s">
        <v>3088</v>
      </c>
      <c r="T9" s="73" t="s">
        <v>3088</v>
      </c>
      <c r="U9" s="73" t="s">
        <v>3088</v>
      </c>
      <c r="V9" s="73" t="s">
        <v>3088</v>
      </c>
      <c r="W9" s="73" t="s">
        <v>3088</v>
      </c>
      <c r="X9" s="73" t="s">
        <v>3088</v>
      </c>
      <c r="Y9" s="73" t="s">
        <v>3088</v>
      </c>
      <c r="Z9" s="73" t="s">
        <v>3088</v>
      </c>
      <c r="AA9" s="73" t="s">
        <v>3088</v>
      </c>
      <c r="AB9" s="73" t="s">
        <v>3088</v>
      </c>
      <c r="AC9" s="73" t="s">
        <v>3088</v>
      </c>
      <c r="AD9" s="73" t="s">
        <v>3088</v>
      </c>
      <c r="AE9" s="73" t="s">
        <v>3088</v>
      </c>
      <c r="AF9" s="73" t="s">
        <v>3088</v>
      </c>
      <c r="AG9" s="73" t="s">
        <v>3088</v>
      </c>
      <c r="AH9" s="73" t="s">
        <v>3088</v>
      </c>
      <c r="AI9" s="73" t="s">
        <v>3088</v>
      </c>
      <c r="AJ9" s="73" t="s">
        <v>3088</v>
      </c>
      <c r="AK9" s="73" t="s">
        <v>3088</v>
      </c>
      <c r="AL9" s="73" t="s">
        <v>3088</v>
      </c>
      <c r="AM9" s="73" t="s">
        <v>3088</v>
      </c>
      <c r="AN9" s="73" t="s">
        <v>3088</v>
      </c>
      <c r="AO9" s="73" t="s">
        <v>3088</v>
      </c>
      <c r="AP9" s="73" t="s">
        <v>3088</v>
      </c>
      <c r="AQ9" s="73" t="s">
        <v>3088</v>
      </c>
      <c r="AR9" s="73" t="s">
        <v>3088</v>
      </c>
      <c r="AS9" s="73" t="s">
        <v>3088</v>
      </c>
      <c r="AT9" s="73" t="s">
        <v>3088</v>
      </c>
      <c r="AU9" s="73" t="s">
        <v>3088</v>
      </c>
      <c r="AV9" s="73" t="s">
        <v>3088</v>
      </c>
      <c r="AW9" s="73" t="s">
        <v>3088</v>
      </c>
      <c r="AX9" s="73" t="s">
        <v>3088</v>
      </c>
      <c r="AY9" s="73" t="s">
        <v>3088</v>
      </c>
      <c r="AZ9" s="73" t="s">
        <v>3088</v>
      </c>
      <c r="BA9" s="73" t="s">
        <v>3088</v>
      </c>
      <c r="BB9" s="73" t="s">
        <v>3088</v>
      </c>
      <c r="BC9" s="73" t="s">
        <v>3088</v>
      </c>
      <c r="BD9" s="73" t="s">
        <v>3088</v>
      </c>
      <c r="BE9" s="73" t="s">
        <v>3088</v>
      </c>
      <c r="BF9" s="73" t="s">
        <v>3088</v>
      </c>
      <c r="BG9" s="73" t="s">
        <v>3088</v>
      </c>
      <c r="BH9" s="73" t="s">
        <v>3088</v>
      </c>
      <c r="BI9" s="73" t="s">
        <v>3088</v>
      </c>
      <c r="BJ9" s="73" t="s">
        <v>3088</v>
      </c>
      <c r="BK9" s="73" t="s">
        <v>3088</v>
      </c>
      <c r="BL9" s="73" t="s">
        <v>3088</v>
      </c>
      <c r="BM9" s="73" t="s">
        <v>3088</v>
      </c>
      <c r="BN9" s="73" t="s">
        <v>3088</v>
      </c>
      <c r="BO9" s="73" t="s">
        <v>3088</v>
      </c>
      <c r="BP9" s="73" t="s">
        <v>3088</v>
      </c>
      <c r="BQ9" s="73" t="s">
        <v>3111</v>
      </c>
      <c r="BR9" s="73" t="s">
        <v>3088</v>
      </c>
    </row>
    <row r="10" spans="1:70">
      <c r="A10" s="73" t="s">
        <v>1860</v>
      </c>
      <c r="B10" s="73" t="s">
        <v>3112</v>
      </c>
      <c r="C10" s="73" t="s">
        <v>2591</v>
      </c>
      <c r="D10" s="73" t="s">
        <v>3088</v>
      </c>
      <c r="E10" s="73" t="s">
        <v>3088</v>
      </c>
      <c r="F10" s="73" t="s">
        <v>3088</v>
      </c>
      <c r="G10" s="73" t="s">
        <v>3089</v>
      </c>
      <c r="H10" s="73" t="s">
        <v>3088</v>
      </c>
      <c r="I10" s="73" t="s">
        <v>3113</v>
      </c>
      <c r="J10" s="73" t="s">
        <v>3114</v>
      </c>
      <c r="K10" s="73" t="s">
        <v>3089</v>
      </c>
      <c r="L10" s="73" t="s">
        <v>3013</v>
      </c>
      <c r="M10" s="73" t="s">
        <v>3114</v>
      </c>
      <c r="N10" s="73" t="s">
        <v>3089</v>
      </c>
      <c r="O10" s="73" t="s">
        <v>3088</v>
      </c>
      <c r="P10" s="73" t="s">
        <v>3088</v>
      </c>
      <c r="Q10" s="73" t="s">
        <v>3088</v>
      </c>
      <c r="R10" s="73" t="s">
        <v>3088</v>
      </c>
      <c r="S10" s="73" t="s">
        <v>3088</v>
      </c>
      <c r="T10" s="73" t="s">
        <v>3088</v>
      </c>
      <c r="U10" s="73" t="s">
        <v>3088</v>
      </c>
      <c r="V10" s="73" t="s">
        <v>3088</v>
      </c>
      <c r="W10" s="73" t="s">
        <v>3088</v>
      </c>
      <c r="X10" s="73" t="s">
        <v>3088</v>
      </c>
      <c r="Y10" s="73" t="s">
        <v>3088</v>
      </c>
      <c r="Z10" s="73" t="s">
        <v>3088</v>
      </c>
      <c r="AA10" s="73" t="s">
        <v>3088</v>
      </c>
      <c r="AB10" s="73" t="s">
        <v>3088</v>
      </c>
      <c r="AC10" s="73" t="s">
        <v>3088</v>
      </c>
      <c r="AD10" s="73" t="s">
        <v>3088</v>
      </c>
      <c r="AE10" s="73" t="s">
        <v>3088</v>
      </c>
      <c r="AF10" s="73" t="s">
        <v>3088</v>
      </c>
      <c r="AG10" s="73" t="s">
        <v>3088</v>
      </c>
      <c r="AH10" s="73" t="s">
        <v>3088</v>
      </c>
      <c r="AI10" s="73" t="s">
        <v>3088</v>
      </c>
      <c r="AJ10" s="73" t="s">
        <v>3088</v>
      </c>
      <c r="AK10" s="73" t="s">
        <v>3088</v>
      </c>
      <c r="AL10" s="73" t="s">
        <v>3088</v>
      </c>
      <c r="AM10" s="73" t="s">
        <v>3088</v>
      </c>
      <c r="AN10" s="73" t="s">
        <v>3088</v>
      </c>
      <c r="AO10" s="73" t="s">
        <v>3088</v>
      </c>
      <c r="AP10" s="73" t="s">
        <v>3088</v>
      </c>
      <c r="AQ10" s="73" t="s">
        <v>3088</v>
      </c>
      <c r="AR10" s="73" t="s">
        <v>3088</v>
      </c>
      <c r="AS10" s="73" t="s">
        <v>3088</v>
      </c>
      <c r="AT10" s="73" t="s">
        <v>3088</v>
      </c>
      <c r="AU10" s="73" t="s">
        <v>3088</v>
      </c>
      <c r="AV10" s="73" t="s">
        <v>3088</v>
      </c>
      <c r="AW10" s="73" t="s">
        <v>3088</v>
      </c>
      <c r="AX10" s="73" t="s">
        <v>3088</v>
      </c>
      <c r="AY10" s="73" t="s">
        <v>3088</v>
      </c>
      <c r="AZ10" s="73" t="s">
        <v>3088</v>
      </c>
      <c r="BA10" s="73" t="s">
        <v>3088</v>
      </c>
      <c r="BB10" s="73" t="s">
        <v>3088</v>
      </c>
      <c r="BC10" s="73" t="s">
        <v>3088</v>
      </c>
      <c r="BD10" s="73" t="s">
        <v>3088</v>
      </c>
      <c r="BE10" s="73" t="s">
        <v>3088</v>
      </c>
      <c r="BF10" s="73" t="s">
        <v>3088</v>
      </c>
      <c r="BG10" s="73" t="s">
        <v>3088</v>
      </c>
      <c r="BH10" s="73" t="s">
        <v>3088</v>
      </c>
      <c r="BI10" s="73" t="s">
        <v>3088</v>
      </c>
      <c r="BJ10" s="73" t="s">
        <v>3088</v>
      </c>
      <c r="BK10" s="73" t="s">
        <v>3088</v>
      </c>
      <c r="BL10" s="73" t="s">
        <v>3088</v>
      </c>
      <c r="BM10" s="73" t="s">
        <v>3088</v>
      </c>
      <c r="BN10" s="73" t="s">
        <v>3088</v>
      </c>
      <c r="BO10" s="73" t="s">
        <v>3088</v>
      </c>
      <c r="BP10" s="73" t="s">
        <v>3088</v>
      </c>
      <c r="BQ10" s="73" t="s">
        <v>3115</v>
      </c>
      <c r="BR10" s="73" t="s">
        <v>3088</v>
      </c>
    </row>
    <row r="11" spans="1:70">
      <c r="A11" s="73" t="s">
        <v>1860</v>
      </c>
      <c r="B11" s="73" t="s">
        <v>2542</v>
      </c>
      <c r="C11" s="73" t="s">
        <v>2533</v>
      </c>
      <c r="D11" s="73" t="s">
        <v>3088</v>
      </c>
      <c r="E11" s="73" t="s">
        <v>3088</v>
      </c>
      <c r="F11" s="73" t="s">
        <v>3088</v>
      </c>
      <c r="G11" s="73" t="s">
        <v>3089</v>
      </c>
      <c r="H11" s="73" t="s">
        <v>3088</v>
      </c>
      <c r="I11" s="73" t="s">
        <v>108</v>
      </c>
      <c r="J11" s="73" t="s">
        <v>2543</v>
      </c>
      <c r="K11" s="73" t="s">
        <v>3089</v>
      </c>
      <c r="L11" s="73" t="s">
        <v>3088</v>
      </c>
      <c r="M11" s="73" t="s">
        <v>3088</v>
      </c>
      <c r="N11" s="73" t="s">
        <v>3088</v>
      </c>
      <c r="O11" s="73" t="s">
        <v>3088</v>
      </c>
      <c r="P11" s="73" t="s">
        <v>3088</v>
      </c>
      <c r="Q11" s="73" t="s">
        <v>3088</v>
      </c>
      <c r="R11" s="73" t="s">
        <v>3088</v>
      </c>
      <c r="S11" s="73" t="s">
        <v>3088</v>
      </c>
      <c r="T11" s="73" t="s">
        <v>3088</v>
      </c>
      <c r="U11" s="73" t="s">
        <v>3088</v>
      </c>
      <c r="V11" s="73" t="s">
        <v>3088</v>
      </c>
      <c r="W11" s="73" t="s">
        <v>3088</v>
      </c>
      <c r="X11" s="73" t="s">
        <v>3088</v>
      </c>
      <c r="Y11" s="73" t="s">
        <v>3088</v>
      </c>
      <c r="Z11" s="73" t="s">
        <v>3088</v>
      </c>
      <c r="AA11" s="73" t="s">
        <v>3088</v>
      </c>
      <c r="AB11" s="73" t="s">
        <v>3088</v>
      </c>
      <c r="AC11" s="73" t="s">
        <v>3088</v>
      </c>
      <c r="AD11" s="73" t="s">
        <v>3088</v>
      </c>
      <c r="AE11" s="73" t="s">
        <v>3088</v>
      </c>
      <c r="AF11" s="73" t="s">
        <v>3088</v>
      </c>
      <c r="AG11" s="73" t="s">
        <v>3088</v>
      </c>
      <c r="AH11" s="73" t="s">
        <v>3088</v>
      </c>
      <c r="AI11" s="73" t="s">
        <v>3088</v>
      </c>
      <c r="AJ11" s="73" t="s">
        <v>3088</v>
      </c>
      <c r="AK11" s="73" t="s">
        <v>3088</v>
      </c>
      <c r="AL11" s="73" t="s">
        <v>3088</v>
      </c>
      <c r="AM11" s="73" t="s">
        <v>3088</v>
      </c>
      <c r="AN11" s="73" t="s">
        <v>3088</v>
      </c>
      <c r="AO11" s="73" t="s">
        <v>3088</v>
      </c>
      <c r="AP11" s="73" t="s">
        <v>3088</v>
      </c>
      <c r="AQ11" s="73" t="s">
        <v>3088</v>
      </c>
      <c r="AR11" s="73" t="s">
        <v>3088</v>
      </c>
      <c r="AS11" s="73" t="s">
        <v>3088</v>
      </c>
      <c r="AT11" s="73" t="s">
        <v>3088</v>
      </c>
      <c r="AU11" s="73" t="s">
        <v>3088</v>
      </c>
      <c r="AV11" s="73" t="s">
        <v>3088</v>
      </c>
      <c r="AW11" s="73" t="s">
        <v>3088</v>
      </c>
      <c r="AX11" s="73" t="s">
        <v>3088</v>
      </c>
      <c r="AY11" s="73" t="s">
        <v>3088</v>
      </c>
      <c r="AZ11" s="73" t="s">
        <v>3088</v>
      </c>
      <c r="BA11" s="73" t="s">
        <v>3088</v>
      </c>
      <c r="BB11" s="73" t="s">
        <v>3088</v>
      </c>
      <c r="BC11" s="73" t="s">
        <v>3088</v>
      </c>
      <c r="BD11" s="73" t="s">
        <v>3088</v>
      </c>
      <c r="BE11" s="73" t="s">
        <v>3088</v>
      </c>
      <c r="BF11" s="73" t="s">
        <v>3088</v>
      </c>
      <c r="BG11" s="73" t="s">
        <v>3088</v>
      </c>
      <c r="BH11" s="73" t="s">
        <v>3088</v>
      </c>
      <c r="BI11" s="73" t="s">
        <v>3088</v>
      </c>
      <c r="BJ11" s="73" t="s">
        <v>3088</v>
      </c>
      <c r="BK11" s="73" t="s">
        <v>3088</v>
      </c>
      <c r="BL11" s="73" t="s">
        <v>3088</v>
      </c>
      <c r="BM11" s="73" t="s">
        <v>3088</v>
      </c>
      <c r="BN11" s="73" t="s">
        <v>3088</v>
      </c>
      <c r="BO11" s="73" t="s">
        <v>3088</v>
      </c>
      <c r="BP11" s="73" t="s">
        <v>3088</v>
      </c>
      <c r="BQ11" s="73" t="s">
        <v>3116</v>
      </c>
      <c r="BR11" s="73" t="s">
        <v>3088</v>
      </c>
    </row>
    <row r="12" spans="1:70">
      <c r="A12" s="73" t="s">
        <v>1860</v>
      </c>
      <c r="B12" s="73" t="s">
        <v>3117</v>
      </c>
      <c r="C12" s="73" t="s">
        <v>2533</v>
      </c>
      <c r="D12" s="73" t="s">
        <v>3088</v>
      </c>
      <c r="E12" s="73" t="s">
        <v>3088</v>
      </c>
      <c r="F12" s="73" t="s">
        <v>3088</v>
      </c>
      <c r="G12" s="73" t="s">
        <v>3089</v>
      </c>
      <c r="H12" s="73" t="s">
        <v>3088</v>
      </c>
      <c r="I12" s="73" t="s">
        <v>3113</v>
      </c>
      <c r="J12" s="73" t="s">
        <v>3118</v>
      </c>
      <c r="K12" s="73" t="s">
        <v>3089</v>
      </c>
      <c r="L12" s="73" t="s">
        <v>3088</v>
      </c>
      <c r="M12" s="73" t="s">
        <v>3088</v>
      </c>
      <c r="N12" s="73" t="s">
        <v>3088</v>
      </c>
      <c r="O12" s="73" t="s">
        <v>3088</v>
      </c>
      <c r="P12" s="73" t="s">
        <v>3088</v>
      </c>
      <c r="Q12" s="73" t="s">
        <v>3088</v>
      </c>
      <c r="R12" s="73" t="s">
        <v>3088</v>
      </c>
      <c r="S12" s="73" t="s">
        <v>3088</v>
      </c>
      <c r="T12" s="73" t="s">
        <v>3088</v>
      </c>
      <c r="U12" s="73" t="s">
        <v>3088</v>
      </c>
      <c r="V12" s="73" t="s">
        <v>3088</v>
      </c>
      <c r="W12" s="73" t="s">
        <v>3088</v>
      </c>
      <c r="X12" s="73" t="s">
        <v>3088</v>
      </c>
      <c r="Y12" s="73" t="s">
        <v>3088</v>
      </c>
      <c r="Z12" s="73" t="s">
        <v>3088</v>
      </c>
      <c r="AA12" s="73" t="s">
        <v>3088</v>
      </c>
      <c r="AB12" s="73" t="s">
        <v>3088</v>
      </c>
      <c r="AC12" s="73" t="s">
        <v>3088</v>
      </c>
      <c r="AD12" s="73" t="s">
        <v>3088</v>
      </c>
      <c r="AE12" s="73" t="s">
        <v>3088</v>
      </c>
      <c r="AF12" s="73" t="s">
        <v>3088</v>
      </c>
      <c r="AG12" s="73" t="s">
        <v>3088</v>
      </c>
      <c r="AH12" s="73" t="s">
        <v>3088</v>
      </c>
      <c r="AI12" s="73" t="s">
        <v>3088</v>
      </c>
      <c r="AJ12" s="73" t="s">
        <v>3088</v>
      </c>
      <c r="AK12" s="73" t="s">
        <v>3088</v>
      </c>
      <c r="AL12" s="73" t="s">
        <v>3088</v>
      </c>
      <c r="AM12" s="73" t="s">
        <v>3088</v>
      </c>
      <c r="AN12" s="73" t="s">
        <v>3088</v>
      </c>
      <c r="AO12" s="73" t="s">
        <v>3088</v>
      </c>
      <c r="AP12" s="73" t="s">
        <v>3088</v>
      </c>
      <c r="AQ12" s="73" t="s">
        <v>3088</v>
      </c>
      <c r="AR12" s="73" t="s">
        <v>3088</v>
      </c>
      <c r="AS12" s="73" t="s">
        <v>3088</v>
      </c>
      <c r="AT12" s="73" t="s">
        <v>3088</v>
      </c>
      <c r="AU12" s="73" t="s">
        <v>3088</v>
      </c>
      <c r="AV12" s="73" t="s">
        <v>3088</v>
      </c>
      <c r="AW12" s="73" t="s">
        <v>3088</v>
      </c>
      <c r="AX12" s="73" t="s">
        <v>3088</v>
      </c>
      <c r="AY12" s="73" t="s">
        <v>3088</v>
      </c>
      <c r="AZ12" s="73" t="s">
        <v>3088</v>
      </c>
      <c r="BA12" s="73" t="s">
        <v>3088</v>
      </c>
      <c r="BB12" s="73" t="s">
        <v>3088</v>
      </c>
      <c r="BC12" s="73" t="s">
        <v>3088</v>
      </c>
      <c r="BD12" s="73" t="s">
        <v>3088</v>
      </c>
      <c r="BE12" s="73" t="s">
        <v>3088</v>
      </c>
      <c r="BF12" s="73" t="s">
        <v>3088</v>
      </c>
      <c r="BG12" s="73" t="s">
        <v>3088</v>
      </c>
      <c r="BH12" s="73" t="s">
        <v>3088</v>
      </c>
      <c r="BI12" s="73" t="s">
        <v>3088</v>
      </c>
      <c r="BJ12" s="73" t="s">
        <v>3088</v>
      </c>
      <c r="BK12" s="73" t="s">
        <v>3088</v>
      </c>
      <c r="BL12" s="73" t="s">
        <v>3088</v>
      </c>
      <c r="BM12" s="73" t="s">
        <v>3088</v>
      </c>
      <c r="BN12" s="73" t="s">
        <v>3088</v>
      </c>
      <c r="BO12" s="73" t="s">
        <v>3088</v>
      </c>
      <c r="BP12" s="73" t="s">
        <v>3088</v>
      </c>
      <c r="BQ12" s="73" t="s">
        <v>3119</v>
      </c>
      <c r="BR12" s="73" t="s">
        <v>3088</v>
      </c>
    </row>
    <row r="13" spans="1:70">
      <c r="A13" s="73" t="s">
        <v>1860</v>
      </c>
      <c r="B13" s="73" t="s">
        <v>2544</v>
      </c>
      <c r="C13" s="73" t="s">
        <v>2545</v>
      </c>
      <c r="D13" s="73" t="s">
        <v>3088</v>
      </c>
      <c r="E13" s="73" t="s">
        <v>3088</v>
      </c>
      <c r="F13" s="73" t="s">
        <v>3088</v>
      </c>
      <c r="G13" s="73" t="s">
        <v>3089</v>
      </c>
      <c r="H13" s="73" t="s">
        <v>3088</v>
      </c>
      <c r="I13" s="73" t="s">
        <v>2193</v>
      </c>
      <c r="J13" s="73" t="s">
        <v>2541</v>
      </c>
      <c r="K13" s="73" t="s">
        <v>3089</v>
      </c>
      <c r="L13" s="73" t="s">
        <v>3088</v>
      </c>
      <c r="M13" s="73" t="s">
        <v>3088</v>
      </c>
      <c r="N13" s="73" t="s">
        <v>3088</v>
      </c>
      <c r="O13" s="73" t="s">
        <v>3088</v>
      </c>
      <c r="P13" s="73" t="s">
        <v>3088</v>
      </c>
      <c r="Q13" s="73" t="s">
        <v>3088</v>
      </c>
      <c r="R13" s="73" t="s">
        <v>3088</v>
      </c>
      <c r="S13" s="73" t="s">
        <v>3088</v>
      </c>
      <c r="T13" s="73" t="s">
        <v>3088</v>
      </c>
      <c r="U13" s="73" t="s">
        <v>3088</v>
      </c>
      <c r="V13" s="73" t="s">
        <v>3088</v>
      </c>
      <c r="W13" s="73" t="s">
        <v>3088</v>
      </c>
      <c r="X13" s="73" t="s">
        <v>3088</v>
      </c>
      <c r="Y13" s="73" t="s">
        <v>3088</v>
      </c>
      <c r="Z13" s="73" t="s">
        <v>3088</v>
      </c>
      <c r="AA13" s="73" t="s">
        <v>3088</v>
      </c>
      <c r="AB13" s="73" t="s">
        <v>3088</v>
      </c>
      <c r="AC13" s="73" t="s">
        <v>3088</v>
      </c>
      <c r="AD13" s="73" t="s">
        <v>3088</v>
      </c>
      <c r="AE13" s="73" t="s">
        <v>3088</v>
      </c>
      <c r="AF13" s="73" t="s">
        <v>3088</v>
      </c>
      <c r="AG13" s="73" t="s">
        <v>3088</v>
      </c>
      <c r="AH13" s="73" t="s">
        <v>3088</v>
      </c>
      <c r="AI13" s="73" t="s">
        <v>3088</v>
      </c>
      <c r="AJ13" s="73" t="s">
        <v>3088</v>
      </c>
      <c r="AK13" s="73" t="s">
        <v>3088</v>
      </c>
      <c r="AL13" s="73" t="s">
        <v>3088</v>
      </c>
      <c r="AM13" s="73" t="s">
        <v>3088</v>
      </c>
      <c r="AN13" s="73" t="s">
        <v>3088</v>
      </c>
      <c r="AO13" s="73" t="s">
        <v>3088</v>
      </c>
      <c r="AP13" s="73" t="s">
        <v>3088</v>
      </c>
      <c r="AQ13" s="73" t="s">
        <v>3088</v>
      </c>
      <c r="AR13" s="73" t="s">
        <v>3088</v>
      </c>
      <c r="AS13" s="73" t="s">
        <v>3088</v>
      </c>
      <c r="AT13" s="73" t="s">
        <v>3088</v>
      </c>
      <c r="AU13" s="73" t="s">
        <v>3088</v>
      </c>
      <c r="AV13" s="73" t="s">
        <v>3088</v>
      </c>
      <c r="AW13" s="73" t="s">
        <v>3088</v>
      </c>
      <c r="AX13" s="73" t="s">
        <v>3088</v>
      </c>
      <c r="AY13" s="73" t="s">
        <v>3088</v>
      </c>
      <c r="AZ13" s="73" t="s">
        <v>3088</v>
      </c>
      <c r="BA13" s="73" t="s">
        <v>3088</v>
      </c>
      <c r="BB13" s="73" t="s">
        <v>3088</v>
      </c>
      <c r="BC13" s="73" t="s">
        <v>3088</v>
      </c>
      <c r="BD13" s="73" t="s">
        <v>3088</v>
      </c>
      <c r="BE13" s="73" t="s">
        <v>3088</v>
      </c>
      <c r="BF13" s="73" t="s">
        <v>3088</v>
      </c>
      <c r="BG13" s="73" t="s">
        <v>3088</v>
      </c>
      <c r="BH13" s="73" t="s">
        <v>3088</v>
      </c>
      <c r="BI13" s="73" t="s">
        <v>3088</v>
      </c>
      <c r="BJ13" s="73" t="s">
        <v>3088</v>
      </c>
      <c r="BK13" s="73" t="s">
        <v>3088</v>
      </c>
      <c r="BL13" s="73" t="s">
        <v>3088</v>
      </c>
      <c r="BM13" s="73" t="s">
        <v>3088</v>
      </c>
      <c r="BN13" s="73" t="s">
        <v>3088</v>
      </c>
      <c r="BO13" s="73" t="s">
        <v>3088</v>
      </c>
      <c r="BP13" s="73" t="s">
        <v>3088</v>
      </c>
      <c r="BQ13" s="73" t="s">
        <v>3120</v>
      </c>
      <c r="BR13" s="73" t="s">
        <v>3088</v>
      </c>
    </row>
    <row r="14" spans="1:70">
      <c r="A14" s="73" t="s">
        <v>1860</v>
      </c>
      <c r="B14" s="73" t="s">
        <v>3121</v>
      </c>
      <c r="C14" s="73" t="s">
        <v>2591</v>
      </c>
      <c r="D14" s="73" t="s">
        <v>3088</v>
      </c>
      <c r="E14" s="73" t="s">
        <v>3088</v>
      </c>
      <c r="F14" s="73" t="s">
        <v>3088</v>
      </c>
      <c r="G14" s="73" t="s">
        <v>3089</v>
      </c>
      <c r="H14" s="73" t="s">
        <v>3088</v>
      </c>
      <c r="I14" s="73" t="s">
        <v>3122</v>
      </c>
      <c r="J14" s="73" t="s">
        <v>3123</v>
      </c>
      <c r="K14" s="73" t="s">
        <v>3089</v>
      </c>
      <c r="L14" s="73" t="s">
        <v>3088</v>
      </c>
      <c r="M14" s="73" t="s">
        <v>3088</v>
      </c>
      <c r="N14" s="73" t="s">
        <v>3088</v>
      </c>
      <c r="O14" s="73" t="s">
        <v>3088</v>
      </c>
      <c r="P14" s="73" t="s">
        <v>3088</v>
      </c>
      <c r="Q14" s="73" t="s">
        <v>3088</v>
      </c>
      <c r="R14" s="73" t="s">
        <v>3088</v>
      </c>
      <c r="S14" s="73" t="s">
        <v>3088</v>
      </c>
      <c r="T14" s="73" t="s">
        <v>3088</v>
      </c>
      <c r="U14" s="73" t="s">
        <v>3088</v>
      </c>
      <c r="V14" s="73" t="s">
        <v>3088</v>
      </c>
      <c r="W14" s="73" t="s">
        <v>3088</v>
      </c>
      <c r="X14" s="73" t="s">
        <v>3088</v>
      </c>
      <c r="Y14" s="73" t="s">
        <v>3088</v>
      </c>
      <c r="Z14" s="73" t="s">
        <v>3088</v>
      </c>
      <c r="AA14" s="73" t="s">
        <v>3088</v>
      </c>
      <c r="AB14" s="73" t="s">
        <v>3088</v>
      </c>
      <c r="AC14" s="73" t="s">
        <v>3088</v>
      </c>
      <c r="AD14" s="73" t="s">
        <v>3088</v>
      </c>
      <c r="AE14" s="73" t="s">
        <v>3088</v>
      </c>
      <c r="AF14" s="73" t="s">
        <v>3088</v>
      </c>
      <c r="AG14" s="73" t="s">
        <v>3088</v>
      </c>
      <c r="AH14" s="73" t="s">
        <v>3088</v>
      </c>
      <c r="AI14" s="73" t="s">
        <v>3088</v>
      </c>
      <c r="AJ14" s="73" t="s">
        <v>3088</v>
      </c>
      <c r="AK14" s="73" t="s">
        <v>3088</v>
      </c>
      <c r="AL14" s="73" t="s">
        <v>3088</v>
      </c>
      <c r="AM14" s="73" t="s">
        <v>3088</v>
      </c>
      <c r="AN14" s="73" t="s">
        <v>3088</v>
      </c>
      <c r="AO14" s="73" t="s">
        <v>3088</v>
      </c>
      <c r="AP14" s="73" t="s">
        <v>3088</v>
      </c>
      <c r="AQ14" s="73" t="s">
        <v>3088</v>
      </c>
      <c r="AR14" s="73" t="s">
        <v>3088</v>
      </c>
      <c r="AS14" s="73" t="s">
        <v>3088</v>
      </c>
      <c r="AT14" s="73" t="s">
        <v>3088</v>
      </c>
      <c r="AU14" s="73" t="s">
        <v>3088</v>
      </c>
      <c r="AV14" s="73" t="s">
        <v>3088</v>
      </c>
      <c r="AW14" s="73" t="s">
        <v>3088</v>
      </c>
      <c r="AX14" s="73" t="s">
        <v>3088</v>
      </c>
      <c r="AY14" s="73" t="s">
        <v>3088</v>
      </c>
      <c r="AZ14" s="73" t="s">
        <v>3088</v>
      </c>
      <c r="BA14" s="73" t="s">
        <v>3088</v>
      </c>
      <c r="BB14" s="73" t="s">
        <v>3088</v>
      </c>
      <c r="BC14" s="73" t="s">
        <v>3088</v>
      </c>
      <c r="BD14" s="73" t="s">
        <v>3088</v>
      </c>
      <c r="BE14" s="73" t="s">
        <v>3088</v>
      </c>
      <c r="BF14" s="73" t="s">
        <v>3088</v>
      </c>
      <c r="BG14" s="73" t="s">
        <v>3088</v>
      </c>
      <c r="BH14" s="73" t="s">
        <v>3088</v>
      </c>
      <c r="BI14" s="73" t="s">
        <v>3088</v>
      </c>
      <c r="BJ14" s="73" t="s">
        <v>3088</v>
      </c>
      <c r="BK14" s="73" t="s">
        <v>3088</v>
      </c>
      <c r="BL14" s="73" t="s">
        <v>3088</v>
      </c>
      <c r="BM14" s="73" t="s">
        <v>3088</v>
      </c>
      <c r="BN14" s="73" t="s">
        <v>3088</v>
      </c>
      <c r="BO14" s="73" t="s">
        <v>3088</v>
      </c>
      <c r="BP14" s="73" t="s">
        <v>3088</v>
      </c>
      <c r="BQ14" s="73" t="s">
        <v>3124</v>
      </c>
      <c r="BR14" s="73" t="s">
        <v>3088</v>
      </c>
    </row>
    <row r="15" spans="1:70">
      <c r="A15" s="73" t="s">
        <v>1860</v>
      </c>
      <c r="B15" s="73" t="s">
        <v>3125</v>
      </c>
      <c r="C15" s="73" t="s">
        <v>2537</v>
      </c>
      <c r="D15" s="73" t="s">
        <v>3088</v>
      </c>
      <c r="E15" s="73" t="s">
        <v>3088</v>
      </c>
      <c r="F15" s="73" t="s">
        <v>3088</v>
      </c>
      <c r="G15" s="73" t="s">
        <v>3089</v>
      </c>
      <c r="H15" s="73" t="s">
        <v>3088</v>
      </c>
      <c r="I15" s="73" t="s">
        <v>3093</v>
      </c>
      <c r="J15" s="73" t="s">
        <v>3126</v>
      </c>
      <c r="K15" s="73" t="s">
        <v>3089</v>
      </c>
      <c r="L15" s="73" t="s">
        <v>3088</v>
      </c>
      <c r="M15" s="73" t="s">
        <v>3088</v>
      </c>
      <c r="N15" s="73" t="s">
        <v>3088</v>
      </c>
      <c r="O15" s="73" t="s">
        <v>3088</v>
      </c>
      <c r="P15" s="73" t="s">
        <v>3088</v>
      </c>
      <c r="Q15" s="73" t="s">
        <v>3088</v>
      </c>
      <c r="R15" s="73" t="s">
        <v>3088</v>
      </c>
      <c r="S15" s="73" t="s">
        <v>3088</v>
      </c>
      <c r="T15" s="73" t="s">
        <v>3088</v>
      </c>
      <c r="U15" s="73" t="s">
        <v>3088</v>
      </c>
      <c r="V15" s="73" t="s">
        <v>3088</v>
      </c>
      <c r="W15" s="73" t="s">
        <v>3088</v>
      </c>
      <c r="X15" s="73" t="s">
        <v>3088</v>
      </c>
      <c r="Y15" s="73" t="s">
        <v>3088</v>
      </c>
      <c r="Z15" s="73" t="s">
        <v>3088</v>
      </c>
      <c r="AA15" s="73" t="s">
        <v>3088</v>
      </c>
      <c r="AB15" s="73" t="s">
        <v>3088</v>
      </c>
      <c r="AC15" s="73" t="s">
        <v>3088</v>
      </c>
      <c r="AD15" s="73" t="s">
        <v>3088</v>
      </c>
      <c r="AE15" s="73" t="s">
        <v>3088</v>
      </c>
      <c r="AF15" s="73" t="s">
        <v>3088</v>
      </c>
      <c r="AG15" s="73" t="s">
        <v>3088</v>
      </c>
      <c r="AH15" s="73" t="s">
        <v>3088</v>
      </c>
      <c r="AI15" s="73" t="s">
        <v>3088</v>
      </c>
      <c r="AJ15" s="73" t="s">
        <v>3088</v>
      </c>
      <c r="AK15" s="73" t="s">
        <v>3088</v>
      </c>
      <c r="AL15" s="73" t="s">
        <v>3088</v>
      </c>
      <c r="AM15" s="73" t="s">
        <v>3088</v>
      </c>
      <c r="AN15" s="73" t="s">
        <v>3088</v>
      </c>
      <c r="AO15" s="73" t="s">
        <v>3088</v>
      </c>
      <c r="AP15" s="73" t="s">
        <v>3088</v>
      </c>
      <c r="AQ15" s="73" t="s">
        <v>3088</v>
      </c>
      <c r="AR15" s="73" t="s">
        <v>3088</v>
      </c>
      <c r="AS15" s="73" t="s">
        <v>3088</v>
      </c>
      <c r="AT15" s="73" t="s">
        <v>3088</v>
      </c>
      <c r="AU15" s="73" t="s">
        <v>3088</v>
      </c>
      <c r="AV15" s="73" t="s">
        <v>3088</v>
      </c>
      <c r="AW15" s="73" t="s">
        <v>3088</v>
      </c>
      <c r="AX15" s="73" t="s">
        <v>3088</v>
      </c>
      <c r="AY15" s="73" t="s">
        <v>3088</v>
      </c>
      <c r="AZ15" s="73" t="s">
        <v>3088</v>
      </c>
      <c r="BA15" s="73" t="s">
        <v>3088</v>
      </c>
      <c r="BB15" s="73" t="s">
        <v>3088</v>
      </c>
      <c r="BC15" s="73" t="s">
        <v>3088</v>
      </c>
      <c r="BD15" s="73" t="s">
        <v>3088</v>
      </c>
      <c r="BE15" s="73" t="s">
        <v>3088</v>
      </c>
      <c r="BF15" s="73" t="s">
        <v>3088</v>
      </c>
      <c r="BG15" s="73" t="s">
        <v>3088</v>
      </c>
      <c r="BH15" s="73" t="s">
        <v>3088</v>
      </c>
      <c r="BI15" s="73" t="s">
        <v>3088</v>
      </c>
      <c r="BJ15" s="73" t="s">
        <v>3088</v>
      </c>
      <c r="BK15" s="73" t="s">
        <v>3088</v>
      </c>
      <c r="BL15" s="73" t="s">
        <v>3088</v>
      </c>
      <c r="BM15" s="73" t="s">
        <v>3088</v>
      </c>
      <c r="BN15" s="73" t="s">
        <v>3088</v>
      </c>
      <c r="BO15" s="73" t="s">
        <v>3088</v>
      </c>
      <c r="BP15" s="73" t="s">
        <v>3088</v>
      </c>
      <c r="BQ15" s="73" t="s">
        <v>3127</v>
      </c>
      <c r="BR15" s="73" t="s">
        <v>3088</v>
      </c>
    </row>
    <row r="16" spans="1:70">
      <c r="A16" s="73" t="s">
        <v>1860</v>
      </c>
      <c r="B16" s="73" t="s">
        <v>2546</v>
      </c>
      <c r="C16" s="73" t="s">
        <v>2546</v>
      </c>
      <c r="D16" s="73" t="s">
        <v>3088</v>
      </c>
      <c r="E16" s="73" t="s">
        <v>3088</v>
      </c>
      <c r="F16" s="73" t="s">
        <v>3088</v>
      </c>
      <c r="G16" s="73" t="s">
        <v>3089</v>
      </c>
      <c r="H16" s="73" t="s">
        <v>3088</v>
      </c>
      <c r="I16" s="73" t="s">
        <v>2135</v>
      </c>
      <c r="J16" s="73" t="s">
        <v>2547</v>
      </c>
      <c r="K16" s="73" t="s">
        <v>3089</v>
      </c>
      <c r="L16" s="73" t="s">
        <v>3088</v>
      </c>
      <c r="M16" s="73" t="s">
        <v>3088</v>
      </c>
      <c r="N16" s="73" t="s">
        <v>3088</v>
      </c>
      <c r="O16" s="73" t="s">
        <v>3088</v>
      </c>
      <c r="P16" s="73" t="s">
        <v>3088</v>
      </c>
      <c r="Q16" s="73" t="s">
        <v>3088</v>
      </c>
      <c r="R16" s="73" t="s">
        <v>3088</v>
      </c>
      <c r="S16" s="73" t="s">
        <v>3088</v>
      </c>
      <c r="T16" s="73" t="s">
        <v>3088</v>
      </c>
      <c r="U16" s="73" t="s">
        <v>3088</v>
      </c>
      <c r="V16" s="73" t="s">
        <v>3088</v>
      </c>
      <c r="W16" s="73" t="s">
        <v>3088</v>
      </c>
      <c r="X16" s="73" t="s">
        <v>3088</v>
      </c>
      <c r="Y16" s="73" t="s">
        <v>3088</v>
      </c>
      <c r="Z16" s="73" t="s">
        <v>3088</v>
      </c>
      <c r="AA16" s="73" t="s">
        <v>3088</v>
      </c>
      <c r="AB16" s="73" t="s">
        <v>3088</v>
      </c>
      <c r="AC16" s="73" t="s">
        <v>3088</v>
      </c>
      <c r="AD16" s="73" t="s">
        <v>3088</v>
      </c>
      <c r="AE16" s="73" t="s">
        <v>3088</v>
      </c>
      <c r="AF16" s="73" t="s">
        <v>3088</v>
      </c>
      <c r="AG16" s="73" t="s">
        <v>3088</v>
      </c>
      <c r="AH16" s="73" t="s">
        <v>3088</v>
      </c>
      <c r="AI16" s="73" t="s">
        <v>3088</v>
      </c>
      <c r="AJ16" s="73" t="s">
        <v>3088</v>
      </c>
      <c r="AK16" s="73" t="s">
        <v>3088</v>
      </c>
      <c r="AL16" s="73" t="s">
        <v>3088</v>
      </c>
      <c r="AM16" s="73" t="s">
        <v>3088</v>
      </c>
      <c r="AN16" s="73" t="s">
        <v>3088</v>
      </c>
      <c r="AO16" s="73" t="s">
        <v>3088</v>
      </c>
      <c r="AP16" s="73" t="s">
        <v>3088</v>
      </c>
      <c r="AQ16" s="73" t="s">
        <v>3088</v>
      </c>
      <c r="AR16" s="73" t="s">
        <v>3088</v>
      </c>
      <c r="AS16" s="73" t="s">
        <v>3088</v>
      </c>
      <c r="AT16" s="73" t="s">
        <v>3088</v>
      </c>
      <c r="AU16" s="73" t="s">
        <v>3088</v>
      </c>
      <c r="AV16" s="73" t="s">
        <v>3088</v>
      </c>
      <c r="AW16" s="73" t="s">
        <v>3088</v>
      </c>
      <c r="AX16" s="73" t="s">
        <v>3088</v>
      </c>
      <c r="AY16" s="73" t="s">
        <v>3088</v>
      </c>
      <c r="AZ16" s="73" t="s">
        <v>3088</v>
      </c>
      <c r="BA16" s="73" t="s">
        <v>3088</v>
      </c>
      <c r="BB16" s="73" t="s">
        <v>3088</v>
      </c>
      <c r="BC16" s="73" t="s">
        <v>3088</v>
      </c>
      <c r="BD16" s="73" t="s">
        <v>3088</v>
      </c>
      <c r="BE16" s="73" t="s">
        <v>3088</v>
      </c>
      <c r="BF16" s="73" t="s">
        <v>3088</v>
      </c>
      <c r="BG16" s="73" t="s">
        <v>3088</v>
      </c>
      <c r="BH16" s="73" t="s">
        <v>3088</v>
      </c>
      <c r="BI16" s="73" t="s">
        <v>3088</v>
      </c>
      <c r="BJ16" s="73" t="s">
        <v>3088</v>
      </c>
      <c r="BK16" s="73" t="s">
        <v>3088</v>
      </c>
      <c r="BL16" s="73" t="s">
        <v>3088</v>
      </c>
      <c r="BM16" s="73" t="s">
        <v>3088</v>
      </c>
      <c r="BN16" s="73" t="s">
        <v>3088</v>
      </c>
      <c r="BO16" s="73" t="s">
        <v>3088</v>
      </c>
      <c r="BP16" s="73" t="s">
        <v>3088</v>
      </c>
      <c r="BQ16" s="73" t="s">
        <v>3128</v>
      </c>
      <c r="BR16" s="73" t="s">
        <v>3097</v>
      </c>
    </row>
    <row r="17" spans="1:70">
      <c r="A17" s="73" t="s">
        <v>1860</v>
      </c>
      <c r="B17" s="73" t="s">
        <v>3129</v>
      </c>
      <c r="C17" s="73" t="s">
        <v>2582</v>
      </c>
      <c r="D17" s="73" t="s">
        <v>3088</v>
      </c>
      <c r="E17" s="73" t="s">
        <v>3088</v>
      </c>
      <c r="F17" s="73" t="s">
        <v>3088</v>
      </c>
      <c r="G17" s="73" t="s">
        <v>3089</v>
      </c>
      <c r="H17" s="73" t="s">
        <v>3130</v>
      </c>
      <c r="I17" s="73" t="s">
        <v>3088</v>
      </c>
      <c r="J17" s="73" t="s">
        <v>3088</v>
      </c>
      <c r="K17" s="73" t="s">
        <v>3088</v>
      </c>
      <c r="L17" s="73" t="s">
        <v>3088</v>
      </c>
      <c r="M17" s="73" t="s">
        <v>3088</v>
      </c>
      <c r="N17" s="73" t="s">
        <v>3088</v>
      </c>
      <c r="O17" s="73" t="s">
        <v>3088</v>
      </c>
      <c r="P17" s="73" t="s">
        <v>3088</v>
      </c>
      <c r="Q17" s="73" t="s">
        <v>3088</v>
      </c>
      <c r="R17" s="73" t="s">
        <v>3088</v>
      </c>
      <c r="S17" s="73" t="s">
        <v>3088</v>
      </c>
      <c r="T17" s="73" t="s">
        <v>3088</v>
      </c>
      <c r="U17" s="73" t="s">
        <v>3088</v>
      </c>
      <c r="V17" s="73" t="s">
        <v>3088</v>
      </c>
      <c r="W17" s="73" t="s">
        <v>3088</v>
      </c>
      <c r="X17" s="73" t="s">
        <v>3088</v>
      </c>
      <c r="Y17" s="73" t="s">
        <v>3088</v>
      </c>
      <c r="Z17" s="73" t="s">
        <v>3088</v>
      </c>
      <c r="AA17" s="73" t="s">
        <v>3088</v>
      </c>
      <c r="AB17" s="73" t="s">
        <v>3088</v>
      </c>
      <c r="AC17" s="73" t="s">
        <v>3088</v>
      </c>
      <c r="AD17" s="73" t="s">
        <v>3088</v>
      </c>
      <c r="AE17" s="73" t="s">
        <v>3088</v>
      </c>
      <c r="AF17" s="73" t="s">
        <v>3088</v>
      </c>
      <c r="AG17" s="73" t="s">
        <v>3088</v>
      </c>
      <c r="AH17" s="73" t="s">
        <v>3088</v>
      </c>
      <c r="AI17" s="73" t="s">
        <v>3088</v>
      </c>
      <c r="AJ17" s="73" t="s">
        <v>3088</v>
      </c>
      <c r="AK17" s="73" t="s">
        <v>3088</v>
      </c>
      <c r="AL17" s="73" t="s">
        <v>3088</v>
      </c>
      <c r="AM17" s="73" t="s">
        <v>3088</v>
      </c>
      <c r="AN17" s="73" t="s">
        <v>3088</v>
      </c>
      <c r="AO17" s="73" t="s">
        <v>3088</v>
      </c>
      <c r="AP17" s="73" t="s">
        <v>3088</v>
      </c>
      <c r="AQ17" s="73" t="s">
        <v>3088</v>
      </c>
      <c r="AR17" s="73" t="s">
        <v>3088</v>
      </c>
      <c r="AS17" s="73" t="s">
        <v>3088</v>
      </c>
      <c r="AT17" s="73" t="s">
        <v>3088</v>
      </c>
      <c r="AU17" s="73" t="s">
        <v>3088</v>
      </c>
      <c r="AV17" s="73" t="s">
        <v>3088</v>
      </c>
      <c r="AW17" s="73" t="s">
        <v>3088</v>
      </c>
      <c r="AX17" s="73" t="s">
        <v>3088</v>
      </c>
      <c r="AY17" s="73" t="s">
        <v>3088</v>
      </c>
      <c r="AZ17" s="73" t="s">
        <v>3088</v>
      </c>
      <c r="BA17" s="73" t="s">
        <v>3088</v>
      </c>
      <c r="BB17" s="73" t="s">
        <v>3088</v>
      </c>
      <c r="BC17" s="73" t="s">
        <v>3088</v>
      </c>
      <c r="BD17" s="73" t="s">
        <v>3088</v>
      </c>
      <c r="BE17" s="73" t="s">
        <v>3088</v>
      </c>
      <c r="BF17" s="73" t="s">
        <v>3088</v>
      </c>
      <c r="BG17" s="73" t="s">
        <v>3088</v>
      </c>
      <c r="BH17" s="73" t="s">
        <v>3088</v>
      </c>
      <c r="BI17" s="73" t="s">
        <v>3088</v>
      </c>
      <c r="BJ17" s="73" t="s">
        <v>3088</v>
      </c>
      <c r="BK17" s="73" t="s">
        <v>3088</v>
      </c>
      <c r="BL17" s="73" t="s">
        <v>3088</v>
      </c>
      <c r="BM17" s="73" t="s">
        <v>3088</v>
      </c>
      <c r="BN17" s="73" t="s">
        <v>3088</v>
      </c>
      <c r="BO17" s="73" t="s">
        <v>3088</v>
      </c>
      <c r="BP17" s="73" t="s">
        <v>3088</v>
      </c>
      <c r="BQ17" s="73" t="s">
        <v>3131</v>
      </c>
      <c r="BR17" s="73" t="s">
        <v>3097</v>
      </c>
    </row>
    <row r="18" spans="1:70">
      <c r="A18" s="73" t="s">
        <v>1860</v>
      </c>
      <c r="B18" s="73" t="s">
        <v>3132</v>
      </c>
      <c r="C18" s="73" t="s">
        <v>2582</v>
      </c>
      <c r="D18" s="73" t="s">
        <v>3088</v>
      </c>
      <c r="E18" s="73" t="s">
        <v>3088</v>
      </c>
      <c r="F18" s="73" t="s">
        <v>3088</v>
      </c>
      <c r="G18" s="73" t="s">
        <v>3089</v>
      </c>
      <c r="H18" s="73" t="s">
        <v>3130</v>
      </c>
      <c r="I18" s="73" t="s">
        <v>3088</v>
      </c>
      <c r="J18" s="73" t="s">
        <v>3088</v>
      </c>
      <c r="K18" s="73" t="s">
        <v>3088</v>
      </c>
      <c r="L18" s="73" t="s">
        <v>3088</v>
      </c>
      <c r="M18" s="73" t="s">
        <v>3088</v>
      </c>
      <c r="N18" s="73" t="s">
        <v>3088</v>
      </c>
      <c r="O18" s="73" t="s">
        <v>3088</v>
      </c>
      <c r="P18" s="73" t="s">
        <v>3088</v>
      </c>
      <c r="Q18" s="73" t="s">
        <v>3088</v>
      </c>
      <c r="R18" s="73" t="s">
        <v>3088</v>
      </c>
      <c r="S18" s="73" t="s">
        <v>3088</v>
      </c>
      <c r="T18" s="73" t="s">
        <v>3088</v>
      </c>
      <c r="U18" s="73" t="s">
        <v>3088</v>
      </c>
      <c r="V18" s="73" t="s">
        <v>3088</v>
      </c>
      <c r="W18" s="73" t="s">
        <v>3088</v>
      </c>
      <c r="X18" s="73" t="s">
        <v>3088</v>
      </c>
      <c r="Y18" s="73" t="s">
        <v>3088</v>
      </c>
      <c r="Z18" s="73" t="s">
        <v>3088</v>
      </c>
      <c r="AA18" s="73" t="s">
        <v>3088</v>
      </c>
      <c r="AB18" s="73" t="s">
        <v>3088</v>
      </c>
      <c r="AC18" s="73" t="s">
        <v>3088</v>
      </c>
      <c r="AD18" s="73" t="s">
        <v>3088</v>
      </c>
      <c r="AE18" s="73" t="s">
        <v>3088</v>
      </c>
      <c r="AF18" s="73" t="s">
        <v>3088</v>
      </c>
      <c r="AG18" s="73" t="s">
        <v>3088</v>
      </c>
      <c r="AH18" s="73" t="s">
        <v>3088</v>
      </c>
      <c r="AI18" s="73" t="s">
        <v>3088</v>
      </c>
      <c r="AJ18" s="73" t="s">
        <v>3088</v>
      </c>
      <c r="AK18" s="73" t="s">
        <v>3088</v>
      </c>
      <c r="AL18" s="73" t="s">
        <v>3088</v>
      </c>
      <c r="AM18" s="73" t="s">
        <v>3088</v>
      </c>
      <c r="AN18" s="73" t="s">
        <v>3088</v>
      </c>
      <c r="AO18" s="73" t="s">
        <v>3088</v>
      </c>
      <c r="AP18" s="73" t="s">
        <v>3088</v>
      </c>
      <c r="AQ18" s="73" t="s">
        <v>3088</v>
      </c>
      <c r="AR18" s="73" t="s">
        <v>3088</v>
      </c>
      <c r="AS18" s="73" t="s">
        <v>3088</v>
      </c>
      <c r="AT18" s="73" t="s">
        <v>3088</v>
      </c>
      <c r="AU18" s="73" t="s">
        <v>3088</v>
      </c>
      <c r="AV18" s="73" t="s">
        <v>3088</v>
      </c>
      <c r="AW18" s="73" t="s">
        <v>3088</v>
      </c>
      <c r="AX18" s="73" t="s">
        <v>3088</v>
      </c>
      <c r="AY18" s="73" t="s">
        <v>3088</v>
      </c>
      <c r="AZ18" s="73" t="s">
        <v>3088</v>
      </c>
      <c r="BA18" s="73" t="s">
        <v>3088</v>
      </c>
      <c r="BB18" s="73" t="s">
        <v>3088</v>
      </c>
      <c r="BC18" s="73" t="s">
        <v>3088</v>
      </c>
      <c r="BD18" s="73" t="s">
        <v>3088</v>
      </c>
      <c r="BE18" s="73" t="s">
        <v>3088</v>
      </c>
      <c r="BF18" s="73" t="s">
        <v>3088</v>
      </c>
      <c r="BG18" s="73" t="s">
        <v>3088</v>
      </c>
      <c r="BH18" s="73" t="s">
        <v>3088</v>
      </c>
      <c r="BI18" s="73" t="s">
        <v>3088</v>
      </c>
      <c r="BJ18" s="73" t="s">
        <v>3088</v>
      </c>
      <c r="BK18" s="73" t="s">
        <v>3088</v>
      </c>
      <c r="BL18" s="73" t="s">
        <v>3088</v>
      </c>
      <c r="BM18" s="73" t="s">
        <v>3088</v>
      </c>
      <c r="BN18" s="73" t="s">
        <v>3088</v>
      </c>
      <c r="BO18" s="73" t="s">
        <v>3088</v>
      </c>
      <c r="BP18" s="73" t="s">
        <v>3088</v>
      </c>
      <c r="BQ18" s="73" t="s">
        <v>3133</v>
      </c>
      <c r="BR18" s="73" t="s">
        <v>3097</v>
      </c>
    </row>
    <row r="19" spans="1:70">
      <c r="A19" s="73" t="s">
        <v>1860</v>
      </c>
      <c r="B19" s="73" t="s">
        <v>2832</v>
      </c>
      <c r="C19" s="73" t="s">
        <v>2591</v>
      </c>
      <c r="D19" s="73" t="s">
        <v>3088</v>
      </c>
      <c r="E19" s="73" t="s">
        <v>3088</v>
      </c>
      <c r="F19" s="73" t="s">
        <v>3088</v>
      </c>
      <c r="G19" s="73" t="s">
        <v>3089</v>
      </c>
      <c r="H19" s="73" t="s">
        <v>3088</v>
      </c>
      <c r="I19" s="73" t="s">
        <v>543</v>
      </c>
      <c r="J19" s="73" t="s">
        <v>2833</v>
      </c>
      <c r="K19" s="73" t="s">
        <v>3095</v>
      </c>
      <c r="L19" s="73" t="s">
        <v>3088</v>
      </c>
      <c r="M19" s="73" t="s">
        <v>3088</v>
      </c>
      <c r="N19" s="73" t="s">
        <v>3088</v>
      </c>
      <c r="O19" s="73" t="s">
        <v>3088</v>
      </c>
      <c r="P19" s="73" t="s">
        <v>3088</v>
      </c>
      <c r="Q19" s="73" t="s">
        <v>3088</v>
      </c>
      <c r="R19" s="73" t="s">
        <v>3088</v>
      </c>
      <c r="S19" s="73" t="s">
        <v>3088</v>
      </c>
      <c r="T19" s="73" t="s">
        <v>3088</v>
      </c>
      <c r="U19" s="73" t="s">
        <v>3088</v>
      </c>
      <c r="V19" s="73" t="s">
        <v>3088</v>
      </c>
      <c r="W19" s="73" t="s">
        <v>3088</v>
      </c>
      <c r="X19" s="73" t="s">
        <v>3088</v>
      </c>
      <c r="Y19" s="73" t="s">
        <v>3088</v>
      </c>
      <c r="Z19" s="73" t="s">
        <v>3088</v>
      </c>
      <c r="AA19" s="73" t="s">
        <v>3088</v>
      </c>
      <c r="AB19" s="73" t="s">
        <v>3088</v>
      </c>
      <c r="AC19" s="73" t="s">
        <v>3088</v>
      </c>
      <c r="AD19" s="73" t="s">
        <v>3088</v>
      </c>
      <c r="AE19" s="73" t="s">
        <v>3088</v>
      </c>
      <c r="AF19" s="73" t="s">
        <v>3088</v>
      </c>
      <c r="AG19" s="73" t="s">
        <v>3088</v>
      </c>
      <c r="AH19" s="73" t="s">
        <v>3088</v>
      </c>
      <c r="AI19" s="73" t="s">
        <v>3088</v>
      </c>
      <c r="AJ19" s="73" t="s">
        <v>3088</v>
      </c>
      <c r="AK19" s="73" t="s">
        <v>3088</v>
      </c>
      <c r="AL19" s="73" t="s">
        <v>3088</v>
      </c>
      <c r="AM19" s="73" t="s">
        <v>3088</v>
      </c>
      <c r="AN19" s="73" t="s">
        <v>3088</v>
      </c>
      <c r="AO19" s="73" t="s">
        <v>3088</v>
      </c>
      <c r="AP19" s="73" t="s">
        <v>3088</v>
      </c>
      <c r="AQ19" s="73" t="s">
        <v>3088</v>
      </c>
      <c r="AR19" s="73" t="s">
        <v>3088</v>
      </c>
      <c r="AS19" s="73" t="s">
        <v>3088</v>
      </c>
      <c r="AT19" s="73" t="s">
        <v>3088</v>
      </c>
      <c r="AU19" s="73" t="s">
        <v>3088</v>
      </c>
      <c r="AV19" s="73" t="s">
        <v>3088</v>
      </c>
      <c r="AW19" s="73" t="s">
        <v>3088</v>
      </c>
      <c r="AX19" s="73" t="s">
        <v>3088</v>
      </c>
      <c r="AY19" s="73" t="s">
        <v>3088</v>
      </c>
      <c r="AZ19" s="73" t="s">
        <v>3088</v>
      </c>
      <c r="BA19" s="73" t="s">
        <v>3088</v>
      </c>
      <c r="BB19" s="73" t="s">
        <v>3088</v>
      </c>
      <c r="BC19" s="73" t="s">
        <v>3088</v>
      </c>
      <c r="BD19" s="73" t="s">
        <v>3088</v>
      </c>
      <c r="BE19" s="73" t="s">
        <v>3088</v>
      </c>
      <c r="BF19" s="73" t="s">
        <v>3088</v>
      </c>
      <c r="BG19" s="73" t="s">
        <v>3088</v>
      </c>
      <c r="BH19" s="73" t="s">
        <v>3088</v>
      </c>
      <c r="BI19" s="73" t="s">
        <v>3088</v>
      </c>
      <c r="BJ19" s="73" t="s">
        <v>3088</v>
      </c>
      <c r="BK19" s="73" t="s">
        <v>3088</v>
      </c>
      <c r="BL19" s="73" t="s">
        <v>3088</v>
      </c>
      <c r="BM19" s="73" t="s">
        <v>3088</v>
      </c>
      <c r="BN19" s="73" t="s">
        <v>3088</v>
      </c>
      <c r="BO19" s="73" t="s">
        <v>3088</v>
      </c>
      <c r="BP19" s="73" t="s">
        <v>3088</v>
      </c>
      <c r="BQ19" s="73" t="s">
        <v>3134</v>
      </c>
      <c r="BR19" s="73" t="s">
        <v>3097</v>
      </c>
    </row>
    <row r="20" spans="1:70">
      <c r="A20" s="73" t="s">
        <v>1860</v>
      </c>
      <c r="B20" s="73" t="s">
        <v>3135</v>
      </c>
      <c r="C20" s="73" t="s">
        <v>2545</v>
      </c>
      <c r="D20" s="73" t="s">
        <v>3088</v>
      </c>
      <c r="E20" s="73" t="s">
        <v>3088</v>
      </c>
      <c r="F20" s="73" t="s">
        <v>3088</v>
      </c>
      <c r="G20" s="73" t="s">
        <v>3089</v>
      </c>
      <c r="H20" s="73" t="s">
        <v>3088</v>
      </c>
      <c r="I20" s="73" t="s">
        <v>3122</v>
      </c>
      <c r="J20" s="73" t="s">
        <v>3136</v>
      </c>
      <c r="K20" s="73" t="s">
        <v>3089</v>
      </c>
      <c r="L20" s="73" t="s">
        <v>3088</v>
      </c>
      <c r="M20" s="73" t="s">
        <v>3088</v>
      </c>
      <c r="N20" s="73" t="s">
        <v>3088</v>
      </c>
      <c r="O20" s="73" t="s">
        <v>3088</v>
      </c>
      <c r="P20" s="73" t="s">
        <v>3088</v>
      </c>
      <c r="Q20" s="73" t="s">
        <v>3088</v>
      </c>
      <c r="R20" s="73" t="s">
        <v>3088</v>
      </c>
      <c r="S20" s="73" t="s">
        <v>3088</v>
      </c>
      <c r="T20" s="73" t="s">
        <v>3088</v>
      </c>
      <c r="U20" s="73" t="s">
        <v>3088</v>
      </c>
      <c r="V20" s="73" t="s">
        <v>3088</v>
      </c>
      <c r="W20" s="73" t="s">
        <v>3088</v>
      </c>
      <c r="X20" s="73" t="s">
        <v>3088</v>
      </c>
      <c r="Y20" s="73" t="s">
        <v>3088</v>
      </c>
      <c r="Z20" s="73" t="s">
        <v>3088</v>
      </c>
      <c r="AA20" s="73" t="s">
        <v>3088</v>
      </c>
      <c r="AB20" s="73" t="s">
        <v>3088</v>
      </c>
      <c r="AC20" s="73" t="s">
        <v>3088</v>
      </c>
      <c r="AD20" s="73" t="s">
        <v>3088</v>
      </c>
      <c r="AE20" s="73" t="s">
        <v>3088</v>
      </c>
      <c r="AF20" s="73" t="s">
        <v>3088</v>
      </c>
      <c r="AG20" s="73" t="s">
        <v>3088</v>
      </c>
      <c r="AH20" s="73" t="s">
        <v>3088</v>
      </c>
      <c r="AI20" s="73" t="s">
        <v>3088</v>
      </c>
      <c r="AJ20" s="73" t="s">
        <v>3088</v>
      </c>
      <c r="AK20" s="73" t="s">
        <v>3088</v>
      </c>
      <c r="AL20" s="73" t="s">
        <v>3088</v>
      </c>
      <c r="AM20" s="73" t="s">
        <v>3088</v>
      </c>
      <c r="AN20" s="73" t="s">
        <v>3088</v>
      </c>
      <c r="AO20" s="73" t="s">
        <v>3088</v>
      </c>
      <c r="AP20" s="73" t="s">
        <v>3088</v>
      </c>
      <c r="AQ20" s="73" t="s">
        <v>3088</v>
      </c>
      <c r="AR20" s="73" t="s">
        <v>3088</v>
      </c>
      <c r="AS20" s="73" t="s">
        <v>3088</v>
      </c>
      <c r="AT20" s="73" t="s">
        <v>3088</v>
      </c>
      <c r="AU20" s="73" t="s">
        <v>3088</v>
      </c>
      <c r="AV20" s="73" t="s">
        <v>3088</v>
      </c>
      <c r="AW20" s="73" t="s">
        <v>3088</v>
      </c>
      <c r="AX20" s="73" t="s">
        <v>3088</v>
      </c>
      <c r="AY20" s="73" t="s">
        <v>3088</v>
      </c>
      <c r="AZ20" s="73" t="s">
        <v>3088</v>
      </c>
      <c r="BA20" s="73" t="s">
        <v>3088</v>
      </c>
      <c r="BB20" s="73" t="s">
        <v>3088</v>
      </c>
      <c r="BC20" s="73" t="s">
        <v>3088</v>
      </c>
      <c r="BD20" s="73" t="s">
        <v>3088</v>
      </c>
      <c r="BE20" s="73" t="s">
        <v>3088</v>
      </c>
      <c r="BF20" s="73" t="s">
        <v>3088</v>
      </c>
      <c r="BG20" s="73" t="s">
        <v>3088</v>
      </c>
      <c r="BH20" s="73" t="s">
        <v>3088</v>
      </c>
      <c r="BI20" s="73" t="s">
        <v>3088</v>
      </c>
      <c r="BJ20" s="73" t="s">
        <v>3088</v>
      </c>
      <c r="BK20" s="73" t="s">
        <v>3088</v>
      </c>
      <c r="BL20" s="73" t="s">
        <v>3088</v>
      </c>
      <c r="BM20" s="73" t="s">
        <v>3088</v>
      </c>
      <c r="BN20" s="73" t="s">
        <v>3088</v>
      </c>
      <c r="BO20" s="73" t="s">
        <v>3088</v>
      </c>
      <c r="BP20" s="73" t="s">
        <v>3088</v>
      </c>
      <c r="BQ20" s="73" t="s">
        <v>3137</v>
      </c>
      <c r="BR20" s="73" t="s">
        <v>3088</v>
      </c>
    </row>
    <row r="21" spans="1:70">
      <c r="A21" s="73" t="s">
        <v>1860</v>
      </c>
      <c r="B21" s="73" t="s">
        <v>2834</v>
      </c>
      <c r="C21" s="73" t="s">
        <v>2554</v>
      </c>
      <c r="D21" s="73" t="s">
        <v>3088</v>
      </c>
      <c r="E21" s="73" t="s">
        <v>3088</v>
      </c>
      <c r="F21" s="73" t="s">
        <v>3088</v>
      </c>
      <c r="G21" s="73" t="s">
        <v>3089</v>
      </c>
      <c r="H21" s="73" t="s">
        <v>3088</v>
      </c>
      <c r="I21" s="73" t="s">
        <v>543</v>
      </c>
      <c r="J21" s="73" t="s">
        <v>2835</v>
      </c>
      <c r="K21" s="73" t="s">
        <v>3089</v>
      </c>
      <c r="L21" s="73" t="s">
        <v>3088</v>
      </c>
      <c r="M21" s="73" t="s">
        <v>3088</v>
      </c>
      <c r="N21" s="73" t="s">
        <v>3088</v>
      </c>
      <c r="O21" s="73" t="s">
        <v>3088</v>
      </c>
      <c r="P21" s="73" t="s">
        <v>3088</v>
      </c>
      <c r="Q21" s="73" t="s">
        <v>3088</v>
      </c>
      <c r="R21" s="73" t="s">
        <v>3088</v>
      </c>
      <c r="S21" s="73" t="s">
        <v>3088</v>
      </c>
      <c r="T21" s="73" t="s">
        <v>3088</v>
      </c>
      <c r="U21" s="73" t="s">
        <v>3088</v>
      </c>
      <c r="V21" s="73" t="s">
        <v>3088</v>
      </c>
      <c r="W21" s="73" t="s">
        <v>3088</v>
      </c>
      <c r="X21" s="73" t="s">
        <v>3088</v>
      </c>
      <c r="Y21" s="73" t="s">
        <v>3088</v>
      </c>
      <c r="Z21" s="73" t="s">
        <v>3088</v>
      </c>
      <c r="AA21" s="73" t="s">
        <v>3088</v>
      </c>
      <c r="AB21" s="73" t="s">
        <v>3088</v>
      </c>
      <c r="AC21" s="73" t="s">
        <v>3088</v>
      </c>
      <c r="AD21" s="73" t="s">
        <v>3088</v>
      </c>
      <c r="AE21" s="73" t="s">
        <v>3088</v>
      </c>
      <c r="AF21" s="73" t="s">
        <v>3088</v>
      </c>
      <c r="AG21" s="73" t="s">
        <v>3088</v>
      </c>
      <c r="AH21" s="73" t="s">
        <v>3088</v>
      </c>
      <c r="AI21" s="73" t="s">
        <v>3088</v>
      </c>
      <c r="AJ21" s="73" t="s">
        <v>3088</v>
      </c>
      <c r="AK21" s="73" t="s">
        <v>3088</v>
      </c>
      <c r="AL21" s="73" t="s">
        <v>3088</v>
      </c>
      <c r="AM21" s="73" t="s">
        <v>3088</v>
      </c>
      <c r="AN21" s="73" t="s">
        <v>3088</v>
      </c>
      <c r="AO21" s="73" t="s">
        <v>3088</v>
      </c>
      <c r="AP21" s="73" t="s">
        <v>3088</v>
      </c>
      <c r="AQ21" s="73" t="s">
        <v>3088</v>
      </c>
      <c r="AR21" s="73" t="s">
        <v>3088</v>
      </c>
      <c r="AS21" s="73" t="s">
        <v>3088</v>
      </c>
      <c r="AT21" s="73" t="s">
        <v>3088</v>
      </c>
      <c r="AU21" s="73" t="s">
        <v>3088</v>
      </c>
      <c r="AV21" s="73" t="s">
        <v>3088</v>
      </c>
      <c r="AW21" s="73" t="s">
        <v>3088</v>
      </c>
      <c r="AX21" s="73" t="s">
        <v>3088</v>
      </c>
      <c r="AY21" s="73" t="s">
        <v>3088</v>
      </c>
      <c r="AZ21" s="73" t="s">
        <v>3088</v>
      </c>
      <c r="BA21" s="73" t="s">
        <v>3088</v>
      </c>
      <c r="BB21" s="73" t="s">
        <v>3088</v>
      </c>
      <c r="BC21" s="73" t="s">
        <v>3088</v>
      </c>
      <c r="BD21" s="73" t="s">
        <v>3088</v>
      </c>
      <c r="BE21" s="73" t="s">
        <v>3088</v>
      </c>
      <c r="BF21" s="73" t="s">
        <v>3088</v>
      </c>
      <c r="BG21" s="73" t="s">
        <v>3088</v>
      </c>
      <c r="BH21" s="73" t="s">
        <v>3088</v>
      </c>
      <c r="BI21" s="73" t="s">
        <v>3088</v>
      </c>
      <c r="BJ21" s="73" t="s">
        <v>3088</v>
      </c>
      <c r="BK21" s="73" t="s">
        <v>3088</v>
      </c>
      <c r="BL21" s="73" t="s">
        <v>3088</v>
      </c>
      <c r="BM21" s="73" t="s">
        <v>3088</v>
      </c>
      <c r="BN21" s="73" t="s">
        <v>3088</v>
      </c>
      <c r="BO21" s="73" t="s">
        <v>3088</v>
      </c>
      <c r="BP21" s="73" t="s">
        <v>3088</v>
      </c>
      <c r="BQ21" s="78" t="s">
        <v>3138</v>
      </c>
      <c r="BR21" s="73" t="s">
        <v>3088</v>
      </c>
    </row>
    <row r="22" spans="1:70">
      <c r="A22" s="73" t="s">
        <v>1860</v>
      </c>
      <c r="B22" s="73" t="s">
        <v>3139</v>
      </c>
      <c r="C22" s="73" t="s">
        <v>2545</v>
      </c>
      <c r="D22" s="73" t="s">
        <v>3088</v>
      </c>
      <c r="E22" s="73" t="s">
        <v>3088</v>
      </c>
      <c r="F22" s="73" t="s">
        <v>3088</v>
      </c>
      <c r="G22" s="73" t="s">
        <v>3089</v>
      </c>
      <c r="H22" s="73" t="s">
        <v>3088</v>
      </c>
      <c r="I22" s="73" t="s">
        <v>799</v>
      </c>
      <c r="J22" s="73" t="s">
        <v>3140</v>
      </c>
      <c r="K22" s="73" t="s">
        <v>3089</v>
      </c>
      <c r="L22" s="73" t="s">
        <v>3088</v>
      </c>
      <c r="M22" s="73" t="s">
        <v>3088</v>
      </c>
      <c r="N22" s="73" t="s">
        <v>3088</v>
      </c>
      <c r="O22" s="73" t="s">
        <v>3088</v>
      </c>
      <c r="P22" s="73" t="s">
        <v>3088</v>
      </c>
      <c r="Q22" s="73" t="s">
        <v>3088</v>
      </c>
      <c r="R22" s="73" t="s">
        <v>3088</v>
      </c>
      <c r="S22" s="73" t="s">
        <v>3088</v>
      </c>
      <c r="T22" s="73" t="s">
        <v>3088</v>
      </c>
      <c r="U22" s="73" t="s">
        <v>3088</v>
      </c>
      <c r="V22" s="73" t="s">
        <v>3088</v>
      </c>
      <c r="W22" s="73" t="s">
        <v>3088</v>
      </c>
      <c r="X22" s="73" t="s">
        <v>3088</v>
      </c>
      <c r="Y22" s="73" t="s">
        <v>3088</v>
      </c>
      <c r="Z22" s="73" t="s">
        <v>3088</v>
      </c>
      <c r="AA22" s="73" t="s">
        <v>3088</v>
      </c>
      <c r="AB22" s="73" t="s">
        <v>3088</v>
      </c>
      <c r="AC22" s="73" t="s">
        <v>3088</v>
      </c>
      <c r="AD22" s="73" t="s">
        <v>3088</v>
      </c>
      <c r="AE22" s="73" t="s">
        <v>3088</v>
      </c>
      <c r="AF22" s="73" t="s">
        <v>3088</v>
      </c>
      <c r="AG22" s="73" t="s">
        <v>3088</v>
      </c>
      <c r="AH22" s="73" t="s">
        <v>3088</v>
      </c>
      <c r="AI22" s="73" t="s">
        <v>3088</v>
      </c>
      <c r="AJ22" s="73" t="s">
        <v>3088</v>
      </c>
      <c r="AK22" s="73" t="s">
        <v>3088</v>
      </c>
      <c r="AL22" s="73" t="s">
        <v>3088</v>
      </c>
      <c r="AM22" s="73" t="s">
        <v>3088</v>
      </c>
      <c r="AN22" s="73" t="s">
        <v>3088</v>
      </c>
      <c r="AO22" s="73" t="s">
        <v>3088</v>
      </c>
      <c r="AP22" s="73" t="s">
        <v>3088</v>
      </c>
      <c r="AQ22" s="73" t="s">
        <v>3088</v>
      </c>
      <c r="AR22" s="73" t="s">
        <v>3088</v>
      </c>
      <c r="AS22" s="73" t="s">
        <v>3088</v>
      </c>
      <c r="AT22" s="73" t="s">
        <v>3088</v>
      </c>
      <c r="AU22" s="73" t="s">
        <v>3088</v>
      </c>
      <c r="AV22" s="73" t="s">
        <v>3088</v>
      </c>
      <c r="AW22" s="73" t="s">
        <v>3088</v>
      </c>
      <c r="AX22" s="73" t="s">
        <v>3088</v>
      </c>
      <c r="AY22" s="73" t="s">
        <v>3088</v>
      </c>
      <c r="AZ22" s="73" t="s">
        <v>3088</v>
      </c>
      <c r="BA22" s="73" t="s">
        <v>3088</v>
      </c>
      <c r="BB22" s="73" t="s">
        <v>3088</v>
      </c>
      <c r="BC22" s="73" t="s">
        <v>3088</v>
      </c>
      <c r="BD22" s="73" t="s">
        <v>3088</v>
      </c>
      <c r="BE22" s="73" t="s">
        <v>3088</v>
      </c>
      <c r="BF22" s="73" t="s">
        <v>3088</v>
      </c>
      <c r="BG22" s="73" t="s">
        <v>3088</v>
      </c>
      <c r="BH22" s="73" t="s">
        <v>3088</v>
      </c>
      <c r="BI22" s="73" t="s">
        <v>3088</v>
      </c>
      <c r="BJ22" s="73" t="s">
        <v>3088</v>
      </c>
      <c r="BK22" s="73" t="s">
        <v>3088</v>
      </c>
      <c r="BL22" s="73" t="s">
        <v>3088</v>
      </c>
      <c r="BM22" s="73" t="s">
        <v>3088</v>
      </c>
      <c r="BN22" s="73" t="s">
        <v>3088</v>
      </c>
      <c r="BO22" s="73" t="s">
        <v>3088</v>
      </c>
      <c r="BP22" s="73" t="s">
        <v>3088</v>
      </c>
      <c r="BQ22" s="73" t="s">
        <v>3141</v>
      </c>
      <c r="BR22" s="73" t="s">
        <v>3088</v>
      </c>
    </row>
    <row r="23" spans="1:70">
      <c r="A23" s="73" t="s">
        <v>1861</v>
      </c>
      <c r="B23" s="73" t="s">
        <v>3142</v>
      </c>
      <c r="C23" s="73" t="s">
        <v>2537</v>
      </c>
      <c r="D23" s="73" t="s">
        <v>3088</v>
      </c>
      <c r="E23" s="73" t="s">
        <v>3088</v>
      </c>
      <c r="F23" s="73" t="s">
        <v>3088</v>
      </c>
      <c r="G23" s="73" t="s">
        <v>3089</v>
      </c>
      <c r="H23" s="73" t="s">
        <v>3088</v>
      </c>
      <c r="I23" s="73" t="s">
        <v>3093</v>
      </c>
      <c r="J23" s="73" t="s">
        <v>3143</v>
      </c>
      <c r="K23" s="73" t="s">
        <v>3089</v>
      </c>
      <c r="L23" s="73" t="s">
        <v>3088</v>
      </c>
      <c r="M23" s="73" t="s">
        <v>3088</v>
      </c>
      <c r="N23" s="73" t="s">
        <v>3088</v>
      </c>
      <c r="O23" s="73" t="s">
        <v>3088</v>
      </c>
      <c r="P23" s="73" t="s">
        <v>3088</v>
      </c>
      <c r="Q23" s="73" t="s">
        <v>3088</v>
      </c>
      <c r="R23" s="73" t="s">
        <v>3088</v>
      </c>
      <c r="S23" s="73" t="s">
        <v>3088</v>
      </c>
      <c r="T23" s="73" t="s">
        <v>3088</v>
      </c>
      <c r="U23" s="73" t="s">
        <v>3088</v>
      </c>
      <c r="V23" s="73" t="s">
        <v>3088</v>
      </c>
      <c r="W23" s="73" t="s">
        <v>3088</v>
      </c>
      <c r="X23" s="73" t="s">
        <v>3088</v>
      </c>
      <c r="Y23" s="73" t="s">
        <v>3088</v>
      </c>
      <c r="Z23" s="73" t="s">
        <v>3088</v>
      </c>
      <c r="AA23" s="73" t="s">
        <v>3088</v>
      </c>
      <c r="AB23" s="73" t="s">
        <v>3088</v>
      </c>
      <c r="AC23" s="73" t="s">
        <v>3088</v>
      </c>
      <c r="AD23" s="73" t="s">
        <v>3088</v>
      </c>
      <c r="AE23" s="73" t="s">
        <v>3088</v>
      </c>
      <c r="AF23" s="73" t="s">
        <v>3088</v>
      </c>
      <c r="AG23" s="73" t="s">
        <v>3088</v>
      </c>
      <c r="AH23" s="73" t="s">
        <v>3088</v>
      </c>
      <c r="AI23" s="73" t="s">
        <v>3088</v>
      </c>
      <c r="AJ23" s="73" t="s">
        <v>3088</v>
      </c>
      <c r="AK23" s="73" t="s">
        <v>3088</v>
      </c>
      <c r="AL23" s="73" t="s">
        <v>3088</v>
      </c>
      <c r="AM23" s="73" t="s">
        <v>3088</v>
      </c>
      <c r="AN23" s="73" t="s">
        <v>3088</v>
      </c>
      <c r="AO23" s="73" t="s">
        <v>3088</v>
      </c>
      <c r="AP23" s="73" t="s">
        <v>3088</v>
      </c>
      <c r="AQ23" s="73" t="s">
        <v>3088</v>
      </c>
      <c r="AR23" s="73" t="s">
        <v>3088</v>
      </c>
      <c r="AS23" s="73" t="s">
        <v>3088</v>
      </c>
      <c r="AT23" s="73" t="s">
        <v>3088</v>
      </c>
      <c r="AU23" s="73" t="s">
        <v>3088</v>
      </c>
      <c r="AV23" s="73" t="s">
        <v>3088</v>
      </c>
      <c r="AW23" s="73" t="s">
        <v>3088</v>
      </c>
      <c r="AX23" s="73" t="s">
        <v>3088</v>
      </c>
      <c r="AY23" s="73" t="s">
        <v>3088</v>
      </c>
      <c r="AZ23" s="73" t="s">
        <v>3088</v>
      </c>
      <c r="BA23" s="73" t="s">
        <v>3088</v>
      </c>
      <c r="BB23" s="73" t="s">
        <v>3088</v>
      </c>
      <c r="BC23" s="73" t="s">
        <v>3088</v>
      </c>
      <c r="BD23" s="73" t="s">
        <v>3088</v>
      </c>
      <c r="BE23" s="73" t="s">
        <v>3088</v>
      </c>
      <c r="BF23" s="73" t="s">
        <v>3088</v>
      </c>
      <c r="BG23" s="73" t="s">
        <v>3088</v>
      </c>
      <c r="BH23" s="73" t="s">
        <v>3088</v>
      </c>
      <c r="BI23" s="73" t="s">
        <v>3088</v>
      </c>
      <c r="BJ23" s="73" t="s">
        <v>3088</v>
      </c>
      <c r="BK23" s="73" t="s">
        <v>3088</v>
      </c>
      <c r="BL23" s="73" t="s">
        <v>3088</v>
      </c>
      <c r="BM23" s="73" t="s">
        <v>3088</v>
      </c>
      <c r="BN23" s="73" t="s">
        <v>3088</v>
      </c>
      <c r="BO23" s="73" t="s">
        <v>3088</v>
      </c>
      <c r="BP23" s="73" t="s">
        <v>3088</v>
      </c>
      <c r="BQ23" s="73" t="s">
        <v>3144</v>
      </c>
      <c r="BR23" s="73" t="s">
        <v>3088</v>
      </c>
    </row>
    <row r="24" spans="1:70">
      <c r="A24" s="73" t="s">
        <v>1861</v>
      </c>
      <c r="B24" s="73" t="s">
        <v>2549</v>
      </c>
      <c r="C24" s="73" t="s">
        <v>2537</v>
      </c>
      <c r="D24" s="73" t="s">
        <v>3088</v>
      </c>
      <c r="E24" s="73" t="s">
        <v>3088</v>
      </c>
      <c r="F24" s="73" t="s">
        <v>3088</v>
      </c>
      <c r="G24" s="73" t="s">
        <v>3089</v>
      </c>
      <c r="H24" s="73" t="s">
        <v>3088</v>
      </c>
      <c r="I24" s="73" t="s">
        <v>108</v>
      </c>
      <c r="J24" s="73" t="s">
        <v>3145</v>
      </c>
      <c r="K24" s="73" t="s">
        <v>3089</v>
      </c>
      <c r="L24" s="73" t="s">
        <v>2193</v>
      </c>
      <c r="M24" s="73" t="s">
        <v>3145</v>
      </c>
      <c r="N24" s="73" t="s">
        <v>3089</v>
      </c>
      <c r="O24" s="73" t="s">
        <v>3088</v>
      </c>
      <c r="P24" s="73" t="s">
        <v>3088</v>
      </c>
      <c r="Q24" s="73" t="s">
        <v>3088</v>
      </c>
      <c r="R24" s="73" t="s">
        <v>3088</v>
      </c>
      <c r="S24" s="73" t="s">
        <v>3088</v>
      </c>
      <c r="T24" s="73" t="s">
        <v>3088</v>
      </c>
      <c r="U24" s="73" t="s">
        <v>3088</v>
      </c>
      <c r="V24" s="73" t="s">
        <v>3088</v>
      </c>
      <c r="W24" s="73" t="s">
        <v>3088</v>
      </c>
      <c r="X24" s="73" t="s">
        <v>3088</v>
      </c>
      <c r="Y24" s="73" t="s">
        <v>3088</v>
      </c>
      <c r="Z24" s="73" t="s">
        <v>3088</v>
      </c>
      <c r="AA24" s="73" t="s">
        <v>3088</v>
      </c>
      <c r="AB24" s="73" t="s">
        <v>3088</v>
      </c>
      <c r="AC24" s="73" t="s">
        <v>3088</v>
      </c>
      <c r="AD24" s="73" t="s">
        <v>3088</v>
      </c>
      <c r="AE24" s="73" t="s">
        <v>3088</v>
      </c>
      <c r="AF24" s="73" t="s">
        <v>3088</v>
      </c>
      <c r="AG24" s="73" t="s">
        <v>3088</v>
      </c>
      <c r="AH24" s="73" t="s">
        <v>3088</v>
      </c>
      <c r="AI24" s="73" t="s">
        <v>3088</v>
      </c>
      <c r="AJ24" s="73" t="s">
        <v>3088</v>
      </c>
      <c r="AK24" s="73" t="s">
        <v>3088</v>
      </c>
      <c r="AL24" s="73" t="s">
        <v>3088</v>
      </c>
      <c r="AM24" s="73" t="s">
        <v>3088</v>
      </c>
      <c r="AN24" s="73" t="s">
        <v>3088</v>
      </c>
      <c r="AO24" s="73" t="s">
        <v>3088</v>
      </c>
      <c r="AP24" s="73" t="s">
        <v>3088</v>
      </c>
      <c r="AQ24" s="73" t="s">
        <v>3088</v>
      </c>
      <c r="AR24" s="73" t="s">
        <v>3088</v>
      </c>
      <c r="AS24" s="73" t="s">
        <v>3088</v>
      </c>
      <c r="AT24" s="73" t="s">
        <v>3088</v>
      </c>
      <c r="AU24" s="73" t="s">
        <v>3088</v>
      </c>
      <c r="AV24" s="73" t="s">
        <v>3088</v>
      </c>
      <c r="AW24" s="73" t="s">
        <v>3088</v>
      </c>
      <c r="AX24" s="73" t="s">
        <v>3088</v>
      </c>
      <c r="AY24" s="73" t="s">
        <v>3088</v>
      </c>
      <c r="AZ24" s="73" t="s">
        <v>3088</v>
      </c>
      <c r="BA24" s="73" t="s">
        <v>3088</v>
      </c>
      <c r="BB24" s="73" t="s">
        <v>3088</v>
      </c>
      <c r="BC24" s="73" t="s">
        <v>3088</v>
      </c>
      <c r="BD24" s="73" t="s">
        <v>3088</v>
      </c>
      <c r="BE24" s="73" t="s">
        <v>3088</v>
      </c>
      <c r="BF24" s="73" t="s">
        <v>3088</v>
      </c>
      <c r="BG24" s="73" t="s">
        <v>3088</v>
      </c>
      <c r="BH24" s="73" t="s">
        <v>3088</v>
      </c>
      <c r="BI24" s="73" t="s">
        <v>3088</v>
      </c>
      <c r="BJ24" s="73" t="s">
        <v>3088</v>
      </c>
      <c r="BK24" s="73" t="s">
        <v>3088</v>
      </c>
      <c r="BL24" s="73" t="s">
        <v>3088</v>
      </c>
      <c r="BM24" s="73" t="s">
        <v>3088</v>
      </c>
      <c r="BN24" s="73" t="s">
        <v>3088</v>
      </c>
      <c r="BO24" s="73" t="s">
        <v>3088</v>
      </c>
      <c r="BP24" s="73" t="s">
        <v>3088</v>
      </c>
      <c r="BQ24" s="73" t="s">
        <v>3146</v>
      </c>
      <c r="BR24" s="73" t="s">
        <v>3088</v>
      </c>
    </row>
    <row r="25" spans="1:70">
      <c r="A25" s="73" t="s">
        <v>1861</v>
      </c>
      <c r="B25" s="73" t="s">
        <v>3147</v>
      </c>
      <c r="C25" s="73" t="s">
        <v>2545</v>
      </c>
      <c r="D25" s="73" t="s">
        <v>3088</v>
      </c>
      <c r="E25" s="73" t="s">
        <v>3088</v>
      </c>
      <c r="F25" s="73" t="s">
        <v>3088</v>
      </c>
      <c r="G25" s="73" t="s">
        <v>3089</v>
      </c>
      <c r="H25" s="73" t="s">
        <v>3088</v>
      </c>
      <c r="I25" s="73" t="s">
        <v>3093</v>
      </c>
      <c r="J25" s="73" t="s">
        <v>3148</v>
      </c>
      <c r="K25" s="73" t="s">
        <v>3089</v>
      </c>
      <c r="L25" s="73" t="s">
        <v>3088</v>
      </c>
      <c r="M25" s="73" t="s">
        <v>3088</v>
      </c>
      <c r="N25" s="73" t="s">
        <v>3088</v>
      </c>
      <c r="O25" s="73" t="s">
        <v>3088</v>
      </c>
      <c r="P25" s="73" t="s">
        <v>3088</v>
      </c>
      <c r="Q25" s="73" t="s">
        <v>3088</v>
      </c>
      <c r="R25" s="73" t="s">
        <v>3088</v>
      </c>
      <c r="S25" s="73" t="s">
        <v>3088</v>
      </c>
      <c r="T25" s="73" t="s">
        <v>3088</v>
      </c>
      <c r="U25" s="73" t="s">
        <v>3088</v>
      </c>
      <c r="V25" s="73" t="s">
        <v>3088</v>
      </c>
      <c r="W25" s="73" t="s">
        <v>3088</v>
      </c>
      <c r="X25" s="73" t="s">
        <v>3088</v>
      </c>
      <c r="Y25" s="73" t="s">
        <v>3088</v>
      </c>
      <c r="Z25" s="73" t="s">
        <v>3088</v>
      </c>
      <c r="AA25" s="73" t="s">
        <v>3088</v>
      </c>
      <c r="AB25" s="73" t="s">
        <v>3088</v>
      </c>
      <c r="AC25" s="73" t="s">
        <v>3088</v>
      </c>
      <c r="AD25" s="73" t="s">
        <v>3088</v>
      </c>
      <c r="AE25" s="73" t="s">
        <v>3088</v>
      </c>
      <c r="AF25" s="73" t="s">
        <v>3088</v>
      </c>
      <c r="AG25" s="73" t="s">
        <v>3088</v>
      </c>
      <c r="AH25" s="73" t="s">
        <v>3088</v>
      </c>
      <c r="AI25" s="73" t="s">
        <v>3088</v>
      </c>
      <c r="AJ25" s="73" t="s">
        <v>3088</v>
      </c>
      <c r="AK25" s="73" t="s">
        <v>3088</v>
      </c>
      <c r="AL25" s="73" t="s">
        <v>3088</v>
      </c>
      <c r="AM25" s="73" t="s">
        <v>3088</v>
      </c>
      <c r="AN25" s="73" t="s">
        <v>3088</v>
      </c>
      <c r="AO25" s="73" t="s">
        <v>3088</v>
      </c>
      <c r="AP25" s="73" t="s">
        <v>3088</v>
      </c>
      <c r="AQ25" s="73" t="s">
        <v>3088</v>
      </c>
      <c r="AR25" s="73" t="s">
        <v>3088</v>
      </c>
      <c r="AS25" s="73" t="s">
        <v>3088</v>
      </c>
      <c r="AT25" s="73" t="s">
        <v>3088</v>
      </c>
      <c r="AU25" s="73" t="s">
        <v>3088</v>
      </c>
      <c r="AV25" s="73" t="s">
        <v>3088</v>
      </c>
      <c r="AW25" s="73" t="s">
        <v>3088</v>
      </c>
      <c r="AX25" s="73" t="s">
        <v>3088</v>
      </c>
      <c r="AY25" s="73" t="s">
        <v>3088</v>
      </c>
      <c r="AZ25" s="73" t="s">
        <v>3088</v>
      </c>
      <c r="BA25" s="73" t="s">
        <v>3088</v>
      </c>
      <c r="BB25" s="73" t="s">
        <v>3088</v>
      </c>
      <c r="BC25" s="73" t="s">
        <v>3088</v>
      </c>
      <c r="BD25" s="73" t="s">
        <v>3088</v>
      </c>
      <c r="BE25" s="73" t="s">
        <v>3088</v>
      </c>
      <c r="BF25" s="73" t="s">
        <v>3088</v>
      </c>
      <c r="BG25" s="73" t="s">
        <v>3088</v>
      </c>
      <c r="BH25" s="73" t="s">
        <v>3088</v>
      </c>
      <c r="BI25" s="73" t="s">
        <v>3088</v>
      </c>
      <c r="BJ25" s="73" t="s">
        <v>3088</v>
      </c>
      <c r="BK25" s="73" t="s">
        <v>3088</v>
      </c>
      <c r="BL25" s="73" t="s">
        <v>3088</v>
      </c>
      <c r="BM25" s="73" t="s">
        <v>3088</v>
      </c>
      <c r="BN25" s="73" t="s">
        <v>3088</v>
      </c>
      <c r="BO25" s="73" t="s">
        <v>3088</v>
      </c>
      <c r="BP25" s="73" t="s">
        <v>3088</v>
      </c>
      <c r="BQ25" s="73" t="s">
        <v>3149</v>
      </c>
      <c r="BR25" s="73" t="s">
        <v>3088</v>
      </c>
    </row>
    <row r="26" spans="1:70">
      <c r="A26" s="73" t="s">
        <v>1861</v>
      </c>
      <c r="B26" s="73" t="s">
        <v>2551</v>
      </c>
      <c r="C26" s="73" t="s">
        <v>2537</v>
      </c>
      <c r="D26" s="73" t="s">
        <v>3088</v>
      </c>
      <c r="E26" s="73" t="s">
        <v>3088</v>
      </c>
      <c r="F26" s="73" t="s">
        <v>3088</v>
      </c>
      <c r="G26" s="73" t="s">
        <v>3089</v>
      </c>
      <c r="H26" s="73" t="s">
        <v>3088</v>
      </c>
      <c r="I26" s="73" t="s">
        <v>2135</v>
      </c>
      <c r="J26" s="73" t="s">
        <v>2552</v>
      </c>
      <c r="K26" s="73" t="s">
        <v>3089</v>
      </c>
      <c r="L26" s="73" t="s">
        <v>3088</v>
      </c>
      <c r="M26" s="73" t="s">
        <v>3088</v>
      </c>
      <c r="N26" s="73" t="s">
        <v>3088</v>
      </c>
      <c r="O26" s="73" t="s">
        <v>3088</v>
      </c>
      <c r="P26" s="73" t="s">
        <v>3088</v>
      </c>
      <c r="Q26" s="73" t="s">
        <v>3088</v>
      </c>
      <c r="R26" s="73" t="s">
        <v>3088</v>
      </c>
      <c r="S26" s="73" t="s">
        <v>3088</v>
      </c>
      <c r="T26" s="73" t="s">
        <v>3088</v>
      </c>
      <c r="U26" s="73" t="s">
        <v>3088</v>
      </c>
      <c r="V26" s="73" t="s">
        <v>3088</v>
      </c>
      <c r="W26" s="73" t="s">
        <v>3088</v>
      </c>
      <c r="X26" s="73" t="s">
        <v>3088</v>
      </c>
      <c r="Y26" s="73" t="s">
        <v>3088</v>
      </c>
      <c r="Z26" s="73" t="s">
        <v>3088</v>
      </c>
      <c r="AA26" s="73" t="s">
        <v>3088</v>
      </c>
      <c r="AB26" s="73" t="s">
        <v>3088</v>
      </c>
      <c r="AC26" s="73" t="s">
        <v>3088</v>
      </c>
      <c r="AD26" s="73" t="s">
        <v>3088</v>
      </c>
      <c r="AE26" s="73" t="s">
        <v>3088</v>
      </c>
      <c r="AF26" s="73" t="s">
        <v>3088</v>
      </c>
      <c r="AG26" s="73" t="s">
        <v>3088</v>
      </c>
      <c r="AH26" s="73" t="s">
        <v>3088</v>
      </c>
      <c r="AI26" s="73" t="s">
        <v>3088</v>
      </c>
      <c r="AJ26" s="73" t="s">
        <v>3088</v>
      </c>
      <c r="AK26" s="73" t="s">
        <v>3088</v>
      </c>
      <c r="AL26" s="73" t="s">
        <v>3088</v>
      </c>
      <c r="AM26" s="73" t="s">
        <v>3088</v>
      </c>
      <c r="AN26" s="73" t="s">
        <v>3088</v>
      </c>
      <c r="AO26" s="73" t="s">
        <v>3088</v>
      </c>
      <c r="AP26" s="73" t="s">
        <v>3088</v>
      </c>
      <c r="AQ26" s="73" t="s">
        <v>3088</v>
      </c>
      <c r="AR26" s="73" t="s">
        <v>3088</v>
      </c>
      <c r="AS26" s="73" t="s">
        <v>3088</v>
      </c>
      <c r="AT26" s="73" t="s">
        <v>3088</v>
      </c>
      <c r="AU26" s="73" t="s">
        <v>3088</v>
      </c>
      <c r="AV26" s="73" t="s">
        <v>3088</v>
      </c>
      <c r="AW26" s="73" t="s">
        <v>3088</v>
      </c>
      <c r="AX26" s="73" t="s">
        <v>3088</v>
      </c>
      <c r="AY26" s="73" t="s">
        <v>3088</v>
      </c>
      <c r="AZ26" s="73" t="s">
        <v>3088</v>
      </c>
      <c r="BA26" s="73" t="s">
        <v>3088</v>
      </c>
      <c r="BB26" s="73" t="s">
        <v>3088</v>
      </c>
      <c r="BC26" s="73" t="s">
        <v>3088</v>
      </c>
      <c r="BD26" s="73" t="s">
        <v>3088</v>
      </c>
      <c r="BE26" s="73" t="s">
        <v>3088</v>
      </c>
      <c r="BF26" s="73" t="s">
        <v>3088</v>
      </c>
      <c r="BG26" s="73" t="s">
        <v>3088</v>
      </c>
      <c r="BH26" s="73" t="s">
        <v>3088</v>
      </c>
      <c r="BI26" s="73" t="s">
        <v>3088</v>
      </c>
      <c r="BJ26" s="73" t="s">
        <v>3088</v>
      </c>
      <c r="BK26" s="73" t="s">
        <v>3088</v>
      </c>
      <c r="BL26" s="73" t="s">
        <v>3088</v>
      </c>
      <c r="BM26" s="73" t="s">
        <v>3088</v>
      </c>
      <c r="BN26" s="73" t="s">
        <v>3088</v>
      </c>
      <c r="BO26" s="73" t="s">
        <v>3088</v>
      </c>
      <c r="BP26" s="73" t="s">
        <v>3088</v>
      </c>
      <c r="BQ26" s="73" t="s">
        <v>3150</v>
      </c>
      <c r="BR26" s="73" t="s">
        <v>3088</v>
      </c>
    </row>
    <row r="27" spans="1:70">
      <c r="A27" s="73" t="s">
        <v>1861</v>
      </c>
      <c r="B27" s="73" t="s">
        <v>3151</v>
      </c>
      <c r="C27" s="73" t="s">
        <v>2582</v>
      </c>
      <c r="D27" s="73" t="s">
        <v>3088</v>
      </c>
      <c r="E27" s="73" t="s">
        <v>3088</v>
      </c>
      <c r="F27" s="73" t="s">
        <v>3088</v>
      </c>
      <c r="G27" s="73" t="s">
        <v>3089</v>
      </c>
      <c r="H27" s="73" t="s">
        <v>3152</v>
      </c>
      <c r="I27" s="73" t="s">
        <v>3088</v>
      </c>
      <c r="J27" s="73" t="s">
        <v>3088</v>
      </c>
      <c r="K27" s="73" t="s">
        <v>3088</v>
      </c>
      <c r="L27" s="73" t="s">
        <v>3088</v>
      </c>
      <c r="M27" s="73" t="s">
        <v>3088</v>
      </c>
      <c r="N27" s="73" t="s">
        <v>3088</v>
      </c>
      <c r="O27" s="73" t="s">
        <v>3088</v>
      </c>
      <c r="P27" s="73" t="s">
        <v>3088</v>
      </c>
      <c r="Q27" s="73" t="s">
        <v>3088</v>
      </c>
      <c r="R27" s="73" t="s">
        <v>3088</v>
      </c>
      <c r="S27" s="73" t="s">
        <v>3088</v>
      </c>
      <c r="T27" s="73" t="s">
        <v>3088</v>
      </c>
      <c r="U27" s="73" t="s">
        <v>3088</v>
      </c>
      <c r="V27" s="73" t="s">
        <v>3088</v>
      </c>
      <c r="W27" s="73" t="s">
        <v>3088</v>
      </c>
      <c r="X27" s="73" t="s">
        <v>3088</v>
      </c>
      <c r="Y27" s="73" t="s">
        <v>3088</v>
      </c>
      <c r="Z27" s="73" t="s">
        <v>3088</v>
      </c>
      <c r="AA27" s="73" t="s">
        <v>3088</v>
      </c>
      <c r="AB27" s="73" t="s">
        <v>3088</v>
      </c>
      <c r="AC27" s="73" t="s">
        <v>3088</v>
      </c>
      <c r="AD27" s="73" t="s">
        <v>3088</v>
      </c>
      <c r="AE27" s="73" t="s">
        <v>3088</v>
      </c>
      <c r="AF27" s="73" t="s">
        <v>3088</v>
      </c>
      <c r="AG27" s="73" t="s">
        <v>3088</v>
      </c>
      <c r="AH27" s="73" t="s">
        <v>3088</v>
      </c>
      <c r="AI27" s="73" t="s">
        <v>3088</v>
      </c>
      <c r="AJ27" s="73" t="s">
        <v>3088</v>
      </c>
      <c r="AK27" s="73" t="s">
        <v>3088</v>
      </c>
      <c r="AL27" s="73" t="s">
        <v>3088</v>
      </c>
      <c r="AM27" s="73" t="s">
        <v>3088</v>
      </c>
      <c r="AN27" s="73" t="s">
        <v>3088</v>
      </c>
      <c r="AO27" s="73" t="s">
        <v>3088</v>
      </c>
      <c r="AP27" s="73" t="s">
        <v>3088</v>
      </c>
      <c r="AQ27" s="73" t="s">
        <v>3088</v>
      </c>
      <c r="AR27" s="73" t="s">
        <v>3088</v>
      </c>
      <c r="AS27" s="73" t="s">
        <v>3088</v>
      </c>
      <c r="AT27" s="73" t="s">
        <v>3088</v>
      </c>
      <c r="AU27" s="73" t="s">
        <v>3088</v>
      </c>
      <c r="AV27" s="73" t="s">
        <v>3088</v>
      </c>
      <c r="AW27" s="73" t="s">
        <v>3088</v>
      </c>
      <c r="AX27" s="73" t="s">
        <v>3088</v>
      </c>
      <c r="AY27" s="73" t="s">
        <v>3088</v>
      </c>
      <c r="AZ27" s="73" t="s">
        <v>3088</v>
      </c>
      <c r="BA27" s="73" t="s">
        <v>3088</v>
      </c>
      <c r="BB27" s="73" t="s">
        <v>3088</v>
      </c>
      <c r="BC27" s="73" t="s">
        <v>3088</v>
      </c>
      <c r="BD27" s="73" t="s">
        <v>3088</v>
      </c>
      <c r="BE27" s="73" t="s">
        <v>3088</v>
      </c>
      <c r="BF27" s="73" t="s">
        <v>3088</v>
      </c>
      <c r="BG27" s="73" t="s">
        <v>3088</v>
      </c>
      <c r="BH27" s="73" t="s">
        <v>3088</v>
      </c>
      <c r="BI27" s="73" t="s">
        <v>3088</v>
      </c>
      <c r="BJ27" s="73" t="s">
        <v>3088</v>
      </c>
      <c r="BK27" s="73" t="s">
        <v>3088</v>
      </c>
      <c r="BL27" s="73" t="s">
        <v>3088</v>
      </c>
      <c r="BM27" s="73" t="s">
        <v>3088</v>
      </c>
      <c r="BN27" s="73" t="s">
        <v>3088</v>
      </c>
      <c r="BO27" s="73" t="s">
        <v>3088</v>
      </c>
      <c r="BP27" s="73" t="s">
        <v>3088</v>
      </c>
      <c r="BQ27" s="73" t="s">
        <v>3153</v>
      </c>
      <c r="BR27" s="73" t="s">
        <v>3097</v>
      </c>
    </row>
    <row r="28" spans="1:70">
      <c r="A28" s="73" t="s">
        <v>1861</v>
      </c>
      <c r="B28" s="73" t="s">
        <v>3154</v>
      </c>
      <c r="C28" s="73" t="s">
        <v>3155</v>
      </c>
      <c r="D28" s="73" t="s">
        <v>3088</v>
      </c>
      <c r="E28" s="73" t="s">
        <v>3088</v>
      </c>
      <c r="F28" s="73" t="s">
        <v>3088</v>
      </c>
      <c r="G28" s="73" t="s">
        <v>3095</v>
      </c>
      <c r="H28" s="73" t="s">
        <v>3130</v>
      </c>
      <c r="I28" s="73" t="s">
        <v>3088</v>
      </c>
      <c r="J28" s="73" t="s">
        <v>3088</v>
      </c>
      <c r="K28" s="73" t="s">
        <v>3088</v>
      </c>
      <c r="L28" s="73" t="s">
        <v>3088</v>
      </c>
      <c r="M28" s="73" t="s">
        <v>3088</v>
      </c>
      <c r="N28" s="73" t="s">
        <v>3088</v>
      </c>
      <c r="O28" s="73" t="s">
        <v>3088</v>
      </c>
      <c r="P28" s="73" t="s">
        <v>3088</v>
      </c>
      <c r="Q28" s="73" t="s">
        <v>3088</v>
      </c>
      <c r="R28" s="73" t="s">
        <v>3088</v>
      </c>
      <c r="S28" s="73" t="s">
        <v>3088</v>
      </c>
      <c r="T28" s="73" t="s">
        <v>3088</v>
      </c>
      <c r="U28" s="73" t="s">
        <v>3088</v>
      </c>
      <c r="V28" s="73" t="s">
        <v>3088</v>
      </c>
      <c r="W28" s="73" t="s">
        <v>3088</v>
      </c>
      <c r="X28" s="73" t="s">
        <v>3088</v>
      </c>
      <c r="Y28" s="73" t="s">
        <v>3088</v>
      </c>
      <c r="Z28" s="73" t="s">
        <v>3088</v>
      </c>
      <c r="AA28" s="73" t="s">
        <v>3088</v>
      </c>
      <c r="AB28" s="73" t="s">
        <v>3088</v>
      </c>
      <c r="AC28" s="73" t="s">
        <v>3088</v>
      </c>
      <c r="AD28" s="73" t="s">
        <v>3088</v>
      </c>
      <c r="AE28" s="73" t="s">
        <v>3088</v>
      </c>
      <c r="AF28" s="73" t="s">
        <v>3088</v>
      </c>
      <c r="AG28" s="73" t="s">
        <v>3088</v>
      </c>
      <c r="AH28" s="73" t="s">
        <v>3088</v>
      </c>
      <c r="AI28" s="73" t="s">
        <v>3088</v>
      </c>
      <c r="AJ28" s="73" t="s">
        <v>3088</v>
      </c>
      <c r="AK28" s="73" t="s">
        <v>3088</v>
      </c>
      <c r="AL28" s="73" t="s">
        <v>3088</v>
      </c>
      <c r="AM28" s="73" t="s">
        <v>3088</v>
      </c>
      <c r="AN28" s="73" t="s">
        <v>3088</v>
      </c>
      <c r="AO28" s="73" t="s">
        <v>3088</v>
      </c>
      <c r="AP28" s="73" t="s">
        <v>3088</v>
      </c>
      <c r="AQ28" s="73" t="s">
        <v>3088</v>
      </c>
      <c r="AR28" s="73" t="s">
        <v>3088</v>
      </c>
      <c r="AS28" s="73" t="s">
        <v>3088</v>
      </c>
      <c r="AT28" s="73" t="s">
        <v>3088</v>
      </c>
      <c r="AU28" s="73" t="s">
        <v>3088</v>
      </c>
      <c r="AV28" s="73" t="s">
        <v>3088</v>
      </c>
      <c r="AW28" s="73" t="s">
        <v>3088</v>
      </c>
      <c r="AX28" s="73" t="s">
        <v>3088</v>
      </c>
      <c r="AY28" s="73" t="s">
        <v>3088</v>
      </c>
      <c r="AZ28" s="73" t="s">
        <v>3088</v>
      </c>
      <c r="BA28" s="73" t="s">
        <v>3088</v>
      </c>
      <c r="BB28" s="73" t="s">
        <v>3088</v>
      </c>
      <c r="BC28" s="73" t="s">
        <v>3088</v>
      </c>
      <c r="BD28" s="73" t="s">
        <v>3088</v>
      </c>
      <c r="BE28" s="73" t="s">
        <v>3088</v>
      </c>
      <c r="BF28" s="73" t="s">
        <v>3088</v>
      </c>
      <c r="BG28" s="73" t="s">
        <v>3088</v>
      </c>
      <c r="BH28" s="73" t="s">
        <v>3088</v>
      </c>
      <c r="BI28" s="73" t="s">
        <v>3088</v>
      </c>
      <c r="BJ28" s="73" t="s">
        <v>3088</v>
      </c>
      <c r="BK28" s="73" t="s">
        <v>3088</v>
      </c>
      <c r="BL28" s="73" t="s">
        <v>3088</v>
      </c>
      <c r="BM28" s="73" t="s">
        <v>3088</v>
      </c>
      <c r="BN28" s="73" t="s">
        <v>3088</v>
      </c>
      <c r="BO28" s="73" t="s">
        <v>3088</v>
      </c>
      <c r="BP28" s="73" t="s">
        <v>3088</v>
      </c>
      <c r="BQ28" s="73" t="s">
        <v>3156</v>
      </c>
      <c r="BR28" s="73" t="s">
        <v>3097</v>
      </c>
    </row>
    <row r="29" spans="1:70">
      <c r="A29" s="73" t="s">
        <v>1861</v>
      </c>
      <c r="B29" s="73" t="s">
        <v>3157</v>
      </c>
      <c r="C29" s="73" t="s">
        <v>3155</v>
      </c>
      <c r="D29" s="73" t="s">
        <v>3088</v>
      </c>
      <c r="E29" s="73" t="s">
        <v>3088</v>
      </c>
      <c r="F29" s="73" t="s">
        <v>3088</v>
      </c>
      <c r="G29" s="73" t="s">
        <v>3095</v>
      </c>
      <c r="H29" s="73" t="s">
        <v>3130</v>
      </c>
      <c r="I29" s="73" t="s">
        <v>3088</v>
      </c>
      <c r="J29" s="73" t="s">
        <v>3088</v>
      </c>
      <c r="K29" s="73" t="s">
        <v>3088</v>
      </c>
      <c r="L29" s="73" t="s">
        <v>3088</v>
      </c>
      <c r="M29" s="73" t="s">
        <v>3088</v>
      </c>
      <c r="N29" s="73" t="s">
        <v>3088</v>
      </c>
      <c r="O29" s="73" t="s">
        <v>3088</v>
      </c>
      <c r="P29" s="73" t="s">
        <v>3088</v>
      </c>
      <c r="Q29" s="73" t="s">
        <v>3088</v>
      </c>
      <c r="R29" s="73" t="s">
        <v>3088</v>
      </c>
      <c r="S29" s="73" t="s">
        <v>3088</v>
      </c>
      <c r="T29" s="73" t="s">
        <v>3088</v>
      </c>
      <c r="U29" s="73" t="s">
        <v>3088</v>
      </c>
      <c r="V29" s="73" t="s">
        <v>3088</v>
      </c>
      <c r="W29" s="73" t="s">
        <v>3088</v>
      </c>
      <c r="X29" s="73" t="s">
        <v>3088</v>
      </c>
      <c r="Y29" s="73" t="s">
        <v>3088</v>
      </c>
      <c r="Z29" s="73" t="s">
        <v>3088</v>
      </c>
      <c r="AA29" s="73" t="s">
        <v>3088</v>
      </c>
      <c r="AB29" s="73" t="s">
        <v>3088</v>
      </c>
      <c r="AC29" s="73" t="s">
        <v>3088</v>
      </c>
      <c r="AD29" s="73" t="s">
        <v>3088</v>
      </c>
      <c r="AE29" s="73" t="s">
        <v>3088</v>
      </c>
      <c r="AF29" s="73" t="s">
        <v>3088</v>
      </c>
      <c r="AG29" s="73" t="s">
        <v>3088</v>
      </c>
      <c r="AH29" s="73" t="s">
        <v>3088</v>
      </c>
      <c r="AI29" s="73" t="s">
        <v>3088</v>
      </c>
      <c r="AJ29" s="73" t="s">
        <v>3088</v>
      </c>
      <c r="AK29" s="73" t="s">
        <v>3088</v>
      </c>
      <c r="AL29" s="73" t="s">
        <v>3088</v>
      </c>
      <c r="AM29" s="73" t="s">
        <v>3088</v>
      </c>
      <c r="AN29" s="73" t="s">
        <v>3088</v>
      </c>
      <c r="AO29" s="73" t="s">
        <v>3088</v>
      </c>
      <c r="AP29" s="73" t="s">
        <v>3088</v>
      </c>
      <c r="AQ29" s="73" t="s">
        <v>3088</v>
      </c>
      <c r="AR29" s="73" t="s">
        <v>3088</v>
      </c>
      <c r="AS29" s="73" t="s">
        <v>3088</v>
      </c>
      <c r="AT29" s="73" t="s">
        <v>3088</v>
      </c>
      <c r="AU29" s="73" t="s">
        <v>3088</v>
      </c>
      <c r="AV29" s="73" t="s">
        <v>3088</v>
      </c>
      <c r="AW29" s="73" t="s">
        <v>3088</v>
      </c>
      <c r="AX29" s="73" t="s">
        <v>3088</v>
      </c>
      <c r="AY29" s="73" t="s">
        <v>3088</v>
      </c>
      <c r="AZ29" s="73" t="s">
        <v>3088</v>
      </c>
      <c r="BA29" s="73" t="s">
        <v>3088</v>
      </c>
      <c r="BB29" s="73" t="s">
        <v>3088</v>
      </c>
      <c r="BC29" s="73" t="s">
        <v>3088</v>
      </c>
      <c r="BD29" s="73" t="s">
        <v>3088</v>
      </c>
      <c r="BE29" s="73" t="s">
        <v>3088</v>
      </c>
      <c r="BF29" s="73" t="s">
        <v>3088</v>
      </c>
      <c r="BG29" s="73" t="s">
        <v>3088</v>
      </c>
      <c r="BH29" s="73" t="s">
        <v>3088</v>
      </c>
      <c r="BI29" s="73" t="s">
        <v>3088</v>
      </c>
      <c r="BJ29" s="73" t="s">
        <v>3088</v>
      </c>
      <c r="BK29" s="73" t="s">
        <v>3088</v>
      </c>
      <c r="BL29" s="73" t="s">
        <v>3088</v>
      </c>
      <c r="BM29" s="73" t="s">
        <v>3088</v>
      </c>
      <c r="BN29" s="73" t="s">
        <v>3088</v>
      </c>
      <c r="BO29" s="73" t="s">
        <v>3088</v>
      </c>
      <c r="BP29" s="73" t="s">
        <v>3088</v>
      </c>
      <c r="BQ29" s="73" t="s">
        <v>3158</v>
      </c>
      <c r="BR29" s="73" t="s">
        <v>3097</v>
      </c>
    </row>
    <row r="30" spans="1:70">
      <c r="A30" s="73" t="s">
        <v>1861</v>
      </c>
      <c r="B30" s="73" t="s">
        <v>3159</v>
      </c>
      <c r="C30" s="73" t="s">
        <v>2537</v>
      </c>
      <c r="D30" s="73" t="s">
        <v>3088</v>
      </c>
      <c r="E30" s="73" t="s">
        <v>3088</v>
      </c>
      <c r="F30" s="73" t="s">
        <v>3088</v>
      </c>
      <c r="G30" s="73" t="s">
        <v>3089</v>
      </c>
      <c r="H30" s="73" t="s">
        <v>3088</v>
      </c>
      <c r="I30" s="73" t="s">
        <v>3093</v>
      </c>
      <c r="J30" s="73" t="s">
        <v>3160</v>
      </c>
      <c r="K30" s="73" t="s">
        <v>3089</v>
      </c>
      <c r="L30" s="73" t="s">
        <v>3088</v>
      </c>
      <c r="M30" s="73" t="s">
        <v>3088</v>
      </c>
      <c r="N30" s="73" t="s">
        <v>3088</v>
      </c>
      <c r="O30" s="73" t="s">
        <v>3088</v>
      </c>
      <c r="P30" s="73" t="s">
        <v>3088</v>
      </c>
      <c r="Q30" s="73" t="s">
        <v>3088</v>
      </c>
      <c r="R30" s="73" t="s">
        <v>3088</v>
      </c>
      <c r="S30" s="73" t="s">
        <v>3088</v>
      </c>
      <c r="T30" s="73" t="s">
        <v>3088</v>
      </c>
      <c r="U30" s="73" t="s">
        <v>3088</v>
      </c>
      <c r="V30" s="73" t="s">
        <v>3088</v>
      </c>
      <c r="W30" s="73" t="s">
        <v>3088</v>
      </c>
      <c r="X30" s="73" t="s">
        <v>3088</v>
      </c>
      <c r="Y30" s="73" t="s">
        <v>3088</v>
      </c>
      <c r="Z30" s="73" t="s">
        <v>3088</v>
      </c>
      <c r="AA30" s="73" t="s">
        <v>3088</v>
      </c>
      <c r="AB30" s="73" t="s">
        <v>3088</v>
      </c>
      <c r="AC30" s="73" t="s">
        <v>3088</v>
      </c>
      <c r="AD30" s="73" t="s">
        <v>3088</v>
      </c>
      <c r="AE30" s="73" t="s">
        <v>3088</v>
      </c>
      <c r="AF30" s="73" t="s">
        <v>3088</v>
      </c>
      <c r="AG30" s="73" t="s">
        <v>3088</v>
      </c>
      <c r="AH30" s="73" t="s">
        <v>3088</v>
      </c>
      <c r="AI30" s="73" t="s">
        <v>3088</v>
      </c>
      <c r="AJ30" s="73" t="s">
        <v>3088</v>
      </c>
      <c r="AK30" s="73" t="s">
        <v>3088</v>
      </c>
      <c r="AL30" s="73" t="s">
        <v>3088</v>
      </c>
      <c r="AM30" s="73" t="s">
        <v>3088</v>
      </c>
      <c r="AN30" s="73" t="s">
        <v>3088</v>
      </c>
      <c r="AO30" s="73" t="s">
        <v>3088</v>
      </c>
      <c r="AP30" s="73" t="s">
        <v>3088</v>
      </c>
      <c r="AQ30" s="73" t="s">
        <v>3088</v>
      </c>
      <c r="AR30" s="73" t="s">
        <v>3088</v>
      </c>
      <c r="AS30" s="73" t="s">
        <v>3088</v>
      </c>
      <c r="AT30" s="73" t="s">
        <v>3088</v>
      </c>
      <c r="AU30" s="73" t="s">
        <v>3088</v>
      </c>
      <c r="AV30" s="73" t="s">
        <v>3088</v>
      </c>
      <c r="AW30" s="73" t="s">
        <v>3088</v>
      </c>
      <c r="AX30" s="73" t="s">
        <v>3088</v>
      </c>
      <c r="AY30" s="73" t="s">
        <v>3088</v>
      </c>
      <c r="AZ30" s="73" t="s">
        <v>3088</v>
      </c>
      <c r="BA30" s="73" t="s">
        <v>3088</v>
      </c>
      <c r="BB30" s="73" t="s">
        <v>3088</v>
      </c>
      <c r="BC30" s="73" t="s">
        <v>3088</v>
      </c>
      <c r="BD30" s="73" t="s">
        <v>3088</v>
      </c>
      <c r="BE30" s="73" t="s">
        <v>3088</v>
      </c>
      <c r="BF30" s="73" t="s">
        <v>3088</v>
      </c>
      <c r="BG30" s="73" t="s">
        <v>3088</v>
      </c>
      <c r="BH30" s="73" t="s">
        <v>3088</v>
      </c>
      <c r="BI30" s="73" t="s">
        <v>3088</v>
      </c>
      <c r="BJ30" s="73" t="s">
        <v>3088</v>
      </c>
      <c r="BK30" s="73" t="s">
        <v>3088</v>
      </c>
      <c r="BL30" s="73" t="s">
        <v>3088</v>
      </c>
      <c r="BM30" s="73" t="s">
        <v>3088</v>
      </c>
      <c r="BN30" s="73" t="s">
        <v>3088</v>
      </c>
      <c r="BO30" s="73" t="s">
        <v>3088</v>
      </c>
      <c r="BP30" s="73" t="s">
        <v>3088</v>
      </c>
      <c r="BQ30" s="73" t="s">
        <v>3161</v>
      </c>
      <c r="BR30" s="73" t="s">
        <v>3088</v>
      </c>
    </row>
    <row r="31" spans="1:70">
      <c r="A31" s="73" t="s">
        <v>1861</v>
      </c>
      <c r="B31" s="73" t="s">
        <v>2553</v>
      </c>
      <c r="C31" s="73" t="s">
        <v>2554</v>
      </c>
      <c r="D31" s="73" t="s">
        <v>3088</v>
      </c>
      <c r="E31" s="73" t="s">
        <v>3088</v>
      </c>
      <c r="F31" s="73" t="s">
        <v>3088</v>
      </c>
      <c r="G31" s="73" t="s">
        <v>3089</v>
      </c>
      <c r="H31" s="73" t="s">
        <v>3088</v>
      </c>
      <c r="I31" s="73" t="s">
        <v>2135</v>
      </c>
      <c r="J31" s="73" t="s">
        <v>2555</v>
      </c>
      <c r="K31" s="73" t="s">
        <v>3095</v>
      </c>
      <c r="L31" s="73" t="s">
        <v>3088</v>
      </c>
      <c r="M31" s="73" t="s">
        <v>3088</v>
      </c>
      <c r="N31" s="73" t="s">
        <v>3088</v>
      </c>
      <c r="O31" s="73" t="s">
        <v>3088</v>
      </c>
      <c r="P31" s="73" t="s">
        <v>3088</v>
      </c>
      <c r="Q31" s="73" t="s">
        <v>3088</v>
      </c>
      <c r="R31" s="73" t="s">
        <v>3088</v>
      </c>
      <c r="S31" s="73" t="s">
        <v>3088</v>
      </c>
      <c r="T31" s="73" t="s">
        <v>3088</v>
      </c>
      <c r="U31" s="73" t="s">
        <v>3088</v>
      </c>
      <c r="V31" s="73" t="s">
        <v>3088</v>
      </c>
      <c r="W31" s="73" t="s">
        <v>3088</v>
      </c>
      <c r="X31" s="73" t="s">
        <v>3088</v>
      </c>
      <c r="Y31" s="73" t="s">
        <v>3088</v>
      </c>
      <c r="Z31" s="73" t="s">
        <v>3088</v>
      </c>
      <c r="AA31" s="73" t="s">
        <v>3088</v>
      </c>
      <c r="AB31" s="73" t="s">
        <v>3088</v>
      </c>
      <c r="AC31" s="73" t="s">
        <v>3088</v>
      </c>
      <c r="AD31" s="73" t="s">
        <v>3088</v>
      </c>
      <c r="AE31" s="73" t="s">
        <v>3088</v>
      </c>
      <c r="AF31" s="73" t="s">
        <v>3088</v>
      </c>
      <c r="AG31" s="73" t="s">
        <v>3088</v>
      </c>
      <c r="AH31" s="73" t="s">
        <v>3088</v>
      </c>
      <c r="AI31" s="73" t="s">
        <v>3088</v>
      </c>
      <c r="AJ31" s="73" t="s">
        <v>3088</v>
      </c>
      <c r="AK31" s="73" t="s">
        <v>3088</v>
      </c>
      <c r="AL31" s="73" t="s">
        <v>3088</v>
      </c>
      <c r="AM31" s="73" t="s">
        <v>3088</v>
      </c>
      <c r="AN31" s="73" t="s">
        <v>3088</v>
      </c>
      <c r="AO31" s="73" t="s">
        <v>3088</v>
      </c>
      <c r="AP31" s="73" t="s">
        <v>3088</v>
      </c>
      <c r="AQ31" s="73" t="s">
        <v>3088</v>
      </c>
      <c r="AR31" s="73" t="s">
        <v>3088</v>
      </c>
      <c r="AS31" s="73" t="s">
        <v>3088</v>
      </c>
      <c r="AT31" s="73" t="s">
        <v>3088</v>
      </c>
      <c r="AU31" s="73" t="s">
        <v>3088</v>
      </c>
      <c r="AV31" s="73" t="s">
        <v>3088</v>
      </c>
      <c r="AW31" s="73" t="s">
        <v>3088</v>
      </c>
      <c r="AX31" s="73" t="s">
        <v>3088</v>
      </c>
      <c r="AY31" s="73" t="s">
        <v>3088</v>
      </c>
      <c r="AZ31" s="73" t="s">
        <v>3088</v>
      </c>
      <c r="BA31" s="73" t="s">
        <v>3088</v>
      </c>
      <c r="BB31" s="73" t="s">
        <v>3088</v>
      </c>
      <c r="BC31" s="73" t="s">
        <v>3088</v>
      </c>
      <c r="BD31" s="73" t="s">
        <v>3088</v>
      </c>
      <c r="BE31" s="73" t="s">
        <v>3088</v>
      </c>
      <c r="BF31" s="73" t="s">
        <v>3088</v>
      </c>
      <c r="BG31" s="73" t="s">
        <v>3088</v>
      </c>
      <c r="BH31" s="73" t="s">
        <v>3088</v>
      </c>
      <c r="BI31" s="73" t="s">
        <v>3088</v>
      </c>
      <c r="BJ31" s="73" t="s">
        <v>3088</v>
      </c>
      <c r="BK31" s="73" t="s">
        <v>3088</v>
      </c>
      <c r="BL31" s="73" t="s">
        <v>3088</v>
      </c>
      <c r="BM31" s="73" t="s">
        <v>3088</v>
      </c>
      <c r="BN31" s="73" t="s">
        <v>3088</v>
      </c>
      <c r="BO31" s="73" t="s">
        <v>3088</v>
      </c>
      <c r="BP31" s="73" t="s">
        <v>3088</v>
      </c>
      <c r="BQ31" s="73" t="s">
        <v>3162</v>
      </c>
      <c r="BR31" s="73" t="s">
        <v>3097</v>
      </c>
    </row>
    <row r="32" spans="1:70">
      <c r="A32" s="73" t="s">
        <v>1861</v>
      </c>
      <c r="B32" s="73" t="s">
        <v>2837</v>
      </c>
      <c r="C32" s="73" t="s">
        <v>2537</v>
      </c>
      <c r="D32" s="73" t="s">
        <v>3088</v>
      </c>
      <c r="E32" s="73" t="s">
        <v>3088</v>
      </c>
      <c r="F32" s="73" t="s">
        <v>3088</v>
      </c>
      <c r="G32" s="73" t="s">
        <v>3089</v>
      </c>
      <c r="H32" s="73" t="s">
        <v>3088</v>
      </c>
      <c r="I32" s="73" t="s">
        <v>3113</v>
      </c>
      <c r="J32" s="73" t="s">
        <v>3163</v>
      </c>
      <c r="K32" s="73" t="s">
        <v>3089</v>
      </c>
      <c r="L32" s="73" t="s">
        <v>543</v>
      </c>
      <c r="M32" s="73" t="s">
        <v>3164</v>
      </c>
      <c r="N32" s="73" t="s">
        <v>3089</v>
      </c>
      <c r="O32" s="73" t="s">
        <v>3122</v>
      </c>
      <c r="P32" s="73" t="s">
        <v>3164</v>
      </c>
      <c r="Q32" s="73" t="s">
        <v>3089</v>
      </c>
      <c r="R32" s="73" t="s">
        <v>3088</v>
      </c>
      <c r="S32" s="73" t="s">
        <v>3088</v>
      </c>
      <c r="T32" s="73" t="s">
        <v>3088</v>
      </c>
      <c r="U32" s="73" t="s">
        <v>3088</v>
      </c>
      <c r="V32" s="73" t="s">
        <v>3088</v>
      </c>
      <c r="W32" s="73" t="s">
        <v>3088</v>
      </c>
      <c r="X32" s="73" t="s">
        <v>3088</v>
      </c>
      <c r="Y32" s="73" t="s">
        <v>3088</v>
      </c>
      <c r="Z32" s="73" t="s">
        <v>3088</v>
      </c>
      <c r="AA32" s="73" t="s">
        <v>3088</v>
      </c>
      <c r="AB32" s="73" t="s">
        <v>3088</v>
      </c>
      <c r="AC32" s="73" t="s">
        <v>3088</v>
      </c>
      <c r="AD32" s="73" t="s">
        <v>3088</v>
      </c>
      <c r="AE32" s="73" t="s">
        <v>3088</v>
      </c>
      <c r="AF32" s="73" t="s">
        <v>3088</v>
      </c>
      <c r="AG32" s="73" t="s">
        <v>3088</v>
      </c>
      <c r="AH32" s="73" t="s">
        <v>3088</v>
      </c>
      <c r="AI32" s="73" t="s">
        <v>3088</v>
      </c>
      <c r="AJ32" s="73" t="s">
        <v>3088</v>
      </c>
      <c r="AK32" s="73" t="s">
        <v>3088</v>
      </c>
      <c r="AL32" s="73" t="s">
        <v>3088</v>
      </c>
      <c r="AM32" s="73" t="s">
        <v>3088</v>
      </c>
      <c r="AN32" s="73" t="s">
        <v>3088</v>
      </c>
      <c r="AO32" s="73" t="s">
        <v>3088</v>
      </c>
      <c r="AP32" s="73" t="s">
        <v>3088</v>
      </c>
      <c r="AQ32" s="73" t="s">
        <v>3088</v>
      </c>
      <c r="AR32" s="73" t="s">
        <v>3088</v>
      </c>
      <c r="AS32" s="73" t="s">
        <v>3088</v>
      </c>
      <c r="AT32" s="73" t="s">
        <v>3088</v>
      </c>
      <c r="AU32" s="73" t="s">
        <v>3088</v>
      </c>
      <c r="AV32" s="73" t="s">
        <v>3088</v>
      </c>
      <c r="AW32" s="73" t="s">
        <v>3088</v>
      </c>
      <c r="AX32" s="73" t="s">
        <v>3088</v>
      </c>
      <c r="AY32" s="73" t="s">
        <v>3088</v>
      </c>
      <c r="AZ32" s="73" t="s">
        <v>3088</v>
      </c>
      <c r="BA32" s="73" t="s">
        <v>3088</v>
      </c>
      <c r="BB32" s="73" t="s">
        <v>3088</v>
      </c>
      <c r="BC32" s="73" t="s">
        <v>3088</v>
      </c>
      <c r="BD32" s="73" t="s">
        <v>3088</v>
      </c>
      <c r="BE32" s="73" t="s">
        <v>3088</v>
      </c>
      <c r="BF32" s="73" t="s">
        <v>3088</v>
      </c>
      <c r="BG32" s="73" t="s">
        <v>3088</v>
      </c>
      <c r="BH32" s="73" t="s">
        <v>3088</v>
      </c>
      <c r="BI32" s="73" t="s">
        <v>3088</v>
      </c>
      <c r="BJ32" s="73" t="s">
        <v>3088</v>
      </c>
      <c r="BK32" s="73" t="s">
        <v>3088</v>
      </c>
      <c r="BL32" s="73" t="s">
        <v>3088</v>
      </c>
      <c r="BM32" s="73" t="s">
        <v>3088</v>
      </c>
      <c r="BN32" s="73" t="s">
        <v>3088</v>
      </c>
      <c r="BO32" s="73" t="s">
        <v>3088</v>
      </c>
      <c r="BP32" s="73" t="s">
        <v>3088</v>
      </c>
      <c r="BQ32" s="73" t="s">
        <v>3165</v>
      </c>
      <c r="BR32" s="73" t="s">
        <v>3088</v>
      </c>
    </row>
    <row r="33" spans="1:70">
      <c r="A33" s="73" t="s">
        <v>1861</v>
      </c>
      <c r="B33" s="73" t="s">
        <v>3166</v>
      </c>
      <c r="C33" s="73" t="s">
        <v>2545</v>
      </c>
      <c r="D33" s="73" t="s">
        <v>3088</v>
      </c>
      <c r="E33" s="73" t="s">
        <v>3088</v>
      </c>
      <c r="F33" s="73" t="s">
        <v>3088</v>
      </c>
      <c r="G33" s="73" t="s">
        <v>3089</v>
      </c>
      <c r="H33" s="73" t="s">
        <v>3088</v>
      </c>
      <c r="I33" s="73" t="s">
        <v>3093</v>
      </c>
      <c r="J33" s="73" t="s">
        <v>3148</v>
      </c>
      <c r="K33" s="73" t="s">
        <v>3089</v>
      </c>
      <c r="L33" s="73" t="s">
        <v>3088</v>
      </c>
      <c r="M33" s="73" t="s">
        <v>3088</v>
      </c>
      <c r="N33" s="73" t="s">
        <v>3088</v>
      </c>
      <c r="O33" s="73" t="s">
        <v>3088</v>
      </c>
      <c r="P33" s="73" t="s">
        <v>3088</v>
      </c>
      <c r="Q33" s="73" t="s">
        <v>3088</v>
      </c>
      <c r="R33" s="73" t="s">
        <v>3088</v>
      </c>
      <c r="S33" s="73" t="s">
        <v>3088</v>
      </c>
      <c r="T33" s="73" t="s">
        <v>3088</v>
      </c>
      <c r="U33" s="73" t="s">
        <v>3088</v>
      </c>
      <c r="V33" s="73" t="s">
        <v>3088</v>
      </c>
      <c r="W33" s="73" t="s">
        <v>3088</v>
      </c>
      <c r="X33" s="73" t="s">
        <v>3088</v>
      </c>
      <c r="Y33" s="73" t="s">
        <v>3088</v>
      </c>
      <c r="Z33" s="73" t="s">
        <v>3088</v>
      </c>
      <c r="AA33" s="73" t="s">
        <v>3088</v>
      </c>
      <c r="AB33" s="73" t="s">
        <v>3088</v>
      </c>
      <c r="AC33" s="73" t="s">
        <v>3088</v>
      </c>
      <c r="AD33" s="73" t="s">
        <v>3088</v>
      </c>
      <c r="AE33" s="73" t="s">
        <v>3088</v>
      </c>
      <c r="AF33" s="73" t="s">
        <v>3088</v>
      </c>
      <c r="AG33" s="73" t="s">
        <v>3088</v>
      </c>
      <c r="AH33" s="73" t="s">
        <v>3088</v>
      </c>
      <c r="AI33" s="73" t="s">
        <v>3088</v>
      </c>
      <c r="AJ33" s="73" t="s">
        <v>3088</v>
      </c>
      <c r="AK33" s="73" t="s">
        <v>3088</v>
      </c>
      <c r="AL33" s="73" t="s">
        <v>3088</v>
      </c>
      <c r="AM33" s="73" t="s">
        <v>3088</v>
      </c>
      <c r="AN33" s="73" t="s">
        <v>3088</v>
      </c>
      <c r="AO33" s="73" t="s">
        <v>3088</v>
      </c>
      <c r="AP33" s="73" t="s">
        <v>3088</v>
      </c>
      <c r="AQ33" s="73" t="s">
        <v>3088</v>
      </c>
      <c r="AR33" s="73" t="s">
        <v>3088</v>
      </c>
      <c r="AS33" s="73" t="s">
        <v>3088</v>
      </c>
      <c r="AT33" s="73" t="s">
        <v>3088</v>
      </c>
      <c r="AU33" s="73" t="s">
        <v>3088</v>
      </c>
      <c r="AV33" s="73" t="s">
        <v>3088</v>
      </c>
      <c r="AW33" s="73" t="s">
        <v>3088</v>
      </c>
      <c r="AX33" s="73" t="s">
        <v>3088</v>
      </c>
      <c r="AY33" s="73" t="s">
        <v>3088</v>
      </c>
      <c r="AZ33" s="73" t="s">
        <v>3088</v>
      </c>
      <c r="BA33" s="73" t="s">
        <v>3088</v>
      </c>
      <c r="BB33" s="73" t="s">
        <v>3088</v>
      </c>
      <c r="BC33" s="73" t="s">
        <v>3088</v>
      </c>
      <c r="BD33" s="73" t="s">
        <v>3088</v>
      </c>
      <c r="BE33" s="73" t="s">
        <v>3088</v>
      </c>
      <c r="BF33" s="73" t="s">
        <v>3088</v>
      </c>
      <c r="BG33" s="73" t="s">
        <v>3088</v>
      </c>
      <c r="BH33" s="73" t="s">
        <v>3088</v>
      </c>
      <c r="BI33" s="73" t="s">
        <v>3088</v>
      </c>
      <c r="BJ33" s="73" t="s">
        <v>3088</v>
      </c>
      <c r="BK33" s="73" t="s">
        <v>3088</v>
      </c>
      <c r="BL33" s="73" t="s">
        <v>3088</v>
      </c>
      <c r="BM33" s="73" t="s">
        <v>3088</v>
      </c>
      <c r="BN33" s="73" t="s">
        <v>3088</v>
      </c>
      <c r="BO33" s="73" t="s">
        <v>3088</v>
      </c>
      <c r="BP33" s="73" t="s">
        <v>3088</v>
      </c>
      <c r="BQ33" s="73" t="s">
        <v>3167</v>
      </c>
      <c r="BR33" s="73" t="s">
        <v>3088</v>
      </c>
    </row>
    <row r="34" spans="1:70">
      <c r="A34" s="73" t="s">
        <v>1861</v>
      </c>
      <c r="B34" s="73" t="s">
        <v>3168</v>
      </c>
      <c r="C34" s="73" t="s">
        <v>2537</v>
      </c>
      <c r="D34" s="73" t="s">
        <v>3088</v>
      </c>
      <c r="E34" s="73" t="s">
        <v>3088</v>
      </c>
      <c r="F34" s="73" t="s">
        <v>3088</v>
      </c>
      <c r="G34" s="73" t="s">
        <v>3089</v>
      </c>
      <c r="H34" s="73" t="s">
        <v>3088</v>
      </c>
      <c r="I34" s="73" t="s">
        <v>3093</v>
      </c>
      <c r="J34" s="73" t="s">
        <v>3169</v>
      </c>
      <c r="K34" s="73" t="s">
        <v>3089</v>
      </c>
      <c r="L34" s="73" t="s">
        <v>3088</v>
      </c>
      <c r="M34" s="73" t="s">
        <v>3088</v>
      </c>
      <c r="N34" s="73" t="s">
        <v>3088</v>
      </c>
      <c r="O34" s="73" t="s">
        <v>3088</v>
      </c>
      <c r="P34" s="73" t="s">
        <v>3088</v>
      </c>
      <c r="Q34" s="73" t="s">
        <v>3088</v>
      </c>
      <c r="R34" s="73" t="s">
        <v>3088</v>
      </c>
      <c r="S34" s="73" t="s">
        <v>3088</v>
      </c>
      <c r="T34" s="73" t="s">
        <v>3088</v>
      </c>
      <c r="U34" s="73" t="s">
        <v>3088</v>
      </c>
      <c r="V34" s="73" t="s">
        <v>3088</v>
      </c>
      <c r="W34" s="73" t="s">
        <v>3088</v>
      </c>
      <c r="X34" s="73" t="s">
        <v>3088</v>
      </c>
      <c r="Y34" s="73" t="s">
        <v>3088</v>
      </c>
      <c r="Z34" s="73" t="s">
        <v>3088</v>
      </c>
      <c r="AA34" s="73" t="s">
        <v>3088</v>
      </c>
      <c r="AB34" s="73" t="s">
        <v>3088</v>
      </c>
      <c r="AC34" s="73" t="s">
        <v>3088</v>
      </c>
      <c r="AD34" s="73" t="s">
        <v>3088</v>
      </c>
      <c r="AE34" s="73" t="s">
        <v>3088</v>
      </c>
      <c r="AF34" s="73" t="s">
        <v>3088</v>
      </c>
      <c r="AG34" s="73" t="s">
        <v>3088</v>
      </c>
      <c r="AH34" s="73" t="s">
        <v>3088</v>
      </c>
      <c r="AI34" s="73" t="s">
        <v>3088</v>
      </c>
      <c r="AJ34" s="73" t="s">
        <v>3088</v>
      </c>
      <c r="AK34" s="73" t="s">
        <v>3088</v>
      </c>
      <c r="AL34" s="73" t="s">
        <v>3088</v>
      </c>
      <c r="AM34" s="73" t="s">
        <v>3088</v>
      </c>
      <c r="AN34" s="73" t="s">
        <v>3088</v>
      </c>
      <c r="AO34" s="73" t="s">
        <v>3088</v>
      </c>
      <c r="AP34" s="73" t="s">
        <v>3088</v>
      </c>
      <c r="AQ34" s="73" t="s">
        <v>3088</v>
      </c>
      <c r="AR34" s="73" t="s">
        <v>3088</v>
      </c>
      <c r="AS34" s="73" t="s">
        <v>3088</v>
      </c>
      <c r="AT34" s="73" t="s">
        <v>3088</v>
      </c>
      <c r="AU34" s="73" t="s">
        <v>3088</v>
      </c>
      <c r="AV34" s="73" t="s">
        <v>3088</v>
      </c>
      <c r="AW34" s="73" t="s">
        <v>3088</v>
      </c>
      <c r="AX34" s="73" t="s">
        <v>3088</v>
      </c>
      <c r="AY34" s="73" t="s">
        <v>3088</v>
      </c>
      <c r="AZ34" s="73" t="s">
        <v>3088</v>
      </c>
      <c r="BA34" s="73" t="s">
        <v>3088</v>
      </c>
      <c r="BB34" s="73" t="s">
        <v>3088</v>
      </c>
      <c r="BC34" s="73" t="s">
        <v>3088</v>
      </c>
      <c r="BD34" s="73" t="s">
        <v>3088</v>
      </c>
      <c r="BE34" s="73" t="s">
        <v>3088</v>
      </c>
      <c r="BF34" s="73" t="s">
        <v>3088</v>
      </c>
      <c r="BG34" s="73" t="s">
        <v>3088</v>
      </c>
      <c r="BH34" s="73" t="s">
        <v>3088</v>
      </c>
      <c r="BI34" s="73" t="s">
        <v>3088</v>
      </c>
      <c r="BJ34" s="73" t="s">
        <v>3088</v>
      </c>
      <c r="BK34" s="73" t="s">
        <v>3088</v>
      </c>
      <c r="BL34" s="73" t="s">
        <v>3088</v>
      </c>
      <c r="BM34" s="73" t="s">
        <v>3088</v>
      </c>
      <c r="BN34" s="73" t="s">
        <v>3088</v>
      </c>
      <c r="BO34" s="73" t="s">
        <v>3088</v>
      </c>
      <c r="BP34" s="73" t="s">
        <v>3088</v>
      </c>
      <c r="BQ34" s="73" t="s">
        <v>3170</v>
      </c>
      <c r="BR34" s="73" t="s">
        <v>3088</v>
      </c>
    </row>
    <row r="35" spans="1:70">
      <c r="A35" s="73" t="s">
        <v>1861</v>
      </c>
      <c r="B35" s="73" t="s">
        <v>2556</v>
      </c>
      <c r="C35" s="73" t="s">
        <v>2533</v>
      </c>
      <c r="D35" s="73" t="s">
        <v>3088</v>
      </c>
      <c r="E35" s="73" t="s">
        <v>3088</v>
      </c>
      <c r="F35" s="73" t="s">
        <v>3088</v>
      </c>
      <c r="G35" s="73" t="s">
        <v>3089</v>
      </c>
      <c r="H35" s="73" t="s">
        <v>3088</v>
      </c>
      <c r="I35" s="73" t="s">
        <v>108</v>
      </c>
      <c r="J35" s="73" t="s">
        <v>3171</v>
      </c>
      <c r="K35" s="73" t="s">
        <v>3089</v>
      </c>
      <c r="L35" s="73" t="s">
        <v>2193</v>
      </c>
      <c r="M35" s="73" t="s">
        <v>3171</v>
      </c>
      <c r="N35" s="73" t="s">
        <v>3089</v>
      </c>
      <c r="O35" s="73" t="s">
        <v>3088</v>
      </c>
      <c r="P35" s="73" t="s">
        <v>3088</v>
      </c>
      <c r="Q35" s="73" t="s">
        <v>3088</v>
      </c>
      <c r="R35" s="73" t="s">
        <v>3088</v>
      </c>
      <c r="S35" s="73" t="s">
        <v>3088</v>
      </c>
      <c r="T35" s="73" t="s">
        <v>3088</v>
      </c>
      <c r="U35" s="73" t="s">
        <v>3088</v>
      </c>
      <c r="V35" s="73" t="s">
        <v>3088</v>
      </c>
      <c r="W35" s="73" t="s">
        <v>3088</v>
      </c>
      <c r="X35" s="73" t="s">
        <v>3088</v>
      </c>
      <c r="Y35" s="73" t="s">
        <v>3088</v>
      </c>
      <c r="Z35" s="73" t="s">
        <v>3088</v>
      </c>
      <c r="AA35" s="73" t="s">
        <v>3088</v>
      </c>
      <c r="AB35" s="73" t="s">
        <v>3088</v>
      </c>
      <c r="AC35" s="73" t="s">
        <v>3088</v>
      </c>
      <c r="AD35" s="73" t="s">
        <v>3088</v>
      </c>
      <c r="AE35" s="73" t="s">
        <v>3088</v>
      </c>
      <c r="AF35" s="73" t="s">
        <v>3088</v>
      </c>
      <c r="AG35" s="73" t="s">
        <v>3088</v>
      </c>
      <c r="AH35" s="73" t="s">
        <v>3088</v>
      </c>
      <c r="AI35" s="73" t="s">
        <v>3088</v>
      </c>
      <c r="AJ35" s="73" t="s">
        <v>3088</v>
      </c>
      <c r="AK35" s="73" t="s">
        <v>3088</v>
      </c>
      <c r="AL35" s="73" t="s">
        <v>3088</v>
      </c>
      <c r="AM35" s="73" t="s">
        <v>3088</v>
      </c>
      <c r="AN35" s="73" t="s">
        <v>3088</v>
      </c>
      <c r="AO35" s="73" t="s">
        <v>3088</v>
      </c>
      <c r="AP35" s="73" t="s">
        <v>3088</v>
      </c>
      <c r="AQ35" s="73" t="s">
        <v>3088</v>
      </c>
      <c r="AR35" s="73" t="s">
        <v>3088</v>
      </c>
      <c r="AS35" s="73" t="s">
        <v>3088</v>
      </c>
      <c r="AT35" s="73" t="s">
        <v>3088</v>
      </c>
      <c r="AU35" s="73" t="s">
        <v>3088</v>
      </c>
      <c r="AV35" s="73" t="s">
        <v>3088</v>
      </c>
      <c r="AW35" s="73" t="s">
        <v>3088</v>
      </c>
      <c r="AX35" s="73" t="s">
        <v>3088</v>
      </c>
      <c r="AY35" s="73" t="s">
        <v>3088</v>
      </c>
      <c r="AZ35" s="73" t="s">
        <v>3088</v>
      </c>
      <c r="BA35" s="73" t="s">
        <v>3088</v>
      </c>
      <c r="BB35" s="73" t="s">
        <v>3088</v>
      </c>
      <c r="BC35" s="73" t="s">
        <v>3088</v>
      </c>
      <c r="BD35" s="73" t="s">
        <v>3088</v>
      </c>
      <c r="BE35" s="73" t="s">
        <v>3088</v>
      </c>
      <c r="BF35" s="73" t="s">
        <v>3088</v>
      </c>
      <c r="BG35" s="73" t="s">
        <v>3088</v>
      </c>
      <c r="BH35" s="73" t="s">
        <v>3088</v>
      </c>
      <c r="BI35" s="73" t="s">
        <v>3088</v>
      </c>
      <c r="BJ35" s="73" t="s">
        <v>3088</v>
      </c>
      <c r="BK35" s="73" t="s">
        <v>3088</v>
      </c>
      <c r="BL35" s="73" t="s">
        <v>3088</v>
      </c>
      <c r="BM35" s="73" t="s">
        <v>3088</v>
      </c>
      <c r="BN35" s="73" t="s">
        <v>3088</v>
      </c>
      <c r="BO35" s="73" t="s">
        <v>3088</v>
      </c>
      <c r="BP35" s="73" t="s">
        <v>3088</v>
      </c>
      <c r="BQ35" s="73" t="s">
        <v>3172</v>
      </c>
      <c r="BR35" s="73" t="s">
        <v>3088</v>
      </c>
    </row>
    <row r="36" spans="1:70">
      <c r="A36" s="73" t="s">
        <v>1861</v>
      </c>
      <c r="B36" s="73" t="s">
        <v>3173</v>
      </c>
      <c r="C36" s="73" t="s">
        <v>2582</v>
      </c>
      <c r="D36" s="73" t="s">
        <v>3088</v>
      </c>
      <c r="E36" s="73" t="s">
        <v>3088</v>
      </c>
      <c r="F36" s="73" t="s">
        <v>3088</v>
      </c>
      <c r="G36" s="73" t="s">
        <v>3089</v>
      </c>
      <c r="H36" s="73" t="s">
        <v>3152</v>
      </c>
      <c r="I36" s="73" t="s">
        <v>3088</v>
      </c>
      <c r="J36" s="73" t="s">
        <v>3088</v>
      </c>
      <c r="K36" s="73" t="s">
        <v>3088</v>
      </c>
      <c r="L36" s="73" t="s">
        <v>3088</v>
      </c>
      <c r="M36" s="73" t="s">
        <v>3088</v>
      </c>
      <c r="N36" s="73" t="s">
        <v>3088</v>
      </c>
      <c r="O36" s="73" t="s">
        <v>3088</v>
      </c>
      <c r="P36" s="73" t="s">
        <v>3088</v>
      </c>
      <c r="Q36" s="73" t="s">
        <v>3088</v>
      </c>
      <c r="R36" s="73" t="s">
        <v>3088</v>
      </c>
      <c r="S36" s="73" t="s">
        <v>3088</v>
      </c>
      <c r="T36" s="73" t="s">
        <v>3088</v>
      </c>
      <c r="U36" s="73" t="s">
        <v>3088</v>
      </c>
      <c r="V36" s="73" t="s">
        <v>3088</v>
      </c>
      <c r="W36" s="73" t="s">
        <v>3088</v>
      </c>
      <c r="X36" s="73" t="s">
        <v>3088</v>
      </c>
      <c r="Y36" s="73" t="s">
        <v>3088</v>
      </c>
      <c r="Z36" s="73" t="s">
        <v>3088</v>
      </c>
      <c r="AA36" s="73" t="s">
        <v>3088</v>
      </c>
      <c r="AB36" s="73" t="s">
        <v>3088</v>
      </c>
      <c r="AC36" s="73" t="s">
        <v>3088</v>
      </c>
      <c r="AD36" s="73" t="s">
        <v>3088</v>
      </c>
      <c r="AE36" s="73" t="s">
        <v>3088</v>
      </c>
      <c r="AF36" s="73" t="s">
        <v>3088</v>
      </c>
      <c r="AG36" s="73" t="s">
        <v>3088</v>
      </c>
      <c r="AH36" s="73" t="s">
        <v>3088</v>
      </c>
      <c r="AI36" s="73" t="s">
        <v>3088</v>
      </c>
      <c r="AJ36" s="73" t="s">
        <v>3088</v>
      </c>
      <c r="AK36" s="73" t="s">
        <v>3088</v>
      </c>
      <c r="AL36" s="73" t="s">
        <v>3088</v>
      </c>
      <c r="AM36" s="73" t="s">
        <v>3088</v>
      </c>
      <c r="AN36" s="73" t="s">
        <v>3088</v>
      </c>
      <c r="AO36" s="73" t="s">
        <v>3088</v>
      </c>
      <c r="AP36" s="73" t="s">
        <v>3088</v>
      </c>
      <c r="AQ36" s="73" t="s">
        <v>3088</v>
      </c>
      <c r="AR36" s="73" t="s">
        <v>3088</v>
      </c>
      <c r="AS36" s="73" t="s">
        <v>3088</v>
      </c>
      <c r="AT36" s="73" t="s">
        <v>3088</v>
      </c>
      <c r="AU36" s="73" t="s">
        <v>3088</v>
      </c>
      <c r="AV36" s="73" t="s">
        <v>3088</v>
      </c>
      <c r="AW36" s="73" t="s">
        <v>3088</v>
      </c>
      <c r="AX36" s="73" t="s">
        <v>3088</v>
      </c>
      <c r="AY36" s="73" t="s">
        <v>3088</v>
      </c>
      <c r="AZ36" s="73" t="s">
        <v>3088</v>
      </c>
      <c r="BA36" s="73" t="s">
        <v>3088</v>
      </c>
      <c r="BB36" s="73" t="s">
        <v>3088</v>
      </c>
      <c r="BC36" s="73" t="s">
        <v>3088</v>
      </c>
      <c r="BD36" s="73" t="s">
        <v>3088</v>
      </c>
      <c r="BE36" s="73" t="s">
        <v>3088</v>
      </c>
      <c r="BF36" s="73" t="s">
        <v>3088</v>
      </c>
      <c r="BG36" s="73" t="s">
        <v>3088</v>
      </c>
      <c r="BH36" s="73" t="s">
        <v>3088</v>
      </c>
      <c r="BI36" s="73" t="s">
        <v>3088</v>
      </c>
      <c r="BJ36" s="73" t="s">
        <v>3088</v>
      </c>
      <c r="BK36" s="73" t="s">
        <v>3088</v>
      </c>
      <c r="BL36" s="73" t="s">
        <v>3088</v>
      </c>
      <c r="BM36" s="73" t="s">
        <v>3088</v>
      </c>
      <c r="BN36" s="73" t="s">
        <v>3088</v>
      </c>
      <c r="BO36" s="73" t="s">
        <v>3088</v>
      </c>
      <c r="BP36" s="73" t="s">
        <v>3088</v>
      </c>
      <c r="BQ36" s="73" t="s">
        <v>3174</v>
      </c>
      <c r="BR36" s="73" t="s">
        <v>3097</v>
      </c>
    </row>
    <row r="37" spans="1:70">
      <c r="A37" s="73" t="s">
        <v>1861</v>
      </c>
      <c r="B37" s="73" t="s">
        <v>2840</v>
      </c>
      <c r="C37" s="73" t="s">
        <v>2563</v>
      </c>
      <c r="D37" s="73" t="s">
        <v>3088</v>
      </c>
      <c r="E37" s="73" t="s">
        <v>3088</v>
      </c>
      <c r="F37" s="73" t="s">
        <v>3088</v>
      </c>
      <c r="G37" s="73" t="s">
        <v>3089</v>
      </c>
      <c r="H37" s="73" t="s">
        <v>3088</v>
      </c>
      <c r="I37" s="73" t="s">
        <v>543</v>
      </c>
      <c r="J37" s="73" t="s">
        <v>3088</v>
      </c>
      <c r="K37" s="73" t="s">
        <v>3088</v>
      </c>
      <c r="L37" s="73" t="s">
        <v>3088</v>
      </c>
      <c r="M37" s="73" t="s">
        <v>3088</v>
      </c>
      <c r="N37" s="73" t="s">
        <v>3088</v>
      </c>
      <c r="O37" s="73" t="s">
        <v>3088</v>
      </c>
      <c r="P37" s="73" t="s">
        <v>3088</v>
      </c>
      <c r="Q37" s="73" t="s">
        <v>3088</v>
      </c>
      <c r="R37" s="73" t="s">
        <v>3088</v>
      </c>
      <c r="S37" s="73" t="s">
        <v>3088</v>
      </c>
      <c r="T37" s="73" t="s">
        <v>3088</v>
      </c>
      <c r="U37" s="73" t="s">
        <v>3088</v>
      </c>
      <c r="V37" s="73" t="s">
        <v>3088</v>
      </c>
      <c r="W37" s="73" t="s">
        <v>3088</v>
      </c>
      <c r="X37" s="73" t="s">
        <v>3088</v>
      </c>
      <c r="Y37" s="73" t="s">
        <v>3088</v>
      </c>
      <c r="Z37" s="73" t="s">
        <v>3088</v>
      </c>
      <c r="AA37" s="73" t="s">
        <v>3088</v>
      </c>
      <c r="AB37" s="73" t="s">
        <v>3088</v>
      </c>
      <c r="AC37" s="73" t="s">
        <v>3088</v>
      </c>
      <c r="AD37" s="73" t="s">
        <v>3088</v>
      </c>
      <c r="AE37" s="73" t="s">
        <v>3088</v>
      </c>
      <c r="AF37" s="73" t="s">
        <v>3088</v>
      </c>
      <c r="AG37" s="73" t="s">
        <v>3088</v>
      </c>
      <c r="AH37" s="73" t="s">
        <v>3088</v>
      </c>
      <c r="AI37" s="73" t="s">
        <v>3088</v>
      </c>
      <c r="AJ37" s="73" t="s">
        <v>3088</v>
      </c>
      <c r="AK37" s="73" t="s">
        <v>3088</v>
      </c>
      <c r="AL37" s="73" t="s">
        <v>3088</v>
      </c>
      <c r="AM37" s="73" t="s">
        <v>3088</v>
      </c>
      <c r="AN37" s="73" t="s">
        <v>3088</v>
      </c>
      <c r="AO37" s="73" t="s">
        <v>3088</v>
      </c>
      <c r="AP37" s="73" t="s">
        <v>3088</v>
      </c>
      <c r="AQ37" s="73" t="s">
        <v>3088</v>
      </c>
      <c r="AR37" s="73" t="s">
        <v>3088</v>
      </c>
      <c r="AS37" s="73" t="s">
        <v>3088</v>
      </c>
      <c r="AT37" s="73" t="s">
        <v>3088</v>
      </c>
      <c r="AU37" s="73" t="s">
        <v>3088</v>
      </c>
      <c r="AV37" s="73" t="s">
        <v>3088</v>
      </c>
      <c r="AW37" s="73" t="s">
        <v>3088</v>
      </c>
      <c r="AX37" s="73" t="s">
        <v>3088</v>
      </c>
      <c r="AY37" s="73" t="s">
        <v>3088</v>
      </c>
      <c r="AZ37" s="73" t="s">
        <v>3088</v>
      </c>
      <c r="BA37" s="73" t="s">
        <v>3088</v>
      </c>
      <c r="BB37" s="73" t="s">
        <v>3088</v>
      </c>
      <c r="BC37" s="73" t="s">
        <v>3088</v>
      </c>
      <c r="BD37" s="73" t="s">
        <v>3088</v>
      </c>
      <c r="BE37" s="73" t="s">
        <v>3088</v>
      </c>
      <c r="BF37" s="73" t="s">
        <v>3088</v>
      </c>
      <c r="BG37" s="73" t="s">
        <v>3088</v>
      </c>
      <c r="BH37" s="73" t="s">
        <v>3088</v>
      </c>
      <c r="BI37" s="73" t="s">
        <v>3088</v>
      </c>
      <c r="BJ37" s="73" t="s">
        <v>3088</v>
      </c>
      <c r="BK37" s="73" t="s">
        <v>3088</v>
      </c>
      <c r="BL37" s="73" t="s">
        <v>3088</v>
      </c>
      <c r="BM37" s="73" t="s">
        <v>3088</v>
      </c>
      <c r="BN37" s="73" t="s">
        <v>3088</v>
      </c>
      <c r="BO37" s="73" t="s">
        <v>3088</v>
      </c>
      <c r="BP37" s="73" t="s">
        <v>3088</v>
      </c>
      <c r="BQ37" s="73" t="s">
        <v>3175</v>
      </c>
      <c r="BR37" s="73" t="s">
        <v>3088</v>
      </c>
    </row>
    <row r="38" spans="1:70">
      <c r="A38" s="73" t="s">
        <v>1861</v>
      </c>
      <c r="B38" s="73" t="s">
        <v>3176</v>
      </c>
      <c r="C38" s="73" t="s">
        <v>2559</v>
      </c>
      <c r="D38" s="73" t="s">
        <v>3088</v>
      </c>
      <c r="E38" s="73" t="s">
        <v>3088</v>
      </c>
      <c r="F38" s="73" t="s">
        <v>3088</v>
      </c>
      <c r="G38" s="73" t="s">
        <v>3089</v>
      </c>
      <c r="H38" s="73" t="s">
        <v>3088</v>
      </c>
      <c r="I38" s="73" t="s">
        <v>3113</v>
      </c>
      <c r="J38" s="73" t="s">
        <v>3177</v>
      </c>
      <c r="K38" s="73" t="s">
        <v>3089</v>
      </c>
      <c r="L38" s="73" t="s">
        <v>3088</v>
      </c>
      <c r="M38" s="73" t="s">
        <v>3088</v>
      </c>
      <c r="N38" s="73" t="s">
        <v>3088</v>
      </c>
      <c r="O38" s="73" t="s">
        <v>3088</v>
      </c>
      <c r="P38" s="73" t="s">
        <v>3088</v>
      </c>
      <c r="Q38" s="73" t="s">
        <v>3088</v>
      </c>
      <c r="R38" s="73" t="s">
        <v>3088</v>
      </c>
      <c r="S38" s="73" t="s">
        <v>3088</v>
      </c>
      <c r="T38" s="73" t="s">
        <v>3088</v>
      </c>
      <c r="U38" s="73" t="s">
        <v>3088</v>
      </c>
      <c r="V38" s="73" t="s">
        <v>3088</v>
      </c>
      <c r="W38" s="73" t="s">
        <v>3088</v>
      </c>
      <c r="X38" s="73" t="s">
        <v>3088</v>
      </c>
      <c r="Y38" s="73" t="s">
        <v>3088</v>
      </c>
      <c r="Z38" s="73" t="s">
        <v>3088</v>
      </c>
      <c r="AA38" s="73" t="s">
        <v>3088</v>
      </c>
      <c r="AB38" s="73" t="s">
        <v>3088</v>
      </c>
      <c r="AC38" s="73" t="s">
        <v>3088</v>
      </c>
      <c r="AD38" s="73" t="s">
        <v>3088</v>
      </c>
      <c r="AE38" s="73" t="s">
        <v>3088</v>
      </c>
      <c r="AF38" s="73" t="s">
        <v>3088</v>
      </c>
      <c r="AG38" s="73" t="s">
        <v>3088</v>
      </c>
      <c r="AH38" s="73" t="s">
        <v>3088</v>
      </c>
      <c r="AI38" s="73" t="s">
        <v>3088</v>
      </c>
      <c r="AJ38" s="73" t="s">
        <v>3088</v>
      </c>
      <c r="AK38" s="73" t="s">
        <v>3088</v>
      </c>
      <c r="AL38" s="73" t="s">
        <v>3088</v>
      </c>
      <c r="AM38" s="73" t="s">
        <v>3088</v>
      </c>
      <c r="AN38" s="73" t="s">
        <v>3088</v>
      </c>
      <c r="AO38" s="73" t="s">
        <v>3088</v>
      </c>
      <c r="AP38" s="73" t="s">
        <v>3088</v>
      </c>
      <c r="AQ38" s="73" t="s">
        <v>3088</v>
      </c>
      <c r="AR38" s="73" t="s">
        <v>3088</v>
      </c>
      <c r="AS38" s="73" t="s">
        <v>3088</v>
      </c>
      <c r="AT38" s="73" t="s">
        <v>3088</v>
      </c>
      <c r="AU38" s="73" t="s">
        <v>3088</v>
      </c>
      <c r="AV38" s="73" t="s">
        <v>3088</v>
      </c>
      <c r="AW38" s="73" t="s">
        <v>3088</v>
      </c>
      <c r="AX38" s="73" t="s">
        <v>3088</v>
      </c>
      <c r="AY38" s="73" t="s">
        <v>3088</v>
      </c>
      <c r="AZ38" s="73" t="s">
        <v>3088</v>
      </c>
      <c r="BA38" s="73" t="s">
        <v>3088</v>
      </c>
      <c r="BB38" s="73" t="s">
        <v>3088</v>
      </c>
      <c r="BC38" s="73" t="s">
        <v>3088</v>
      </c>
      <c r="BD38" s="73" t="s">
        <v>3088</v>
      </c>
      <c r="BE38" s="73" t="s">
        <v>3088</v>
      </c>
      <c r="BF38" s="73" t="s">
        <v>3088</v>
      </c>
      <c r="BG38" s="73" t="s">
        <v>3088</v>
      </c>
      <c r="BH38" s="73" t="s">
        <v>3088</v>
      </c>
      <c r="BI38" s="73" t="s">
        <v>3088</v>
      </c>
      <c r="BJ38" s="73" t="s">
        <v>3088</v>
      </c>
      <c r="BK38" s="73" t="s">
        <v>3088</v>
      </c>
      <c r="BL38" s="73" t="s">
        <v>3088</v>
      </c>
      <c r="BM38" s="73" t="s">
        <v>3088</v>
      </c>
      <c r="BN38" s="73" t="s">
        <v>3088</v>
      </c>
      <c r="BO38" s="73" t="s">
        <v>3088</v>
      </c>
      <c r="BP38" s="73" t="s">
        <v>3088</v>
      </c>
      <c r="BQ38" s="73" t="s">
        <v>3178</v>
      </c>
      <c r="BR38" s="73" t="s">
        <v>3088</v>
      </c>
    </row>
    <row r="39" spans="1:70">
      <c r="A39" s="73" t="s">
        <v>1861</v>
      </c>
      <c r="B39" s="73" t="s">
        <v>2558</v>
      </c>
      <c r="C39" s="73" t="s">
        <v>2559</v>
      </c>
      <c r="D39" s="73" t="s">
        <v>3088</v>
      </c>
      <c r="E39" s="73" t="s">
        <v>3088</v>
      </c>
      <c r="F39" s="73" t="s">
        <v>3088</v>
      </c>
      <c r="G39" s="73" t="s">
        <v>3089</v>
      </c>
      <c r="H39" s="73" t="s">
        <v>3088</v>
      </c>
      <c r="I39" s="73" t="s">
        <v>108</v>
      </c>
      <c r="J39" s="73" t="s">
        <v>3179</v>
      </c>
      <c r="K39" s="73" t="s">
        <v>3089</v>
      </c>
      <c r="L39" s="73" t="s">
        <v>2193</v>
      </c>
      <c r="M39" s="73" t="s">
        <v>3179</v>
      </c>
      <c r="N39" s="73" t="s">
        <v>3089</v>
      </c>
      <c r="O39" s="73" t="s">
        <v>3180</v>
      </c>
      <c r="P39" s="73" t="s">
        <v>3179</v>
      </c>
      <c r="Q39" s="73" t="s">
        <v>3089</v>
      </c>
      <c r="R39" s="73" t="s">
        <v>3113</v>
      </c>
      <c r="S39" s="73" t="s">
        <v>3179</v>
      </c>
      <c r="T39" s="73" t="s">
        <v>3089</v>
      </c>
      <c r="U39" s="73" t="s">
        <v>3122</v>
      </c>
      <c r="V39" s="73" t="s">
        <v>3179</v>
      </c>
      <c r="W39" s="73" t="s">
        <v>3089</v>
      </c>
      <c r="X39" s="73" t="s">
        <v>3088</v>
      </c>
      <c r="Y39" s="73" t="s">
        <v>3088</v>
      </c>
      <c r="Z39" s="73" t="s">
        <v>3088</v>
      </c>
      <c r="AA39" s="73" t="s">
        <v>3088</v>
      </c>
      <c r="AB39" s="73" t="s">
        <v>3088</v>
      </c>
      <c r="AC39" s="73" t="s">
        <v>3088</v>
      </c>
      <c r="AD39" s="73" t="s">
        <v>3088</v>
      </c>
      <c r="AE39" s="73" t="s">
        <v>3088</v>
      </c>
      <c r="AF39" s="73" t="s">
        <v>3088</v>
      </c>
      <c r="AG39" s="73" t="s">
        <v>3088</v>
      </c>
      <c r="AH39" s="73" t="s">
        <v>3088</v>
      </c>
      <c r="AI39" s="73" t="s">
        <v>3088</v>
      </c>
      <c r="AJ39" s="73" t="s">
        <v>3088</v>
      </c>
      <c r="AK39" s="73" t="s">
        <v>3088</v>
      </c>
      <c r="AL39" s="73" t="s">
        <v>3088</v>
      </c>
      <c r="AM39" s="73" t="s">
        <v>3088</v>
      </c>
      <c r="AN39" s="73" t="s">
        <v>3088</v>
      </c>
      <c r="AO39" s="73" t="s">
        <v>3088</v>
      </c>
      <c r="AP39" s="73" t="s">
        <v>3088</v>
      </c>
      <c r="AQ39" s="73" t="s">
        <v>3088</v>
      </c>
      <c r="AR39" s="73" t="s">
        <v>3088</v>
      </c>
      <c r="AS39" s="73" t="s">
        <v>3088</v>
      </c>
      <c r="AT39" s="73" t="s">
        <v>3088</v>
      </c>
      <c r="AU39" s="73" t="s">
        <v>3088</v>
      </c>
      <c r="AV39" s="73" t="s">
        <v>3088</v>
      </c>
      <c r="AW39" s="73" t="s">
        <v>3088</v>
      </c>
      <c r="AX39" s="73" t="s">
        <v>3088</v>
      </c>
      <c r="AY39" s="73" t="s">
        <v>3088</v>
      </c>
      <c r="AZ39" s="73" t="s">
        <v>3088</v>
      </c>
      <c r="BA39" s="73" t="s">
        <v>3088</v>
      </c>
      <c r="BB39" s="73" t="s">
        <v>3088</v>
      </c>
      <c r="BC39" s="73" t="s">
        <v>3088</v>
      </c>
      <c r="BD39" s="73" t="s">
        <v>3088</v>
      </c>
      <c r="BE39" s="73" t="s">
        <v>3088</v>
      </c>
      <c r="BF39" s="73" t="s">
        <v>3088</v>
      </c>
      <c r="BG39" s="73" t="s">
        <v>3088</v>
      </c>
      <c r="BH39" s="73" t="s">
        <v>3088</v>
      </c>
      <c r="BI39" s="73" t="s">
        <v>3088</v>
      </c>
      <c r="BJ39" s="73" t="s">
        <v>3088</v>
      </c>
      <c r="BK39" s="73" t="s">
        <v>3088</v>
      </c>
      <c r="BL39" s="73" t="s">
        <v>3088</v>
      </c>
      <c r="BM39" s="73" t="s">
        <v>3088</v>
      </c>
      <c r="BN39" s="73" t="s">
        <v>3088</v>
      </c>
      <c r="BO39" s="73" t="s">
        <v>3088</v>
      </c>
      <c r="BP39" s="73" t="s">
        <v>3088</v>
      </c>
      <c r="BQ39" s="73" t="s">
        <v>3181</v>
      </c>
      <c r="BR39" s="73" t="s">
        <v>3088</v>
      </c>
    </row>
    <row r="40" spans="1:70">
      <c r="A40" s="73" t="s">
        <v>1861</v>
      </c>
      <c r="B40" s="73" t="s">
        <v>3182</v>
      </c>
      <c r="C40" s="73" t="s">
        <v>2563</v>
      </c>
      <c r="D40" s="73" t="s">
        <v>3088</v>
      </c>
      <c r="E40" s="73" t="s">
        <v>3088</v>
      </c>
      <c r="F40" s="73" t="s">
        <v>3088</v>
      </c>
      <c r="G40" s="73" t="s">
        <v>3089</v>
      </c>
      <c r="H40" s="73" t="s">
        <v>3088</v>
      </c>
      <c r="I40" s="73" t="s">
        <v>3093</v>
      </c>
      <c r="J40" s="73" t="s">
        <v>3160</v>
      </c>
      <c r="K40" s="73" t="s">
        <v>3089</v>
      </c>
      <c r="L40" s="73" t="s">
        <v>3088</v>
      </c>
      <c r="M40" s="73" t="s">
        <v>3088</v>
      </c>
      <c r="N40" s="73" t="s">
        <v>3088</v>
      </c>
      <c r="O40" s="73" t="s">
        <v>3088</v>
      </c>
      <c r="P40" s="73" t="s">
        <v>3088</v>
      </c>
      <c r="Q40" s="73" t="s">
        <v>3088</v>
      </c>
      <c r="R40" s="73" t="s">
        <v>3088</v>
      </c>
      <c r="S40" s="73" t="s">
        <v>3088</v>
      </c>
      <c r="T40" s="73" t="s">
        <v>3088</v>
      </c>
      <c r="U40" s="73" t="s">
        <v>3088</v>
      </c>
      <c r="V40" s="73" t="s">
        <v>3088</v>
      </c>
      <c r="W40" s="73" t="s">
        <v>3088</v>
      </c>
      <c r="X40" s="73" t="s">
        <v>3088</v>
      </c>
      <c r="Y40" s="73" t="s">
        <v>3088</v>
      </c>
      <c r="Z40" s="73" t="s">
        <v>3088</v>
      </c>
      <c r="AA40" s="73" t="s">
        <v>3088</v>
      </c>
      <c r="AB40" s="73" t="s">
        <v>3088</v>
      </c>
      <c r="AC40" s="73" t="s">
        <v>3088</v>
      </c>
      <c r="AD40" s="73" t="s">
        <v>3088</v>
      </c>
      <c r="AE40" s="73" t="s">
        <v>3088</v>
      </c>
      <c r="AF40" s="73" t="s">
        <v>3088</v>
      </c>
      <c r="AG40" s="73" t="s">
        <v>3088</v>
      </c>
      <c r="AH40" s="73" t="s">
        <v>3088</v>
      </c>
      <c r="AI40" s="73" t="s">
        <v>3088</v>
      </c>
      <c r="AJ40" s="73" t="s">
        <v>3088</v>
      </c>
      <c r="AK40" s="73" t="s">
        <v>3088</v>
      </c>
      <c r="AL40" s="73" t="s">
        <v>3088</v>
      </c>
      <c r="AM40" s="73" t="s">
        <v>3088</v>
      </c>
      <c r="AN40" s="73" t="s">
        <v>3088</v>
      </c>
      <c r="AO40" s="73" t="s">
        <v>3088</v>
      </c>
      <c r="AP40" s="73" t="s">
        <v>3088</v>
      </c>
      <c r="AQ40" s="73" t="s">
        <v>3088</v>
      </c>
      <c r="AR40" s="73" t="s">
        <v>3088</v>
      </c>
      <c r="AS40" s="73" t="s">
        <v>3088</v>
      </c>
      <c r="AT40" s="73" t="s">
        <v>3088</v>
      </c>
      <c r="AU40" s="73" t="s">
        <v>3088</v>
      </c>
      <c r="AV40" s="73" t="s">
        <v>3088</v>
      </c>
      <c r="AW40" s="73" t="s">
        <v>3088</v>
      </c>
      <c r="AX40" s="73" t="s">
        <v>3088</v>
      </c>
      <c r="AY40" s="73" t="s">
        <v>3088</v>
      </c>
      <c r="AZ40" s="73" t="s">
        <v>3088</v>
      </c>
      <c r="BA40" s="73" t="s">
        <v>3088</v>
      </c>
      <c r="BB40" s="73" t="s">
        <v>3088</v>
      </c>
      <c r="BC40" s="73" t="s">
        <v>3088</v>
      </c>
      <c r="BD40" s="73" t="s">
        <v>3088</v>
      </c>
      <c r="BE40" s="73" t="s">
        <v>3088</v>
      </c>
      <c r="BF40" s="73" t="s">
        <v>3088</v>
      </c>
      <c r="BG40" s="73" t="s">
        <v>3088</v>
      </c>
      <c r="BH40" s="73" t="s">
        <v>3088</v>
      </c>
      <c r="BI40" s="73" t="s">
        <v>3088</v>
      </c>
      <c r="BJ40" s="73" t="s">
        <v>3088</v>
      </c>
      <c r="BK40" s="73" t="s">
        <v>3088</v>
      </c>
      <c r="BL40" s="73" t="s">
        <v>3088</v>
      </c>
      <c r="BM40" s="73" t="s">
        <v>3088</v>
      </c>
      <c r="BN40" s="73" t="s">
        <v>3088</v>
      </c>
      <c r="BO40" s="73" t="s">
        <v>3088</v>
      </c>
      <c r="BP40" s="73" t="s">
        <v>3088</v>
      </c>
      <c r="BQ40" s="73" t="s">
        <v>3183</v>
      </c>
      <c r="BR40" s="73" t="s">
        <v>3088</v>
      </c>
    </row>
    <row r="41" spans="1:70">
      <c r="A41" s="73" t="s">
        <v>1861</v>
      </c>
      <c r="B41" s="73" t="s">
        <v>3184</v>
      </c>
      <c r="C41" s="73" t="s">
        <v>2559</v>
      </c>
      <c r="D41" s="73" t="s">
        <v>3088</v>
      </c>
      <c r="E41" s="73" t="s">
        <v>3088</v>
      </c>
      <c r="F41" s="73" t="s">
        <v>3088</v>
      </c>
      <c r="G41" s="73" t="s">
        <v>3089</v>
      </c>
      <c r="H41" s="73" t="s">
        <v>3088</v>
      </c>
      <c r="I41" s="73" t="s">
        <v>3093</v>
      </c>
      <c r="J41" s="73" t="s">
        <v>3185</v>
      </c>
      <c r="K41" s="73" t="s">
        <v>3089</v>
      </c>
      <c r="L41" s="73" t="s">
        <v>3088</v>
      </c>
      <c r="M41" s="73" t="s">
        <v>3088</v>
      </c>
      <c r="N41" s="73" t="s">
        <v>3088</v>
      </c>
      <c r="O41" s="73" t="s">
        <v>3088</v>
      </c>
      <c r="P41" s="73" t="s">
        <v>3088</v>
      </c>
      <c r="Q41" s="73" t="s">
        <v>3088</v>
      </c>
      <c r="R41" s="73" t="s">
        <v>3088</v>
      </c>
      <c r="S41" s="73" t="s">
        <v>3088</v>
      </c>
      <c r="T41" s="73" t="s">
        <v>3088</v>
      </c>
      <c r="U41" s="73" t="s">
        <v>3088</v>
      </c>
      <c r="V41" s="73" t="s">
        <v>3088</v>
      </c>
      <c r="W41" s="73" t="s">
        <v>3088</v>
      </c>
      <c r="X41" s="73" t="s">
        <v>3088</v>
      </c>
      <c r="Y41" s="73" t="s">
        <v>3088</v>
      </c>
      <c r="Z41" s="73" t="s">
        <v>3088</v>
      </c>
      <c r="AA41" s="73" t="s">
        <v>3088</v>
      </c>
      <c r="AB41" s="73" t="s">
        <v>3088</v>
      </c>
      <c r="AC41" s="73" t="s">
        <v>3088</v>
      </c>
      <c r="AD41" s="73" t="s">
        <v>3088</v>
      </c>
      <c r="AE41" s="73" t="s">
        <v>3088</v>
      </c>
      <c r="AF41" s="73" t="s">
        <v>3088</v>
      </c>
      <c r="AG41" s="73" t="s">
        <v>3088</v>
      </c>
      <c r="AH41" s="73" t="s">
        <v>3088</v>
      </c>
      <c r="AI41" s="73" t="s">
        <v>3088</v>
      </c>
      <c r="AJ41" s="73" t="s">
        <v>3088</v>
      </c>
      <c r="AK41" s="73" t="s">
        <v>3088</v>
      </c>
      <c r="AL41" s="73" t="s">
        <v>3088</v>
      </c>
      <c r="AM41" s="73" t="s">
        <v>3088</v>
      </c>
      <c r="AN41" s="73" t="s">
        <v>3088</v>
      </c>
      <c r="AO41" s="73" t="s">
        <v>3088</v>
      </c>
      <c r="AP41" s="73" t="s">
        <v>3088</v>
      </c>
      <c r="AQ41" s="73" t="s">
        <v>3088</v>
      </c>
      <c r="AR41" s="73" t="s">
        <v>3088</v>
      </c>
      <c r="AS41" s="73" t="s">
        <v>3088</v>
      </c>
      <c r="AT41" s="73" t="s">
        <v>3088</v>
      </c>
      <c r="AU41" s="73" t="s">
        <v>3088</v>
      </c>
      <c r="AV41" s="73" t="s">
        <v>3088</v>
      </c>
      <c r="AW41" s="73" t="s">
        <v>3088</v>
      </c>
      <c r="AX41" s="73" t="s">
        <v>3088</v>
      </c>
      <c r="AY41" s="73" t="s">
        <v>3088</v>
      </c>
      <c r="AZ41" s="73" t="s">
        <v>3088</v>
      </c>
      <c r="BA41" s="73" t="s">
        <v>3088</v>
      </c>
      <c r="BB41" s="73" t="s">
        <v>3088</v>
      </c>
      <c r="BC41" s="73" t="s">
        <v>3088</v>
      </c>
      <c r="BD41" s="73" t="s">
        <v>3088</v>
      </c>
      <c r="BE41" s="73" t="s">
        <v>3088</v>
      </c>
      <c r="BF41" s="73" t="s">
        <v>3088</v>
      </c>
      <c r="BG41" s="73" t="s">
        <v>3088</v>
      </c>
      <c r="BH41" s="73" t="s">
        <v>3088</v>
      </c>
      <c r="BI41" s="73" t="s">
        <v>3088</v>
      </c>
      <c r="BJ41" s="73" t="s">
        <v>3088</v>
      </c>
      <c r="BK41" s="73" t="s">
        <v>3088</v>
      </c>
      <c r="BL41" s="73" t="s">
        <v>3088</v>
      </c>
      <c r="BM41" s="73" t="s">
        <v>3088</v>
      </c>
      <c r="BN41" s="73" t="s">
        <v>3088</v>
      </c>
      <c r="BO41" s="73" t="s">
        <v>3088</v>
      </c>
      <c r="BP41" s="73" t="s">
        <v>3088</v>
      </c>
      <c r="BQ41" s="73" t="s">
        <v>3186</v>
      </c>
      <c r="BR41" s="73" t="s">
        <v>3088</v>
      </c>
    </row>
    <row r="42" spans="1:70">
      <c r="A42" s="73" t="s">
        <v>1861</v>
      </c>
      <c r="B42" s="73" t="s">
        <v>3187</v>
      </c>
      <c r="C42" s="73" t="s">
        <v>2563</v>
      </c>
      <c r="D42" s="73" t="s">
        <v>3088</v>
      </c>
      <c r="E42" s="73" t="s">
        <v>3088</v>
      </c>
      <c r="F42" s="73" t="s">
        <v>3088</v>
      </c>
      <c r="G42" s="73" t="s">
        <v>3089</v>
      </c>
      <c r="H42" s="73" t="s">
        <v>3088</v>
      </c>
      <c r="I42" s="73" t="s">
        <v>3093</v>
      </c>
      <c r="J42" s="73" t="s">
        <v>3160</v>
      </c>
      <c r="K42" s="73" t="s">
        <v>3089</v>
      </c>
      <c r="L42" s="73" t="s">
        <v>3088</v>
      </c>
      <c r="M42" s="73" t="s">
        <v>3088</v>
      </c>
      <c r="N42" s="73" t="s">
        <v>3088</v>
      </c>
      <c r="O42" s="73" t="s">
        <v>3088</v>
      </c>
      <c r="P42" s="73" t="s">
        <v>3088</v>
      </c>
      <c r="Q42" s="73" t="s">
        <v>3088</v>
      </c>
      <c r="R42" s="73" t="s">
        <v>3088</v>
      </c>
      <c r="S42" s="73" t="s">
        <v>3088</v>
      </c>
      <c r="T42" s="73" t="s">
        <v>3088</v>
      </c>
      <c r="U42" s="73" t="s">
        <v>3088</v>
      </c>
      <c r="V42" s="73" t="s">
        <v>3088</v>
      </c>
      <c r="W42" s="73" t="s">
        <v>3088</v>
      </c>
      <c r="X42" s="73" t="s">
        <v>3088</v>
      </c>
      <c r="Y42" s="73" t="s">
        <v>3088</v>
      </c>
      <c r="Z42" s="73" t="s">
        <v>3088</v>
      </c>
      <c r="AA42" s="73" t="s">
        <v>3088</v>
      </c>
      <c r="AB42" s="73" t="s">
        <v>3088</v>
      </c>
      <c r="AC42" s="73" t="s">
        <v>3088</v>
      </c>
      <c r="AD42" s="73" t="s">
        <v>3088</v>
      </c>
      <c r="AE42" s="73" t="s">
        <v>3088</v>
      </c>
      <c r="AF42" s="73" t="s">
        <v>3088</v>
      </c>
      <c r="AG42" s="73" t="s">
        <v>3088</v>
      </c>
      <c r="AH42" s="73" t="s">
        <v>3088</v>
      </c>
      <c r="AI42" s="73" t="s">
        <v>3088</v>
      </c>
      <c r="AJ42" s="73" t="s">
        <v>3088</v>
      </c>
      <c r="AK42" s="73" t="s">
        <v>3088</v>
      </c>
      <c r="AL42" s="73" t="s">
        <v>3088</v>
      </c>
      <c r="AM42" s="73" t="s">
        <v>3088</v>
      </c>
      <c r="AN42" s="73" t="s">
        <v>3088</v>
      </c>
      <c r="AO42" s="73" t="s">
        <v>3088</v>
      </c>
      <c r="AP42" s="73" t="s">
        <v>3088</v>
      </c>
      <c r="AQ42" s="73" t="s">
        <v>3088</v>
      </c>
      <c r="AR42" s="73" t="s">
        <v>3088</v>
      </c>
      <c r="AS42" s="73" t="s">
        <v>3088</v>
      </c>
      <c r="AT42" s="73" t="s">
        <v>3088</v>
      </c>
      <c r="AU42" s="73" t="s">
        <v>3088</v>
      </c>
      <c r="AV42" s="73" t="s">
        <v>3088</v>
      </c>
      <c r="AW42" s="73" t="s">
        <v>3088</v>
      </c>
      <c r="AX42" s="73" t="s">
        <v>3088</v>
      </c>
      <c r="AY42" s="73" t="s">
        <v>3088</v>
      </c>
      <c r="AZ42" s="73" t="s">
        <v>3088</v>
      </c>
      <c r="BA42" s="73" t="s">
        <v>3088</v>
      </c>
      <c r="BB42" s="73" t="s">
        <v>3088</v>
      </c>
      <c r="BC42" s="73" t="s">
        <v>3088</v>
      </c>
      <c r="BD42" s="73" t="s">
        <v>3088</v>
      </c>
      <c r="BE42" s="73" t="s">
        <v>3088</v>
      </c>
      <c r="BF42" s="73" t="s">
        <v>3088</v>
      </c>
      <c r="BG42" s="73" t="s">
        <v>3088</v>
      </c>
      <c r="BH42" s="73" t="s">
        <v>3088</v>
      </c>
      <c r="BI42" s="73" t="s">
        <v>3088</v>
      </c>
      <c r="BJ42" s="73" t="s">
        <v>3088</v>
      </c>
      <c r="BK42" s="73" t="s">
        <v>3088</v>
      </c>
      <c r="BL42" s="73" t="s">
        <v>3088</v>
      </c>
      <c r="BM42" s="73" t="s">
        <v>3088</v>
      </c>
      <c r="BN42" s="73" t="s">
        <v>3088</v>
      </c>
      <c r="BO42" s="73" t="s">
        <v>3088</v>
      </c>
      <c r="BP42" s="73" t="s">
        <v>3088</v>
      </c>
      <c r="BQ42" s="73" t="s">
        <v>3188</v>
      </c>
      <c r="BR42" s="73" t="s">
        <v>3088</v>
      </c>
    </row>
    <row r="43" spans="1:70">
      <c r="A43" s="73" t="s">
        <v>1861</v>
      </c>
      <c r="B43" s="73" t="s">
        <v>3189</v>
      </c>
      <c r="C43" s="73" t="s">
        <v>2579</v>
      </c>
      <c r="D43" s="73" t="s">
        <v>3088</v>
      </c>
      <c r="E43" s="73" t="s">
        <v>3088</v>
      </c>
      <c r="F43" s="73" t="s">
        <v>3088</v>
      </c>
      <c r="G43" s="73" t="s">
        <v>3089</v>
      </c>
      <c r="H43" s="73" t="s">
        <v>3088</v>
      </c>
      <c r="I43" s="73" t="s">
        <v>3113</v>
      </c>
      <c r="J43" s="73" t="s">
        <v>3190</v>
      </c>
      <c r="K43" s="73" t="s">
        <v>3089</v>
      </c>
      <c r="L43" s="73" t="s">
        <v>3088</v>
      </c>
      <c r="M43" s="73" t="s">
        <v>3088</v>
      </c>
      <c r="N43" s="73" t="s">
        <v>3088</v>
      </c>
      <c r="O43" s="73" t="s">
        <v>3088</v>
      </c>
      <c r="P43" s="73" t="s">
        <v>3088</v>
      </c>
      <c r="Q43" s="73" t="s">
        <v>3088</v>
      </c>
      <c r="R43" s="73" t="s">
        <v>3088</v>
      </c>
      <c r="S43" s="73" t="s">
        <v>3088</v>
      </c>
      <c r="T43" s="73" t="s">
        <v>3088</v>
      </c>
      <c r="U43" s="73" t="s">
        <v>3088</v>
      </c>
      <c r="V43" s="73" t="s">
        <v>3088</v>
      </c>
      <c r="W43" s="73" t="s">
        <v>3088</v>
      </c>
      <c r="X43" s="73" t="s">
        <v>3088</v>
      </c>
      <c r="Y43" s="73" t="s">
        <v>3088</v>
      </c>
      <c r="Z43" s="73" t="s">
        <v>3088</v>
      </c>
      <c r="AA43" s="73" t="s">
        <v>3088</v>
      </c>
      <c r="AB43" s="73" t="s">
        <v>3088</v>
      </c>
      <c r="AC43" s="73" t="s">
        <v>3088</v>
      </c>
      <c r="AD43" s="73" t="s">
        <v>3088</v>
      </c>
      <c r="AE43" s="73" t="s">
        <v>3088</v>
      </c>
      <c r="AF43" s="73" t="s">
        <v>3088</v>
      </c>
      <c r="AG43" s="73" t="s">
        <v>3088</v>
      </c>
      <c r="AH43" s="73" t="s">
        <v>3088</v>
      </c>
      <c r="AI43" s="73" t="s">
        <v>3088</v>
      </c>
      <c r="AJ43" s="73" t="s">
        <v>3088</v>
      </c>
      <c r="AK43" s="73" t="s">
        <v>3088</v>
      </c>
      <c r="AL43" s="73" t="s">
        <v>3088</v>
      </c>
      <c r="AM43" s="73" t="s">
        <v>3088</v>
      </c>
      <c r="AN43" s="73" t="s">
        <v>3088</v>
      </c>
      <c r="AO43" s="73" t="s">
        <v>3088</v>
      </c>
      <c r="AP43" s="73" t="s">
        <v>3088</v>
      </c>
      <c r="AQ43" s="73" t="s">
        <v>3088</v>
      </c>
      <c r="AR43" s="73" t="s">
        <v>3088</v>
      </c>
      <c r="AS43" s="73" t="s">
        <v>3088</v>
      </c>
      <c r="AT43" s="73" t="s">
        <v>3088</v>
      </c>
      <c r="AU43" s="73" t="s">
        <v>3088</v>
      </c>
      <c r="AV43" s="73" t="s">
        <v>3088</v>
      </c>
      <c r="AW43" s="73" t="s">
        <v>3088</v>
      </c>
      <c r="AX43" s="73" t="s">
        <v>3088</v>
      </c>
      <c r="AY43" s="73" t="s">
        <v>3088</v>
      </c>
      <c r="AZ43" s="73" t="s">
        <v>3088</v>
      </c>
      <c r="BA43" s="73" t="s">
        <v>3088</v>
      </c>
      <c r="BB43" s="73" t="s">
        <v>3088</v>
      </c>
      <c r="BC43" s="73" t="s">
        <v>3088</v>
      </c>
      <c r="BD43" s="73" t="s">
        <v>3088</v>
      </c>
      <c r="BE43" s="73" t="s">
        <v>3088</v>
      </c>
      <c r="BF43" s="73" t="s">
        <v>3088</v>
      </c>
      <c r="BG43" s="73" t="s">
        <v>3088</v>
      </c>
      <c r="BH43" s="73" t="s">
        <v>3088</v>
      </c>
      <c r="BI43" s="73" t="s">
        <v>3088</v>
      </c>
      <c r="BJ43" s="73" t="s">
        <v>3088</v>
      </c>
      <c r="BK43" s="73" t="s">
        <v>3088</v>
      </c>
      <c r="BL43" s="73" t="s">
        <v>3088</v>
      </c>
      <c r="BM43" s="73" t="s">
        <v>3088</v>
      </c>
      <c r="BN43" s="73" t="s">
        <v>3088</v>
      </c>
      <c r="BO43" s="73" t="s">
        <v>3088</v>
      </c>
      <c r="BP43" s="73" t="s">
        <v>3088</v>
      </c>
      <c r="BQ43" s="73" t="s">
        <v>3191</v>
      </c>
      <c r="BR43" s="73" t="s">
        <v>3088</v>
      </c>
    </row>
    <row r="44" spans="1:70">
      <c r="A44" s="73" t="s">
        <v>1861</v>
      </c>
      <c r="B44" s="73" t="s">
        <v>2562</v>
      </c>
      <c r="C44" s="73" t="s">
        <v>2563</v>
      </c>
      <c r="D44" s="73" t="s">
        <v>3088</v>
      </c>
      <c r="E44" s="73" t="s">
        <v>3088</v>
      </c>
      <c r="F44" s="73" t="s">
        <v>3088</v>
      </c>
      <c r="G44" s="73" t="s">
        <v>3089</v>
      </c>
      <c r="H44" s="73" t="s">
        <v>3088</v>
      </c>
      <c r="I44" s="73" t="s">
        <v>3093</v>
      </c>
      <c r="J44" s="73" t="s">
        <v>3192</v>
      </c>
      <c r="K44" s="73" t="s">
        <v>3089</v>
      </c>
      <c r="L44" s="73" t="s">
        <v>1201</v>
      </c>
      <c r="M44" s="73" t="s">
        <v>3192</v>
      </c>
      <c r="N44" s="73" t="s">
        <v>3089</v>
      </c>
      <c r="O44" s="73" t="s">
        <v>3088</v>
      </c>
      <c r="P44" s="73" t="s">
        <v>3088</v>
      </c>
      <c r="Q44" s="73" t="s">
        <v>3088</v>
      </c>
      <c r="R44" s="73" t="s">
        <v>3088</v>
      </c>
      <c r="S44" s="73" t="s">
        <v>3088</v>
      </c>
      <c r="T44" s="73" t="s">
        <v>3088</v>
      </c>
      <c r="U44" s="73" t="s">
        <v>3088</v>
      </c>
      <c r="V44" s="73" t="s">
        <v>3088</v>
      </c>
      <c r="W44" s="73" t="s">
        <v>3088</v>
      </c>
      <c r="X44" s="73" t="s">
        <v>3088</v>
      </c>
      <c r="Y44" s="73" t="s">
        <v>3088</v>
      </c>
      <c r="Z44" s="73" t="s">
        <v>3088</v>
      </c>
      <c r="AA44" s="73" t="s">
        <v>3088</v>
      </c>
      <c r="AB44" s="73" t="s">
        <v>3088</v>
      </c>
      <c r="AC44" s="73" t="s">
        <v>3088</v>
      </c>
      <c r="AD44" s="73" t="s">
        <v>3088</v>
      </c>
      <c r="AE44" s="73" t="s">
        <v>3088</v>
      </c>
      <c r="AF44" s="73" t="s">
        <v>3088</v>
      </c>
      <c r="AG44" s="73" t="s">
        <v>3088</v>
      </c>
      <c r="AH44" s="73" t="s">
        <v>3088</v>
      </c>
      <c r="AI44" s="73" t="s">
        <v>3088</v>
      </c>
      <c r="AJ44" s="73" t="s">
        <v>3088</v>
      </c>
      <c r="AK44" s="73" t="s">
        <v>3088</v>
      </c>
      <c r="AL44" s="73" t="s">
        <v>3088</v>
      </c>
      <c r="AM44" s="73" t="s">
        <v>3088</v>
      </c>
      <c r="AN44" s="73" t="s">
        <v>3088</v>
      </c>
      <c r="AO44" s="73" t="s">
        <v>3088</v>
      </c>
      <c r="AP44" s="73" t="s">
        <v>3088</v>
      </c>
      <c r="AQ44" s="73" t="s">
        <v>3088</v>
      </c>
      <c r="AR44" s="73" t="s">
        <v>3088</v>
      </c>
      <c r="AS44" s="73" t="s">
        <v>3088</v>
      </c>
      <c r="AT44" s="73" t="s">
        <v>3088</v>
      </c>
      <c r="AU44" s="73" t="s">
        <v>3088</v>
      </c>
      <c r="AV44" s="73" t="s">
        <v>3088</v>
      </c>
      <c r="AW44" s="73" t="s">
        <v>3088</v>
      </c>
      <c r="AX44" s="73" t="s">
        <v>3088</v>
      </c>
      <c r="AY44" s="73" t="s">
        <v>3088</v>
      </c>
      <c r="AZ44" s="73" t="s">
        <v>3088</v>
      </c>
      <c r="BA44" s="73" t="s">
        <v>3088</v>
      </c>
      <c r="BB44" s="73" t="s">
        <v>3088</v>
      </c>
      <c r="BC44" s="73" t="s">
        <v>3088</v>
      </c>
      <c r="BD44" s="73" t="s">
        <v>3088</v>
      </c>
      <c r="BE44" s="73" t="s">
        <v>3088</v>
      </c>
      <c r="BF44" s="73" t="s">
        <v>3088</v>
      </c>
      <c r="BG44" s="73" t="s">
        <v>3088</v>
      </c>
      <c r="BH44" s="73" t="s">
        <v>3088</v>
      </c>
      <c r="BI44" s="73" t="s">
        <v>3088</v>
      </c>
      <c r="BJ44" s="73" t="s">
        <v>3088</v>
      </c>
      <c r="BK44" s="73" t="s">
        <v>3088</v>
      </c>
      <c r="BL44" s="73" t="s">
        <v>3088</v>
      </c>
      <c r="BM44" s="73" t="s">
        <v>3088</v>
      </c>
      <c r="BN44" s="73" t="s">
        <v>3088</v>
      </c>
      <c r="BO44" s="73" t="s">
        <v>3088</v>
      </c>
      <c r="BP44" s="73" t="s">
        <v>3088</v>
      </c>
      <c r="BQ44" s="73" t="s">
        <v>3193</v>
      </c>
      <c r="BR44" s="73" t="s">
        <v>3088</v>
      </c>
    </row>
    <row r="45" spans="1:70">
      <c r="A45" s="73" t="s">
        <v>1861</v>
      </c>
      <c r="B45" s="73" t="s">
        <v>3194</v>
      </c>
      <c r="C45" s="73" t="s">
        <v>2554</v>
      </c>
      <c r="D45" s="73" t="s">
        <v>3088</v>
      </c>
      <c r="E45" s="73" t="s">
        <v>3088</v>
      </c>
      <c r="F45" s="73" t="s">
        <v>3088</v>
      </c>
      <c r="G45" s="73" t="s">
        <v>3089</v>
      </c>
      <c r="H45" s="73" t="s">
        <v>3088</v>
      </c>
      <c r="I45" s="73" t="s">
        <v>3093</v>
      </c>
      <c r="J45" s="73" t="s">
        <v>3160</v>
      </c>
      <c r="K45" s="73" t="s">
        <v>3089</v>
      </c>
      <c r="L45" s="73" t="s">
        <v>3088</v>
      </c>
      <c r="M45" s="73" t="s">
        <v>3088</v>
      </c>
      <c r="N45" s="73" t="s">
        <v>3088</v>
      </c>
      <c r="O45" s="73" t="s">
        <v>3088</v>
      </c>
      <c r="P45" s="73" t="s">
        <v>3088</v>
      </c>
      <c r="Q45" s="73" t="s">
        <v>3088</v>
      </c>
      <c r="R45" s="73" t="s">
        <v>3088</v>
      </c>
      <c r="S45" s="73" t="s">
        <v>3088</v>
      </c>
      <c r="T45" s="73" t="s">
        <v>3088</v>
      </c>
      <c r="U45" s="73" t="s">
        <v>3088</v>
      </c>
      <c r="V45" s="73" t="s">
        <v>3088</v>
      </c>
      <c r="W45" s="73" t="s">
        <v>3088</v>
      </c>
      <c r="X45" s="73" t="s">
        <v>3088</v>
      </c>
      <c r="Y45" s="73" t="s">
        <v>3088</v>
      </c>
      <c r="Z45" s="73" t="s">
        <v>3088</v>
      </c>
      <c r="AA45" s="73" t="s">
        <v>3088</v>
      </c>
      <c r="AB45" s="73" t="s">
        <v>3088</v>
      </c>
      <c r="AC45" s="73" t="s">
        <v>3088</v>
      </c>
      <c r="AD45" s="73" t="s">
        <v>3088</v>
      </c>
      <c r="AE45" s="73" t="s">
        <v>3088</v>
      </c>
      <c r="AF45" s="73" t="s">
        <v>3088</v>
      </c>
      <c r="AG45" s="73" t="s">
        <v>3088</v>
      </c>
      <c r="AH45" s="73" t="s">
        <v>3088</v>
      </c>
      <c r="AI45" s="73" t="s">
        <v>3088</v>
      </c>
      <c r="AJ45" s="73" t="s">
        <v>3088</v>
      </c>
      <c r="AK45" s="73" t="s">
        <v>3088</v>
      </c>
      <c r="AL45" s="73" t="s">
        <v>3088</v>
      </c>
      <c r="AM45" s="73" t="s">
        <v>3088</v>
      </c>
      <c r="AN45" s="73" t="s">
        <v>3088</v>
      </c>
      <c r="AO45" s="73" t="s">
        <v>3088</v>
      </c>
      <c r="AP45" s="73" t="s">
        <v>3088</v>
      </c>
      <c r="AQ45" s="73" t="s">
        <v>3088</v>
      </c>
      <c r="AR45" s="73" t="s">
        <v>3088</v>
      </c>
      <c r="AS45" s="73" t="s">
        <v>3088</v>
      </c>
      <c r="AT45" s="73" t="s">
        <v>3088</v>
      </c>
      <c r="AU45" s="73" t="s">
        <v>3088</v>
      </c>
      <c r="AV45" s="73" t="s">
        <v>3088</v>
      </c>
      <c r="AW45" s="73" t="s">
        <v>3088</v>
      </c>
      <c r="AX45" s="73" t="s">
        <v>3088</v>
      </c>
      <c r="AY45" s="73" t="s">
        <v>3088</v>
      </c>
      <c r="AZ45" s="73" t="s">
        <v>3088</v>
      </c>
      <c r="BA45" s="73" t="s">
        <v>3088</v>
      </c>
      <c r="BB45" s="73" t="s">
        <v>3088</v>
      </c>
      <c r="BC45" s="73" t="s">
        <v>3088</v>
      </c>
      <c r="BD45" s="73" t="s">
        <v>3088</v>
      </c>
      <c r="BE45" s="73" t="s">
        <v>3088</v>
      </c>
      <c r="BF45" s="73" t="s">
        <v>3088</v>
      </c>
      <c r="BG45" s="73" t="s">
        <v>3088</v>
      </c>
      <c r="BH45" s="73" t="s">
        <v>3088</v>
      </c>
      <c r="BI45" s="73" t="s">
        <v>3088</v>
      </c>
      <c r="BJ45" s="73" t="s">
        <v>3088</v>
      </c>
      <c r="BK45" s="73" t="s">
        <v>3088</v>
      </c>
      <c r="BL45" s="73" t="s">
        <v>3088</v>
      </c>
      <c r="BM45" s="73" t="s">
        <v>3088</v>
      </c>
      <c r="BN45" s="73" t="s">
        <v>3088</v>
      </c>
      <c r="BO45" s="73" t="s">
        <v>3088</v>
      </c>
      <c r="BP45" s="73" t="s">
        <v>3088</v>
      </c>
      <c r="BQ45" s="73" t="s">
        <v>3195</v>
      </c>
      <c r="BR45" s="73" t="s">
        <v>3088</v>
      </c>
    </row>
    <row r="46" spans="1:70">
      <c r="A46" s="73" t="s">
        <v>1861</v>
      </c>
      <c r="B46" s="73" t="s">
        <v>3196</v>
      </c>
      <c r="C46" s="73" t="s">
        <v>2563</v>
      </c>
      <c r="D46" s="73" t="s">
        <v>3088</v>
      </c>
      <c r="E46" s="73" t="s">
        <v>3088</v>
      </c>
      <c r="F46" s="73" t="s">
        <v>3088</v>
      </c>
      <c r="G46" s="73" t="s">
        <v>3089</v>
      </c>
      <c r="H46" s="73" t="s">
        <v>3088</v>
      </c>
      <c r="I46" s="73" t="s">
        <v>3093</v>
      </c>
      <c r="J46" s="73" t="s">
        <v>3160</v>
      </c>
      <c r="K46" s="73" t="s">
        <v>3089</v>
      </c>
      <c r="L46" s="73" t="s">
        <v>3088</v>
      </c>
      <c r="M46" s="73" t="s">
        <v>3088</v>
      </c>
      <c r="N46" s="73" t="s">
        <v>3088</v>
      </c>
      <c r="O46" s="73" t="s">
        <v>3088</v>
      </c>
      <c r="P46" s="73" t="s">
        <v>3088</v>
      </c>
      <c r="Q46" s="73" t="s">
        <v>3088</v>
      </c>
      <c r="R46" s="73" t="s">
        <v>3088</v>
      </c>
      <c r="S46" s="73" t="s">
        <v>3088</v>
      </c>
      <c r="T46" s="73" t="s">
        <v>3088</v>
      </c>
      <c r="U46" s="73" t="s">
        <v>3088</v>
      </c>
      <c r="V46" s="73" t="s">
        <v>3088</v>
      </c>
      <c r="W46" s="73" t="s">
        <v>3088</v>
      </c>
      <c r="X46" s="73" t="s">
        <v>3088</v>
      </c>
      <c r="Y46" s="73" t="s">
        <v>3088</v>
      </c>
      <c r="Z46" s="73" t="s">
        <v>3088</v>
      </c>
      <c r="AA46" s="73" t="s">
        <v>3088</v>
      </c>
      <c r="AB46" s="73" t="s">
        <v>3088</v>
      </c>
      <c r="AC46" s="73" t="s">
        <v>3088</v>
      </c>
      <c r="AD46" s="73" t="s">
        <v>3088</v>
      </c>
      <c r="AE46" s="73" t="s">
        <v>3088</v>
      </c>
      <c r="AF46" s="73" t="s">
        <v>3088</v>
      </c>
      <c r="AG46" s="73" t="s">
        <v>3088</v>
      </c>
      <c r="AH46" s="73" t="s">
        <v>3088</v>
      </c>
      <c r="AI46" s="73" t="s">
        <v>3088</v>
      </c>
      <c r="AJ46" s="73" t="s">
        <v>3088</v>
      </c>
      <c r="AK46" s="73" t="s">
        <v>3088</v>
      </c>
      <c r="AL46" s="73" t="s">
        <v>3088</v>
      </c>
      <c r="AM46" s="73" t="s">
        <v>3088</v>
      </c>
      <c r="AN46" s="73" t="s">
        <v>3088</v>
      </c>
      <c r="AO46" s="73" t="s">
        <v>3088</v>
      </c>
      <c r="AP46" s="73" t="s">
        <v>3088</v>
      </c>
      <c r="AQ46" s="73" t="s">
        <v>3088</v>
      </c>
      <c r="AR46" s="73" t="s">
        <v>3088</v>
      </c>
      <c r="AS46" s="73" t="s">
        <v>3088</v>
      </c>
      <c r="AT46" s="73" t="s">
        <v>3088</v>
      </c>
      <c r="AU46" s="73" t="s">
        <v>3088</v>
      </c>
      <c r="AV46" s="73" t="s">
        <v>3088</v>
      </c>
      <c r="AW46" s="73" t="s">
        <v>3088</v>
      </c>
      <c r="AX46" s="73" t="s">
        <v>3088</v>
      </c>
      <c r="AY46" s="73" t="s">
        <v>3088</v>
      </c>
      <c r="AZ46" s="73" t="s">
        <v>3088</v>
      </c>
      <c r="BA46" s="73" t="s">
        <v>3088</v>
      </c>
      <c r="BB46" s="73" t="s">
        <v>3088</v>
      </c>
      <c r="BC46" s="73" t="s">
        <v>3088</v>
      </c>
      <c r="BD46" s="73" t="s">
        <v>3088</v>
      </c>
      <c r="BE46" s="73" t="s">
        <v>3088</v>
      </c>
      <c r="BF46" s="73" t="s">
        <v>3088</v>
      </c>
      <c r="BG46" s="73" t="s">
        <v>3088</v>
      </c>
      <c r="BH46" s="73" t="s">
        <v>3088</v>
      </c>
      <c r="BI46" s="73" t="s">
        <v>3088</v>
      </c>
      <c r="BJ46" s="73" t="s">
        <v>3088</v>
      </c>
      <c r="BK46" s="73" t="s">
        <v>3088</v>
      </c>
      <c r="BL46" s="73" t="s">
        <v>3088</v>
      </c>
      <c r="BM46" s="73" t="s">
        <v>3088</v>
      </c>
      <c r="BN46" s="73" t="s">
        <v>3088</v>
      </c>
      <c r="BO46" s="73" t="s">
        <v>3088</v>
      </c>
      <c r="BP46" s="73" t="s">
        <v>3088</v>
      </c>
      <c r="BQ46" s="73" t="s">
        <v>3197</v>
      </c>
      <c r="BR46" s="73" t="s">
        <v>3088</v>
      </c>
    </row>
    <row r="47" spans="1:70">
      <c r="A47" s="73" t="s">
        <v>1861</v>
      </c>
      <c r="B47" s="73" t="s">
        <v>2566</v>
      </c>
      <c r="C47" s="73" t="s">
        <v>2545</v>
      </c>
      <c r="D47" s="73" t="s">
        <v>3088</v>
      </c>
      <c r="E47" s="73" t="s">
        <v>3088</v>
      </c>
      <c r="F47" s="73" t="s">
        <v>3088</v>
      </c>
      <c r="G47" s="73" t="s">
        <v>3089</v>
      </c>
      <c r="H47" s="73" t="s">
        <v>3088</v>
      </c>
      <c r="I47" s="73" t="s">
        <v>108</v>
      </c>
      <c r="J47" s="73" t="s">
        <v>3198</v>
      </c>
      <c r="K47" s="73" t="s">
        <v>3089</v>
      </c>
      <c r="L47" s="73" t="s">
        <v>2309</v>
      </c>
      <c r="M47" s="73" t="s">
        <v>3198</v>
      </c>
      <c r="N47" s="73" t="s">
        <v>3089</v>
      </c>
      <c r="O47" s="73" t="s">
        <v>3088</v>
      </c>
      <c r="P47" s="73" t="s">
        <v>3088</v>
      </c>
      <c r="Q47" s="73" t="s">
        <v>3088</v>
      </c>
      <c r="R47" s="73" t="s">
        <v>3088</v>
      </c>
      <c r="S47" s="73" t="s">
        <v>3088</v>
      </c>
      <c r="T47" s="73" t="s">
        <v>3088</v>
      </c>
      <c r="U47" s="73" t="s">
        <v>3088</v>
      </c>
      <c r="V47" s="73" t="s">
        <v>3088</v>
      </c>
      <c r="W47" s="73" t="s">
        <v>3088</v>
      </c>
      <c r="X47" s="73" t="s">
        <v>3088</v>
      </c>
      <c r="Y47" s="73" t="s">
        <v>3088</v>
      </c>
      <c r="Z47" s="73" t="s">
        <v>3088</v>
      </c>
      <c r="AA47" s="73" t="s">
        <v>3088</v>
      </c>
      <c r="AB47" s="73" t="s">
        <v>3088</v>
      </c>
      <c r="AC47" s="73" t="s">
        <v>3088</v>
      </c>
      <c r="AD47" s="73" t="s">
        <v>3088</v>
      </c>
      <c r="AE47" s="73" t="s">
        <v>3088</v>
      </c>
      <c r="AF47" s="73" t="s">
        <v>3088</v>
      </c>
      <c r="AG47" s="73" t="s">
        <v>3088</v>
      </c>
      <c r="AH47" s="73" t="s">
        <v>3088</v>
      </c>
      <c r="AI47" s="73" t="s">
        <v>3088</v>
      </c>
      <c r="AJ47" s="73" t="s">
        <v>3088</v>
      </c>
      <c r="AK47" s="73" t="s">
        <v>3088</v>
      </c>
      <c r="AL47" s="73" t="s">
        <v>3088</v>
      </c>
      <c r="AM47" s="73" t="s">
        <v>3088</v>
      </c>
      <c r="AN47" s="73" t="s">
        <v>3088</v>
      </c>
      <c r="AO47" s="73" t="s">
        <v>3088</v>
      </c>
      <c r="AP47" s="73" t="s">
        <v>3088</v>
      </c>
      <c r="AQ47" s="73" t="s">
        <v>3088</v>
      </c>
      <c r="AR47" s="73" t="s">
        <v>3088</v>
      </c>
      <c r="AS47" s="73" t="s">
        <v>3088</v>
      </c>
      <c r="AT47" s="73" t="s">
        <v>3088</v>
      </c>
      <c r="AU47" s="73" t="s">
        <v>3088</v>
      </c>
      <c r="AV47" s="73" t="s">
        <v>3088</v>
      </c>
      <c r="AW47" s="73" t="s">
        <v>3088</v>
      </c>
      <c r="AX47" s="73" t="s">
        <v>3088</v>
      </c>
      <c r="AY47" s="73" t="s">
        <v>3088</v>
      </c>
      <c r="AZ47" s="73" t="s">
        <v>3088</v>
      </c>
      <c r="BA47" s="73" t="s">
        <v>3088</v>
      </c>
      <c r="BB47" s="73" t="s">
        <v>3088</v>
      </c>
      <c r="BC47" s="73" t="s">
        <v>3088</v>
      </c>
      <c r="BD47" s="73" t="s">
        <v>3088</v>
      </c>
      <c r="BE47" s="73" t="s">
        <v>3088</v>
      </c>
      <c r="BF47" s="73" t="s">
        <v>3088</v>
      </c>
      <c r="BG47" s="73" t="s">
        <v>3088</v>
      </c>
      <c r="BH47" s="73" t="s">
        <v>3088</v>
      </c>
      <c r="BI47" s="73" t="s">
        <v>3088</v>
      </c>
      <c r="BJ47" s="73" t="s">
        <v>3088</v>
      </c>
      <c r="BK47" s="73" t="s">
        <v>3088</v>
      </c>
      <c r="BL47" s="73" t="s">
        <v>3088</v>
      </c>
      <c r="BM47" s="73" t="s">
        <v>3088</v>
      </c>
      <c r="BN47" s="73" t="s">
        <v>3088</v>
      </c>
      <c r="BO47" s="73" t="s">
        <v>3088</v>
      </c>
      <c r="BP47" s="73" t="s">
        <v>3088</v>
      </c>
      <c r="BQ47" s="73" t="s">
        <v>3199</v>
      </c>
      <c r="BR47" s="73" t="s">
        <v>3088</v>
      </c>
    </row>
    <row r="48" spans="1:70">
      <c r="A48" s="73" t="s">
        <v>1861</v>
      </c>
      <c r="B48" s="73" t="s">
        <v>2570</v>
      </c>
      <c r="C48" s="73" t="s">
        <v>2571</v>
      </c>
      <c r="D48" s="73" t="s">
        <v>3088</v>
      </c>
      <c r="E48" s="73" t="s">
        <v>3088</v>
      </c>
      <c r="F48" s="73" t="s">
        <v>3088</v>
      </c>
      <c r="G48" s="73" t="s">
        <v>3089</v>
      </c>
      <c r="H48" s="73" t="s">
        <v>3088</v>
      </c>
      <c r="I48" s="73" t="s">
        <v>2135</v>
      </c>
      <c r="J48" s="73" t="s">
        <v>3088</v>
      </c>
      <c r="K48" s="73" t="s">
        <v>3088</v>
      </c>
      <c r="L48" s="73" t="s">
        <v>3088</v>
      </c>
      <c r="M48" s="73" t="s">
        <v>3088</v>
      </c>
      <c r="N48" s="73" t="s">
        <v>3088</v>
      </c>
      <c r="O48" s="73" t="s">
        <v>3088</v>
      </c>
      <c r="P48" s="73" t="s">
        <v>3088</v>
      </c>
      <c r="Q48" s="73" t="s">
        <v>3088</v>
      </c>
      <c r="R48" s="73" t="s">
        <v>3088</v>
      </c>
      <c r="S48" s="73" t="s">
        <v>3088</v>
      </c>
      <c r="T48" s="73" t="s">
        <v>3088</v>
      </c>
      <c r="U48" s="73" t="s">
        <v>3088</v>
      </c>
      <c r="V48" s="73" t="s">
        <v>3088</v>
      </c>
      <c r="W48" s="73" t="s">
        <v>3088</v>
      </c>
      <c r="X48" s="73" t="s">
        <v>3088</v>
      </c>
      <c r="Y48" s="73" t="s">
        <v>3088</v>
      </c>
      <c r="Z48" s="73" t="s">
        <v>3088</v>
      </c>
      <c r="AA48" s="73" t="s">
        <v>3088</v>
      </c>
      <c r="AB48" s="73" t="s">
        <v>3088</v>
      </c>
      <c r="AC48" s="73" t="s">
        <v>3088</v>
      </c>
      <c r="AD48" s="73" t="s">
        <v>3088</v>
      </c>
      <c r="AE48" s="73" t="s">
        <v>3088</v>
      </c>
      <c r="AF48" s="73" t="s">
        <v>3088</v>
      </c>
      <c r="AG48" s="73" t="s">
        <v>3088</v>
      </c>
      <c r="AH48" s="73" t="s">
        <v>3088</v>
      </c>
      <c r="AI48" s="73" t="s">
        <v>3088</v>
      </c>
      <c r="AJ48" s="73" t="s">
        <v>3088</v>
      </c>
      <c r="AK48" s="73" t="s">
        <v>3088</v>
      </c>
      <c r="AL48" s="73" t="s">
        <v>3088</v>
      </c>
      <c r="AM48" s="73" t="s">
        <v>3088</v>
      </c>
      <c r="AN48" s="73" t="s">
        <v>3088</v>
      </c>
      <c r="AO48" s="73" t="s">
        <v>3088</v>
      </c>
      <c r="AP48" s="73" t="s">
        <v>3088</v>
      </c>
      <c r="AQ48" s="73" t="s">
        <v>3088</v>
      </c>
      <c r="AR48" s="73" t="s">
        <v>3088</v>
      </c>
      <c r="AS48" s="73" t="s">
        <v>3088</v>
      </c>
      <c r="AT48" s="73" t="s">
        <v>3088</v>
      </c>
      <c r="AU48" s="73" t="s">
        <v>3088</v>
      </c>
      <c r="AV48" s="73" t="s">
        <v>3088</v>
      </c>
      <c r="AW48" s="73" t="s">
        <v>3088</v>
      </c>
      <c r="AX48" s="73" t="s">
        <v>3088</v>
      </c>
      <c r="AY48" s="73" t="s">
        <v>3088</v>
      </c>
      <c r="AZ48" s="73" t="s">
        <v>3088</v>
      </c>
      <c r="BA48" s="73" t="s">
        <v>3088</v>
      </c>
      <c r="BB48" s="73" t="s">
        <v>3088</v>
      </c>
      <c r="BC48" s="73" t="s">
        <v>3088</v>
      </c>
      <c r="BD48" s="73" t="s">
        <v>3088</v>
      </c>
      <c r="BE48" s="73" t="s">
        <v>3088</v>
      </c>
      <c r="BF48" s="73" t="s">
        <v>3088</v>
      </c>
      <c r="BG48" s="73" t="s">
        <v>3088</v>
      </c>
      <c r="BH48" s="73" t="s">
        <v>3088</v>
      </c>
      <c r="BI48" s="73" t="s">
        <v>3088</v>
      </c>
      <c r="BJ48" s="73" t="s">
        <v>3088</v>
      </c>
      <c r="BK48" s="73" t="s">
        <v>3088</v>
      </c>
      <c r="BL48" s="73" t="s">
        <v>3088</v>
      </c>
      <c r="BM48" s="73" t="s">
        <v>3088</v>
      </c>
      <c r="BN48" s="73" t="s">
        <v>3088</v>
      </c>
      <c r="BO48" s="73" t="s">
        <v>3088</v>
      </c>
      <c r="BP48" s="73" t="s">
        <v>3088</v>
      </c>
      <c r="BQ48" s="73" t="s">
        <v>3200</v>
      </c>
      <c r="BR48" s="73" t="s">
        <v>3088</v>
      </c>
    </row>
    <row r="49" spans="1:70">
      <c r="A49" s="73" t="s">
        <v>1861</v>
      </c>
      <c r="B49" s="73" t="s">
        <v>3201</v>
      </c>
      <c r="C49" s="73" t="s">
        <v>2545</v>
      </c>
      <c r="D49" s="73" t="s">
        <v>3088</v>
      </c>
      <c r="E49" s="73" t="s">
        <v>3088</v>
      </c>
      <c r="F49" s="73" t="s">
        <v>3088</v>
      </c>
      <c r="G49" s="73" t="s">
        <v>3089</v>
      </c>
      <c r="H49" s="73" t="s">
        <v>3088</v>
      </c>
      <c r="I49" s="73" t="s">
        <v>3093</v>
      </c>
      <c r="J49" s="73" t="s">
        <v>3088</v>
      </c>
      <c r="K49" s="73" t="s">
        <v>3088</v>
      </c>
      <c r="L49" s="73" t="s">
        <v>3088</v>
      </c>
      <c r="M49" s="73" t="s">
        <v>3088</v>
      </c>
      <c r="N49" s="73" t="s">
        <v>3088</v>
      </c>
      <c r="O49" s="73" t="s">
        <v>3088</v>
      </c>
      <c r="P49" s="73" t="s">
        <v>3088</v>
      </c>
      <c r="Q49" s="73" t="s">
        <v>3088</v>
      </c>
      <c r="R49" s="73" t="s">
        <v>3088</v>
      </c>
      <c r="S49" s="73" t="s">
        <v>3088</v>
      </c>
      <c r="T49" s="73" t="s">
        <v>3088</v>
      </c>
      <c r="U49" s="73" t="s">
        <v>3088</v>
      </c>
      <c r="V49" s="73" t="s">
        <v>3088</v>
      </c>
      <c r="W49" s="73" t="s">
        <v>3088</v>
      </c>
      <c r="X49" s="73" t="s">
        <v>3088</v>
      </c>
      <c r="Y49" s="73" t="s">
        <v>3088</v>
      </c>
      <c r="Z49" s="73" t="s">
        <v>3088</v>
      </c>
      <c r="AA49" s="73" t="s">
        <v>3088</v>
      </c>
      <c r="AB49" s="73" t="s">
        <v>3088</v>
      </c>
      <c r="AC49" s="73" t="s">
        <v>3088</v>
      </c>
      <c r="AD49" s="73" t="s">
        <v>3088</v>
      </c>
      <c r="AE49" s="73" t="s">
        <v>3088</v>
      </c>
      <c r="AF49" s="73" t="s">
        <v>3088</v>
      </c>
      <c r="AG49" s="73" t="s">
        <v>3088</v>
      </c>
      <c r="AH49" s="73" t="s">
        <v>3088</v>
      </c>
      <c r="AI49" s="73" t="s">
        <v>3088</v>
      </c>
      <c r="AJ49" s="73" t="s">
        <v>3088</v>
      </c>
      <c r="AK49" s="73" t="s">
        <v>3088</v>
      </c>
      <c r="AL49" s="73" t="s">
        <v>3088</v>
      </c>
      <c r="AM49" s="73" t="s">
        <v>3088</v>
      </c>
      <c r="AN49" s="73" t="s">
        <v>3088</v>
      </c>
      <c r="AO49" s="73" t="s">
        <v>3088</v>
      </c>
      <c r="AP49" s="73" t="s">
        <v>3088</v>
      </c>
      <c r="AQ49" s="73" t="s">
        <v>3088</v>
      </c>
      <c r="AR49" s="73" t="s">
        <v>3088</v>
      </c>
      <c r="AS49" s="73" t="s">
        <v>3088</v>
      </c>
      <c r="AT49" s="73" t="s">
        <v>3088</v>
      </c>
      <c r="AU49" s="73" t="s">
        <v>3088</v>
      </c>
      <c r="AV49" s="73" t="s">
        <v>3088</v>
      </c>
      <c r="AW49" s="73" t="s">
        <v>3088</v>
      </c>
      <c r="AX49" s="73" t="s">
        <v>3088</v>
      </c>
      <c r="AY49" s="73" t="s">
        <v>3088</v>
      </c>
      <c r="AZ49" s="73" t="s">
        <v>3088</v>
      </c>
      <c r="BA49" s="73" t="s">
        <v>3088</v>
      </c>
      <c r="BB49" s="73" t="s">
        <v>3088</v>
      </c>
      <c r="BC49" s="73" t="s">
        <v>3088</v>
      </c>
      <c r="BD49" s="73" t="s">
        <v>3088</v>
      </c>
      <c r="BE49" s="73" t="s">
        <v>3088</v>
      </c>
      <c r="BF49" s="73" t="s">
        <v>3088</v>
      </c>
      <c r="BG49" s="73" t="s">
        <v>3088</v>
      </c>
      <c r="BH49" s="73" t="s">
        <v>3088</v>
      </c>
      <c r="BI49" s="73" t="s">
        <v>3088</v>
      </c>
      <c r="BJ49" s="73" t="s">
        <v>3088</v>
      </c>
      <c r="BK49" s="73" t="s">
        <v>3088</v>
      </c>
      <c r="BL49" s="73" t="s">
        <v>3088</v>
      </c>
      <c r="BM49" s="73" t="s">
        <v>3088</v>
      </c>
      <c r="BN49" s="73" t="s">
        <v>3088</v>
      </c>
      <c r="BO49" s="73" t="s">
        <v>3088</v>
      </c>
      <c r="BP49" s="73" t="s">
        <v>3088</v>
      </c>
      <c r="BQ49" s="73" t="s">
        <v>3202</v>
      </c>
      <c r="BR49" s="73" t="s">
        <v>3088</v>
      </c>
    </row>
    <row r="50" spans="1:70">
      <c r="A50" s="73" t="s">
        <v>1861</v>
      </c>
      <c r="B50" s="73" t="s">
        <v>3203</v>
      </c>
      <c r="C50" s="73" t="s">
        <v>3155</v>
      </c>
      <c r="D50" s="73" t="s">
        <v>3088</v>
      </c>
      <c r="E50" s="73" t="s">
        <v>3088</v>
      </c>
      <c r="F50" s="73" t="s">
        <v>3088</v>
      </c>
      <c r="G50" s="73" t="s">
        <v>3095</v>
      </c>
      <c r="H50" s="73" t="s">
        <v>3130</v>
      </c>
      <c r="I50" s="73" t="s">
        <v>3088</v>
      </c>
      <c r="J50" s="73" t="s">
        <v>3088</v>
      </c>
      <c r="K50" s="73" t="s">
        <v>3088</v>
      </c>
      <c r="L50" s="73" t="s">
        <v>3088</v>
      </c>
      <c r="M50" s="73" t="s">
        <v>3088</v>
      </c>
      <c r="N50" s="73" t="s">
        <v>3088</v>
      </c>
      <c r="O50" s="73" t="s">
        <v>3088</v>
      </c>
      <c r="P50" s="73" t="s">
        <v>3088</v>
      </c>
      <c r="Q50" s="73" t="s">
        <v>3088</v>
      </c>
      <c r="R50" s="73" t="s">
        <v>3088</v>
      </c>
      <c r="S50" s="73" t="s">
        <v>3088</v>
      </c>
      <c r="T50" s="73" t="s">
        <v>3088</v>
      </c>
      <c r="U50" s="73" t="s">
        <v>3088</v>
      </c>
      <c r="V50" s="73" t="s">
        <v>3088</v>
      </c>
      <c r="W50" s="73" t="s">
        <v>3088</v>
      </c>
      <c r="X50" s="73" t="s">
        <v>3088</v>
      </c>
      <c r="Y50" s="73" t="s">
        <v>3088</v>
      </c>
      <c r="Z50" s="73" t="s">
        <v>3088</v>
      </c>
      <c r="AA50" s="73" t="s">
        <v>3088</v>
      </c>
      <c r="AB50" s="73" t="s">
        <v>3088</v>
      </c>
      <c r="AC50" s="73" t="s">
        <v>3088</v>
      </c>
      <c r="AD50" s="73" t="s">
        <v>3088</v>
      </c>
      <c r="AE50" s="73" t="s">
        <v>3088</v>
      </c>
      <c r="AF50" s="73" t="s">
        <v>3088</v>
      </c>
      <c r="AG50" s="73" t="s">
        <v>3088</v>
      </c>
      <c r="AH50" s="73" t="s">
        <v>3088</v>
      </c>
      <c r="AI50" s="73" t="s">
        <v>3088</v>
      </c>
      <c r="AJ50" s="73" t="s">
        <v>3088</v>
      </c>
      <c r="AK50" s="73" t="s">
        <v>3088</v>
      </c>
      <c r="AL50" s="73" t="s">
        <v>3088</v>
      </c>
      <c r="AM50" s="73" t="s">
        <v>3088</v>
      </c>
      <c r="AN50" s="73" t="s">
        <v>3088</v>
      </c>
      <c r="AO50" s="73" t="s">
        <v>3088</v>
      </c>
      <c r="AP50" s="73" t="s">
        <v>3088</v>
      </c>
      <c r="AQ50" s="73" t="s">
        <v>3088</v>
      </c>
      <c r="AR50" s="73" t="s">
        <v>3088</v>
      </c>
      <c r="AS50" s="73" t="s">
        <v>3088</v>
      </c>
      <c r="AT50" s="73" t="s">
        <v>3088</v>
      </c>
      <c r="AU50" s="73" t="s">
        <v>3088</v>
      </c>
      <c r="AV50" s="73" t="s">
        <v>3088</v>
      </c>
      <c r="AW50" s="73" t="s">
        <v>3088</v>
      </c>
      <c r="AX50" s="73" t="s">
        <v>3088</v>
      </c>
      <c r="AY50" s="73" t="s">
        <v>3088</v>
      </c>
      <c r="AZ50" s="73" t="s">
        <v>3088</v>
      </c>
      <c r="BA50" s="73" t="s">
        <v>3088</v>
      </c>
      <c r="BB50" s="73" t="s">
        <v>3088</v>
      </c>
      <c r="BC50" s="73" t="s">
        <v>3088</v>
      </c>
      <c r="BD50" s="73" t="s">
        <v>3088</v>
      </c>
      <c r="BE50" s="73" t="s">
        <v>3088</v>
      </c>
      <c r="BF50" s="73" t="s">
        <v>3088</v>
      </c>
      <c r="BG50" s="73" t="s">
        <v>3088</v>
      </c>
      <c r="BH50" s="73" t="s">
        <v>3088</v>
      </c>
      <c r="BI50" s="73" t="s">
        <v>3088</v>
      </c>
      <c r="BJ50" s="73" t="s">
        <v>3088</v>
      </c>
      <c r="BK50" s="73" t="s">
        <v>3088</v>
      </c>
      <c r="BL50" s="73" t="s">
        <v>3088</v>
      </c>
      <c r="BM50" s="73" t="s">
        <v>3088</v>
      </c>
      <c r="BN50" s="73" t="s">
        <v>3088</v>
      </c>
      <c r="BO50" s="73" t="s">
        <v>3088</v>
      </c>
      <c r="BP50" s="73" t="s">
        <v>3088</v>
      </c>
      <c r="BQ50" s="73" t="s">
        <v>3204</v>
      </c>
      <c r="BR50" s="73" t="s">
        <v>3097</v>
      </c>
    </row>
    <row r="51" spans="1:70">
      <c r="A51" s="73" t="s">
        <v>1861</v>
      </c>
      <c r="B51" s="73" t="s">
        <v>3205</v>
      </c>
      <c r="C51" s="73" t="s">
        <v>2582</v>
      </c>
      <c r="D51" s="73" t="s">
        <v>3088</v>
      </c>
      <c r="E51" s="73" t="s">
        <v>3088</v>
      </c>
      <c r="F51" s="73" t="s">
        <v>3088</v>
      </c>
      <c r="G51" s="73" t="s">
        <v>3089</v>
      </c>
      <c r="H51" s="73" t="s">
        <v>3130</v>
      </c>
      <c r="I51" s="73" t="s">
        <v>3088</v>
      </c>
      <c r="J51" s="73" t="s">
        <v>3088</v>
      </c>
      <c r="K51" s="73" t="s">
        <v>3088</v>
      </c>
      <c r="L51" s="73" t="s">
        <v>3088</v>
      </c>
      <c r="M51" s="73" t="s">
        <v>3088</v>
      </c>
      <c r="N51" s="73" t="s">
        <v>3088</v>
      </c>
      <c r="O51" s="73" t="s">
        <v>3088</v>
      </c>
      <c r="P51" s="73" t="s">
        <v>3088</v>
      </c>
      <c r="Q51" s="73" t="s">
        <v>3088</v>
      </c>
      <c r="R51" s="73" t="s">
        <v>3088</v>
      </c>
      <c r="S51" s="73" t="s">
        <v>3088</v>
      </c>
      <c r="T51" s="73" t="s">
        <v>3088</v>
      </c>
      <c r="U51" s="73" t="s">
        <v>3088</v>
      </c>
      <c r="V51" s="73" t="s">
        <v>3088</v>
      </c>
      <c r="W51" s="73" t="s">
        <v>3088</v>
      </c>
      <c r="X51" s="73" t="s">
        <v>3088</v>
      </c>
      <c r="Y51" s="73" t="s">
        <v>3088</v>
      </c>
      <c r="Z51" s="73" t="s">
        <v>3088</v>
      </c>
      <c r="AA51" s="73" t="s">
        <v>3088</v>
      </c>
      <c r="AB51" s="73" t="s">
        <v>3088</v>
      </c>
      <c r="AC51" s="73" t="s">
        <v>3088</v>
      </c>
      <c r="AD51" s="73" t="s">
        <v>3088</v>
      </c>
      <c r="AE51" s="73" t="s">
        <v>3088</v>
      </c>
      <c r="AF51" s="73" t="s">
        <v>3088</v>
      </c>
      <c r="AG51" s="73" t="s">
        <v>3088</v>
      </c>
      <c r="AH51" s="73" t="s">
        <v>3088</v>
      </c>
      <c r="AI51" s="73" t="s">
        <v>3088</v>
      </c>
      <c r="AJ51" s="73" t="s">
        <v>3088</v>
      </c>
      <c r="AK51" s="73" t="s">
        <v>3088</v>
      </c>
      <c r="AL51" s="73" t="s">
        <v>3088</v>
      </c>
      <c r="AM51" s="73" t="s">
        <v>3088</v>
      </c>
      <c r="AN51" s="73" t="s">
        <v>3088</v>
      </c>
      <c r="AO51" s="73" t="s">
        <v>3088</v>
      </c>
      <c r="AP51" s="73" t="s">
        <v>3088</v>
      </c>
      <c r="AQ51" s="73" t="s">
        <v>3088</v>
      </c>
      <c r="AR51" s="73" t="s">
        <v>3088</v>
      </c>
      <c r="AS51" s="73" t="s">
        <v>3088</v>
      </c>
      <c r="AT51" s="73" t="s">
        <v>3088</v>
      </c>
      <c r="AU51" s="73" t="s">
        <v>3088</v>
      </c>
      <c r="AV51" s="73" t="s">
        <v>3088</v>
      </c>
      <c r="AW51" s="73" t="s">
        <v>3088</v>
      </c>
      <c r="AX51" s="73" t="s">
        <v>3088</v>
      </c>
      <c r="AY51" s="73" t="s">
        <v>3088</v>
      </c>
      <c r="AZ51" s="73" t="s">
        <v>3088</v>
      </c>
      <c r="BA51" s="73" t="s">
        <v>3088</v>
      </c>
      <c r="BB51" s="73" t="s">
        <v>3088</v>
      </c>
      <c r="BC51" s="73" t="s">
        <v>3088</v>
      </c>
      <c r="BD51" s="73" t="s">
        <v>3088</v>
      </c>
      <c r="BE51" s="73" t="s">
        <v>3088</v>
      </c>
      <c r="BF51" s="73" t="s">
        <v>3088</v>
      </c>
      <c r="BG51" s="73" t="s">
        <v>3088</v>
      </c>
      <c r="BH51" s="73" t="s">
        <v>3088</v>
      </c>
      <c r="BI51" s="73" t="s">
        <v>3088</v>
      </c>
      <c r="BJ51" s="73" t="s">
        <v>3088</v>
      </c>
      <c r="BK51" s="73" t="s">
        <v>3088</v>
      </c>
      <c r="BL51" s="73" t="s">
        <v>3088</v>
      </c>
      <c r="BM51" s="73" t="s">
        <v>3088</v>
      </c>
      <c r="BN51" s="73" t="s">
        <v>3088</v>
      </c>
      <c r="BO51" s="73" t="s">
        <v>3088</v>
      </c>
      <c r="BP51" s="73" t="s">
        <v>3088</v>
      </c>
      <c r="BQ51" s="73" t="s">
        <v>3206</v>
      </c>
      <c r="BR51" s="73" t="s">
        <v>3097</v>
      </c>
    </row>
    <row r="52" spans="1:70">
      <c r="A52" s="73" t="s">
        <v>1861</v>
      </c>
      <c r="B52" s="73" t="s">
        <v>3207</v>
      </c>
      <c r="C52" s="73" t="s">
        <v>2582</v>
      </c>
      <c r="D52" s="73" t="s">
        <v>3088</v>
      </c>
      <c r="E52" s="73" t="s">
        <v>3088</v>
      </c>
      <c r="F52" s="73" t="s">
        <v>3088</v>
      </c>
      <c r="G52" s="73" t="s">
        <v>3089</v>
      </c>
      <c r="H52" s="73" t="s">
        <v>3152</v>
      </c>
      <c r="I52" s="73" t="s">
        <v>3088</v>
      </c>
      <c r="J52" s="73" t="s">
        <v>3088</v>
      </c>
      <c r="K52" s="73" t="s">
        <v>3088</v>
      </c>
      <c r="L52" s="73" t="s">
        <v>3088</v>
      </c>
      <c r="M52" s="73" t="s">
        <v>3088</v>
      </c>
      <c r="N52" s="73" t="s">
        <v>3088</v>
      </c>
      <c r="O52" s="73" t="s">
        <v>3088</v>
      </c>
      <c r="P52" s="73" t="s">
        <v>3088</v>
      </c>
      <c r="Q52" s="73" t="s">
        <v>3088</v>
      </c>
      <c r="R52" s="73" t="s">
        <v>3088</v>
      </c>
      <c r="S52" s="73" t="s">
        <v>3088</v>
      </c>
      <c r="T52" s="73" t="s">
        <v>3088</v>
      </c>
      <c r="U52" s="73" t="s">
        <v>3088</v>
      </c>
      <c r="V52" s="73" t="s">
        <v>3088</v>
      </c>
      <c r="W52" s="73" t="s">
        <v>3088</v>
      </c>
      <c r="X52" s="73" t="s">
        <v>3088</v>
      </c>
      <c r="Y52" s="73" t="s">
        <v>3088</v>
      </c>
      <c r="Z52" s="73" t="s">
        <v>3088</v>
      </c>
      <c r="AA52" s="73" t="s">
        <v>3088</v>
      </c>
      <c r="AB52" s="73" t="s">
        <v>3088</v>
      </c>
      <c r="AC52" s="73" t="s">
        <v>3088</v>
      </c>
      <c r="AD52" s="73" t="s">
        <v>3088</v>
      </c>
      <c r="AE52" s="73" t="s">
        <v>3088</v>
      </c>
      <c r="AF52" s="73" t="s">
        <v>3088</v>
      </c>
      <c r="AG52" s="73" t="s">
        <v>3088</v>
      </c>
      <c r="AH52" s="73" t="s">
        <v>3088</v>
      </c>
      <c r="AI52" s="73" t="s">
        <v>3088</v>
      </c>
      <c r="AJ52" s="73" t="s">
        <v>3088</v>
      </c>
      <c r="AK52" s="73" t="s">
        <v>3088</v>
      </c>
      <c r="AL52" s="73" t="s">
        <v>3088</v>
      </c>
      <c r="AM52" s="73" t="s">
        <v>3088</v>
      </c>
      <c r="AN52" s="73" t="s">
        <v>3088</v>
      </c>
      <c r="AO52" s="73" t="s">
        <v>3088</v>
      </c>
      <c r="AP52" s="73" t="s">
        <v>3088</v>
      </c>
      <c r="AQ52" s="73" t="s">
        <v>3088</v>
      </c>
      <c r="AR52" s="73" t="s">
        <v>3088</v>
      </c>
      <c r="AS52" s="73" t="s">
        <v>3088</v>
      </c>
      <c r="AT52" s="73" t="s">
        <v>3088</v>
      </c>
      <c r="AU52" s="73" t="s">
        <v>3088</v>
      </c>
      <c r="AV52" s="73" t="s">
        <v>3088</v>
      </c>
      <c r="AW52" s="73" t="s">
        <v>3088</v>
      </c>
      <c r="AX52" s="73" t="s">
        <v>3088</v>
      </c>
      <c r="AY52" s="73" t="s">
        <v>3088</v>
      </c>
      <c r="AZ52" s="73" t="s">
        <v>3088</v>
      </c>
      <c r="BA52" s="73" t="s">
        <v>3088</v>
      </c>
      <c r="BB52" s="73" t="s">
        <v>3088</v>
      </c>
      <c r="BC52" s="73" t="s">
        <v>3088</v>
      </c>
      <c r="BD52" s="73" t="s">
        <v>3088</v>
      </c>
      <c r="BE52" s="73" t="s">
        <v>3088</v>
      </c>
      <c r="BF52" s="73" t="s">
        <v>3088</v>
      </c>
      <c r="BG52" s="73" t="s">
        <v>3088</v>
      </c>
      <c r="BH52" s="73" t="s">
        <v>3088</v>
      </c>
      <c r="BI52" s="73" t="s">
        <v>3088</v>
      </c>
      <c r="BJ52" s="73" t="s">
        <v>3088</v>
      </c>
      <c r="BK52" s="73" t="s">
        <v>3088</v>
      </c>
      <c r="BL52" s="73" t="s">
        <v>3088</v>
      </c>
      <c r="BM52" s="73" t="s">
        <v>3088</v>
      </c>
      <c r="BN52" s="73" t="s">
        <v>3088</v>
      </c>
      <c r="BO52" s="73" t="s">
        <v>3088</v>
      </c>
      <c r="BP52" s="73" t="s">
        <v>3088</v>
      </c>
      <c r="BQ52" s="73" t="s">
        <v>3208</v>
      </c>
      <c r="BR52" s="73" t="s">
        <v>3097</v>
      </c>
    </row>
    <row r="53" spans="1:70">
      <c r="A53" s="73" t="s">
        <v>1861</v>
      </c>
      <c r="B53" s="73" t="s">
        <v>3209</v>
      </c>
      <c r="C53" s="73" t="s">
        <v>2571</v>
      </c>
      <c r="D53" s="73" t="s">
        <v>3088</v>
      </c>
      <c r="E53" s="73" t="s">
        <v>3088</v>
      </c>
      <c r="F53" s="73" t="s">
        <v>3088</v>
      </c>
      <c r="G53" s="73" t="s">
        <v>3089</v>
      </c>
      <c r="H53" s="73" t="s">
        <v>3088</v>
      </c>
      <c r="I53" s="73" t="s">
        <v>3093</v>
      </c>
      <c r="J53" s="73" t="s">
        <v>3088</v>
      </c>
      <c r="K53" s="73" t="s">
        <v>3088</v>
      </c>
      <c r="L53" s="73" t="s">
        <v>3088</v>
      </c>
      <c r="M53" s="73" t="s">
        <v>3088</v>
      </c>
      <c r="N53" s="73" t="s">
        <v>3088</v>
      </c>
      <c r="O53" s="73" t="s">
        <v>3088</v>
      </c>
      <c r="P53" s="73" t="s">
        <v>3088</v>
      </c>
      <c r="Q53" s="73" t="s">
        <v>3088</v>
      </c>
      <c r="R53" s="73" t="s">
        <v>3088</v>
      </c>
      <c r="S53" s="73" t="s">
        <v>3088</v>
      </c>
      <c r="T53" s="73" t="s">
        <v>3088</v>
      </c>
      <c r="U53" s="73" t="s">
        <v>3088</v>
      </c>
      <c r="V53" s="73" t="s">
        <v>3088</v>
      </c>
      <c r="W53" s="73" t="s">
        <v>3088</v>
      </c>
      <c r="X53" s="73" t="s">
        <v>3088</v>
      </c>
      <c r="Y53" s="73" t="s">
        <v>3088</v>
      </c>
      <c r="Z53" s="73" t="s">
        <v>3088</v>
      </c>
      <c r="AA53" s="73" t="s">
        <v>3088</v>
      </c>
      <c r="AB53" s="73" t="s">
        <v>3088</v>
      </c>
      <c r="AC53" s="73" t="s">
        <v>3088</v>
      </c>
      <c r="AD53" s="73" t="s">
        <v>3088</v>
      </c>
      <c r="AE53" s="73" t="s">
        <v>3088</v>
      </c>
      <c r="AF53" s="73" t="s">
        <v>3088</v>
      </c>
      <c r="AG53" s="73" t="s">
        <v>3088</v>
      </c>
      <c r="AH53" s="73" t="s">
        <v>3088</v>
      </c>
      <c r="AI53" s="73" t="s">
        <v>3088</v>
      </c>
      <c r="AJ53" s="73" t="s">
        <v>3088</v>
      </c>
      <c r="AK53" s="73" t="s">
        <v>3088</v>
      </c>
      <c r="AL53" s="73" t="s">
        <v>3088</v>
      </c>
      <c r="AM53" s="73" t="s">
        <v>3088</v>
      </c>
      <c r="AN53" s="73" t="s">
        <v>3088</v>
      </c>
      <c r="AO53" s="73" t="s">
        <v>3088</v>
      </c>
      <c r="AP53" s="73" t="s">
        <v>3088</v>
      </c>
      <c r="AQ53" s="73" t="s">
        <v>3088</v>
      </c>
      <c r="AR53" s="73" t="s">
        <v>3088</v>
      </c>
      <c r="AS53" s="73" t="s">
        <v>3088</v>
      </c>
      <c r="AT53" s="73" t="s">
        <v>3088</v>
      </c>
      <c r="AU53" s="73" t="s">
        <v>3088</v>
      </c>
      <c r="AV53" s="73" t="s">
        <v>3088</v>
      </c>
      <c r="AW53" s="73" t="s">
        <v>3088</v>
      </c>
      <c r="AX53" s="73" t="s">
        <v>3088</v>
      </c>
      <c r="AY53" s="73" t="s">
        <v>3088</v>
      </c>
      <c r="AZ53" s="73" t="s">
        <v>3088</v>
      </c>
      <c r="BA53" s="73" t="s">
        <v>3088</v>
      </c>
      <c r="BB53" s="73" t="s">
        <v>3088</v>
      </c>
      <c r="BC53" s="73" t="s">
        <v>3088</v>
      </c>
      <c r="BD53" s="73" t="s">
        <v>3088</v>
      </c>
      <c r="BE53" s="73" t="s">
        <v>3088</v>
      </c>
      <c r="BF53" s="73" t="s">
        <v>3088</v>
      </c>
      <c r="BG53" s="73" t="s">
        <v>3088</v>
      </c>
      <c r="BH53" s="73" t="s">
        <v>3088</v>
      </c>
      <c r="BI53" s="73" t="s">
        <v>3088</v>
      </c>
      <c r="BJ53" s="73" t="s">
        <v>3088</v>
      </c>
      <c r="BK53" s="73" t="s">
        <v>3088</v>
      </c>
      <c r="BL53" s="73" t="s">
        <v>3088</v>
      </c>
      <c r="BM53" s="73" t="s">
        <v>3088</v>
      </c>
      <c r="BN53" s="73" t="s">
        <v>3088</v>
      </c>
      <c r="BO53" s="73" t="s">
        <v>3088</v>
      </c>
      <c r="BP53" s="73" t="s">
        <v>3088</v>
      </c>
      <c r="BQ53" s="73" t="s">
        <v>3210</v>
      </c>
      <c r="BR53" s="73" t="s">
        <v>3088</v>
      </c>
    </row>
    <row r="54" spans="1:70">
      <c r="A54" s="73" t="s">
        <v>1861</v>
      </c>
      <c r="B54" s="73" t="s">
        <v>3211</v>
      </c>
      <c r="C54" s="73" t="s">
        <v>2563</v>
      </c>
      <c r="D54" s="73" t="s">
        <v>3088</v>
      </c>
      <c r="E54" s="73" t="s">
        <v>3088</v>
      </c>
      <c r="F54" s="73" t="s">
        <v>3088</v>
      </c>
      <c r="G54" s="73" t="s">
        <v>3089</v>
      </c>
      <c r="H54" s="73" t="s">
        <v>3088</v>
      </c>
      <c r="I54" s="73" t="s">
        <v>3093</v>
      </c>
      <c r="J54" s="73" t="s">
        <v>3160</v>
      </c>
      <c r="K54" s="73" t="s">
        <v>3089</v>
      </c>
      <c r="L54" s="73" t="s">
        <v>3088</v>
      </c>
      <c r="M54" s="73" t="s">
        <v>3088</v>
      </c>
      <c r="N54" s="73" t="s">
        <v>3088</v>
      </c>
      <c r="O54" s="73" t="s">
        <v>3088</v>
      </c>
      <c r="P54" s="73" t="s">
        <v>3088</v>
      </c>
      <c r="Q54" s="73" t="s">
        <v>3088</v>
      </c>
      <c r="R54" s="73" t="s">
        <v>3088</v>
      </c>
      <c r="S54" s="73" t="s">
        <v>3088</v>
      </c>
      <c r="T54" s="73" t="s">
        <v>3088</v>
      </c>
      <c r="U54" s="73" t="s">
        <v>3088</v>
      </c>
      <c r="V54" s="73" t="s">
        <v>3088</v>
      </c>
      <c r="W54" s="73" t="s">
        <v>3088</v>
      </c>
      <c r="X54" s="73" t="s">
        <v>3088</v>
      </c>
      <c r="Y54" s="73" t="s">
        <v>3088</v>
      </c>
      <c r="Z54" s="73" t="s">
        <v>3088</v>
      </c>
      <c r="AA54" s="73" t="s">
        <v>3088</v>
      </c>
      <c r="AB54" s="73" t="s">
        <v>3088</v>
      </c>
      <c r="AC54" s="73" t="s">
        <v>3088</v>
      </c>
      <c r="AD54" s="73" t="s">
        <v>3088</v>
      </c>
      <c r="AE54" s="73" t="s">
        <v>3088</v>
      </c>
      <c r="AF54" s="73" t="s">
        <v>3088</v>
      </c>
      <c r="AG54" s="73" t="s">
        <v>3088</v>
      </c>
      <c r="AH54" s="73" t="s">
        <v>3088</v>
      </c>
      <c r="AI54" s="73" t="s">
        <v>3088</v>
      </c>
      <c r="AJ54" s="73" t="s">
        <v>3088</v>
      </c>
      <c r="AK54" s="73" t="s">
        <v>3088</v>
      </c>
      <c r="AL54" s="73" t="s">
        <v>3088</v>
      </c>
      <c r="AM54" s="73" t="s">
        <v>3088</v>
      </c>
      <c r="AN54" s="73" t="s">
        <v>3088</v>
      </c>
      <c r="AO54" s="73" t="s">
        <v>3088</v>
      </c>
      <c r="AP54" s="73" t="s">
        <v>3088</v>
      </c>
      <c r="AQ54" s="73" t="s">
        <v>3088</v>
      </c>
      <c r="AR54" s="73" t="s">
        <v>3088</v>
      </c>
      <c r="AS54" s="73" t="s">
        <v>3088</v>
      </c>
      <c r="AT54" s="73" t="s">
        <v>3088</v>
      </c>
      <c r="AU54" s="73" t="s">
        <v>3088</v>
      </c>
      <c r="AV54" s="73" t="s">
        <v>3088</v>
      </c>
      <c r="AW54" s="73" t="s">
        <v>3088</v>
      </c>
      <c r="AX54" s="73" t="s">
        <v>3088</v>
      </c>
      <c r="AY54" s="73" t="s">
        <v>3088</v>
      </c>
      <c r="AZ54" s="73" t="s">
        <v>3088</v>
      </c>
      <c r="BA54" s="73" t="s">
        <v>3088</v>
      </c>
      <c r="BB54" s="73" t="s">
        <v>3088</v>
      </c>
      <c r="BC54" s="73" t="s">
        <v>3088</v>
      </c>
      <c r="BD54" s="73" t="s">
        <v>3088</v>
      </c>
      <c r="BE54" s="73" t="s">
        <v>3088</v>
      </c>
      <c r="BF54" s="73" t="s">
        <v>3088</v>
      </c>
      <c r="BG54" s="73" t="s">
        <v>3088</v>
      </c>
      <c r="BH54" s="73" t="s">
        <v>3088</v>
      </c>
      <c r="BI54" s="73" t="s">
        <v>3088</v>
      </c>
      <c r="BJ54" s="73" t="s">
        <v>3088</v>
      </c>
      <c r="BK54" s="73" t="s">
        <v>3088</v>
      </c>
      <c r="BL54" s="73" t="s">
        <v>3088</v>
      </c>
      <c r="BM54" s="73" t="s">
        <v>3088</v>
      </c>
      <c r="BN54" s="73" t="s">
        <v>3088</v>
      </c>
      <c r="BO54" s="73" t="s">
        <v>3088</v>
      </c>
      <c r="BP54" s="73" t="s">
        <v>3088</v>
      </c>
      <c r="BQ54" s="73" t="s">
        <v>3212</v>
      </c>
      <c r="BR54" s="73" t="s">
        <v>3088</v>
      </c>
    </row>
    <row r="55" spans="1:70">
      <c r="A55" s="73" t="s">
        <v>1861</v>
      </c>
      <c r="B55" s="73" t="s">
        <v>2572</v>
      </c>
      <c r="C55" s="73" t="s">
        <v>2571</v>
      </c>
      <c r="D55" s="73" t="s">
        <v>3088</v>
      </c>
      <c r="E55" s="73" t="s">
        <v>3088</v>
      </c>
      <c r="F55" s="73" t="s">
        <v>3088</v>
      </c>
      <c r="G55" s="73" t="s">
        <v>3089</v>
      </c>
      <c r="H55" s="73" t="s">
        <v>3088</v>
      </c>
      <c r="I55" s="73" t="s">
        <v>2309</v>
      </c>
      <c r="J55" s="73" t="s">
        <v>2573</v>
      </c>
      <c r="K55" s="73" t="s">
        <v>3089</v>
      </c>
      <c r="L55" s="73" t="s">
        <v>3088</v>
      </c>
      <c r="M55" s="73" t="s">
        <v>3088</v>
      </c>
      <c r="N55" s="73" t="s">
        <v>3088</v>
      </c>
      <c r="O55" s="73" t="s">
        <v>3088</v>
      </c>
      <c r="P55" s="73" t="s">
        <v>3088</v>
      </c>
      <c r="Q55" s="73" t="s">
        <v>3088</v>
      </c>
      <c r="R55" s="73" t="s">
        <v>3088</v>
      </c>
      <c r="S55" s="73" t="s">
        <v>3088</v>
      </c>
      <c r="T55" s="73" t="s">
        <v>3088</v>
      </c>
      <c r="U55" s="73" t="s">
        <v>3088</v>
      </c>
      <c r="V55" s="73" t="s">
        <v>3088</v>
      </c>
      <c r="W55" s="73" t="s">
        <v>3088</v>
      </c>
      <c r="X55" s="73" t="s">
        <v>3088</v>
      </c>
      <c r="Y55" s="73" t="s">
        <v>3088</v>
      </c>
      <c r="Z55" s="73" t="s">
        <v>3088</v>
      </c>
      <c r="AA55" s="73" t="s">
        <v>3088</v>
      </c>
      <c r="AB55" s="73" t="s">
        <v>3088</v>
      </c>
      <c r="AC55" s="73" t="s">
        <v>3088</v>
      </c>
      <c r="AD55" s="73" t="s">
        <v>3088</v>
      </c>
      <c r="AE55" s="73" t="s">
        <v>3088</v>
      </c>
      <c r="AF55" s="73" t="s">
        <v>3088</v>
      </c>
      <c r="AG55" s="73" t="s">
        <v>3088</v>
      </c>
      <c r="AH55" s="73" t="s">
        <v>3088</v>
      </c>
      <c r="AI55" s="73" t="s">
        <v>3088</v>
      </c>
      <c r="AJ55" s="73" t="s">
        <v>3088</v>
      </c>
      <c r="AK55" s="73" t="s">
        <v>3088</v>
      </c>
      <c r="AL55" s="73" t="s">
        <v>3088</v>
      </c>
      <c r="AM55" s="73" t="s">
        <v>3088</v>
      </c>
      <c r="AN55" s="73" t="s">
        <v>3088</v>
      </c>
      <c r="AO55" s="73" t="s">
        <v>3088</v>
      </c>
      <c r="AP55" s="73" t="s">
        <v>3088</v>
      </c>
      <c r="AQ55" s="73" t="s">
        <v>3088</v>
      </c>
      <c r="AR55" s="73" t="s">
        <v>3088</v>
      </c>
      <c r="AS55" s="73" t="s">
        <v>3088</v>
      </c>
      <c r="AT55" s="73" t="s">
        <v>3088</v>
      </c>
      <c r="AU55" s="73" t="s">
        <v>3088</v>
      </c>
      <c r="AV55" s="73" t="s">
        <v>3088</v>
      </c>
      <c r="AW55" s="73" t="s">
        <v>3088</v>
      </c>
      <c r="AX55" s="73" t="s">
        <v>3088</v>
      </c>
      <c r="AY55" s="73" t="s">
        <v>3088</v>
      </c>
      <c r="AZ55" s="73" t="s">
        <v>3088</v>
      </c>
      <c r="BA55" s="73" t="s">
        <v>3088</v>
      </c>
      <c r="BB55" s="73" t="s">
        <v>3088</v>
      </c>
      <c r="BC55" s="73" t="s">
        <v>3088</v>
      </c>
      <c r="BD55" s="73" t="s">
        <v>3088</v>
      </c>
      <c r="BE55" s="73" t="s">
        <v>3088</v>
      </c>
      <c r="BF55" s="73" t="s">
        <v>3088</v>
      </c>
      <c r="BG55" s="73" t="s">
        <v>3088</v>
      </c>
      <c r="BH55" s="73" t="s">
        <v>3088</v>
      </c>
      <c r="BI55" s="73" t="s">
        <v>3088</v>
      </c>
      <c r="BJ55" s="73" t="s">
        <v>3088</v>
      </c>
      <c r="BK55" s="73" t="s">
        <v>3088</v>
      </c>
      <c r="BL55" s="73" t="s">
        <v>3088</v>
      </c>
      <c r="BM55" s="73" t="s">
        <v>3088</v>
      </c>
      <c r="BN55" s="73" t="s">
        <v>3088</v>
      </c>
      <c r="BO55" s="73" t="s">
        <v>3088</v>
      </c>
      <c r="BP55" s="73" t="s">
        <v>3088</v>
      </c>
      <c r="BQ55" s="73" t="s">
        <v>3213</v>
      </c>
      <c r="BR55" s="73" t="s">
        <v>3088</v>
      </c>
    </row>
    <row r="56" spans="1:70">
      <c r="A56" s="73" t="s">
        <v>1861</v>
      </c>
      <c r="B56" s="73" t="s">
        <v>3214</v>
      </c>
      <c r="C56" s="73" t="s">
        <v>2563</v>
      </c>
      <c r="D56" s="73" t="s">
        <v>3088</v>
      </c>
      <c r="E56" s="73" t="s">
        <v>3088</v>
      </c>
      <c r="F56" s="73" t="s">
        <v>3088</v>
      </c>
      <c r="G56" s="73" t="s">
        <v>3089</v>
      </c>
      <c r="H56" s="73" t="s">
        <v>3088</v>
      </c>
      <c r="I56" s="73" t="s">
        <v>3093</v>
      </c>
      <c r="J56" s="73" t="s">
        <v>3088</v>
      </c>
      <c r="K56" s="73" t="s">
        <v>3088</v>
      </c>
      <c r="L56" s="73" t="s">
        <v>3088</v>
      </c>
      <c r="M56" s="73" t="s">
        <v>3088</v>
      </c>
      <c r="N56" s="73" t="s">
        <v>3088</v>
      </c>
      <c r="O56" s="73" t="s">
        <v>3088</v>
      </c>
      <c r="P56" s="73" t="s">
        <v>3088</v>
      </c>
      <c r="Q56" s="73" t="s">
        <v>3088</v>
      </c>
      <c r="R56" s="73" t="s">
        <v>3088</v>
      </c>
      <c r="S56" s="73" t="s">
        <v>3088</v>
      </c>
      <c r="T56" s="73" t="s">
        <v>3088</v>
      </c>
      <c r="U56" s="73" t="s">
        <v>3088</v>
      </c>
      <c r="V56" s="73" t="s">
        <v>3088</v>
      </c>
      <c r="W56" s="73" t="s">
        <v>3088</v>
      </c>
      <c r="X56" s="73" t="s">
        <v>3088</v>
      </c>
      <c r="Y56" s="73" t="s">
        <v>3088</v>
      </c>
      <c r="Z56" s="73" t="s">
        <v>3088</v>
      </c>
      <c r="AA56" s="73" t="s">
        <v>3088</v>
      </c>
      <c r="AB56" s="73" t="s">
        <v>3088</v>
      </c>
      <c r="AC56" s="73" t="s">
        <v>3088</v>
      </c>
      <c r="AD56" s="73" t="s">
        <v>3088</v>
      </c>
      <c r="AE56" s="73" t="s">
        <v>3088</v>
      </c>
      <c r="AF56" s="73" t="s">
        <v>3088</v>
      </c>
      <c r="AG56" s="73" t="s">
        <v>3088</v>
      </c>
      <c r="AH56" s="73" t="s">
        <v>3088</v>
      </c>
      <c r="AI56" s="73" t="s">
        <v>3088</v>
      </c>
      <c r="AJ56" s="73" t="s">
        <v>3088</v>
      </c>
      <c r="AK56" s="73" t="s">
        <v>3088</v>
      </c>
      <c r="AL56" s="73" t="s">
        <v>3088</v>
      </c>
      <c r="AM56" s="73" t="s">
        <v>3088</v>
      </c>
      <c r="AN56" s="73" t="s">
        <v>3088</v>
      </c>
      <c r="AO56" s="73" t="s">
        <v>3088</v>
      </c>
      <c r="AP56" s="73" t="s">
        <v>3088</v>
      </c>
      <c r="AQ56" s="73" t="s">
        <v>3088</v>
      </c>
      <c r="AR56" s="73" t="s">
        <v>3088</v>
      </c>
      <c r="AS56" s="73" t="s">
        <v>3088</v>
      </c>
      <c r="AT56" s="73" t="s">
        <v>3088</v>
      </c>
      <c r="AU56" s="73" t="s">
        <v>3088</v>
      </c>
      <c r="AV56" s="73" t="s">
        <v>3088</v>
      </c>
      <c r="AW56" s="73" t="s">
        <v>3088</v>
      </c>
      <c r="AX56" s="73" t="s">
        <v>3088</v>
      </c>
      <c r="AY56" s="73" t="s">
        <v>3088</v>
      </c>
      <c r="AZ56" s="73" t="s">
        <v>3088</v>
      </c>
      <c r="BA56" s="73" t="s">
        <v>3088</v>
      </c>
      <c r="BB56" s="73" t="s">
        <v>3088</v>
      </c>
      <c r="BC56" s="73" t="s">
        <v>3088</v>
      </c>
      <c r="BD56" s="73" t="s">
        <v>3088</v>
      </c>
      <c r="BE56" s="73" t="s">
        <v>3088</v>
      </c>
      <c r="BF56" s="73" t="s">
        <v>3088</v>
      </c>
      <c r="BG56" s="73" t="s">
        <v>3088</v>
      </c>
      <c r="BH56" s="73" t="s">
        <v>3088</v>
      </c>
      <c r="BI56" s="73" t="s">
        <v>3088</v>
      </c>
      <c r="BJ56" s="73" t="s">
        <v>3088</v>
      </c>
      <c r="BK56" s="73" t="s">
        <v>3088</v>
      </c>
      <c r="BL56" s="73" t="s">
        <v>3088</v>
      </c>
      <c r="BM56" s="73" t="s">
        <v>3088</v>
      </c>
      <c r="BN56" s="73" t="s">
        <v>3088</v>
      </c>
      <c r="BO56" s="73" t="s">
        <v>3088</v>
      </c>
      <c r="BP56" s="73" t="s">
        <v>3088</v>
      </c>
      <c r="BQ56" s="73" t="s">
        <v>3215</v>
      </c>
      <c r="BR56" s="73" t="s">
        <v>3088</v>
      </c>
    </row>
    <row r="57" spans="1:70">
      <c r="A57" s="73" t="s">
        <v>1861</v>
      </c>
      <c r="B57" s="73" t="s">
        <v>3216</v>
      </c>
      <c r="C57" s="73" t="s">
        <v>2554</v>
      </c>
      <c r="D57" s="73" t="s">
        <v>3088</v>
      </c>
      <c r="E57" s="73" t="s">
        <v>3088</v>
      </c>
      <c r="F57" s="73" t="s">
        <v>3088</v>
      </c>
      <c r="G57" s="73" t="s">
        <v>3089</v>
      </c>
      <c r="H57" s="73" t="s">
        <v>3088</v>
      </c>
      <c r="I57" s="73" t="s">
        <v>3093</v>
      </c>
      <c r="J57" s="73" t="s">
        <v>3160</v>
      </c>
      <c r="K57" s="73" t="s">
        <v>3089</v>
      </c>
      <c r="L57" s="73" t="s">
        <v>3088</v>
      </c>
      <c r="M57" s="73" t="s">
        <v>3088</v>
      </c>
      <c r="N57" s="73" t="s">
        <v>3088</v>
      </c>
      <c r="O57" s="73" t="s">
        <v>3088</v>
      </c>
      <c r="P57" s="73" t="s">
        <v>3088</v>
      </c>
      <c r="Q57" s="73" t="s">
        <v>3088</v>
      </c>
      <c r="R57" s="73" t="s">
        <v>3088</v>
      </c>
      <c r="S57" s="73" t="s">
        <v>3088</v>
      </c>
      <c r="T57" s="73" t="s">
        <v>3088</v>
      </c>
      <c r="U57" s="73" t="s">
        <v>3088</v>
      </c>
      <c r="V57" s="73" t="s">
        <v>3088</v>
      </c>
      <c r="W57" s="73" t="s">
        <v>3088</v>
      </c>
      <c r="X57" s="73" t="s">
        <v>3088</v>
      </c>
      <c r="Y57" s="73" t="s">
        <v>3088</v>
      </c>
      <c r="Z57" s="73" t="s">
        <v>3088</v>
      </c>
      <c r="AA57" s="73" t="s">
        <v>3088</v>
      </c>
      <c r="AB57" s="73" t="s">
        <v>3088</v>
      </c>
      <c r="AC57" s="73" t="s">
        <v>3088</v>
      </c>
      <c r="AD57" s="73" t="s">
        <v>3088</v>
      </c>
      <c r="AE57" s="73" t="s">
        <v>3088</v>
      </c>
      <c r="AF57" s="73" t="s">
        <v>3088</v>
      </c>
      <c r="AG57" s="73" t="s">
        <v>3088</v>
      </c>
      <c r="AH57" s="73" t="s">
        <v>3088</v>
      </c>
      <c r="AI57" s="73" t="s">
        <v>3088</v>
      </c>
      <c r="AJ57" s="73" t="s">
        <v>3088</v>
      </c>
      <c r="AK57" s="73" t="s">
        <v>3088</v>
      </c>
      <c r="AL57" s="73" t="s">
        <v>3088</v>
      </c>
      <c r="AM57" s="73" t="s">
        <v>3088</v>
      </c>
      <c r="AN57" s="73" t="s">
        <v>3088</v>
      </c>
      <c r="AO57" s="73" t="s">
        <v>3088</v>
      </c>
      <c r="AP57" s="73" t="s">
        <v>3088</v>
      </c>
      <c r="AQ57" s="73" t="s">
        <v>3088</v>
      </c>
      <c r="AR57" s="73" t="s">
        <v>3088</v>
      </c>
      <c r="AS57" s="73" t="s">
        <v>3088</v>
      </c>
      <c r="AT57" s="73" t="s">
        <v>3088</v>
      </c>
      <c r="AU57" s="73" t="s">
        <v>3088</v>
      </c>
      <c r="AV57" s="73" t="s">
        <v>3088</v>
      </c>
      <c r="AW57" s="73" t="s">
        <v>3088</v>
      </c>
      <c r="AX57" s="73" t="s">
        <v>3088</v>
      </c>
      <c r="AY57" s="73" t="s">
        <v>3088</v>
      </c>
      <c r="AZ57" s="73" t="s">
        <v>3088</v>
      </c>
      <c r="BA57" s="73" t="s">
        <v>3088</v>
      </c>
      <c r="BB57" s="73" t="s">
        <v>3088</v>
      </c>
      <c r="BC57" s="73" t="s">
        <v>3088</v>
      </c>
      <c r="BD57" s="73" t="s">
        <v>3088</v>
      </c>
      <c r="BE57" s="73" t="s">
        <v>3088</v>
      </c>
      <c r="BF57" s="73" t="s">
        <v>3088</v>
      </c>
      <c r="BG57" s="73" t="s">
        <v>3088</v>
      </c>
      <c r="BH57" s="73" t="s">
        <v>3088</v>
      </c>
      <c r="BI57" s="73" t="s">
        <v>3088</v>
      </c>
      <c r="BJ57" s="73" t="s">
        <v>3088</v>
      </c>
      <c r="BK57" s="73" t="s">
        <v>3088</v>
      </c>
      <c r="BL57" s="73" t="s">
        <v>3088</v>
      </c>
      <c r="BM57" s="73" t="s">
        <v>3088</v>
      </c>
      <c r="BN57" s="73" t="s">
        <v>3088</v>
      </c>
      <c r="BO57" s="73" t="s">
        <v>3088</v>
      </c>
      <c r="BP57" s="73" t="s">
        <v>3088</v>
      </c>
      <c r="BQ57" s="73" t="s">
        <v>3217</v>
      </c>
      <c r="BR57" s="73" t="s">
        <v>3088</v>
      </c>
    </row>
    <row r="58" spans="1:70">
      <c r="A58" s="73" t="s">
        <v>1861</v>
      </c>
      <c r="B58" s="73" t="s">
        <v>3218</v>
      </c>
      <c r="C58" s="73" t="s">
        <v>2591</v>
      </c>
      <c r="D58" s="73" t="s">
        <v>3088</v>
      </c>
      <c r="E58" s="73" t="s">
        <v>3088</v>
      </c>
      <c r="F58" s="73" t="s">
        <v>3088</v>
      </c>
      <c r="G58" s="73" t="s">
        <v>3089</v>
      </c>
      <c r="H58" s="73" t="s">
        <v>3088</v>
      </c>
      <c r="I58" s="73" t="s">
        <v>3093</v>
      </c>
      <c r="J58" s="73" t="s">
        <v>3088</v>
      </c>
      <c r="K58" s="73" t="s">
        <v>3088</v>
      </c>
      <c r="L58" s="73" t="s">
        <v>3088</v>
      </c>
      <c r="M58" s="73" t="s">
        <v>3088</v>
      </c>
      <c r="N58" s="73" t="s">
        <v>3088</v>
      </c>
      <c r="O58" s="73" t="s">
        <v>3088</v>
      </c>
      <c r="P58" s="73" t="s">
        <v>3088</v>
      </c>
      <c r="Q58" s="73" t="s">
        <v>3088</v>
      </c>
      <c r="R58" s="73" t="s">
        <v>3088</v>
      </c>
      <c r="S58" s="73" t="s">
        <v>3088</v>
      </c>
      <c r="T58" s="73" t="s">
        <v>3088</v>
      </c>
      <c r="U58" s="73" t="s">
        <v>3088</v>
      </c>
      <c r="V58" s="73" t="s">
        <v>3088</v>
      </c>
      <c r="W58" s="73" t="s">
        <v>3088</v>
      </c>
      <c r="X58" s="73" t="s">
        <v>3088</v>
      </c>
      <c r="Y58" s="73" t="s">
        <v>3088</v>
      </c>
      <c r="Z58" s="73" t="s">
        <v>3088</v>
      </c>
      <c r="AA58" s="73" t="s">
        <v>3088</v>
      </c>
      <c r="AB58" s="73" t="s">
        <v>3088</v>
      </c>
      <c r="AC58" s="73" t="s">
        <v>3088</v>
      </c>
      <c r="AD58" s="73" t="s">
        <v>3088</v>
      </c>
      <c r="AE58" s="73" t="s">
        <v>3088</v>
      </c>
      <c r="AF58" s="73" t="s">
        <v>3088</v>
      </c>
      <c r="AG58" s="73" t="s">
        <v>3088</v>
      </c>
      <c r="AH58" s="73" t="s">
        <v>3088</v>
      </c>
      <c r="AI58" s="73" t="s">
        <v>3088</v>
      </c>
      <c r="AJ58" s="73" t="s">
        <v>3088</v>
      </c>
      <c r="AK58" s="73" t="s">
        <v>3088</v>
      </c>
      <c r="AL58" s="73" t="s">
        <v>3088</v>
      </c>
      <c r="AM58" s="73" t="s">
        <v>3088</v>
      </c>
      <c r="AN58" s="73" t="s">
        <v>3088</v>
      </c>
      <c r="AO58" s="73" t="s">
        <v>3088</v>
      </c>
      <c r="AP58" s="73" t="s">
        <v>3088</v>
      </c>
      <c r="AQ58" s="73" t="s">
        <v>3088</v>
      </c>
      <c r="AR58" s="73" t="s">
        <v>3088</v>
      </c>
      <c r="AS58" s="73" t="s">
        <v>3088</v>
      </c>
      <c r="AT58" s="73" t="s">
        <v>3088</v>
      </c>
      <c r="AU58" s="73" t="s">
        <v>3088</v>
      </c>
      <c r="AV58" s="73" t="s">
        <v>3088</v>
      </c>
      <c r="AW58" s="73" t="s">
        <v>3088</v>
      </c>
      <c r="AX58" s="73" t="s">
        <v>3088</v>
      </c>
      <c r="AY58" s="73" t="s">
        <v>3088</v>
      </c>
      <c r="AZ58" s="73" t="s">
        <v>3088</v>
      </c>
      <c r="BA58" s="73" t="s">
        <v>3088</v>
      </c>
      <c r="BB58" s="73" t="s">
        <v>3088</v>
      </c>
      <c r="BC58" s="73" t="s">
        <v>3088</v>
      </c>
      <c r="BD58" s="73" t="s">
        <v>3088</v>
      </c>
      <c r="BE58" s="73" t="s">
        <v>3088</v>
      </c>
      <c r="BF58" s="73" t="s">
        <v>3088</v>
      </c>
      <c r="BG58" s="73" t="s">
        <v>3088</v>
      </c>
      <c r="BH58" s="73" t="s">
        <v>3088</v>
      </c>
      <c r="BI58" s="73" t="s">
        <v>3088</v>
      </c>
      <c r="BJ58" s="73" t="s">
        <v>3088</v>
      </c>
      <c r="BK58" s="73" t="s">
        <v>3088</v>
      </c>
      <c r="BL58" s="73" t="s">
        <v>3088</v>
      </c>
      <c r="BM58" s="73" t="s">
        <v>3088</v>
      </c>
      <c r="BN58" s="73" t="s">
        <v>3088</v>
      </c>
      <c r="BO58" s="73" t="s">
        <v>3088</v>
      </c>
      <c r="BP58" s="73" t="s">
        <v>3088</v>
      </c>
      <c r="BQ58" s="73" t="s">
        <v>3219</v>
      </c>
      <c r="BR58" s="73" t="s">
        <v>3088</v>
      </c>
    </row>
    <row r="59" spans="1:70">
      <c r="A59" s="73" t="s">
        <v>1861</v>
      </c>
      <c r="B59" s="73" t="s">
        <v>2574</v>
      </c>
      <c r="C59" s="73" t="s">
        <v>2563</v>
      </c>
      <c r="D59" s="73" t="s">
        <v>3088</v>
      </c>
      <c r="E59" s="73" t="s">
        <v>3088</v>
      </c>
      <c r="F59" s="73" t="s">
        <v>3088</v>
      </c>
      <c r="G59" s="73" t="s">
        <v>3089</v>
      </c>
      <c r="H59" s="73" t="s">
        <v>3088</v>
      </c>
      <c r="I59" s="73" t="s">
        <v>2309</v>
      </c>
      <c r="J59" s="73" t="s">
        <v>2573</v>
      </c>
      <c r="K59" s="73" t="s">
        <v>3089</v>
      </c>
      <c r="L59" s="73" t="s">
        <v>3088</v>
      </c>
      <c r="M59" s="73" t="s">
        <v>3088</v>
      </c>
      <c r="N59" s="73" t="s">
        <v>3088</v>
      </c>
      <c r="O59" s="73" t="s">
        <v>3088</v>
      </c>
      <c r="P59" s="73" t="s">
        <v>3088</v>
      </c>
      <c r="Q59" s="73" t="s">
        <v>3088</v>
      </c>
      <c r="R59" s="73" t="s">
        <v>3088</v>
      </c>
      <c r="S59" s="73" t="s">
        <v>3088</v>
      </c>
      <c r="T59" s="73" t="s">
        <v>3088</v>
      </c>
      <c r="U59" s="73" t="s">
        <v>3088</v>
      </c>
      <c r="V59" s="73" t="s">
        <v>3088</v>
      </c>
      <c r="W59" s="73" t="s">
        <v>3088</v>
      </c>
      <c r="X59" s="73" t="s">
        <v>3088</v>
      </c>
      <c r="Y59" s="73" t="s">
        <v>3088</v>
      </c>
      <c r="Z59" s="73" t="s">
        <v>3088</v>
      </c>
      <c r="AA59" s="73" t="s">
        <v>3088</v>
      </c>
      <c r="AB59" s="73" t="s">
        <v>3088</v>
      </c>
      <c r="AC59" s="73" t="s">
        <v>3088</v>
      </c>
      <c r="AD59" s="73" t="s">
        <v>3088</v>
      </c>
      <c r="AE59" s="73" t="s">
        <v>3088</v>
      </c>
      <c r="AF59" s="73" t="s">
        <v>3088</v>
      </c>
      <c r="AG59" s="73" t="s">
        <v>3088</v>
      </c>
      <c r="AH59" s="73" t="s">
        <v>3088</v>
      </c>
      <c r="AI59" s="73" t="s">
        <v>3088</v>
      </c>
      <c r="AJ59" s="73" t="s">
        <v>3088</v>
      </c>
      <c r="AK59" s="73" t="s">
        <v>3088</v>
      </c>
      <c r="AL59" s="73" t="s">
        <v>3088</v>
      </c>
      <c r="AM59" s="73" t="s">
        <v>3088</v>
      </c>
      <c r="AN59" s="73" t="s">
        <v>3088</v>
      </c>
      <c r="AO59" s="73" t="s">
        <v>3088</v>
      </c>
      <c r="AP59" s="73" t="s">
        <v>3088</v>
      </c>
      <c r="AQ59" s="73" t="s">
        <v>3088</v>
      </c>
      <c r="AR59" s="73" t="s">
        <v>3088</v>
      </c>
      <c r="AS59" s="73" t="s">
        <v>3088</v>
      </c>
      <c r="AT59" s="73" t="s">
        <v>3088</v>
      </c>
      <c r="AU59" s="73" t="s">
        <v>3088</v>
      </c>
      <c r="AV59" s="73" t="s">
        <v>3088</v>
      </c>
      <c r="AW59" s="73" t="s">
        <v>3088</v>
      </c>
      <c r="AX59" s="73" t="s">
        <v>3088</v>
      </c>
      <c r="AY59" s="73" t="s">
        <v>3088</v>
      </c>
      <c r="AZ59" s="73" t="s">
        <v>3088</v>
      </c>
      <c r="BA59" s="73" t="s">
        <v>3088</v>
      </c>
      <c r="BB59" s="73" t="s">
        <v>3088</v>
      </c>
      <c r="BC59" s="73" t="s">
        <v>3088</v>
      </c>
      <c r="BD59" s="73" t="s">
        <v>3088</v>
      </c>
      <c r="BE59" s="73" t="s">
        <v>3088</v>
      </c>
      <c r="BF59" s="73" t="s">
        <v>3088</v>
      </c>
      <c r="BG59" s="73" t="s">
        <v>3088</v>
      </c>
      <c r="BH59" s="73" t="s">
        <v>3088</v>
      </c>
      <c r="BI59" s="73" t="s">
        <v>3088</v>
      </c>
      <c r="BJ59" s="73" t="s">
        <v>3088</v>
      </c>
      <c r="BK59" s="73" t="s">
        <v>3088</v>
      </c>
      <c r="BL59" s="73" t="s">
        <v>3088</v>
      </c>
      <c r="BM59" s="73" t="s">
        <v>3088</v>
      </c>
      <c r="BN59" s="73" t="s">
        <v>3088</v>
      </c>
      <c r="BO59" s="73" t="s">
        <v>3088</v>
      </c>
      <c r="BP59" s="73" t="s">
        <v>3088</v>
      </c>
      <c r="BQ59" s="73" t="s">
        <v>3220</v>
      </c>
      <c r="BR59" s="73" t="s">
        <v>3088</v>
      </c>
    </row>
    <row r="60" spans="1:70">
      <c r="A60" s="73" t="s">
        <v>1861</v>
      </c>
      <c r="B60" s="73" t="s">
        <v>3221</v>
      </c>
      <c r="C60" s="73" t="s">
        <v>2582</v>
      </c>
      <c r="D60" s="73" t="s">
        <v>3088</v>
      </c>
      <c r="E60" s="73" t="s">
        <v>3088</v>
      </c>
      <c r="F60" s="73" t="s">
        <v>3088</v>
      </c>
      <c r="G60" s="73" t="s">
        <v>3089</v>
      </c>
      <c r="H60" s="73" t="s">
        <v>3152</v>
      </c>
      <c r="I60" s="73" t="s">
        <v>3088</v>
      </c>
      <c r="J60" s="73" t="s">
        <v>3088</v>
      </c>
      <c r="K60" s="73" t="s">
        <v>3088</v>
      </c>
      <c r="L60" s="73" t="s">
        <v>3088</v>
      </c>
      <c r="M60" s="73" t="s">
        <v>3088</v>
      </c>
      <c r="N60" s="73" t="s">
        <v>3088</v>
      </c>
      <c r="O60" s="73" t="s">
        <v>3088</v>
      </c>
      <c r="P60" s="73" t="s">
        <v>3088</v>
      </c>
      <c r="Q60" s="73" t="s">
        <v>3088</v>
      </c>
      <c r="R60" s="73" t="s">
        <v>3088</v>
      </c>
      <c r="S60" s="73" t="s">
        <v>3088</v>
      </c>
      <c r="T60" s="73" t="s">
        <v>3088</v>
      </c>
      <c r="U60" s="73" t="s">
        <v>3088</v>
      </c>
      <c r="V60" s="73" t="s">
        <v>3088</v>
      </c>
      <c r="W60" s="73" t="s">
        <v>3088</v>
      </c>
      <c r="X60" s="73" t="s">
        <v>3088</v>
      </c>
      <c r="Y60" s="73" t="s">
        <v>3088</v>
      </c>
      <c r="Z60" s="73" t="s">
        <v>3088</v>
      </c>
      <c r="AA60" s="73" t="s">
        <v>3088</v>
      </c>
      <c r="AB60" s="73" t="s">
        <v>3088</v>
      </c>
      <c r="AC60" s="73" t="s">
        <v>3088</v>
      </c>
      <c r="AD60" s="73" t="s">
        <v>3088</v>
      </c>
      <c r="AE60" s="73" t="s">
        <v>3088</v>
      </c>
      <c r="AF60" s="73" t="s">
        <v>3088</v>
      </c>
      <c r="AG60" s="73" t="s">
        <v>3088</v>
      </c>
      <c r="AH60" s="73" t="s">
        <v>3088</v>
      </c>
      <c r="AI60" s="73" t="s">
        <v>3088</v>
      </c>
      <c r="AJ60" s="73" t="s">
        <v>3088</v>
      </c>
      <c r="AK60" s="73" t="s">
        <v>3088</v>
      </c>
      <c r="AL60" s="73" t="s">
        <v>3088</v>
      </c>
      <c r="AM60" s="73" t="s">
        <v>3088</v>
      </c>
      <c r="AN60" s="73" t="s">
        <v>3088</v>
      </c>
      <c r="AO60" s="73" t="s">
        <v>3088</v>
      </c>
      <c r="AP60" s="73" t="s">
        <v>3088</v>
      </c>
      <c r="AQ60" s="73" t="s">
        <v>3088</v>
      </c>
      <c r="AR60" s="73" t="s">
        <v>3088</v>
      </c>
      <c r="AS60" s="73" t="s">
        <v>3088</v>
      </c>
      <c r="AT60" s="73" t="s">
        <v>3088</v>
      </c>
      <c r="AU60" s="73" t="s">
        <v>3088</v>
      </c>
      <c r="AV60" s="73" t="s">
        <v>3088</v>
      </c>
      <c r="AW60" s="73" t="s">
        <v>3088</v>
      </c>
      <c r="AX60" s="73" t="s">
        <v>3088</v>
      </c>
      <c r="AY60" s="73" t="s">
        <v>3088</v>
      </c>
      <c r="AZ60" s="73" t="s">
        <v>3088</v>
      </c>
      <c r="BA60" s="73" t="s">
        <v>3088</v>
      </c>
      <c r="BB60" s="73" t="s">
        <v>3088</v>
      </c>
      <c r="BC60" s="73" t="s">
        <v>3088</v>
      </c>
      <c r="BD60" s="73" t="s">
        <v>3088</v>
      </c>
      <c r="BE60" s="73" t="s">
        <v>3088</v>
      </c>
      <c r="BF60" s="73" t="s">
        <v>3088</v>
      </c>
      <c r="BG60" s="73" t="s">
        <v>3088</v>
      </c>
      <c r="BH60" s="73" t="s">
        <v>3088</v>
      </c>
      <c r="BI60" s="73" t="s">
        <v>3088</v>
      </c>
      <c r="BJ60" s="73" t="s">
        <v>3088</v>
      </c>
      <c r="BK60" s="73" t="s">
        <v>3088</v>
      </c>
      <c r="BL60" s="73" t="s">
        <v>3088</v>
      </c>
      <c r="BM60" s="73" t="s">
        <v>3088</v>
      </c>
      <c r="BN60" s="73" t="s">
        <v>3088</v>
      </c>
      <c r="BO60" s="73" t="s">
        <v>3088</v>
      </c>
      <c r="BP60" s="73" t="s">
        <v>3088</v>
      </c>
      <c r="BQ60" s="73" t="s">
        <v>3222</v>
      </c>
      <c r="BR60" s="73" t="s">
        <v>3097</v>
      </c>
    </row>
    <row r="61" spans="1:70">
      <c r="A61" s="73" t="s">
        <v>1861</v>
      </c>
      <c r="B61" s="73" t="s">
        <v>2575</v>
      </c>
      <c r="C61" s="73" t="s">
        <v>2533</v>
      </c>
      <c r="D61" s="73" t="s">
        <v>3088</v>
      </c>
      <c r="E61" s="73" t="s">
        <v>3088</v>
      </c>
      <c r="F61" s="73" t="s">
        <v>3088</v>
      </c>
      <c r="G61" s="73" t="s">
        <v>3089</v>
      </c>
      <c r="H61" s="73" t="s">
        <v>3088</v>
      </c>
      <c r="I61" s="73" t="s">
        <v>2135</v>
      </c>
      <c r="J61" s="73" t="s">
        <v>3088</v>
      </c>
      <c r="K61" s="73" t="s">
        <v>3088</v>
      </c>
      <c r="L61" s="73" t="s">
        <v>3088</v>
      </c>
      <c r="M61" s="73" t="s">
        <v>3088</v>
      </c>
      <c r="N61" s="73" t="s">
        <v>3088</v>
      </c>
      <c r="O61" s="73" t="s">
        <v>3088</v>
      </c>
      <c r="P61" s="73" t="s">
        <v>3088</v>
      </c>
      <c r="Q61" s="73" t="s">
        <v>3088</v>
      </c>
      <c r="R61" s="73" t="s">
        <v>3088</v>
      </c>
      <c r="S61" s="73" t="s">
        <v>3088</v>
      </c>
      <c r="T61" s="73" t="s">
        <v>3088</v>
      </c>
      <c r="U61" s="73" t="s">
        <v>3088</v>
      </c>
      <c r="V61" s="73" t="s">
        <v>3088</v>
      </c>
      <c r="W61" s="73" t="s">
        <v>3088</v>
      </c>
      <c r="X61" s="73" t="s">
        <v>3088</v>
      </c>
      <c r="Y61" s="73" t="s">
        <v>3088</v>
      </c>
      <c r="Z61" s="73" t="s">
        <v>3088</v>
      </c>
      <c r="AA61" s="73" t="s">
        <v>3088</v>
      </c>
      <c r="AB61" s="73" t="s">
        <v>3088</v>
      </c>
      <c r="AC61" s="73" t="s">
        <v>3088</v>
      </c>
      <c r="AD61" s="73" t="s">
        <v>3088</v>
      </c>
      <c r="AE61" s="73" t="s">
        <v>3088</v>
      </c>
      <c r="AF61" s="73" t="s">
        <v>3088</v>
      </c>
      <c r="AG61" s="73" t="s">
        <v>3088</v>
      </c>
      <c r="AH61" s="73" t="s">
        <v>3088</v>
      </c>
      <c r="AI61" s="73" t="s">
        <v>3088</v>
      </c>
      <c r="AJ61" s="73" t="s">
        <v>3088</v>
      </c>
      <c r="AK61" s="73" t="s">
        <v>3088</v>
      </c>
      <c r="AL61" s="73" t="s">
        <v>3088</v>
      </c>
      <c r="AM61" s="73" t="s">
        <v>3088</v>
      </c>
      <c r="AN61" s="73" t="s">
        <v>3088</v>
      </c>
      <c r="AO61" s="73" t="s">
        <v>3088</v>
      </c>
      <c r="AP61" s="73" t="s">
        <v>3088</v>
      </c>
      <c r="AQ61" s="73" t="s">
        <v>3088</v>
      </c>
      <c r="AR61" s="73" t="s">
        <v>3088</v>
      </c>
      <c r="AS61" s="73" t="s">
        <v>3088</v>
      </c>
      <c r="AT61" s="73" t="s">
        <v>3088</v>
      </c>
      <c r="AU61" s="73" t="s">
        <v>3088</v>
      </c>
      <c r="AV61" s="73" t="s">
        <v>3088</v>
      </c>
      <c r="AW61" s="73" t="s">
        <v>3088</v>
      </c>
      <c r="AX61" s="73" t="s">
        <v>3088</v>
      </c>
      <c r="AY61" s="73" t="s">
        <v>3088</v>
      </c>
      <c r="AZ61" s="73" t="s">
        <v>3088</v>
      </c>
      <c r="BA61" s="73" t="s">
        <v>3088</v>
      </c>
      <c r="BB61" s="73" t="s">
        <v>3088</v>
      </c>
      <c r="BC61" s="73" t="s">
        <v>3088</v>
      </c>
      <c r="BD61" s="73" t="s">
        <v>3088</v>
      </c>
      <c r="BE61" s="73" t="s">
        <v>3088</v>
      </c>
      <c r="BF61" s="73" t="s">
        <v>3088</v>
      </c>
      <c r="BG61" s="73" t="s">
        <v>3088</v>
      </c>
      <c r="BH61" s="73" t="s">
        <v>3088</v>
      </c>
      <c r="BI61" s="73" t="s">
        <v>3088</v>
      </c>
      <c r="BJ61" s="73" t="s">
        <v>3088</v>
      </c>
      <c r="BK61" s="73" t="s">
        <v>3088</v>
      </c>
      <c r="BL61" s="73" t="s">
        <v>3088</v>
      </c>
      <c r="BM61" s="73" t="s">
        <v>3088</v>
      </c>
      <c r="BN61" s="73" t="s">
        <v>3088</v>
      </c>
      <c r="BO61" s="73" t="s">
        <v>3088</v>
      </c>
      <c r="BP61" s="73" t="s">
        <v>3088</v>
      </c>
      <c r="BQ61" s="73" t="s">
        <v>3223</v>
      </c>
      <c r="BR61" s="73" t="s">
        <v>3088</v>
      </c>
    </row>
    <row r="62" spans="1:70">
      <c r="A62" s="73" t="s">
        <v>1861</v>
      </c>
      <c r="B62" s="73" t="s">
        <v>3224</v>
      </c>
      <c r="C62" s="73" t="s">
        <v>2545</v>
      </c>
      <c r="D62" s="73" t="s">
        <v>3088</v>
      </c>
      <c r="E62" s="73" t="s">
        <v>3088</v>
      </c>
      <c r="F62" s="73" t="s">
        <v>3088</v>
      </c>
      <c r="G62" s="73" t="s">
        <v>3089</v>
      </c>
      <c r="H62" s="73" t="s">
        <v>3088</v>
      </c>
      <c r="I62" s="73" t="s">
        <v>3093</v>
      </c>
      <c r="J62" s="73" t="s">
        <v>3088</v>
      </c>
      <c r="K62" s="73" t="s">
        <v>3088</v>
      </c>
      <c r="L62" s="73" t="s">
        <v>3088</v>
      </c>
      <c r="M62" s="73" t="s">
        <v>3088</v>
      </c>
      <c r="N62" s="73" t="s">
        <v>3088</v>
      </c>
      <c r="O62" s="73" t="s">
        <v>3088</v>
      </c>
      <c r="P62" s="73" t="s">
        <v>3088</v>
      </c>
      <c r="Q62" s="73" t="s">
        <v>3088</v>
      </c>
      <c r="R62" s="73" t="s">
        <v>3088</v>
      </c>
      <c r="S62" s="73" t="s">
        <v>3088</v>
      </c>
      <c r="T62" s="73" t="s">
        <v>3088</v>
      </c>
      <c r="U62" s="73" t="s">
        <v>3088</v>
      </c>
      <c r="V62" s="73" t="s">
        <v>3088</v>
      </c>
      <c r="W62" s="73" t="s">
        <v>3088</v>
      </c>
      <c r="X62" s="73" t="s">
        <v>3088</v>
      </c>
      <c r="Y62" s="73" t="s">
        <v>3088</v>
      </c>
      <c r="Z62" s="73" t="s">
        <v>3088</v>
      </c>
      <c r="AA62" s="73" t="s">
        <v>3088</v>
      </c>
      <c r="AB62" s="73" t="s">
        <v>3088</v>
      </c>
      <c r="AC62" s="73" t="s">
        <v>3088</v>
      </c>
      <c r="AD62" s="73" t="s">
        <v>3088</v>
      </c>
      <c r="AE62" s="73" t="s">
        <v>3088</v>
      </c>
      <c r="AF62" s="73" t="s">
        <v>3088</v>
      </c>
      <c r="AG62" s="73" t="s">
        <v>3088</v>
      </c>
      <c r="AH62" s="73" t="s">
        <v>3088</v>
      </c>
      <c r="AI62" s="73" t="s">
        <v>3088</v>
      </c>
      <c r="AJ62" s="73" t="s">
        <v>3088</v>
      </c>
      <c r="AK62" s="73" t="s">
        <v>3088</v>
      </c>
      <c r="AL62" s="73" t="s">
        <v>3088</v>
      </c>
      <c r="AM62" s="73" t="s">
        <v>3088</v>
      </c>
      <c r="AN62" s="73" t="s">
        <v>3088</v>
      </c>
      <c r="AO62" s="73" t="s">
        <v>3088</v>
      </c>
      <c r="AP62" s="73" t="s">
        <v>3088</v>
      </c>
      <c r="AQ62" s="73" t="s">
        <v>3088</v>
      </c>
      <c r="AR62" s="73" t="s">
        <v>3088</v>
      </c>
      <c r="AS62" s="73" t="s">
        <v>3088</v>
      </c>
      <c r="AT62" s="73" t="s">
        <v>3088</v>
      </c>
      <c r="AU62" s="73" t="s">
        <v>3088</v>
      </c>
      <c r="AV62" s="73" t="s">
        <v>3088</v>
      </c>
      <c r="AW62" s="73" t="s">
        <v>3088</v>
      </c>
      <c r="AX62" s="73" t="s">
        <v>3088</v>
      </c>
      <c r="AY62" s="73" t="s">
        <v>3088</v>
      </c>
      <c r="AZ62" s="73" t="s">
        <v>3088</v>
      </c>
      <c r="BA62" s="73" t="s">
        <v>3088</v>
      </c>
      <c r="BB62" s="73" t="s">
        <v>3088</v>
      </c>
      <c r="BC62" s="73" t="s">
        <v>3088</v>
      </c>
      <c r="BD62" s="73" t="s">
        <v>3088</v>
      </c>
      <c r="BE62" s="73" t="s">
        <v>3088</v>
      </c>
      <c r="BF62" s="73" t="s">
        <v>3088</v>
      </c>
      <c r="BG62" s="73" t="s">
        <v>3088</v>
      </c>
      <c r="BH62" s="73" t="s">
        <v>3088</v>
      </c>
      <c r="BI62" s="73" t="s">
        <v>3088</v>
      </c>
      <c r="BJ62" s="73" t="s">
        <v>3088</v>
      </c>
      <c r="BK62" s="73" t="s">
        <v>3088</v>
      </c>
      <c r="BL62" s="73" t="s">
        <v>3088</v>
      </c>
      <c r="BM62" s="73" t="s">
        <v>3088</v>
      </c>
      <c r="BN62" s="73" t="s">
        <v>3088</v>
      </c>
      <c r="BO62" s="73" t="s">
        <v>3088</v>
      </c>
      <c r="BP62" s="73" t="s">
        <v>3088</v>
      </c>
      <c r="BQ62" s="73" t="s">
        <v>3225</v>
      </c>
      <c r="BR62" s="73" t="s">
        <v>3088</v>
      </c>
    </row>
    <row r="63" spans="1:70">
      <c r="A63" s="73" t="s">
        <v>1861</v>
      </c>
      <c r="B63" s="73" t="s">
        <v>2576</v>
      </c>
      <c r="C63" s="73" t="s">
        <v>2571</v>
      </c>
      <c r="D63" s="73" t="s">
        <v>3088</v>
      </c>
      <c r="E63" s="73" t="s">
        <v>3088</v>
      </c>
      <c r="F63" s="73" t="s">
        <v>3088</v>
      </c>
      <c r="G63" s="73" t="s">
        <v>3089</v>
      </c>
      <c r="H63" s="73" t="s">
        <v>3088</v>
      </c>
      <c r="I63" s="73" t="s">
        <v>108</v>
      </c>
      <c r="J63" s="73" t="s">
        <v>2577</v>
      </c>
      <c r="K63" s="73" t="s">
        <v>3095</v>
      </c>
      <c r="L63" s="73" t="s">
        <v>3088</v>
      </c>
      <c r="M63" s="73" t="s">
        <v>3088</v>
      </c>
      <c r="N63" s="73" t="s">
        <v>3088</v>
      </c>
      <c r="O63" s="73" t="s">
        <v>3088</v>
      </c>
      <c r="P63" s="73" t="s">
        <v>3088</v>
      </c>
      <c r="Q63" s="73" t="s">
        <v>3088</v>
      </c>
      <c r="R63" s="73" t="s">
        <v>3088</v>
      </c>
      <c r="S63" s="73" t="s">
        <v>3088</v>
      </c>
      <c r="T63" s="73" t="s">
        <v>3088</v>
      </c>
      <c r="U63" s="73" t="s">
        <v>3088</v>
      </c>
      <c r="V63" s="73" t="s">
        <v>3088</v>
      </c>
      <c r="W63" s="73" t="s">
        <v>3088</v>
      </c>
      <c r="X63" s="73" t="s">
        <v>3088</v>
      </c>
      <c r="Y63" s="73" t="s">
        <v>3088</v>
      </c>
      <c r="Z63" s="73" t="s">
        <v>3088</v>
      </c>
      <c r="AA63" s="73" t="s">
        <v>3088</v>
      </c>
      <c r="AB63" s="73" t="s">
        <v>3088</v>
      </c>
      <c r="AC63" s="73" t="s">
        <v>3088</v>
      </c>
      <c r="AD63" s="73" t="s">
        <v>3088</v>
      </c>
      <c r="AE63" s="73" t="s">
        <v>3088</v>
      </c>
      <c r="AF63" s="73" t="s">
        <v>3088</v>
      </c>
      <c r="AG63" s="73" t="s">
        <v>3088</v>
      </c>
      <c r="AH63" s="73" t="s">
        <v>3088</v>
      </c>
      <c r="AI63" s="73" t="s">
        <v>3088</v>
      </c>
      <c r="AJ63" s="73" t="s">
        <v>3088</v>
      </c>
      <c r="AK63" s="73" t="s">
        <v>3088</v>
      </c>
      <c r="AL63" s="73" t="s">
        <v>3088</v>
      </c>
      <c r="AM63" s="73" t="s">
        <v>3088</v>
      </c>
      <c r="AN63" s="73" t="s">
        <v>3088</v>
      </c>
      <c r="AO63" s="73" t="s">
        <v>3088</v>
      </c>
      <c r="AP63" s="73" t="s">
        <v>3088</v>
      </c>
      <c r="AQ63" s="73" t="s">
        <v>3088</v>
      </c>
      <c r="AR63" s="73" t="s">
        <v>3088</v>
      </c>
      <c r="AS63" s="73" t="s">
        <v>3088</v>
      </c>
      <c r="AT63" s="73" t="s">
        <v>3088</v>
      </c>
      <c r="AU63" s="73" t="s">
        <v>3088</v>
      </c>
      <c r="AV63" s="73" t="s">
        <v>3088</v>
      </c>
      <c r="AW63" s="73" t="s">
        <v>3088</v>
      </c>
      <c r="AX63" s="73" t="s">
        <v>3088</v>
      </c>
      <c r="AY63" s="73" t="s">
        <v>3088</v>
      </c>
      <c r="AZ63" s="73" t="s">
        <v>3088</v>
      </c>
      <c r="BA63" s="73" t="s">
        <v>3088</v>
      </c>
      <c r="BB63" s="73" t="s">
        <v>3088</v>
      </c>
      <c r="BC63" s="73" t="s">
        <v>3088</v>
      </c>
      <c r="BD63" s="73" t="s">
        <v>3088</v>
      </c>
      <c r="BE63" s="73" t="s">
        <v>3088</v>
      </c>
      <c r="BF63" s="73" t="s">
        <v>3088</v>
      </c>
      <c r="BG63" s="73" t="s">
        <v>3088</v>
      </c>
      <c r="BH63" s="73" t="s">
        <v>3088</v>
      </c>
      <c r="BI63" s="73" t="s">
        <v>3088</v>
      </c>
      <c r="BJ63" s="73" t="s">
        <v>3088</v>
      </c>
      <c r="BK63" s="73" t="s">
        <v>3088</v>
      </c>
      <c r="BL63" s="73" t="s">
        <v>3088</v>
      </c>
      <c r="BM63" s="73" t="s">
        <v>3088</v>
      </c>
      <c r="BN63" s="73" t="s">
        <v>3088</v>
      </c>
      <c r="BO63" s="73" t="s">
        <v>3088</v>
      </c>
      <c r="BP63" s="73" t="s">
        <v>3088</v>
      </c>
      <c r="BQ63" s="73" t="s">
        <v>3226</v>
      </c>
      <c r="BR63" s="73" t="s">
        <v>3097</v>
      </c>
    </row>
    <row r="64" spans="1:70">
      <c r="A64" s="73" t="s">
        <v>1861</v>
      </c>
      <c r="B64" s="73" t="s">
        <v>3227</v>
      </c>
      <c r="C64" s="73" t="s">
        <v>2579</v>
      </c>
      <c r="D64" s="73" t="s">
        <v>3088</v>
      </c>
      <c r="E64" s="73" t="s">
        <v>3088</v>
      </c>
      <c r="F64" s="73" t="s">
        <v>3088</v>
      </c>
      <c r="G64" s="73" t="s">
        <v>3089</v>
      </c>
      <c r="H64" s="73" t="s">
        <v>3088</v>
      </c>
      <c r="I64" s="73" t="s">
        <v>3093</v>
      </c>
      <c r="J64" s="73" t="s">
        <v>3160</v>
      </c>
      <c r="K64" s="73" t="s">
        <v>3089</v>
      </c>
      <c r="L64" s="73" t="s">
        <v>3088</v>
      </c>
      <c r="M64" s="73" t="s">
        <v>3088</v>
      </c>
      <c r="N64" s="73" t="s">
        <v>3088</v>
      </c>
      <c r="O64" s="73" t="s">
        <v>3088</v>
      </c>
      <c r="P64" s="73" t="s">
        <v>3088</v>
      </c>
      <c r="Q64" s="73" t="s">
        <v>3088</v>
      </c>
      <c r="R64" s="73" t="s">
        <v>3088</v>
      </c>
      <c r="S64" s="73" t="s">
        <v>3088</v>
      </c>
      <c r="T64" s="73" t="s">
        <v>3088</v>
      </c>
      <c r="U64" s="73" t="s">
        <v>3088</v>
      </c>
      <c r="V64" s="73" t="s">
        <v>3088</v>
      </c>
      <c r="W64" s="73" t="s">
        <v>3088</v>
      </c>
      <c r="X64" s="73" t="s">
        <v>3088</v>
      </c>
      <c r="Y64" s="73" t="s">
        <v>3088</v>
      </c>
      <c r="Z64" s="73" t="s">
        <v>3088</v>
      </c>
      <c r="AA64" s="73" t="s">
        <v>3088</v>
      </c>
      <c r="AB64" s="73" t="s">
        <v>3088</v>
      </c>
      <c r="AC64" s="73" t="s">
        <v>3088</v>
      </c>
      <c r="AD64" s="73" t="s">
        <v>3088</v>
      </c>
      <c r="AE64" s="73" t="s">
        <v>3088</v>
      </c>
      <c r="AF64" s="73" t="s">
        <v>3088</v>
      </c>
      <c r="AG64" s="73" t="s">
        <v>3088</v>
      </c>
      <c r="AH64" s="73" t="s">
        <v>3088</v>
      </c>
      <c r="AI64" s="73" t="s">
        <v>3088</v>
      </c>
      <c r="AJ64" s="73" t="s">
        <v>3088</v>
      </c>
      <c r="AK64" s="73" t="s">
        <v>3088</v>
      </c>
      <c r="AL64" s="73" t="s">
        <v>3088</v>
      </c>
      <c r="AM64" s="73" t="s">
        <v>3088</v>
      </c>
      <c r="AN64" s="73" t="s">
        <v>3088</v>
      </c>
      <c r="AO64" s="73" t="s">
        <v>3088</v>
      </c>
      <c r="AP64" s="73" t="s">
        <v>3088</v>
      </c>
      <c r="AQ64" s="73" t="s">
        <v>3088</v>
      </c>
      <c r="AR64" s="73" t="s">
        <v>3088</v>
      </c>
      <c r="AS64" s="73" t="s">
        <v>3088</v>
      </c>
      <c r="AT64" s="73" t="s">
        <v>3088</v>
      </c>
      <c r="AU64" s="73" t="s">
        <v>3088</v>
      </c>
      <c r="AV64" s="73" t="s">
        <v>3088</v>
      </c>
      <c r="AW64" s="73" t="s">
        <v>3088</v>
      </c>
      <c r="AX64" s="73" t="s">
        <v>3088</v>
      </c>
      <c r="AY64" s="73" t="s">
        <v>3088</v>
      </c>
      <c r="AZ64" s="73" t="s">
        <v>3088</v>
      </c>
      <c r="BA64" s="73" t="s">
        <v>3088</v>
      </c>
      <c r="BB64" s="73" t="s">
        <v>3088</v>
      </c>
      <c r="BC64" s="73" t="s">
        <v>3088</v>
      </c>
      <c r="BD64" s="73" t="s">
        <v>3088</v>
      </c>
      <c r="BE64" s="73" t="s">
        <v>3088</v>
      </c>
      <c r="BF64" s="73" t="s">
        <v>3088</v>
      </c>
      <c r="BG64" s="73" t="s">
        <v>3088</v>
      </c>
      <c r="BH64" s="73" t="s">
        <v>3088</v>
      </c>
      <c r="BI64" s="73" t="s">
        <v>3088</v>
      </c>
      <c r="BJ64" s="73" t="s">
        <v>3088</v>
      </c>
      <c r="BK64" s="73" t="s">
        <v>3088</v>
      </c>
      <c r="BL64" s="73" t="s">
        <v>3088</v>
      </c>
      <c r="BM64" s="73" t="s">
        <v>3088</v>
      </c>
      <c r="BN64" s="73" t="s">
        <v>3088</v>
      </c>
      <c r="BO64" s="73" t="s">
        <v>3088</v>
      </c>
      <c r="BP64" s="73" t="s">
        <v>3088</v>
      </c>
      <c r="BQ64" s="73" t="s">
        <v>3228</v>
      </c>
      <c r="BR64" s="73" t="s">
        <v>3088</v>
      </c>
    </row>
    <row r="65" spans="1:70">
      <c r="A65" s="73" t="s">
        <v>1861</v>
      </c>
      <c r="B65" s="73" t="s">
        <v>2578</v>
      </c>
      <c r="C65" s="73" t="s">
        <v>2579</v>
      </c>
      <c r="D65" s="73" t="s">
        <v>3088</v>
      </c>
      <c r="E65" s="73" t="s">
        <v>3088</v>
      </c>
      <c r="F65" s="73" t="s">
        <v>3088</v>
      </c>
      <c r="G65" s="73" t="s">
        <v>3089</v>
      </c>
      <c r="H65" s="73" t="s">
        <v>3088</v>
      </c>
      <c r="I65" s="73" t="s">
        <v>3093</v>
      </c>
      <c r="J65" s="73" t="s">
        <v>3192</v>
      </c>
      <c r="K65" s="73" t="s">
        <v>3089</v>
      </c>
      <c r="L65" s="73" t="s">
        <v>1201</v>
      </c>
      <c r="M65" s="73" t="s">
        <v>3192</v>
      </c>
      <c r="N65" s="73" t="s">
        <v>3089</v>
      </c>
      <c r="O65" s="73" t="s">
        <v>3088</v>
      </c>
      <c r="P65" s="73" t="s">
        <v>3088</v>
      </c>
      <c r="Q65" s="73" t="s">
        <v>3088</v>
      </c>
      <c r="R65" s="73" t="s">
        <v>3088</v>
      </c>
      <c r="S65" s="73" t="s">
        <v>3088</v>
      </c>
      <c r="T65" s="73" t="s">
        <v>3088</v>
      </c>
      <c r="U65" s="73" t="s">
        <v>3088</v>
      </c>
      <c r="V65" s="73" t="s">
        <v>3088</v>
      </c>
      <c r="W65" s="73" t="s">
        <v>3088</v>
      </c>
      <c r="X65" s="73" t="s">
        <v>3088</v>
      </c>
      <c r="Y65" s="73" t="s">
        <v>3088</v>
      </c>
      <c r="Z65" s="73" t="s">
        <v>3088</v>
      </c>
      <c r="AA65" s="73" t="s">
        <v>3088</v>
      </c>
      <c r="AB65" s="73" t="s">
        <v>3088</v>
      </c>
      <c r="AC65" s="73" t="s">
        <v>3088</v>
      </c>
      <c r="AD65" s="73" t="s">
        <v>3088</v>
      </c>
      <c r="AE65" s="73" t="s">
        <v>3088</v>
      </c>
      <c r="AF65" s="73" t="s">
        <v>3088</v>
      </c>
      <c r="AG65" s="73" t="s">
        <v>3088</v>
      </c>
      <c r="AH65" s="73" t="s">
        <v>3088</v>
      </c>
      <c r="AI65" s="73" t="s">
        <v>3088</v>
      </c>
      <c r="AJ65" s="73" t="s">
        <v>3088</v>
      </c>
      <c r="AK65" s="73" t="s">
        <v>3088</v>
      </c>
      <c r="AL65" s="73" t="s">
        <v>3088</v>
      </c>
      <c r="AM65" s="73" t="s">
        <v>3088</v>
      </c>
      <c r="AN65" s="73" t="s">
        <v>3088</v>
      </c>
      <c r="AO65" s="73" t="s">
        <v>3088</v>
      </c>
      <c r="AP65" s="73" t="s">
        <v>3088</v>
      </c>
      <c r="AQ65" s="73" t="s">
        <v>3088</v>
      </c>
      <c r="AR65" s="73" t="s">
        <v>3088</v>
      </c>
      <c r="AS65" s="73" t="s">
        <v>3088</v>
      </c>
      <c r="AT65" s="73" t="s">
        <v>3088</v>
      </c>
      <c r="AU65" s="73" t="s">
        <v>3088</v>
      </c>
      <c r="AV65" s="73" t="s">
        <v>3088</v>
      </c>
      <c r="AW65" s="73" t="s">
        <v>3088</v>
      </c>
      <c r="AX65" s="73" t="s">
        <v>3088</v>
      </c>
      <c r="AY65" s="73" t="s">
        <v>3088</v>
      </c>
      <c r="AZ65" s="73" t="s">
        <v>3088</v>
      </c>
      <c r="BA65" s="73" t="s">
        <v>3088</v>
      </c>
      <c r="BB65" s="73" t="s">
        <v>3088</v>
      </c>
      <c r="BC65" s="73" t="s">
        <v>3088</v>
      </c>
      <c r="BD65" s="73" t="s">
        <v>3088</v>
      </c>
      <c r="BE65" s="73" t="s">
        <v>3088</v>
      </c>
      <c r="BF65" s="73" t="s">
        <v>3088</v>
      </c>
      <c r="BG65" s="73" t="s">
        <v>3088</v>
      </c>
      <c r="BH65" s="73" t="s">
        <v>3088</v>
      </c>
      <c r="BI65" s="73" t="s">
        <v>3088</v>
      </c>
      <c r="BJ65" s="73" t="s">
        <v>3088</v>
      </c>
      <c r="BK65" s="73" t="s">
        <v>3088</v>
      </c>
      <c r="BL65" s="73" t="s">
        <v>3088</v>
      </c>
      <c r="BM65" s="73" t="s">
        <v>3088</v>
      </c>
      <c r="BN65" s="73" t="s">
        <v>3088</v>
      </c>
      <c r="BO65" s="73" t="s">
        <v>3088</v>
      </c>
      <c r="BP65" s="73" t="s">
        <v>3088</v>
      </c>
      <c r="BQ65" s="73" t="s">
        <v>3229</v>
      </c>
      <c r="BR65" s="73" t="s">
        <v>3088</v>
      </c>
    </row>
    <row r="66" spans="1:70">
      <c r="A66" s="73" t="s">
        <v>1861</v>
      </c>
      <c r="B66" s="73" t="s">
        <v>3230</v>
      </c>
      <c r="C66" s="73" t="s">
        <v>2582</v>
      </c>
      <c r="D66" s="73" t="s">
        <v>3088</v>
      </c>
      <c r="E66" s="73" t="s">
        <v>3088</v>
      </c>
      <c r="F66" s="73" t="s">
        <v>3088</v>
      </c>
      <c r="G66" s="73" t="s">
        <v>3089</v>
      </c>
      <c r="H66" s="73" t="s">
        <v>3152</v>
      </c>
      <c r="I66" s="73" t="s">
        <v>3088</v>
      </c>
      <c r="J66" s="73" t="s">
        <v>3088</v>
      </c>
      <c r="K66" s="73" t="s">
        <v>3088</v>
      </c>
      <c r="L66" s="73" t="s">
        <v>3088</v>
      </c>
      <c r="M66" s="73" t="s">
        <v>3088</v>
      </c>
      <c r="N66" s="73" t="s">
        <v>3088</v>
      </c>
      <c r="O66" s="73" t="s">
        <v>3088</v>
      </c>
      <c r="P66" s="73" t="s">
        <v>3088</v>
      </c>
      <c r="Q66" s="73" t="s">
        <v>3088</v>
      </c>
      <c r="R66" s="73" t="s">
        <v>3088</v>
      </c>
      <c r="S66" s="73" t="s">
        <v>3088</v>
      </c>
      <c r="T66" s="73" t="s">
        <v>3088</v>
      </c>
      <c r="U66" s="73" t="s">
        <v>3088</v>
      </c>
      <c r="V66" s="73" t="s">
        <v>3088</v>
      </c>
      <c r="W66" s="73" t="s">
        <v>3088</v>
      </c>
      <c r="X66" s="73" t="s">
        <v>3088</v>
      </c>
      <c r="Y66" s="73" t="s">
        <v>3088</v>
      </c>
      <c r="Z66" s="73" t="s">
        <v>3088</v>
      </c>
      <c r="AA66" s="73" t="s">
        <v>3088</v>
      </c>
      <c r="AB66" s="73" t="s">
        <v>3088</v>
      </c>
      <c r="AC66" s="73" t="s">
        <v>3088</v>
      </c>
      <c r="AD66" s="73" t="s">
        <v>3088</v>
      </c>
      <c r="AE66" s="73" t="s">
        <v>3088</v>
      </c>
      <c r="AF66" s="73" t="s">
        <v>3088</v>
      </c>
      <c r="AG66" s="73" t="s">
        <v>3088</v>
      </c>
      <c r="AH66" s="73" t="s">
        <v>3088</v>
      </c>
      <c r="AI66" s="73" t="s">
        <v>3088</v>
      </c>
      <c r="AJ66" s="73" t="s">
        <v>3088</v>
      </c>
      <c r="AK66" s="73" t="s">
        <v>3088</v>
      </c>
      <c r="AL66" s="73" t="s">
        <v>3088</v>
      </c>
      <c r="AM66" s="73" t="s">
        <v>3088</v>
      </c>
      <c r="AN66" s="73" t="s">
        <v>3088</v>
      </c>
      <c r="AO66" s="73" t="s">
        <v>3088</v>
      </c>
      <c r="AP66" s="73" t="s">
        <v>3088</v>
      </c>
      <c r="AQ66" s="73" t="s">
        <v>3088</v>
      </c>
      <c r="AR66" s="73" t="s">
        <v>3088</v>
      </c>
      <c r="AS66" s="73" t="s">
        <v>3088</v>
      </c>
      <c r="AT66" s="73" t="s">
        <v>3088</v>
      </c>
      <c r="AU66" s="73" t="s">
        <v>3088</v>
      </c>
      <c r="AV66" s="73" t="s">
        <v>3088</v>
      </c>
      <c r="AW66" s="73" t="s">
        <v>3088</v>
      </c>
      <c r="AX66" s="73" t="s">
        <v>3088</v>
      </c>
      <c r="AY66" s="73" t="s">
        <v>3088</v>
      </c>
      <c r="AZ66" s="73" t="s">
        <v>3088</v>
      </c>
      <c r="BA66" s="73" t="s">
        <v>3088</v>
      </c>
      <c r="BB66" s="73" t="s">
        <v>3088</v>
      </c>
      <c r="BC66" s="73" t="s">
        <v>3088</v>
      </c>
      <c r="BD66" s="73" t="s">
        <v>3088</v>
      </c>
      <c r="BE66" s="73" t="s">
        <v>3088</v>
      </c>
      <c r="BF66" s="73" t="s">
        <v>3088</v>
      </c>
      <c r="BG66" s="73" t="s">
        <v>3088</v>
      </c>
      <c r="BH66" s="73" t="s">
        <v>3088</v>
      </c>
      <c r="BI66" s="73" t="s">
        <v>3088</v>
      </c>
      <c r="BJ66" s="73" t="s">
        <v>3088</v>
      </c>
      <c r="BK66" s="73" t="s">
        <v>3088</v>
      </c>
      <c r="BL66" s="73" t="s">
        <v>3088</v>
      </c>
      <c r="BM66" s="73" t="s">
        <v>3088</v>
      </c>
      <c r="BN66" s="73" t="s">
        <v>3088</v>
      </c>
      <c r="BO66" s="73" t="s">
        <v>3088</v>
      </c>
      <c r="BP66" s="73" t="s">
        <v>3088</v>
      </c>
      <c r="BQ66" s="73" t="s">
        <v>3231</v>
      </c>
      <c r="BR66" s="73" t="s">
        <v>3097</v>
      </c>
    </row>
    <row r="67" spans="1:70">
      <c r="A67" s="73" t="s">
        <v>1861</v>
      </c>
      <c r="B67" s="73" t="s">
        <v>3232</v>
      </c>
      <c r="C67" s="73" t="s">
        <v>3155</v>
      </c>
      <c r="D67" s="73" t="s">
        <v>3088</v>
      </c>
      <c r="E67" s="73" t="s">
        <v>3088</v>
      </c>
      <c r="F67" s="73" t="s">
        <v>3088</v>
      </c>
      <c r="G67" s="73" t="s">
        <v>3095</v>
      </c>
      <c r="H67" s="73" t="s">
        <v>3152</v>
      </c>
      <c r="I67" s="73" t="s">
        <v>3088</v>
      </c>
      <c r="J67" s="73" t="s">
        <v>3088</v>
      </c>
      <c r="K67" s="73" t="s">
        <v>3088</v>
      </c>
      <c r="L67" s="73" t="s">
        <v>3088</v>
      </c>
      <c r="M67" s="73" t="s">
        <v>3088</v>
      </c>
      <c r="N67" s="73" t="s">
        <v>3088</v>
      </c>
      <c r="O67" s="73" t="s">
        <v>3088</v>
      </c>
      <c r="P67" s="73" t="s">
        <v>3088</v>
      </c>
      <c r="Q67" s="73" t="s">
        <v>3088</v>
      </c>
      <c r="R67" s="73" t="s">
        <v>3088</v>
      </c>
      <c r="S67" s="73" t="s">
        <v>3088</v>
      </c>
      <c r="T67" s="73" t="s">
        <v>3088</v>
      </c>
      <c r="U67" s="73" t="s">
        <v>3088</v>
      </c>
      <c r="V67" s="73" t="s">
        <v>3088</v>
      </c>
      <c r="W67" s="73" t="s">
        <v>3088</v>
      </c>
      <c r="X67" s="73" t="s">
        <v>3088</v>
      </c>
      <c r="Y67" s="73" t="s">
        <v>3088</v>
      </c>
      <c r="Z67" s="73" t="s">
        <v>3088</v>
      </c>
      <c r="AA67" s="73" t="s">
        <v>3088</v>
      </c>
      <c r="AB67" s="73" t="s">
        <v>3088</v>
      </c>
      <c r="AC67" s="73" t="s">
        <v>3088</v>
      </c>
      <c r="AD67" s="73" t="s">
        <v>3088</v>
      </c>
      <c r="AE67" s="73" t="s">
        <v>3088</v>
      </c>
      <c r="AF67" s="73" t="s">
        <v>3088</v>
      </c>
      <c r="AG67" s="73" t="s">
        <v>3088</v>
      </c>
      <c r="AH67" s="73" t="s">
        <v>3088</v>
      </c>
      <c r="AI67" s="73" t="s">
        <v>3088</v>
      </c>
      <c r="AJ67" s="73" t="s">
        <v>3088</v>
      </c>
      <c r="AK67" s="73" t="s">
        <v>3088</v>
      </c>
      <c r="AL67" s="73" t="s">
        <v>3088</v>
      </c>
      <c r="AM67" s="73" t="s">
        <v>3088</v>
      </c>
      <c r="AN67" s="73" t="s">
        <v>3088</v>
      </c>
      <c r="AO67" s="73" t="s">
        <v>3088</v>
      </c>
      <c r="AP67" s="73" t="s">
        <v>3088</v>
      </c>
      <c r="AQ67" s="73" t="s">
        <v>3088</v>
      </c>
      <c r="AR67" s="73" t="s">
        <v>3088</v>
      </c>
      <c r="AS67" s="73" t="s">
        <v>3088</v>
      </c>
      <c r="AT67" s="73" t="s">
        <v>3088</v>
      </c>
      <c r="AU67" s="73" t="s">
        <v>3088</v>
      </c>
      <c r="AV67" s="73" t="s">
        <v>3088</v>
      </c>
      <c r="AW67" s="73" t="s">
        <v>3088</v>
      </c>
      <c r="AX67" s="73" t="s">
        <v>3088</v>
      </c>
      <c r="AY67" s="73" t="s">
        <v>3088</v>
      </c>
      <c r="AZ67" s="73" t="s">
        <v>3088</v>
      </c>
      <c r="BA67" s="73" t="s">
        <v>3088</v>
      </c>
      <c r="BB67" s="73" t="s">
        <v>3088</v>
      </c>
      <c r="BC67" s="73" t="s">
        <v>3088</v>
      </c>
      <c r="BD67" s="73" t="s">
        <v>3088</v>
      </c>
      <c r="BE67" s="73" t="s">
        <v>3088</v>
      </c>
      <c r="BF67" s="73" t="s">
        <v>3088</v>
      </c>
      <c r="BG67" s="73" t="s">
        <v>3088</v>
      </c>
      <c r="BH67" s="73" t="s">
        <v>3088</v>
      </c>
      <c r="BI67" s="73" t="s">
        <v>3088</v>
      </c>
      <c r="BJ67" s="73" t="s">
        <v>3088</v>
      </c>
      <c r="BK67" s="73" t="s">
        <v>3088</v>
      </c>
      <c r="BL67" s="73" t="s">
        <v>3088</v>
      </c>
      <c r="BM67" s="73" t="s">
        <v>3088</v>
      </c>
      <c r="BN67" s="73" t="s">
        <v>3088</v>
      </c>
      <c r="BO67" s="73" t="s">
        <v>3088</v>
      </c>
      <c r="BP67" s="73" t="s">
        <v>3088</v>
      </c>
      <c r="BQ67" s="73" t="s">
        <v>3233</v>
      </c>
      <c r="BR67" s="73" t="s">
        <v>3097</v>
      </c>
    </row>
    <row r="68" spans="1:70">
      <c r="A68" s="73" t="s">
        <v>1861</v>
      </c>
      <c r="B68" s="73" t="s">
        <v>3234</v>
      </c>
      <c r="C68" s="73" t="s">
        <v>2554</v>
      </c>
      <c r="D68" s="73" t="s">
        <v>3088</v>
      </c>
      <c r="E68" s="73" t="s">
        <v>3088</v>
      </c>
      <c r="F68" s="73" t="s">
        <v>3088</v>
      </c>
      <c r="G68" s="73" t="s">
        <v>3089</v>
      </c>
      <c r="H68" s="73" t="s">
        <v>3088</v>
      </c>
      <c r="I68" s="73" t="s">
        <v>3093</v>
      </c>
      <c r="J68" s="73" t="s">
        <v>3169</v>
      </c>
      <c r="K68" s="73" t="s">
        <v>3089</v>
      </c>
      <c r="L68" s="73" t="s">
        <v>3088</v>
      </c>
      <c r="M68" s="73" t="s">
        <v>3088</v>
      </c>
      <c r="N68" s="73" t="s">
        <v>3088</v>
      </c>
      <c r="O68" s="73" t="s">
        <v>3088</v>
      </c>
      <c r="P68" s="73" t="s">
        <v>3088</v>
      </c>
      <c r="Q68" s="73" t="s">
        <v>3088</v>
      </c>
      <c r="R68" s="73" t="s">
        <v>3088</v>
      </c>
      <c r="S68" s="73" t="s">
        <v>3088</v>
      </c>
      <c r="T68" s="73" t="s">
        <v>3088</v>
      </c>
      <c r="U68" s="73" t="s">
        <v>3088</v>
      </c>
      <c r="V68" s="73" t="s">
        <v>3088</v>
      </c>
      <c r="W68" s="73" t="s">
        <v>3088</v>
      </c>
      <c r="X68" s="73" t="s">
        <v>3088</v>
      </c>
      <c r="Y68" s="73" t="s">
        <v>3088</v>
      </c>
      <c r="Z68" s="73" t="s">
        <v>3088</v>
      </c>
      <c r="AA68" s="73" t="s">
        <v>3088</v>
      </c>
      <c r="AB68" s="73" t="s">
        <v>3088</v>
      </c>
      <c r="AC68" s="73" t="s">
        <v>3088</v>
      </c>
      <c r="AD68" s="73" t="s">
        <v>3088</v>
      </c>
      <c r="AE68" s="73" t="s">
        <v>3088</v>
      </c>
      <c r="AF68" s="73" t="s">
        <v>3088</v>
      </c>
      <c r="AG68" s="73" t="s">
        <v>3088</v>
      </c>
      <c r="AH68" s="73" t="s">
        <v>3088</v>
      </c>
      <c r="AI68" s="73" t="s">
        <v>3088</v>
      </c>
      <c r="AJ68" s="73" t="s">
        <v>3088</v>
      </c>
      <c r="AK68" s="73" t="s">
        <v>3088</v>
      </c>
      <c r="AL68" s="73" t="s">
        <v>3088</v>
      </c>
      <c r="AM68" s="73" t="s">
        <v>3088</v>
      </c>
      <c r="AN68" s="73" t="s">
        <v>3088</v>
      </c>
      <c r="AO68" s="73" t="s">
        <v>3088</v>
      </c>
      <c r="AP68" s="73" t="s">
        <v>3088</v>
      </c>
      <c r="AQ68" s="73" t="s">
        <v>3088</v>
      </c>
      <c r="AR68" s="73" t="s">
        <v>3088</v>
      </c>
      <c r="AS68" s="73" t="s">
        <v>3088</v>
      </c>
      <c r="AT68" s="73" t="s">
        <v>3088</v>
      </c>
      <c r="AU68" s="73" t="s">
        <v>3088</v>
      </c>
      <c r="AV68" s="73" t="s">
        <v>3088</v>
      </c>
      <c r="AW68" s="73" t="s">
        <v>3088</v>
      </c>
      <c r="AX68" s="73" t="s">
        <v>3088</v>
      </c>
      <c r="AY68" s="73" t="s">
        <v>3088</v>
      </c>
      <c r="AZ68" s="73" t="s">
        <v>3088</v>
      </c>
      <c r="BA68" s="73" t="s">
        <v>3088</v>
      </c>
      <c r="BB68" s="73" t="s">
        <v>3088</v>
      </c>
      <c r="BC68" s="73" t="s">
        <v>3088</v>
      </c>
      <c r="BD68" s="73" t="s">
        <v>3088</v>
      </c>
      <c r="BE68" s="73" t="s">
        <v>3088</v>
      </c>
      <c r="BF68" s="73" t="s">
        <v>3088</v>
      </c>
      <c r="BG68" s="73" t="s">
        <v>3088</v>
      </c>
      <c r="BH68" s="73" t="s">
        <v>3088</v>
      </c>
      <c r="BI68" s="73" t="s">
        <v>3088</v>
      </c>
      <c r="BJ68" s="73" t="s">
        <v>3088</v>
      </c>
      <c r="BK68" s="73" t="s">
        <v>3088</v>
      </c>
      <c r="BL68" s="73" t="s">
        <v>3088</v>
      </c>
      <c r="BM68" s="73" t="s">
        <v>3088</v>
      </c>
      <c r="BN68" s="73" t="s">
        <v>3088</v>
      </c>
      <c r="BO68" s="73" t="s">
        <v>3088</v>
      </c>
      <c r="BP68" s="73" t="s">
        <v>3088</v>
      </c>
      <c r="BQ68" s="73" t="s">
        <v>3235</v>
      </c>
      <c r="BR68" s="73" t="s">
        <v>3088</v>
      </c>
    </row>
    <row r="69" spans="1:70">
      <c r="A69" s="73" t="s">
        <v>1861</v>
      </c>
      <c r="B69" s="73" t="s">
        <v>2546</v>
      </c>
      <c r="C69" s="73" t="s">
        <v>2546</v>
      </c>
      <c r="D69" s="73" t="s">
        <v>3088</v>
      </c>
      <c r="E69" s="73" t="s">
        <v>3088</v>
      </c>
      <c r="F69" s="73" t="s">
        <v>3088</v>
      </c>
      <c r="G69" s="73" t="s">
        <v>3089</v>
      </c>
      <c r="H69" s="73" t="s">
        <v>3088</v>
      </c>
      <c r="I69" s="73" t="s">
        <v>2135</v>
      </c>
      <c r="J69" s="73" t="s">
        <v>2580</v>
      </c>
      <c r="K69" s="73" t="s">
        <v>3089</v>
      </c>
      <c r="L69" s="73" t="s">
        <v>3088</v>
      </c>
      <c r="M69" s="73" t="s">
        <v>3088</v>
      </c>
      <c r="N69" s="73" t="s">
        <v>3088</v>
      </c>
      <c r="O69" s="73" t="s">
        <v>3088</v>
      </c>
      <c r="P69" s="73" t="s">
        <v>3088</v>
      </c>
      <c r="Q69" s="73" t="s">
        <v>3088</v>
      </c>
      <c r="R69" s="73" t="s">
        <v>3088</v>
      </c>
      <c r="S69" s="73" t="s">
        <v>3088</v>
      </c>
      <c r="T69" s="73" t="s">
        <v>3088</v>
      </c>
      <c r="U69" s="73" t="s">
        <v>3088</v>
      </c>
      <c r="V69" s="73" t="s">
        <v>3088</v>
      </c>
      <c r="W69" s="73" t="s">
        <v>3088</v>
      </c>
      <c r="X69" s="73" t="s">
        <v>3088</v>
      </c>
      <c r="Y69" s="73" t="s">
        <v>3088</v>
      </c>
      <c r="Z69" s="73" t="s">
        <v>3088</v>
      </c>
      <c r="AA69" s="73" t="s">
        <v>3088</v>
      </c>
      <c r="AB69" s="73" t="s">
        <v>3088</v>
      </c>
      <c r="AC69" s="73" t="s">
        <v>3088</v>
      </c>
      <c r="AD69" s="73" t="s">
        <v>3088</v>
      </c>
      <c r="AE69" s="73" t="s">
        <v>3088</v>
      </c>
      <c r="AF69" s="73" t="s">
        <v>3088</v>
      </c>
      <c r="AG69" s="73" t="s">
        <v>3088</v>
      </c>
      <c r="AH69" s="73" t="s">
        <v>3088</v>
      </c>
      <c r="AI69" s="73" t="s">
        <v>3088</v>
      </c>
      <c r="AJ69" s="73" t="s">
        <v>3088</v>
      </c>
      <c r="AK69" s="73" t="s">
        <v>3088</v>
      </c>
      <c r="AL69" s="73" t="s">
        <v>3088</v>
      </c>
      <c r="AM69" s="73" t="s">
        <v>3088</v>
      </c>
      <c r="AN69" s="73" t="s">
        <v>3088</v>
      </c>
      <c r="AO69" s="73" t="s">
        <v>3088</v>
      </c>
      <c r="AP69" s="73" t="s">
        <v>3088</v>
      </c>
      <c r="AQ69" s="73" t="s">
        <v>3088</v>
      </c>
      <c r="AR69" s="73" t="s">
        <v>3088</v>
      </c>
      <c r="AS69" s="73" t="s">
        <v>3088</v>
      </c>
      <c r="AT69" s="73" t="s">
        <v>3088</v>
      </c>
      <c r="AU69" s="73" t="s">
        <v>3088</v>
      </c>
      <c r="AV69" s="73" t="s">
        <v>3088</v>
      </c>
      <c r="AW69" s="73" t="s">
        <v>3088</v>
      </c>
      <c r="AX69" s="73" t="s">
        <v>3088</v>
      </c>
      <c r="AY69" s="73" t="s">
        <v>3088</v>
      </c>
      <c r="AZ69" s="73" t="s">
        <v>3088</v>
      </c>
      <c r="BA69" s="73" t="s">
        <v>3088</v>
      </c>
      <c r="BB69" s="73" t="s">
        <v>3088</v>
      </c>
      <c r="BC69" s="73" t="s">
        <v>3088</v>
      </c>
      <c r="BD69" s="73" t="s">
        <v>3088</v>
      </c>
      <c r="BE69" s="73" t="s">
        <v>3088</v>
      </c>
      <c r="BF69" s="73" t="s">
        <v>3088</v>
      </c>
      <c r="BG69" s="73" t="s">
        <v>3088</v>
      </c>
      <c r="BH69" s="73" t="s">
        <v>3088</v>
      </c>
      <c r="BI69" s="73" t="s">
        <v>3088</v>
      </c>
      <c r="BJ69" s="73" t="s">
        <v>3088</v>
      </c>
      <c r="BK69" s="73" t="s">
        <v>3088</v>
      </c>
      <c r="BL69" s="73" t="s">
        <v>3088</v>
      </c>
      <c r="BM69" s="73" t="s">
        <v>3088</v>
      </c>
      <c r="BN69" s="73" t="s">
        <v>3088</v>
      </c>
      <c r="BO69" s="73" t="s">
        <v>3088</v>
      </c>
      <c r="BP69" s="73" t="s">
        <v>3088</v>
      </c>
      <c r="BQ69" s="73" t="s">
        <v>3236</v>
      </c>
      <c r="BR69" s="73" t="s">
        <v>3097</v>
      </c>
    </row>
    <row r="70" spans="1:70">
      <c r="A70" s="73" t="s">
        <v>1861</v>
      </c>
      <c r="B70" s="73" t="s">
        <v>2581</v>
      </c>
      <c r="C70" s="73" t="s">
        <v>2582</v>
      </c>
      <c r="D70" s="73" t="s">
        <v>3088</v>
      </c>
      <c r="E70" s="73" t="s">
        <v>3088</v>
      </c>
      <c r="F70" s="73" t="s">
        <v>3088</v>
      </c>
      <c r="G70" s="73" t="s">
        <v>3089</v>
      </c>
      <c r="H70" s="73" t="s">
        <v>3088</v>
      </c>
      <c r="I70" s="73" t="s">
        <v>2135</v>
      </c>
      <c r="J70" s="73" t="s">
        <v>2583</v>
      </c>
      <c r="K70" s="73" t="s">
        <v>3095</v>
      </c>
      <c r="L70" s="73" t="s">
        <v>3088</v>
      </c>
      <c r="M70" s="73" t="s">
        <v>3088</v>
      </c>
      <c r="N70" s="73" t="s">
        <v>3088</v>
      </c>
      <c r="O70" s="73" t="s">
        <v>3088</v>
      </c>
      <c r="P70" s="73" t="s">
        <v>3088</v>
      </c>
      <c r="Q70" s="73" t="s">
        <v>3088</v>
      </c>
      <c r="R70" s="73" t="s">
        <v>3088</v>
      </c>
      <c r="S70" s="73" t="s">
        <v>3088</v>
      </c>
      <c r="T70" s="73" t="s">
        <v>3088</v>
      </c>
      <c r="U70" s="73" t="s">
        <v>3088</v>
      </c>
      <c r="V70" s="73" t="s">
        <v>3088</v>
      </c>
      <c r="W70" s="73" t="s">
        <v>3088</v>
      </c>
      <c r="X70" s="73" t="s">
        <v>3088</v>
      </c>
      <c r="Y70" s="73" t="s">
        <v>3088</v>
      </c>
      <c r="Z70" s="73" t="s">
        <v>3088</v>
      </c>
      <c r="AA70" s="73" t="s">
        <v>3088</v>
      </c>
      <c r="AB70" s="73" t="s">
        <v>3088</v>
      </c>
      <c r="AC70" s="73" t="s">
        <v>3088</v>
      </c>
      <c r="AD70" s="73" t="s">
        <v>3088</v>
      </c>
      <c r="AE70" s="73" t="s">
        <v>3088</v>
      </c>
      <c r="AF70" s="73" t="s">
        <v>3088</v>
      </c>
      <c r="AG70" s="73" t="s">
        <v>3088</v>
      </c>
      <c r="AH70" s="73" t="s">
        <v>3088</v>
      </c>
      <c r="AI70" s="73" t="s">
        <v>3088</v>
      </c>
      <c r="AJ70" s="73" t="s">
        <v>3088</v>
      </c>
      <c r="AK70" s="73" t="s">
        <v>3088</v>
      </c>
      <c r="AL70" s="73" t="s">
        <v>3088</v>
      </c>
      <c r="AM70" s="73" t="s">
        <v>3088</v>
      </c>
      <c r="AN70" s="73" t="s">
        <v>3088</v>
      </c>
      <c r="AO70" s="73" t="s">
        <v>3088</v>
      </c>
      <c r="AP70" s="73" t="s">
        <v>3088</v>
      </c>
      <c r="AQ70" s="73" t="s">
        <v>3088</v>
      </c>
      <c r="AR70" s="73" t="s">
        <v>3088</v>
      </c>
      <c r="AS70" s="73" t="s">
        <v>3088</v>
      </c>
      <c r="AT70" s="73" t="s">
        <v>3088</v>
      </c>
      <c r="AU70" s="73" t="s">
        <v>3088</v>
      </c>
      <c r="AV70" s="73" t="s">
        <v>3088</v>
      </c>
      <c r="AW70" s="73" t="s">
        <v>3088</v>
      </c>
      <c r="AX70" s="73" t="s">
        <v>3088</v>
      </c>
      <c r="AY70" s="73" t="s">
        <v>3088</v>
      </c>
      <c r="AZ70" s="73" t="s">
        <v>3088</v>
      </c>
      <c r="BA70" s="73" t="s">
        <v>3088</v>
      </c>
      <c r="BB70" s="73" t="s">
        <v>3088</v>
      </c>
      <c r="BC70" s="73" t="s">
        <v>3088</v>
      </c>
      <c r="BD70" s="73" t="s">
        <v>3088</v>
      </c>
      <c r="BE70" s="73" t="s">
        <v>3088</v>
      </c>
      <c r="BF70" s="73" t="s">
        <v>3088</v>
      </c>
      <c r="BG70" s="73" t="s">
        <v>3088</v>
      </c>
      <c r="BH70" s="73" t="s">
        <v>3088</v>
      </c>
      <c r="BI70" s="73" t="s">
        <v>3088</v>
      </c>
      <c r="BJ70" s="73" t="s">
        <v>3088</v>
      </c>
      <c r="BK70" s="73" t="s">
        <v>3088</v>
      </c>
      <c r="BL70" s="73" t="s">
        <v>3088</v>
      </c>
      <c r="BM70" s="73" t="s">
        <v>3088</v>
      </c>
      <c r="BN70" s="73" t="s">
        <v>3088</v>
      </c>
      <c r="BO70" s="73" t="s">
        <v>3088</v>
      </c>
      <c r="BP70" s="73" t="s">
        <v>3088</v>
      </c>
      <c r="BQ70" s="73" t="s">
        <v>3237</v>
      </c>
      <c r="BR70" s="73" t="s">
        <v>3097</v>
      </c>
    </row>
    <row r="71" spans="1:70">
      <c r="A71" s="73" t="s">
        <v>1861</v>
      </c>
      <c r="B71" s="73" t="s">
        <v>3238</v>
      </c>
      <c r="C71" s="73" t="s">
        <v>2571</v>
      </c>
      <c r="D71" s="73" t="s">
        <v>3088</v>
      </c>
      <c r="E71" s="73" t="s">
        <v>3088</v>
      </c>
      <c r="F71" s="73" t="s">
        <v>3088</v>
      </c>
      <c r="G71" s="73" t="s">
        <v>3089</v>
      </c>
      <c r="H71" s="73" t="s">
        <v>3088</v>
      </c>
      <c r="I71" s="73" t="s">
        <v>3093</v>
      </c>
      <c r="J71" s="73" t="s">
        <v>3088</v>
      </c>
      <c r="K71" s="73" t="s">
        <v>3088</v>
      </c>
      <c r="L71" s="73" t="s">
        <v>3088</v>
      </c>
      <c r="M71" s="73" t="s">
        <v>3088</v>
      </c>
      <c r="N71" s="73" t="s">
        <v>3088</v>
      </c>
      <c r="O71" s="73" t="s">
        <v>3088</v>
      </c>
      <c r="P71" s="73" t="s">
        <v>3088</v>
      </c>
      <c r="Q71" s="73" t="s">
        <v>3088</v>
      </c>
      <c r="R71" s="73" t="s">
        <v>3088</v>
      </c>
      <c r="S71" s="73" t="s">
        <v>3088</v>
      </c>
      <c r="T71" s="73" t="s">
        <v>3088</v>
      </c>
      <c r="U71" s="73" t="s">
        <v>3088</v>
      </c>
      <c r="V71" s="73" t="s">
        <v>3088</v>
      </c>
      <c r="W71" s="73" t="s">
        <v>3088</v>
      </c>
      <c r="X71" s="73" t="s">
        <v>3088</v>
      </c>
      <c r="Y71" s="73" t="s">
        <v>3088</v>
      </c>
      <c r="Z71" s="73" t="s">
        <v>3088</v>
      </c>
      <c r="AA71" s="73" t="s">
        <v>3088</v>
      </c>
      <c r="AB71" s="73" t="s">
        <v>3088</v>
      </c>
      <c r="AC71" s="73" t="s">
        <v>3088</v>
      </c>
      <c r="AD71" s="73" t="s">
        <v>3088</v>
      </c>
      <c r="AE71" s="73" t="s">
        <v>3088</v>
      </c>
      <c r="AF71" s="73" t="s">
        <v>3088</v>
      </c>
      <c r="AG71" s="73" t="s">
        <v>3088</v>
      </c>
      <c r="AH71" s="73" t="s">
        <v>3088</v>
      </c>
      <c r="AI71" s="73" t="s">
        <v>3088</v>
      </c>
      <c r="AJ71" s="73" t="s">
        <v>3088</v>
      </c>
      <c r="AK71" s="73" t="s">
        <v>3088</v>
      </c>
      <c r="AL71" s="73" t="s">
        <v>3088</v>
      </c>
      <c r="AM71" s="73" t="s">
        <v>3088</v>
      </c>
      <c r="AN71" s="73" t="s">
        <v>3088</v>
      </c>
      <c r="AO71" s="73" t="s">
        <v>3088</v>
      </c>
      <c r="AP71" s="73" t="s">
        <v>3088</v>
      </c>
      <c r="AQ71" s="73" t="s">
        <v>3088</v>
      </c>
      <c r="AR71" s="73" t="s">
        <v>3088</v>
      </c>
      <c r="AS71" s="73" t="s">
        <v>3088</v>
      </c>
      <c r="AT71" s="73" t="s">
        <v>3088</v>
      </c>
      <c r="AU71" s="73" t="s">
        <v>3088</v>
      </c>
      <c r="AV71" s="73" t="s">
        <v>3088</v>
      </c>
      <c r="AW71" s="73" t="s">
        <v>3088</v>
      </c>
      <c r="AX71" s="73" t="s">
        <v>3088</v>
      </c>
      <c r="AY71" s="73" t="s">
        <v>3088</v>
      </c>
      <c r="AZ71" s="73" t="s">
        <v>3088</v>
      </c>
      <c r="BA71" s="73" t="s">
        <v>3088</v>
      </c>
      <c r="BB71" s="73" t="s">
        <v>3088</v>
      </c>
      <c r="BC71" s="73" t="s">
        <v>3088</v>
      </c>
      <c r="BD71" s="73" t="s">
        <v>3088</v>
      </c>
      <c r="BE71" s="73" t="s">
        <v>3088</v>
      </c>
      <c r="BF71" s="73" t="s">
        <v>3088</v>
      </c>
      <c r="BG71" s="73" t="s">
        <v>3088</v>
      </c>
      <c r="BH71" s="73" t="s">
        <v>3088</v>
      </c>
      <c r="BI71" s="73" t="s">
        <v>3088</v>
      </c>
      <c r="BJ71" s="73" t="s">
        <v>3088</v>
      </c>
      <c r="BK71" s="73" t="s">
        <v>3088</v>
      </c>
      <c r="BL71" s="73" t="s">
        <v>3088</v>
      </c>
      <c r="BM71" s="73" t="s">
        <v>3088</v>
      </c>
      <c r="BN71" s="73" t="s">
        <v>3088</v>
      </c>
      <c r="BO71" s="73" t="s">
        <v>3088</v>
      </c>
      <c r="BP71" s="73" t="s">
        <v>3088</v>
      </c>
      <c r="BQ71" s="73" t="s">
        <v>3239</v>
      </c>
      <c r="BR71" s="73" t="s">
        <v>3088</v>
      </c>
    </row>
    <row r="72" spans="1:70">
      <c r="A72" s="73" t="s">
        <v>1861</v>
      </c>
      <c r="B72" s="73" t="s">
        <v>3240</v>
      </c>
      <c r="C72" s="73" t="s">
        <v>2545</v>
      </c>
      <c r="D72" s="73" t="s">
        <v>3088</v>
      </c>
      <c r="E72" s="73" t="s">
        <v>3088</v>
      </c>
      <c r="F72" s="73" t="s">
        <v>3088</v>
      </c>
      <c r="G72" s="73" t="s">
        <v>3089</v>
      </c>
      <c r="H72" s="73" t="s">
        <v>3088</v>
      </c>
      <c r="I72" s="73" t="s">
        <v>3241</v>
      </c>
      <c r="J72" s="73" t="s">
        <v>3242</v>
      </c>
      <c r="K72" s="73" t="s">
        <v>3095</v>
      </c>
      <c r="L72" s="73" t="s">
        <v>3243</v>
      </c>
      <c r="M72" s="73" t="s">
        <v>3242</v>
      </c>
      <c r="N72" s="73" t="s">
        <v>3095</v>
      </c>
      <c r="O72" s="73" t="s">
        <v>3088</v>
      </c>
      <c r="P72" s="73" t="s">
        <v>3088</v>
      </c>
      <c r="Q72" s="73" t="s">
        <v>3088</v>
      </c>
      <c r="R72" s="73" t="s">
        <v>3088</v>
      </c>
      <c r="S72" s="73" t="s">
        <v>3088</v>
      </c>
      <c r="T72" s="73" t="s">
        <v>3088</v>
      </c>
      <c r="U72" s="73" t="s">
        <v>3088</v>
      </c>
      <c r="V72" s="73" t="s">
        <v>3088</v>
      </c>
      <c r="W72" s="73" t="s">
        <v>3088</v>
      </c>
      <c r="X72" s="73" t="s">
        <v>3088</v>
      </c>
      <c r="Y72" s="73" t="s">
        <v>3088</v>
      </c>
      <c r="Z72" s="73" t="s">
        <v>3088</v>
      </c>
      <c r="AA72" s="73" t="s">
        <v>3088</v>
      </c>
      <c r="AB72" s="73" t="s">
        <v>3088</v>
      </c>
      <c r="AC72" s="73" t="s">
        <v>3088</v>
      </c>
      <c r="AD72" s="73" t="s">
        <v>3088</v>
      </c>
      <c r="AE72" s="73" t="s">
        <v>3088</v>
      </c>
      <c r="AF72" s="73" t="s">
        <v>3088</v>
      </c>
      <c r="AG72" s="73" t="s">
        <v>3088</v>
      </c>
      <c r="AH72" s="73" t="s">
        <v>3088</v>
      </c>
      <c r="AI72" s="73" t="s">
        <v>3088</v>
      </c>
      <c r="AJ72" s="73" t="s">
        <v>3088</v>
      </c>
      <c r="AK72" s="73" t="s">
        <v>3088</v>
      </c>
      <c r="AL72" s="73" t="s">
        <v>3088</v>
      </c>
      <c r="AM72" s="73" t="s">
        <v>3088</v>
      </c>
      <c r="AN72" s="73" t="s">
        <v>3088</v>
      </c>
      <c r="AO72" s="73" t="s">
        <v>3088</v>
      </c>
      <c r="AP72" s="73" t="s">
        <v>3088</v>
      </c>
      <c r="AQ72" s="73" t="s">
        <v>3088</v>
      </c>
      <c r="AR72" s="73" t="s">
        <v>3088</v>
      </c>
      <c r="AS72" s="73" t="s">
        <v>3088</v>
      </c>
      <c r="AT72" s="73" t="s">
        <v>3088</v>
      </c>
      <c r="AU72" s="73" t="s">
        <v>3088</v>
      </c>
      <c r="AV72" s="73" t="s">
        <v>3088</v>
      </c>
      <c r="AW72" s="73" t="s">
        <v>3088</v>
      </c>
      <c r="AX72" s="73" t="s">
        <v>3088</v>
      </c>
      <c r="AY72" s="73" t="s">
        <v>3088</v>
      </c>
      <c r="AZ72" s="73" t="s">
        <v>3088</v>
      </c>
      <c r="BA72" s="73" t="s">
        <v>3088</v>
      </c>
      <c r="BB72" s="73" t="s">
        <v>3088</v>
      </c>
      <c r="BC72" s="73" t="s">
        <v>3088</v>
      </c>
      <c r="BD72" s="73" t="s">
        <v>3088</v>
      </c>
      <c r="BE72" s="73" t="s">
        <v>3088</v>
      </c>
      <c r="BF72" s="73" t="s">
        <v>3088</v>
      </c>
      <c r="BG72" s="73" t="s">
        <v>3088</v>
      </c>
      <c r="BH72" s="73" t="s">
        <v>3088</v>
      </c>
      <c r="BI72" s="73" t="s">
        <v>3088</v>
      </c>
      <c r="BJ72" s="73" t="s">
        <v>3088</v>
      </c>
      <c r="BK72" s="73" t="s">
        <v>3088</v>
      </c>
      <c r="BL72" s="73" t="s">
        <v>3088</v>
      </c>
      <c r="BM72" s="73" t="s">
        <v>3088</v>
      </c>
      <c r="BN72" s="73" t="s">
        <v>3088</v>
      </c>
      <c r="BO72" s="73" t="s">
        <v>3088</v>
      </c>
      <c r="BP72" s="73" t="s">
        <v>3088</v>
      </c>
      <c r="BQ72" s="73" t="s">
        <v>3244</v>
      </c>
      <c r="BR72" s="73" t="s">
        <v>3097</v>
      </c>
    </row>
    <row r="73" spans="1:70">
      <c r="A73" s="73" t="s">
        <v>1861</v>
      </c>
      <c r="B73" s="73" t="s">
        <v>3245</v>
      </c>
      <c r="C73" s="73" t="s">
        <v>2563</v>
      </c>
      <c r="D73" s="73" t="s">
        <v>3088</v>
      </c>
      <c r="E73" s="73" t="s">
        <v>3088</v>
      </c>
      <c r="F73" s="73" t="s">
        <v>3088</v>
      </c>
      <c r="G73" s="73" t="s">
        <v>3089</v>
      </c>
      <c r="H73" s="73" t="s">
        <v>3088</v>
      </c>
      <c r="I73" s="73" t="s">
        <v>3122</v>
      </c>
      <c r="J73" s="73" t="s">
        <v>3246</v>
      </c>
      <c r="K73" s="73" t="s">
        <v>3089</v>
      </c>
      <c r="L73" s="73" t="s">
        <v>3113</v>
      </c>
      <c r="M73" s="73" t="s">
        <v>3246</v>
      </c>
      <c r="N73" s="73" t="s">
        <v>3089</v>
      </c>
      <c r="O73" s="73" t="s">
        <v>3088</v>
      </c>
      <c r="P73" s="73" t="s">
        <v>3088</v>
      </c>
      <c r="Q73" s="73" t="s">
        <v>3088</v>
      </c>
      <c r="R73" s="73" t="s">
        <v>3088</v>
      </c>
      <c r="S73" s="73" t="s">
        <v>3088</v>
      </c>
      <c r="T73" s="73" t="s">
        <v>3088</v>
      </c>
      <c r="U73" s="73" t="s">
        <v>3088</v>
      </c>
      <c r="V73" s="73" t="s">
        <v>3088</v>
      </c>
      <c r="W73" s="73" t="s">
        <v>3088</v>
      </c>
      <c r="X73" s="73" t="s">
        <v>3088</v>
      </c>
      <c r="Y73" s="73" t="s">
        <v>3088</v>
      </c>
      <c r="Z73" s="73" t="s">
        <v>3088</v>
      </c>
      <c r="AA73" s="73" t="s">
        <v>3088</v>
      </c>
      <c r="AB73" s="73" t="s">
        <v>3088</v>
      </c>
      <c r="AC73" s="73" t="s">
        <v>3088</v>
      </c>
      <c r="AD73" s="73" t="s">
        <v>3088</v>
      </c>
      <c r="AE73" s="73" t="s">
        <v>3088</v>
      </c>
      <c r="AF73" s="73" t="s">
        <v>3088</v>
      </c>
      <c r="AG73" s="73" t="s">
        <v>3088</v>
      </c>
      <c r="AH73" s="73" t="s">
        <v>3088</v>
      </c>
      <c r="AI73" s="73" t="s">
        <v>3088</v>
      </c>
      <c r="AJ73" s="73" t="s">
        <v>3088</v>
      </c>
      <c r="AK73" s="73" t="s">
        <v>3088</v>
      </c>
      <c r="AL73" s="73" t="s">
        <v>3088</v>
      </c>
      <c r="AM73" s="73" t="s">
        <v>3088</v>
      </c>
      <c r="AN73" s="73" t="s">
        <v>3088</v>
      </c>
      <c r="AO73" s="73" t="s">
        <v>3088</v>
      </c>
      <c r="AP73" s="73" t="s">
        <v>3088</v>
      </c>
      <c r="AQ73" s="73" t="s">
        <v>3088</v>
      </c>
      <c r="AR73" s="73" t="s">
        <v>3088</v>
      </c>
      <c r="AS73" s="73" t="s">
        <v>3088</v>
      </c>
      <c r="AT73" s="73" t="s">
        <v>3088</v>
      </c>
      <c r="AU73" s="73" t="s">
        <v>3088</v>
      </c>
      <c r="AV73" s="73" t="s">
        <v>3088</v>
      </c>
      <c r="AW73" s="73" t="s">
        <v>3088</v>
      </c>
      <c r="AX73" s="73" t="s">
        <v>3088</v>
      </c>
      <c r="AY73" s="73" t="s">
        <v>3088</v>
      </c>
      <c r="AZ73" s="73" t="s">
        <v>3088</v>
      </c>
      <c r="BA73" s="73" t="s">
        <v>3088</v>
      </c>
      <c r="BB73" s="73" t="s">
        <v>3088</v>
      </c>
      <c r="BC73" s="73" t="s">
        <v>3088</v>
      </c>
      <c r="BD73" s="73" t="s">
        <v>3088</v>
      </c>
      <c r="BE73" s="73" t="s">
        <v>3088</v>
      </c>
      <c r="BF73" s="73" t="s">
        <v>3088</v>
      </c>
      <c r="BG73" s="73" t="s">
        <v>3088</v>
      </c>
      <c r="BH73" s="73" t="s">
        <v>3088</v>
      </c>
      <c r="BI73" s="73" t="s">
        <v>3088</v>
      </c>
      <c r="BJ73" s="73" t="s">
        <v>3088</v>
      </c>
      <c r="BK73" s="73" t="s">
        <v>3088</v>
      </c>
      <c r="BL73" s="73" t="s">
        <v>3088</v>
      </c>
      <c r="BM73" s="73" t="s">
        <v>3088</v>
      </c>
      <c r="BN73" s="73" t="s">
        <v>3088</v>
      </c>
      <c r="BO73" s="73" t="s">
        <v>3088</v>
      </c>
      <c r="BP73" s="73" t="s">
        <v>3088</v>
      </c>
      <c r="BQ73" s="73" t="s">
        <v>3247</v>
      </c>
      <c r="BR73" s="73" t="s">
        <v>3088</v>
      </c>
    </row>
    <row r="74" spans="1:70">
      <c r="A74" s="73" t="s">
        <v>1861</v>
      </c>
      <c r="B74" s="73" t="s">
        <v>2841</v>
      </c>
      <c r="C74" s="73" t="s">
        <v>2554</v>
      </c>
      <c r="D74" s="73" t="s">
        <v>3088</v>
      </c>
      <c r="E74" s="73" t="s">
        <v>3088</v>
      </c>
      <c r="F74" s="73" t="s">
        <v>3088</v>
      </c>
      <c r="G74" s="73" t="s">
        <v>3089</v>
      </c>
      <c r="H74" s="73" t="s">
        <v>3088</v>
      </c>
      <c r="I74" s="73" t="s">
        <v>543</v>
      </c>
      <c r="J74" s="73" t="s">
        <v>2842</v>
      </c>
      <c r="K74" s="73" t="s">
        <v>3089</v>
      </c>
      <c r="L74" s="73" t="s">
        <v>3088</v>
      </c>
      <c r="M74" s="73" t="s">
        <v>3088</v>
      </c>
      <c r="N74" s="73" t="s">
        <v>3088</v>
      </c>
      <c r="O74" s="73" t="s">
        <v>3088</v>
      </c>
      <c r="P74" s="73" t="s">
        <v>3088</v>
      </c>
      <c r="Q74" s="73" t="s">
        <v>3088</v>
      </c>
      <c r="R74" s="73" t="s">
        <v>3088</v>
      </c>
      <c r="S74" s="73" t="s">
        <v>3088</v>
      </c>
      <c r="T74" s="73" t="s">
        <v>3088</v>
      </c>
      <c r="U74" s="73" t="s">
        <v>3088</v>
      </c>
      <c r="V74" s="73" t="s">
        <v>3088</v>
      </c>
      <c r="W74" s="73" t="s">
        <v>3088</v>
      </c>
      <c r="X74" s="73" t="s">
        <v>3088</v>
      </c>
      <c r="Y74" s="73" t="s">
        <v>3088</v>
      </c>
      <c r="Z74" s="73" t="s">
        <v>3088</v>
      </c>
      <c r="AA74" s="73" t="s">
        <v>3088</v>
      </c>
      <c r="AB74" s="73" t="s">
        <v>3088</v>
      </c>
      <c r="AC74" s="73" t="s">
        <v>3088</v>
      </c>
      <c r="AD74" s="73" t="s">
        <v>3088</v>
      </c>
      <c r="AE74" s="73" t="s">
        <v>3088</v>
      </c>
      <c r="AF74" s="73" t="s">
        <v>3088</v>
      </c>
      <c r="AG74" s="73" t="s">
        <v>3088</v>
      </c>
      <c r="AH74" s="73" t="s">
        <v>3088</v>
      </c>
      <c r="AI74" s="73" t="s">
        <v>3088</v>
      </c>
      <c r="AJ74" s="73" t="s">
        <v>3088</v>
      </c>
      <c r="AK74" s="73" t="s">
        <v>3088</v>
      </c>
      <c r="AL74" s="73" t="s">
        <v>3088</v>
      </c>
      <c r="AM74" s="73" t="s">
        <v>3088</v>
      </c>
      <c r="AN74" s="73" t="s">
        <v>3088</v>
      </c>
      <c r="AO74" s="73" t="s">
        <v>3088</v>
      </c>
      <c r="AP74" s="73" t="s">
        <v>3088</v>
      </c>
      <c r="AQ74" s="73" t="s">
        <v>3088</v>
      </c>
      <c r="AR74" s="73" t="s">
        <v>3088</v>
      </c>
      <c r="AS74" s="73" t="s">
        <v>3088</v>
      </c>
      <c r="AT74" s="73" t="s">
        <v>3088</v>
      </c>
      <c r="AU74" s="73" t="s">
        <v>3088</v>
      </c>
      <c r="AV74" s="73" t="s">
        <v>3088</v>
      </c>
      <c r="AW74" s="73" t="s">
        <v>3088</v>
      </c>
      <c r="AX74" s="73" t="s">
        <v>3088</v>
      </c>
      <c r="AY74" s="73" t="s">
        <v>3088</v>
      </c>
      <c r="AZ74" s="73" t="s">
        <v>3088</v>
      </c>
      <c r="BA74" s="73" t="s">
        <v>3088</v>
      </c>
      <c r="BB74" s="73" t="s">
        <v>3088</v>
      </c>
      <c r="BC74" s="73" t="s">
        <v>3088</v>
      </c>
      <c r="BD74" s="73" t="s">
        <v>3088</v>
      </c>
      <c r="BE74" s="73" t="s">
        <v>3088</v>
      </c>
      <c r="BF74" s="73" t="s">
        <v>3088</v>
      </c>
      <c r="BG74" s="73" t="s">
        <v>3088</v>
      </c>
      <c r="BH74" s="73" t="s">
        <v>3088</v>
      </c>
      <c r="BI74" s="73" t="s">
        <v>3088</v>
      </c>
      <c r="BJ74" s="73" t="s">
        <v>3088</v>
      </c>
      <c r="BK74" s="73" t="s">
        <v>3088</v>
      </c>
      <c r="BL74" s="73" t="s">
        <v>3088</v>
      </c>
      <c r="BM74" s="73" t="s">
        <v>3088</v>
      </c>
      <c r="BN74" s="73" t="s">
        <v>3088</v>
      </c>
      <c r="BO74" s="73" t="s">
        <v>3088</v>
      </c>
      <c r="BP74" s="73" t="s">
        <v>3088</v>
      </c>
      <c r="BQ74" s="73" t="s">
        <v>3248</v>
      </c>
      <c r="BR74" s="73" t="s">
        <v>3088</v>
      </c>
    </row>
    <row r="75" spans="1:70">
      <c r="A75" s="73" t="s">
        <v>1861</v>
      </c>
      <c r="B75" s="73" t="s">
        <v>2584</v>
      </c>
      <c r="C75" s="73" t="s">
        <v>2545</v>
      </c>
      <c r="D75" s="73" t="s">
        <v>3088</v>
      </c>
      <c r="E75" s="73" t="s">
        <v>3088</v>
      </c>
      <c r="F75" s="73" t="s">
        <v>3088</v>
      </c>
      <c r="G75" s="73" t="s">
        <v>3089</v>
      </c>
      <c r="H75" s="73" t="s">
        <v>3088</v>
      </c>
      <c r="I75" s="73" t="s">
        <v>108</v>
      </c>
      <c r="J75" s="73" t="s">
        <v>3249</v>
      </c>
      <c r="K75" s="73" t="s">
        <v>3089</v>
      </c>
      <c r="L75" s="73" t="s">
        <v>3122</v>
      </c>
      <c r="M75" s="73" t="s">
        <v>3249</v>
      </c>
      <c r="N75" s="73" t="s">
        <v>3089</v>
      </c>
      <c r="O75" s="73" t="s">
        <v>1201</v>
      </c>
      <c r="P75" s="73" t="s">
        <v>3249</v>
      </c>
      <c r="Q75" s="73" t="s">
        <v>3089</v>
      </c>
      <c r="R75" s="73" t="s">
        <v>543</v>
      </c>
      <c r="S75" s="73" t="s">
        <v>3249</v>
      </c>
      <c r="T75" s="73" t="s">
        <v>3089</v>
      </c>
      <c r="U75" s="73" t="s">
        <v>3113</v>
      </c>
      <c r="V75" s="73" t="s">
        <v>3249</v>
      </c>
      <c r="W75" s="73" t="s">
        <v>3089</v>
      </c>
      <c r="X75" s="73" t="s">
        <v>801</v>
      </c>
      <c r="Y75" s="73" t="s">
        <v>3249</v>
      </c>
      <c r="Z75" s="73" t="s">
        <v>3089</v>
      </c>
      <c r="AA75" s="73" t="s">
        <v>3250</v>
      </c>
      <c r="AB75" s="73" t="s">
        <v>3249</v>
      </c>
      <c r="AC75" s="73" t="s">
        <v>3089</v>
      </c>
      <c r="AD75" s="73" t="s">
        <v>3003</v>
      </c>
      <c r="AE75" s="73" t="s">
        <v>3249</v>
      </c>
      <c r="AF75" s="73" t="s">
        <v>3089</v>
      </c>
      <c r="AG75" s="73" t="s">
        <v>2463</v>
      </c>
      <c r="AH75" s="73" t="s">
        <v>3249</v>
      </c>
      <c r="AI75" s="73" t="s">
        <v>3089</v>
      </c>
      <c r="AJ75" s="73" t="s">
        <v>3013</v>
      </c>
      <c r="AK75" s="73" t="s">
        <v>3249</v>
      </c>
      <c r="AL75" s="73" t="s">
        <v>3089</v>
      </c>
      <c r="AM75" s="73" t="s">
        <v>3088</v>
      </c>
      <c r="AN75" s="73" t="s">
        <v>3088</v>
      </c>
      <c r="AO75" s="73" t="s">
        <v>3088</v>
      </c>
      <c r="AP75" s="73" t="s">
        <v>3088</v>
      </c>
      <c r="AQ75" s="73" t="s">
        <v>3088</v>
      </c>
      <c r="AR75" s="73" t="s">
        <v>3088</v>
      </c>
      <c r="AS75" s="73" t="s">
        <v>3088</v>
      </c>
      <c r="AT75" s="73" t="s">
        <v>3088</v>
      </c>
      <c r="AU75" s="73" t="s">
        <v>3088</v>
      </c>
      <c r="AV75" s="73" t="s">
        <v>3088</v>
      </c>
      <c r="AW75" s="73" t="s">
        <v>3088</v>
      </c>
      <c r="AX75" s="73" t="s">
        <v>3088</v>
      </c>
      <c r="AY75" s="73" t="s">
        <v>3088</v>
      </c>
      <c r="AZ75" s="73" t="s">
        <v>3088</v>
      </c>
      <c r="BA75" s="73" t="s">
        <v>3088</v>
      </c>
      <c r="BB75" s="73" t="s">
        <v>3088</v>
      </c>
      <c r="BC75" s="73" t="s">
        <v>3088</v>
      </c>
      <c r="BD75" s="73" t="s">
        <v>3088</v>
      </c>
      <c r="BE75" s="73" t="s">
        <v>3088</v>
      </c>
      <c r="BF75" s="73" t="s">
        <v>3088</v>
      </c>
      <c r="BG75" s="73" t="s">
        <v>3088</v>
      </c>
      <c r="BH75" s="73" t="s">
        <v>3088</v>
      </c>
      <c r="BI75" s="73" t="s">
        <v>3088</v>
      </c>
      <c r="BJ75" s="73" t="s">
        <v>3088</v>
      </c>
      <c r="BK75" s="73" t="s">
        <v>3088</v>
      </c>
      <c r="BL75" s="73" t="s">
        <v>3088</v>
      </c>
      <c r="BM75" s="73" t="s">
        <v>3088</v>
      </c>
      <c r="BN75" s="73" t="s">
        <v>3088</v>
      </c>
      <c r="BO75" s="73" t="s">
        <v>3088</v>
      </c>
      <c r="BP75" s="73" t="s">
        <v>3088</v>
      </c>
      <c r="BQ75" s="73" t="s">
        <v>3251</v>
      </c>
      <c r="BR75" s="73" t="s">
        <v>3088</v>
      </c>
    </row>
    <row r="76" spans="1:70">
      <c r="A76" s="73" t="s">
        <v>1861</v>
      </c>
      <c r="B76" s="73" t="s">
        <v>2587</v>
      </c>
      <c r="C76" s="73" t="s">
        <v>2554</v>
      </c>
      <c r="D76" s="73" t="s">
        <v>3088</v>
      </c>
      <c r="E76" s="73" t="s">
        <v>3088</v>
      </c>
      <c r="F76" s="73" t="s">
        <v>3088</v>
      </c>
      <c r="G76" s="73" t="s">
        <v>3089</v>
      </c>
      <c r="H76" s="73" t="s">
        <v>3088</v>
      </c>
      <c r="I76" s="73" t="s">
        <v>108</v>
      </c>
      <c r="J76" s="73" t="s">
        <v>3252</v>
      </c>
      <c r="K76" s="73" t="s">
        <v>3095</v>
      </c>
      <c r="L76" s="73" t="s">
        <v>2193</v>
      </c>
      <c r="M76" s="73" t="s">
        <v>3252</v>
      </c>
      <c r="N76" s="73" t="s">
        <v>3095</v>
      </c>
      <c r="O76" s="73" t="s">
        <v>3088</v>
      </c>
      <c r="P76" s="73" t="s">
        <v>3088</v>
      </c>
      <c r="Q76" s="73" t="s">
        <v>3088</v>
      </c>
      <c r="R76" s="73" t="s">
        <v>3088</v>
      </c>
      <c r="S76" s="73" t="s">
        <v>3088</v>
      </c>
      <c r="T76" s="73" t="s">
        <v>3088</v>
      </c>
      <c r="U76" s="73" t="s">
        <v>3088</v>
      </c>
      <c r="V76" s="73" t="s">
        <v>3088</v>
      </c>
      <c r="W76" s="73" t="s">
        <v>3088</v>
      </c>
      <c r="X76" s="73" t="s">
        <v>3088</v>
      </c>
      <c r="Y76" s="73" t="s">
        <v>3088</v>
      </c>
      <c r="Z76" s="73" t="s">
        <v>3088</v>
      </c>
      <c r="AA76" s="73" t="s">
        <v>3088</v>
      </c>
      <c r="AB76" s="73" t="s">
        <v>3088</v>
      </c>
      <c r="AC76" s="73" t="s">
        <v>3088</v>
      </c>
      <c r="AD76" s="73" t="s">
        <v>3088</v>
      </c>
      <c r="AE76" s="73" t="s">
        <v>3088</v>
      </c>
      <c r="AF76" s="73" t="s">
        <v>3088</v>
      </c>
      <c r="AG76" s="73" t="s">
        <v>3088</v>
      </c>
      <c r="AH76" s="73" t="s">
        <v>3088</v>
      </c>
      <c r="AI76" s="73" t="s">
        <v>3088</v>
      </c>
      <c r="AJ76" s="73" t="s">
        <v>3088</v>
      </c>
      <c r="AK76" s="73" t="s">
        <v>3088</v>
      </c>
      <c r="AL76" s="73" t="s">
        <v>3088</v>
      </c>
      <c r="AM76" s="73" t="s">
        <v>3088</v>
      </c>
      <c r="AN76" s="73" t="s">
        <v>3088</v>
      </c>
      <c r="AO76" s="73" t="s">
        <v>3088</v>
      </c>
      <c r="AP76" s="73" t="s">
        <v>3088</v>
      </c>
      <c r="AQ76" s="73" t="s">
        <v>3088</v>
      </c>
      <c r="AR76" s="73" t="s">
        <v>3088</v>
      </c>
      <c r="AS76" s="73" t="s">
        <v>3088</v>
      </c>
      <c r="AT76" s="73" t="s">
        <v>3088</v>
      </c>
      <c r="AU76" s="73" t="s">
        <v>3088</v>
      </c>
      <c r="AV76" s="73" t="s">
        <v>3088</v>
      </c>
      <c r="AW76" s="73" t="s">
        <v>3088</v>
      </c>
      <c r="AX76" s="73" t="s">
        <v>3088</v>
      </c>
      <c r="AY76" s="73" t="s">
        <v>3088</v>
      </c>
      <c r="AZ76" s="73" t="s">
        <v>3088</v>
      </c>
      <c r="BA76" s="73" t="s">
        <v>3088</v>
      </c>
      <c r="BB76" s="73" t="s">
        <v>3088</v>
      </c>
      <c r="BC76" s="73" t="s">
        <v>3088</v>
      </c>
      <c r="BD76" s="73" t="s">
        <v>3088</v>
      </c>
      <c r="BE76" s="73" t="s">
        <v>3088</v>
      </c>
      <c r="BF76" s="73" t="s">
        <v>3088</v>
      </c>
      <c r="BG76" s="73" t="s">
        <v>3088</v>
      </c>
      <c r="BH76" s="73" t="s">
        <v>3088</v>
      </c>
      <c r="BI76" s="73" t="s">
        <v>3088</v>
      </c>
      <c r="BJ76" s="73" t="s">
        <v>3088</v>
      </c>
      <c r="BK76" s="73" t="s">
        <v>3088</v>
      </c>
      <c r="BL76" s="73" t="s">
        <v>3088</v>
      </c>
      <c r="BM76" s="73" t="s">
        <v>3088</v>
      </c>
      <c r="BN76" s="73" t="s">
        <v>3088</v>
      </c>
      <c r="BO76" s="73" t="s">
        <v>3088</v>
      </c>
      <c r="BP76" s="73" t="s">
        <v>3088</v>
      </c>
      <c r="BQ76" s="73" t="s">
        <v>3253</v>
      </c>
      <c r="BR76" s="73" t="s">
        <v>3097</v>
      </c>
    </row>
    <row r="77" spans="1:70">
      <c r="A77" s="73" t="s">
        <v>1861</v>
      </c>
      <c r="B77" s="73" t="s">
        <v>3254</v>
      </c>
      <c r="C77" s="73" t="s">
        <v>2563</v>
      </c>
      <c r="D77" s="73" t="s">
        <v>3088</v>
      </c>
      <c r="E77" s="73" t="s">
        <v>3088</v>
      </c>
      <c r="F77" s="73" t="s">
        <v>3088</v>
      </c>
      <c r="G77" s="73" t="s">
        <v>3089</v>
      </c>
      <c r="H77" s="73" t="s">
        <v>3088</v>
      </c>
      <c r="I77" s="73" t="s">
        <v>3122</v>
      </c>
      <c r="J77" s="73" t="s">
        <v>3255</v>
      </c>
      <c r="K77" s="73" t="s">
        <v>3089</v>
      </c>
      <c r="L77" s="73" t="s">
        <v>3088</v>
      </c>
      <c r="M77" s="73" t="s">
        <v>3088</v>
      </c>
      <c r="N77" s="73" t="s">
        <v>3088</v>
      </c>
      <c r="O77" s="73" t="s">
        <v>3088</v>
      </c>
      <c r="P77" s="73" t="s">
        <v>3088</v>
      </c>
      <c r="Q77" s="73" t="s">
        <v>3088</v>
      </c>
      <c r="R77" s="73" t="s">
        <v>3088</v>
      </c>
      <c r="S77" s="73" t="s">
        <v>3088</v>
      </c>
      <c r="T77" s="73" t="s">
        <v>3088</v>
      </c>
      <c r="U77" s="73" t="s">
        <v>3088</v>
      </c>
      <c r="V77" s="73" t="s">
        <v>3088</v>
      </c>
      <c r="W77" s="73" t="s">
        <v>3088</v>
      </c>
      <c r="X77" s="73" t="s">
        <v>3088</v>
      </c>
      <c r="Y77" s="73" t="s">
        <v>3088</v>
      </c>
      <c r="Z77" s="73" t="s">
        <v>3088</v>
      </c>
      <c r="AA77" s="73" t="s">
        <v>3088</v>
      </c>
      <c r="AB77" s="73" t="s">
        <v>3088</v>
      </c>
      <c r="AC77" s="73" t="s">
        <v>3088</v>
      </c>
      <c r="AD77" s="73" t="s">
        <v>3088</v>
      </c>
      <c r="AE77" s="73" t="s">
        <v>3088</v>
      </c>
      <c r="AF77" s="73" t="s">
        <v>3088</v>
      </c>
      <c r="AG77" s="73" t="s">
        <v>3088</v>
      </c>
      <c r="AH77" s="73" t="s">
        <v>3088</v>
      </c>
      <c r="AI77" s="73" t="s">
        <v>3088</v>
      </c>
      <c r="AJ77" s="73" t="s">
        <v>3088</v>
      </c>
      <c r="AK77" s="73" t="s">
        <v>3088</v>
      </c>
      <c r="AL77" s="73" t="s">
        <v>3088</v>
      </c>
      <c r="AM77" s="73" t="s">
        <v>3088</v>
      </c>
      <c r="AN77" s="73" t="s">
        <v>3088</v>
      </c>
      <c r="AO77" s="73" t="s">
        <v>3088</v>
      </c>
      <c r="AP77" s="73" t="s">
        <v>3088</v>
      </c>
      <c r="AQ77" s="73" t="s">
        <v>3088</v>
      </c>
      <c r="AR77" s="73" t="s">
        <v>3088</v>
      </c>
      <c r="AS77" s="73" t="s">
        <v>3088</v>
      </c>
      <c r="AT77" s="73" t="s">
        <v>3088</v>
      </c>
      <c r="AU77" s="73" t="s">
        <v>3088</v>
      </c>
      <c r="AV77" s="73" t="s">
        <v>3088</v>
      </c>
      <c r="AW77" s="73" t="s">
        <v>3088</v>
      </c>
      <c r="AX77" s="73" t="s">
        <v>3088</v>
      </c>
      <c r="AY77" s="73" t="s">
        <v>3088</v>
      </c>
      <c r="AZ77" s="73" t="s">
        <v>3088</v>
      </c>
      <c r="BA77" s="73" t="s">
        <v>3088</v>
      </c>
      <c r="BB77" s="73" t="s">
        <v>3088</v>
      </c>
      <c r="BC77" s="73" t="s">
        <v>3088</v>
      </c>
      <c r="BD77" s="73" t="s">
        <v>3088</v>
      </c>
      <c r="BE77" s="73" t="s">
        <v>3088</v>
      </c>
      <c r="BF77" s="73" t="s">
        <v>3088</v>
      </c>
      <c r="BG77" s="73" t="s">
        <v>3088</v>
      </c>
      <c r="BH77" s="73" t="s">
        <v>3088</v>
      </c>
      <c r="BI77" s="73" t="s">
        <v>3088</v>
      </c>
      <c r="BJ77" s="73" t="s">
        <v>3088</v>
      </c>
      <c r="BK77" s="73" t="s">
        <v>3088</v>
      </c>
      <c r="BL77" s="73" t="s">
        <v>3088</v>
      </c>
      <c r="BM77" s="73" t="s">
        <v>3088</v>
      </c>
      <c r="BN77" s="73" t="s">
        <v>3088</v>
      </c>
      <c r="BO77" s="73" t="s">
        <v>3088</v>
      </c>
      <c r="BP77" s="73" t="s">
        <v>3088</v>
      </c>
      <c r="BQ77" s="73" t="s">
        <v>3256</v>
      </c>
      <c r="BR77" s="73" t="s">
        <v>3088</v>
      </c>
    </row>
    <row r="78" spans="1:70">
      <c r="A78" s="73" t="s">
        <v>1861</v>
      </c>
      <c r="B78" s="73" t="s">
        <v>3257</v>
      </c>
      <c r="C78" s="73" t="s">
        <v>2545</v>
      </c>
      <c r="D78" s="73" t="s">
        <v>3088</v>
      </c>
      <c r="E78" s="73" t="s">
        <v>3088</v>
      </c>
      <c r="F78" s="73" t="s">
        <v>3088</v>
      </c>
      <c r="G78" s="73" t="s">
        <v>3089</v>
      </c>
      <c r="H78" s="73" t="s">
        <v>3088</v>
      </c>
      <c r="I78" s="73" t="s">
        <v>3113</v>
      </c>
      <c r="J78" s="73" t="s">
        <v>3258</v>
      </c>
      <c r="K78" s="73" t="s">
        <v>3089</v>
      </c>
      <c r="L78" s="73" t="s">
        <v>3088</v>
      </c>
      <c r="M78" s="73" t="s">
        <v>3088</v>
      </c>
      <c r="N78" s="73" t="s">
        <v>3088</v>
      </c>
      <c r="O78" s="73" t="s">
        <v>3088</v>
      </c>
      <c r="P78" s="73" t="s">
        <v>3088</v>
      </c>
      <c r="Q78" s="73" t="s">
        <v>3088</v>
      </c>
      <c r="R78" s="73" t="s">
        <v>3088</v>
      </c>
      <c r="S78" s="73" t="s">
        <v>3088</v>
      </c>
      <c r="T78" s="73" t="s">
        <v>3088</v>
      </c>
      <c r="U78" s="73" t="s">
        <v>3088</v>
      </c>
      <c r="V78" s="73" t="s">
        <v>3088</v>
      </c>
      <c r="W78" s="73" t="s">
        <v>3088</v>
      </c>
      <c r="X78" s="73" t="s">
        <v>3088</v>
      </c>
      <c r="Y78" s="73" t="s">
        <v>3088</v>
      </c>
      <c r="Z78" s="73" t="s">
        <v>3088</v>
      </c>
      <c r="AA78" s="73" t="s">
        <v>3088</v>
      </c>
      <c r="AB78" s="73" t="s">
        <v>3088</v>
      </c>
      <c r="AC78" s="73" t="s">
        <v>3088</v>
      </c>
      <c r="AD78" s="73" t="s">
        <v>3088</v>
      </c>
      <c r="AE78" s="73" t="s">
        <v>3088</v>
      </c>
      <c r="AF78" s="73" t="s">
        <v>3088</v>
      </c>
      <c r="AG78" s="73" t="s">
        <v>3088</v>
      </c>
      <c r="AH78" s="73" t="s">
        <v>3088</v>
      </c>
      <c r="AI78" s="73" t="s">
        <v>3088</v>
      </c>
      <c r="AJ78" s="73" t="s">
        <v>3088</v>
      </c>
      <c r="AK78" s="73" t="s">
        <v>3088</v>
      </c>
      <c r="AL78" s="73" t="s">
        <v>3088</v>
      </c>
      <c r="AM78" s="73" t="s">
        <v>3088</v>
      </c>
      <c r="AN78" s="73" t="s">
        <v>3088</v>
      </c>
      <c r="AO78" s="73" t="s">
        <v>3088</v>
      </c>
      <c r="AP78" s="73" t="s">
        <v>3088</v>
      </c>
      <c r="AQ78" s="73" t="s">
        <v>3088</v>
      </c>
      <c r="AR78" s="73" t="s">
        <v>3088</v>
      </c>
      <c r="AS78" s="73" t="s">
        <v>3088</v>
      </c>
      <c r="AT78" s="73" t="s">
        <v>3088</v>
      </c>
      <c r="AU78" s="73" t="s">
        <v>3088</v>
      </c>
      <c r="AV78" s="73" t="s">
        <v>3088</v>
      </c>
      <c r="AW78" s="73" t="s">
        <v>3088</v>
      </c>
      <c r="AX78" s="73" t="s">
        <v>3088</v>
      </c>
      <c r="AY78" s="73" t="s">
        <v>3088</v>
      </c>
      <c r="AZ78" s="73" t="s">
        <v>3088</v>
      </c>
      <c r="BA78" s="73" t="s">
        <v>3088</v>
      </c>
      <c r="BB78" s="73" t="s">
        <v>3088</v>
      </c>
      <c r="BC78" s="73" t="s">
        <v>3088</v>
      </c>
      <c r="BD78" s="73" t="s">
        <v>3088</v>
      </c>
      <c r="BE78" s="73" t="s">
        <v>3088</v>
      </c>
      <c r="BF78" s="73" t="s">
        <v>3088</v>
      </c>
      <c r="BG78" s="73" t="s">
        <v>3088</v>
      </c>
      <c r="BH78" s="73" t="s">
        <v>3088</v>
      </c>
      <c r="BI78" s="73" t="s">
        <v>3088</v>
      </c>
      <c r="BJ78" s="73" t="s">
        <v>3088</v>
      </c>
      <c r="BK78" s="73" t="s">
        <v>3088</v>
      </c>
      <c r="BL78" s="73" t="s">
        <v>3088</v>
      </c>
      <c r="BM78" s="73" t="s">
        <v>3088</v>
      </c>
      <c r="BN78" s="73" t="s">
        <v>3088</v>
      </c>
      <c r="BO78" s="73" t="s">
        <v>3088</v>
      </c>
      <c r="BP78" s="73" t="s">
        <v>3088</v>
      </c>
      <c r="BQ78" s="73" t="s">
        <v>3259</v>
      </c>
      <c r="BR78" s="73" t="s">
        <v>3088</v>
      </c>
    </row>
    <row r="79" spans="1:70">
      <c r="A79" s="73" t="s">
        <v>1861</v>
      </c>
      <c r="B79" s="73" t="s">
        <v>2844</v>
      </c>
      <c r="C79" s="73" t="s">
        <v>2554</v>
      </c>
      <c r="D79" s="73" t="s">
        <v>3088</v>
      </c>
      <c r="E79" s="73" t="s">
        <v>3088</v>
      </c>
      <c r="F79" s="73" t="s">
        <v>3088</v>
      </c>
      <c r="G79" s="73" t="s">
        <v>3089</v>
      </c>
      <c r="H79" s="73" t="s">
        <v>3088</v>
      </c>
      <c r="I79" s="73" t="s">
        <v>543</v>
      </c>
      <c r="J79" s="73" t="s">
        <v>3260</v>
      </c>
      <c r="K79" s="73" t="s">
        <v>3089</v>
      </c>
      <c r="L79" s="73" t="s">
        <v>3113</v>
      </c>
      <c r="M79" s="73" t="s">
        <v>3261</v>
      </c>
      <c r="N79" s="73" t="s">
        <v>3089</v>
      </c>
      <c r="O79" s="73" t="s">
        <v>3088</v>
      </c>
      <c r="P79" s="73" t="s">
        <v>3088</v>
      </c>
      <c r="Q79" s="73" t="s">
        <v>3088</v>
      </c>
      <c r="R79" s="73" t="s">
        <v>3088</v>
      </c>
      <c r="S79" s="73" t="s">
        <v>3088</v>
      </c>
      <c r="T79" s="73" t="s">
        <v>3088</v>
      </c>
      <c r="U79" s="73" t="s">
        <v>3088</v>
      </c>
      <c r="V79" s="73" t="s">
        <v>3088</v>
      </c>
      <c r="W79" s="73" t="s">
        <v>3088</v>
      </c>
      <c r="X79" s="73" t="s">
        <v>3088</v>
      </c>
      <c r="Y79" s="73" t="s">
        <v>3088</v>
      </c>
      <c r="Z79" s="73" t="s">
        <v>3088</v>
      </c>
      <c r="AA79" s="73" t="s">
        <v>3088</v>
      </c>
      <c r="AB79" s="73" t="s">
        <v>3088</v>
      </c>
      <c r="AC79" s="73" t="s">
        <v>3088</v>
      </c>
      <c r="AD79" s="73" t="s">
        <v>3088</v>
      </c>
      <c r="AE79" s="73" t="s">
        <v>3088</v>
      </c>
      <c r="AF79" s="73" t="s">
        <v>3088</v>
      </c>
      <c r="AG79" s="73" t="s">
        <v>3088</v>
      </c>
      <c r="AH79" s="73" t="s">
        <v>3088</v>
      </c>
      <c r="AI79" s="73" t="s">
        <v>3088</v>
      </c>
      <c r="AJ79" s="73" t="s">
        <v>3088</v>
      </c>
      <c r="AK79" s="73" t="s">
        <v>3088</v>
      </c>
      <c r="AL79" s="73" t="s">
        <v>3088</v>
      </c>
      <c r="AM79" s="73" t="s">
        <v>3088</v>
      </c>
      <c r="AN79" s="73" t="s">
        <v>3088</v>
      </c>
      <c r="AO79" s="73" t="s">
        <v>3088</v>
      </c>
      <c r="AP79" s="73" t="s">
        <v>3088</v>
      </c>
      <c r="AQ79" s="73" t="s">
        <v>3088</v>
      </c>
      <c r="AR79" s="73" t="s">
        <v>3088</v>
      </c>
      <c r="AS79" s="73" t="s">
        <v>3088</v>
      </c>
      <c r="AT79" s="73" t="s">
        <v>3088</v>
      </c>
      <c r="AU79" s="73" t="s">
        <v>3088</v>
      </c>
      <c r="AV79" s="73" t="s">
        <v>3088</v>
      </c>
      <c r="AW79" s="73" t="s">
        <v>3088</v>
      </c>
      <c r="AX79" s="73" t="s">
        <v>3088</v>
      </c>
      <c r="AY79" s="73" t="s">
        <v>3088</v>
      </c>
      <c r="AZ79" s="73" t="s">
        <v>3088</v>
      </c>
      <c r="BA79" s="73" t="s">
        <v>3088</v>
      </c>
      <c r="BB79" s="73" t="s">
        <v>3088</v>
      </c>
      <c r="BC79" s="73" t="s">
        <v>3088</v>
      </c>
      <c r="BD79" s="73" t="s">
        <v>3088</v>
      </c>
      <c r="BE79" s="73" t="s">
        <v>3088</v>
      </c>
      <c r="BF79" s="73" t="s">
        <v>3088</v>
      </c>
      <c r="BG79" s="73" t="s">
        <v>3088</v>
      </c>
      <c r="BH79" s="73" t="s">
        <v>3088</v>
      </c>
      <c r="BI79" s="73" t="s">
        <v>3088</v>
      </c>
      <c r="BJ79" s="73" t="s">
        <v>3088</v>
      </c>
      <c r="BK79" s="73" t="s">
        <v>3088</v>
      </c>
      <c r="BL79" s="73" t="s">
        <v>3088</v>
      </c>
      <c r="BM79" s="73" t="s">
        <v>3088</v>
      </c>
      <c r="BN79" s="73" t="s">
        <v>3088</v>
      </c>
      <c r="BO79" s="73" t="s">
        <v>3088</v>
      </c>
      <c r="BP79" s="73" t="s">
        <v>3088</v>
      </c>
      <c r="BQ79" s="73" t="s">
        <v>3262</v>
      </c>
      <c r="BR79" s="73" t="s">
        <v>3088</v>
      </c>
    </row>
    <row r="80" spans="1:70">
      <c r="A80" s="73" t="s">
        <v>1862</v>
      </c>
      <c r="B80" s="73" t="s">
        <v>2546</v>
      </c>
      <c r="C80" s="73" t="s">
        <v>2546</v>
      </c>
      <c r="D80" s="73" t="s">
        <v>3088</v>
      </c>
      <c r="E80" s="73" t="s">
        <v>3088</v>
      </c>
      <c r="F80" s="73" t="s">
        <v>3088</v>
      </c>
      <c r="G80" s="73" t="s">
        <v>3089</v>
      </c>
      <c r="H80" s="73" t="s">
        <v>3088</v>
      </c>
      <c r="I80" s="73" t="s">
        <v>2135</v>
      </c>
      <c r="J80" s="73" t="s">
        <v>2547</v>
      </c>
      <c r="K80" s="73" t="s">
        <v>3089</v>
      </c>
      <c r="L80" s="73" t="s">
        <v>3088</v>
      </c>
      <c r="M80" s="73" t="s">
        <v>3088</v>
      </c>
      <c r="N80" s="73" t="s">
        <v>3088</v>
      </c>
      <c r="O80" s="73" t="s">
        <v>3088</v>
      </c>
      <c r="P80" s="73" t="s">
        <v>3088</v>
      </c>
      <c r="Q80" s="73" t="s">
        <v>3088</v>
      </c>
      <c r="R80" s="73" t="s">
        <v>3088</v>
      </c>
      <c r="S80" s="73" t="s">
        <v>3088</v>
      </c>
      <c r="T80" s="73" t="s">
        <v>3088</v>
      </c>
      <c r="U80" s="73" t="s">
        <v>3088</v>
      </c>
      <c r="V80" s="73" t="s">
        <v>3088</v>
      </c>
      <c r="W80" s="73" t="s">
        <v>3088</v>
      </c>
      <c r="X80" s="73" t="s">
        <v>3088</v>
      </c>
      <c r="Y80" s="73" t="s">
        <v>3088</v>
      </c>
      <c r="Z80" s="73" t="s">
        <v>3088</v>
      </c>
      <c r="AA80" s="73" t="s">
        <v>3088</v>
      </c>
      <c r="AB80" s="73" t="s">
        <v>3088</v>
      </c>
      <c r="AC80" s="73" t="s">
        <v>3088</v>
      </c>
      <c r="AD80" s="73" t="s">
        <v>3088</v>
      </c>
      <c r="AE80" s="73" t="s">
        <v>3088</v>
      </c>
      <c r="AF80" s="73" t="s">
        <v>3088</v>
      </c>
      <c r="AG80" s="73" t="s">
        <v>3088</v>
      </c>
      <c r="AH80" s="73" t="s">
        <v>3088</v>
      </c>
      <c r="AI80" s="73" t="s">
        <v>3088</v>
      </c>
      <c r="AJ80" s="73" t="s">
        <v>3088</v>
      </c>
      <c r="AK80" s="73" t="s">
        <v>3088</v>
      </c>
      <c r="AL80" s="73" t="s">
        <v>3088</v>
      </c>
      <c r="AM80" s="73" t="s">
        <v>3088</v>
      </c>
      <c r="AN80" s="73" t="s">
        <v>3088</v>
      </c>
      <c r="AO80" s="73" t="s">
        <v>3088</v>
      </c>
      <c r="AP80" s="73" t="s">
        <v>3088</v>
      </c>
      <c r="AQ80" s="73" t="s">
        <v>3088</v>
      </c>
      <c r="AR80" s="73" t="s">
        <v>3088</v>
      </c>
      <c r="AS80" s="73" t="s">
        <v>3088</v>
      </c>
      <c r="AT80" s="73" t="s">
        <v>3088</v>
      </c>
      <c r="AU80" s="73" t="s">
        <v>3088</v>
      </c>
      <c r="AV80" s="73" t="s">
        <v>3088</v>
      </c>
      <c r="AW80" s="73" t="s">
        <v>3088</v>
      </c>
      <c r="AX80" s="73" t="s">
        <v>3088</v>
      </c>
      <c r="AY80" s="73" t="s">
        <v>3088</v>
      </c>
      <c r="AZ80" s="73" t="s">
        <v>3088</v>
      </c>
      <c r="BA80" s="73" t="s">
        <v>3088</v>
      </c>
      <c r="BB80" s="73" t="s">
        <v>3088</v>
      </c>
      <c r="BC80" s="73" t="s">
        <v>3088</v>
      </c>
      <c r="BD80" s="73" t="s">
        <v>3088</v>
      </c>
      <c r="BE80" s="73" t="s">
        <v>3088</v>
      </c>
      <c r="BF80" s="73" t="s">
        <v>3088</v>
      </c>
      <c r="BG80" s="73" t="s">
        <v>3088</v>
      </c>
      <c r="BH80" s="73" t="s">
        <v>3088</v>
      </c>
      <c r="BI80" s="73" t="s">
        <v>3088</v>
      </c>
      <c r="BJ80" s="73" t="s">
        <v>3088</v>
      </c>
      <c r="BK80" s="73" t="s">
        <v>3088</v>
      </c>
      <c r="BL80" s="73" t="s">
        <v>3088</v>
      </c>
      <c r="BM80" s="73" t="s">
        <v>3088</v>
      </c>
      <c r="BN80" s="73" t="s">
        <v>3088</v>
      </c>
      <c r="BO80" s="73" t="s">
        <v>3088</v>
      </c>
      <c r="BP80" s="73" t="s">
        <v>3088</v>
      </c>
      <c r="BQ80" s="73" t="s">
        <v>3263</v>
      </c>
      <c r="BR80" s="73" t="s">
        <v>3097</v>
      </c>
    </row>
    <row r="81" spans="1:70">
      <c r="A81" s="73" t="s">
        <v>1862</v>
      </c>
      <c r="B81" s="73" t="s">
        <v>2590</v>
      </c>
      <c r="C81" s="73" t="s">
        <v>2591</v>
      </c>
      <c r="D81" s="73" t="s">
        <v>3088</v>
      </c>
      <c r="E81" s="73" t="s">
        <v>3088</v>
      </c>
      <c r="F81" s="73" t="s">
        <v>3088</v>
      </c>
      <c r="G81" s="73" t="s">
        <v>3089</v>
      </c>
      <c r="H81" s="73" t="s">
        <v>3088</v>
      </c>
      <c r="I81" s="73" t="s">
        <v>108</v>
      </c>
      <c r="J81" s="73" t="s">
        <v>3264</v>
      </c>
      <c r="K81" s="73" t="s">
        <v>3089</v>
      </c>
      <c r="L81" s="73" t="s">
        <v>2193</v>
      </c>
      <c r="M81" s="73" t="s">
        <v>3264</v>
      </c>
      <c r="N81" s="73" t="s">
        <v>3089</v>
      </c>
      <c r="O81" s="73" t="s">
        <v>2463</v>
      </c>
      <c r="P81" s="73" t="s">
        <v>3264</v>
      </c>
      <c r="Q81" s="73" t="s">
        <v>3089</v>
      </c>
      <c r="R81" s="73" t="s">
        <v>3113</v>
      </c>
      <c r="S81" s="73" t="s">
        <v>3265</v>
      </c>
      <c r="T81" s="73" t="s">
        <v>3089</v>
      </c>
      <c r="U81" s="73" t="s">
        <v>3098</v>
      </c>
      <c r="V81" s="73" t="s">
        <v>3264</v>
      </c>
      <c r="W81" s="73" t="s">
        <v>3089</v>
      </c>
      <c r="X81" s="73" t="s">
        <v>3088</v>
      </c>
      <c r="Y81" s="73" t="s">
        <v>3088</v>
      </c>
      <c r="Z81" s="73" t="s">
        <v>3088</v>
      </c>
      <c r="AA81" s="73" t="s">
        <v>3088</v>
      </c>
      <c r="AB81" s="73" t="s">
        <v>3088</v>
      </c>
      <c r="AC81" s="73" t="s">
        <v>3088</v>
      </c>
      <c r="AD81" s="73" t="s">
        <v>3088</v>
      </c>
      <c r="AE81" s="73" t="s">
        <v>3088</v>
      </c>
      <c r="AF81" s="73" t="s">
        <v>3088</v>
      </c>
      <c r="AG81" s="73" t="s">
        <v>3088</v>
      </c>
      <c r="AH81" s="73" t="s">
        <v>3088</v>
      </c>
      <c r="AI81" s="73" t="s">
        <v>3088</v>
      </c>
      <c r="AJ81" s="73" t="s">
        <v>3088</v>
      </c>
      <c r="AK81" s="73" t="s">
        <v>3088</v>
      </c>
      <c r="AL81" s="73" t="s">
        <v>3088</v>
      </c>
      <c r="AM81" s="73" t="s">
        <v>3088</v>
      </c>
      <c r="AN81" s="73" t="s">
        <v>3088</v>
      </c>
      <c r="AO81" s="73" t="s">
        <v>3088</v>
      </c>
      <c r="AP81" s="73" t="s">
        <v>3088</v>
      </c>
      <c r="AQ81" s="73" t="s">
        <v>3088</v>
      </c>
      <c r="AR81" s="73" t="s">
        <v>3088</v>
      </c>
      <c r="AS81" s="73" t="s">
        <v>3088</v>
      </c>
      <c r="AT81" s="73" t="s">
        <v>3088</v>
      </c>
      <c r="AU81" s="73" t="s">
        <v>3088</v>
      </c>
      <c r="AV81" s="73" t="s">
        <v>3088</v>
      </c>
      <c r="AW81" s="73" t="s">
        <v>3088</v>
      </c>
      <c r="AX81" s="73" t="s">
        <v>3088</v>
      </c>
      <c r="AY81" s="73" t="s">
        <v>3088</v>
      </c>
      <c r="AZ81" s="73" t="s">
        <v>3088</v>
      </c>
      <c r="BA81" s="73" t="s">
        <v>3088</v>
      </c>
      <c r="BB81" s="73" t="s">
        <v>3088</v>
      </c>
      <c r="BC81" s="73" t="s">
        <v>3088</v>
      </c>
      <c r="BD81" s="73" t="s">
        <v>3088</v>
      </c>
      <c r="BE81" s="73" t="s">
        <v>3088</v>
      </c>
      <c r="BF81" s="73" t="s">
        <v>3088</v>
      </c>
      <c r="BG81" s="73" t="s">
        <v>3088</v>
      </c>
      <c r="BH81" s="73" t="s">
        <v>3088</v>
      </c>
      <c r="BI81" s="73" t="s">
        <v>3088</v>
      </c>
      <c r="BJ81" s="73" t="s">
        <v>3088</v>
      </c>
      <c r="BK81" s="73" t="s">
        <v>3088</v>
      </c>
      <c r="BL81" s="73" t="s">
        <v>3088</v>
      </c>
      <c r="BM81" s="73" t="s">
        <v>3088</v>
      </c>
      <c r="BN81" s="73" t="s">
        <v>3088</v>
      </c>
      <c r="BO81" s="73" t="s">
        <v>3088</v>
      </c>
      <c r="BP81" s="73" t="s">
        <v>3088</v>
      </c>
      <c r="BQ81" s="73" t="s">
        <v>3266</v>
      </c>
      <c r="BR81" s="73" t="s">
        <v>3088</v>
      </c>
    </row>
    <row r="82" spans="1:70">
      <c r="A82" s="73" t="s">
        <v>1862</v>
      </c>
      <c r="B82" s="73" t="s">
        <v>2848</v>
      </c>
      <c r="C82" s="73" t="s">
        <v>2545</v>
      </c>
      <c r="D82" s="73" t="s">
        <v>3088</v>
      </c>
      <c r="E82" s="73" t="s">
        <v>3088</v>
      </c>
      <c r="F82" s="73" t="s">
        <v>3088</v>
      </c>
      <c r="G82" s="73" t="s">
        <v>3089</v>
      </c>
      <c r="H82" s="73" t="s">
        <v>3088</v>
      </c>
      <c r="I82" s="73" t="s">
        <v>543</v>
      </c>
      <c r="J82" s="73" t="s">
        <v>2849</v>
      </c>
      <c r="K82" s="73" t="s">
        <v>3089</v>
      </c>
      <c r="L82" s="73" t="s">
        <v>3088</v>
      </c>
      <c r="M82" s="73" t="s">
        <v>3088</v>
      </c>
      <c r="N82" s="73" t="s">
        <v>3088</v>
      </c>
      <c r="O82" s="73" t="s">
        <v>3088</v>
      </c>
      <c r="P82" s="73" t="s">
        <v>3088</v>
      </c>
      <c r="Q82" s="73" t="s">
        <v>3088</v>
      </c>
      <c r="R82" s="73" t="s">
        <v>3088</v>
      </c>
      <c r="S82" s="73" t="s">
        <v>3088</v>
      </c>
      <c r="T82" s="73" t="s">
        <v>3088</v>
      </c>
      <c r="U82" s="73" t="s">
        <v>3088</v>
      </c>
      <c r="V82" s="73" t="s">
        <v>3088</v>
      </c>
      <c r="W82" s="73" t="s">
        <v>3088</v>
      </c>
      <c r="X82" s="73" t="s">
        <v>3088</v>
      </c>
      <c r="Y82" s="73" t="s">
        <v>3088</v>
      </c>
      <c r="Z82" s="73" t="s">
        <v>3088</v>
      </c>
      <c r="AA82" s="73" t="s">
        <v>3088</v>
      </c>
      <c r="AB82" s="73" t="s">
        <v>3088</v>
      </c>
      <c r="AC82" s="73" t="s">
        <v>3088</v>
      </c>
      <c r="AD82" s="73" t="s">
        <v>3088</v>
      </c>
      <c r="AE82" s="73" t="s">
        <v>3088</v>
      </c>
      <c r="AF82" s="73" t="s">
        <v>3088</v>
      </c>
      <c r="AG82" s="73" t="s">
        <v>3088</v>
      </c>
      <c r="AH82" s="73" t="s">
        <v>3088</v>
      </c>
      <c r="AI82" s="73" t="s">
        <v>3088</v>
      </c>
      <c r="AJ82" s="73" t="s">
        <v>3088</v>
      </c>
      <c r="AK82" s="73" t="s">
        <v>3088</v>
      </c>
      <c r="AL82" s="73" t="s">
        <v>3088</v>
      </c>
      <c r="AM82" s="73" t="s">
        <v>3088</v>
      </c>
      <c r="AN82" s="73" t="s">
        <v>3088</v>
      </c>
      <c r="AO82" s="73" t="s">
        <v>3088</v>
      </c>
      <c r="AP82" s="73" t="s">
        <v>3088</v>
      </c>
      <c r="AQ82" s="73" t="s">
        <v>3088</v>
      </c>
      <c r="AR82" s="73" t="s">
        <v>3088</v>
      </c>
      <c r="AS82" s="73" t="s">
        <v>3088</v>
      </c>
      <c r="AT82" s="73" t="s">
        <v>3088</v>
      </c>
      <c r="AU82" s="73" t="s">
        <v>3088</v>
      </c>
      <c r="AV82" s="73" t="s">
        <v>3088</v>
      </c>
      <c r="AW82" s="73" t="s">
        <v>3088</v>
      </c>
      <c r="AX82" s="73" t="s">
        <v>3088</v>
      </c>
      <c r="AY82" s="73" t="s">
        <v>3088</v>
      </c>
      <c r="AZ82" s="73" t="s">
        <v>3088</v>
      </c>
      <c r="BA82" s="73" t="s">
        <v>3088</v>
      </c>
      <c r="BB82" s="73" t="s">
        <v>3088</v>
      </c>
      <c r="BC82" s="73" t="s">
        <v>3088</v>
      </c>
      <c r="BD82" s="73" t="s">
        <v>3088</v>
      </c>
      <c r="BE82" s="73" t="s">
        <v>3088</v>
      </c>
      <c r="BF82" s="73" t="s">
        <v>3088</v>
      </c>
      <c r="BG82" s="73" t="s">
        <v>3088</v>
      </c>
      <c r="BH82" s="73" t="s">
        <v>3088</v>
      </c>
      <c r="BI82" s="73" t="s">
        <v>3088</v>
      </c>
      <c r="BJ82" s="73" t="s">
        <v>3088</v>
      </c>
      <c r="BK82" s="73" t="s">
        <v>3088</v>
      </c>
      <c r="BL82" s="73" t="s">
        <v>3088</v>
      </c>
      <c r="BM82" s="73" t="s">
        <v>3088</v>
      </c>
      <c r="BN82" s="73" t="s">
        <v>3088</v>
      </c>
      <c r="BO82" s="73" t="s">
        <v>3088</v>
      </c>
      <c r="BP82" s="73" t="s">
        <v>3088</v>
      </c>
      <c r="BQ82" s="73" t="s">
        <v>3267</v>
      </c>
      <c r="BR82" s="73" t="s">
        <v>3088</v>
      </c>
    </row>
    <row r="83" spans="1:70">
      <c r="A83" s="73" t="s">
        <v>1862</v>
      </c>
      <c r="B83" s="73" t="s">
        <v>3268</v>
      </c>
      <c r="C83" s="73" t="s">
        <v>2545</v>
      </c>
      <c r="D83" s="73" t="s">
        <v>3088</v>
      </c>
      <c r="E83" s="73" t="s">
        <v>3088</v>
      </c>
      <c r="F83" s="73" t="s">
        <v>3088</v>
      </c>
      <c r="G83" s="73" t="s">
        <v>3089</v>
      </c>
      <c r="H83" s="73" t="s">
        <v>3088</v>
      </c>
      <c r="I83" s="73" t="s">
        <v>3113</v>
      </c>
      <c r="J83" s="73" t="s">
        <v>3269</v>
      </c>
      <c r="K83" s="73" t="s">
        <v>3089</v>
      </c>
      <c r="L83" s="73" t="s">
        <v>3088</v>
      </c>
      <c r="M83" s="73" t="s">
        <v>3088</v>
      </c>
      <c r="N83" s="73" t="s">
        <v>3088</v>
      </c>
      <c r="O83" s="73" t="s">
        <v>3088</v>
      </c>
      <c r="P83" s="73" t="s">
        <v>3088</v>
      </c>
      <c r="Q83" s="73" t="s">
        <v>3088</v>
      </c>
      <c r="R83" s="73" t="s">
        <v>3088</v>
      </c>
      <c r="S83" s="73" t="s">
        <v>3088</v>
      </c>
      <c r="T83" s="73" t="s">
        <v>3088</v>
      </c>
      <c r="U83" s="73" t="s">
        <v>3088</v>
      </c>
      <c r="V83" s="73" t="s">
        <v>3088</v>
      </c>
      <c r="W83" s="73" t="s">
        <v>3088</v>
      </c>
      <c r="X83" s="73" t="s">
        <v>3088</v>
      </c>
      <c r="Y83" s="73" t="s">
        <v>3088</v>
      </c>
      <c r="Z83" s="73" t="s">
        <v>3088</v>
      </c>
      <c r="AA83" s="73" t="s">
        <v>3088</v>
      </c>
      <c r="AB83" s="73" t="s">
        <v>3088</v>
      </c>
      <c r="AC83" s="73" t="s">
        <v>3088</v>
      </c>
      <c r="AD83" s="73" t="s">
        <v>3088</v>
      </c>
      <c r="AE83" s="73" t="s">
        <v>3088</v>
      </c>
      <c r="AF83" s="73" t="s">
        <v>3088</v>
      </c>
      <c r="AG83" s="73" t="s">
        <v>3088</v>
      </c>
      <c r="AH83" s="73" t="s">
        <v>3088</v>
      </c>
      <c r="AI83" s="73" t="s">
        <v>3088</v>
      </c>
      <c r="AJ83" s="73" t="s">
        <v>3088</v>
      </c>
      <c r="AK83" s="73" t="s">
        <v>3088</v>
      </c>
      <c r="AL83" s="73" t="s">
        <v>3088</v>
      </c>
      <c r="AM83" s="73" t="s">
        <v>3088</v>
      </c>
      <c r="AN83" s="73" t="s">
        <v>3088</v>
      </c>
      <c r="AO83" s="73" t="s">
        <v>3088</v>
      </c>
      <c r="AP83" s="73" t="s">
        <v>3088</v>
      </c>
      <c r="AQ83" s="73" t="s">
        <v>3088</v>
      </c>
      <c r="AR83" s="73" t="s">
        <v>3088</v>
      </c>
      <c r="AS83" s="73" t="s">
        <v>3088</v>
      </c>
      <c r="AT83" s="73" t="s">
        <v>3088</v>
      </c>
      <c r="AU83" s="73" t="s">
        <v>3088</v>
      </c>
      <c r="AV83" s="73" t="s">
        <v>3088</v>
      </c>
      <c r="AW83" s="73" t="s">
        <v>3088</v>
      </c>
      <c r="AX83" s="73" t="s">
        <v>3088</v>
      </c>
      <c r="AY83" s="73" t="s">
        <v>3088</v>
      </c>
      <c r="AZ83" s="73" t="s">
        <v>3088</v>
      </c>
      <c r="BA83" s="73" t="s">
        <v>3088</v>
      </c>
      <c r="BB83" s="73" t="s">
        <v>3088</v>
      </c>
      <c r="BC83" s="73" t="s">
        <v>3088</v>
      </c>
      <c r="BD83" s="73" t="s">
        <v>3088</v>
      </c>
      <c r="BE83" s="73" t="s">
        <v>3088</v>
      </c>
      <c r="BF83" s="73" t="s">
        <v>3088</v>
      </c>
      <c r="BG83" s="73" t="s">
        <v>3088</v>
      </c>
      <c r="BH83" s="73" t="s">
        <v>3088</v>
      </c>
      <c r="BI83" s="73" t="s">
        <v>3088</v>
      </c>
      <c r="BJ83" s="73" t="s">
        <v>3088</v>
      </c>
      <c r="BK83" s="73" t="s">
        <v>3088</v>
      </c>
      <c r="BL83" s="73" t="s">
        <v>3088</v>
      </c>
      <c r="BM83" s="73" t="s">
        <v>3088</v>
      </c>
      <c r="BN83" s="73" t="s">
        <v>3088</v>
      </c>
      <c r="BO83" s="73" t="s">
        <v>3088</v>
      </c>
      <c r="BP83" s="73" t="s">
        <v>3088</v>
      </c>
      <c r="BQ83" s="73" t="s">
        <v>3270</v>
      </c>
      <c r="BR83" s="73" t="s">
        <v>3088</v>
      </c>
    </row>
    <row r="84" spans="1:70">
      <c r="A84" s="73" t="s">
        <v>1862</v>
      </c>
      <c r="B84" s="73" t="s">
        <v>2594</v>
      </c>
      <c r="C84" s="73" t="s">
        <v>2533</v>
      </c>
      <c r="D84" s="73" t="s">
        <v>3088</v>
      </c>
      <c r="E84" s="73" t="s">
        <v>3088</v>
      </c>
      <c r="F84" s="73" t="s">
        <v>3088</v>
      </c>
      <c r="G84" s="73" t="s">
        <v>3089</v>
      </c>
      <c r="H84" s="73" t="s">
        <v>3088</v>
      </c>
      <c r="I84" s="73" t="s">
        <v>108</v>
      </c>
      <c r="J84" s="73" t="s">
        <v>3271</v>
      </c>
      <c r="K84" s="73" t="s">
        <v>3089</v>
      </c>
      <c r="L84" s="73" t="s">
        <v>2193</v>
      </c>
      <c r="M84" s="73" t="s">
        <v>3271</v>
      </c>
      <c r="N84" s="73" t="s">
        <v>3089</v>
      </c>
      <c r="O84" s="73" t="s">
        <v>3088</v>
      </c>
      <c r="P84" s="73" t="s">
        <v>3088</v>
      </c>
      <c r="Q84" s="73" t="s">
        <v>3088</v>
      </c>
      <c r="R84" s="73" t="s">
        <v>3088</v>
      </c>
      <c r="S84" s="73" t="s">
        <v>3088</v>
      </c>
      <c r="T84" s="73" t="s">
        <v>3088</v>
      </c>
      <c r="U84" s="73" t="s">
        <v>3088</v>
      </c>
      <c r="V84" s="73" t="s">
        <v>3088</v>
      </c>
      <c r="W84" s="73" t="s">
        <v>3088</v>
      </c>
      <c r="X84" s="73" t="s">
        <v>3088</v>
      </c>
      <c r="Y84" s="73" t="s">
        <v>3088</v>
      </c>
      <c r="Z84" s="73" t="s">
        <v>3088</v>
      </c>
      <c r="AA84" s="73" t="s">
        <v>3088</v>
      </c>
      <c r="AB84" s="73" t="s">
        <v>3088</v>
      </c>
      <c r="AC84" s="73" t="s">
        <v>3088</v>
      </c>
      <c r="AD84" s="73" t="s">
        <v>3088</v>
      </c>
      <c r="AE84" s="73" t="s">
        <v>3088</v>
      </c>
      <c r="AF84" s="73" t="s">
        <v>3088</v>
      </c>
      <c r="AG84" s="73" t="s">
        <v>3088</v>
      </c>
      <c r="AH84" s="73" t="s">
        <v>3088</v>
      </c>
      <c r="AI84" s="73" t="s">
        <v>3088</v>
      </c>
      <c r="AJ84" s="73" t="s">
        <v>3088</v>
      </c>
      <c r="AK84" s="73" t="s">
        <v>3088</v>
      </c>
      <c r="AL84" s="73" t="s">
        <v>3088</v>
      </c>
      <c r="AM84" s="73" t="s">
        <v>3088</v>
      </c>
      <c r="AN84" s="73" t="s">
        <v>3088</v>
      </c>
      <c r="AO84" s="73" t="s">
        <v>3088</v>
      </c>
      <c r="AP84" s="73" t="s">
        <v>3088</v>
      </c>
      <c r="AQ84" s="73" t="s">
        <v>3088</v>
      </c>
      <c r="AR84" s="73" t="s">
        <v>3088</v>
      </c>
      <c r="AS84" s="73" t="s">
        <v>3088</v>
      </c>
      <c r="AT84" s="73" t="s">
        <v>3088</v>
      </c>
      <c r="AU84" s="73" t="s">
        <v>3088</v>
      </c>
      <c r="AV84" s="73" t="s">
        <v>3088</v>
      </c>
      <c r="AW84" s="73" t="s">
        <v>3088</v>
      </c>
      <c r="AX84" s="73" t="s">
        <v>3088</v>
      </c>
      <c r="AY84" s="73" t="s">
        <v>3088</v>
      </c>
      <c r="AZ84" s="73" t="s">
        <v>3088</v>
      </c>
      <c r="BA84" s="73" t="s">
        <v>3088</v>
      </c>
      <c r="BB84" s="73" t="s">
        <v>3088</v>
      </c>
      <c r="BC84" s="73" t="s">
        <v>3088</v>
      </c>
      <c r="BD84" s="73" t="s">
        <v>3088</v>
      </c>
      <c r="BE84" s="73" t="s">
        <v>3088</v>
      </c>
      <c r="BF84" s="73" t="s">
        <v>3088</v>
      </c>
      <c r="BG84" s="73" t="s">
        <v>3088</v>
      </c>
      <c r="BH84" s="73" t="s">
        <v>3088</v>
      </c>
      <c r="BI84" s="73" t="s">
        <v>3088</v>
      </c>
      <c r="BJ84" s="73" t="s">
        <v>3088</v>
      </c>
      <c r="BK84" s="73" t="s">
        <v>3088</v>
      </c>
      <c r="BL84" s="73" t="s">
        <v>3088</v>
      </c>
      <c r="BM84" s="73" t="s">
        <v>3088</v>
      </c>
      <c r="BN84" s="73" t="s">
        <v>3088</v>
      </c>
      <c r="BO84" s="73" t="s">
        <v>3088</v>
      </c>
      <c r="BP84" s="73" t="s">
        <v>3088</v>
      </c>
      <c r="BQ84" s="73" t="s">
        <v>3272</v>
      </c>
      <c r="BR84" s="73" t="s">
        <v>3088</v>
      </c>
    </row>
    <row r="85" spans="1:70">
      <c r="A85" s="73" t="s">
        <v>1862</v>
      </c>
      <c r="B85" s="73" t="s">
        <v>3273</v>
      </c>
      <c r="C85" s="73" t="s">
        <v>2579</v>
      </c>
      <c r="D85" s="73" t="s">
        <v>3088</v>
      </c>
      <c r="E85" s="73" t="s">
        <v>3088</v>
      </c>
      <c r="F85" s="73" t="s">
        <v>3088</v>
      </c>
      <c r="G85" s="73" t="s">
        <v>3089</v>
      </c>
      <c r="H85" s="73" t="s">
        <v>3088</v>
      </c>
      <c r="I85" s="73" t="s">
        <v>3093</v>
      </c>
      <c r="J85" s="73" t="s">
        <v>3274</v>
      </c>
      <c r="K85" s="73" t="s">
        <v>3089</v>
      </c>
      <c r="L85" s="73" t="s">
        <v>3088</v>
      </c>
      <c r="M85" s="73" t="s">
        <v>3088</v>
      </c>
      <c r="N85" s="73" t="s">
        <v>3088</v>
      </c>
      <c r="O85" s="73" t="s">
        <v>3088</v>
      </c>
      <c r="P85" s="73" t="s">
        <v>3088</v>
      </c>
      <c r="Q85" s="73" t="s">
        <v>3088</v>
      </c>
      <c r="R85" s="73" t="s">
        <v>3088</v>
      </c>
      <c r="S85" s="73" t="s">
        <v>3088</v>
      </c>
      <c r="T85" s="73" t="s">
        <v>3088</v>
      </c>
      <c r="U85" s="73" t="s">
        <v>3088</v>
      </c>
      <c r="V85" s="73" t="s">
        <v>3088</v>
      </c>
      <c r="W85" s="73" t="s">
        <v>3088</v>
      </c>
      <c r="X85" s="73" t="s">
        <v>3088</v>
      </c>
      <c r="Y85" s="73" t="s">
        <v>3088</v>
      </c>
      <c r="Z85" s="73" t="s">
        <v>3088</v>
      </c>
      <c r="AA85" s="73" t="s">
        <v>3088</v>
      </c>
      <c r="AB85" s="73" t="s">
        <v>3088</v>
      </c>
      <c r="AC85" s="73" t="s">
        <v>3088</v>
      </c>
      <c r="AD85" s="73" t="s">
        <v>3088</v>
      </c>
      <c r="AE85" s="73" t="s">
        <v>3088</v>
      </c>
      <c r="AF85" s="73" t="s">
        <v>3088</v>
      </c>
      <c r="AG85" s="73" t="s">
        <v>3088</v>
      </c>
      <c r="AH85" s="73" t="s">
        <v>3088</v>
      </c>
      <c r="AI85" s="73" t="s">
        <v>3088</v>
      </c>
      <c r="AJ85" s="73" t="s">
        <v>3088</v>
      </c>
      <c r="AK85" s="73" t="s">
        <v>3088</v>
      </c>
      <c r="AL85" s="73" t="s">
        <v>3088</v>
      </c>
      <c r="AM85" s="73" t="s">
        <v>3088</v>
      </c>
      <c r="AN85" s="73" t="s">
        <v>3088</v>
      </c>
      <c r="AO85" s="73" t="s">
        <v>3088</v>
      </c>
      <c r="AP85" s="73" t="s">
        <v>3088</v>
      </c>
      <c r="AQ85" s="73" t="s">
        <v>3088</v>
      </c>
      <c r="AR85" s="73" t="s">
        <v>3088</v>
      </c>
      <c r="AS85" s="73" t="s">
        <v>3088</v>
      </c>
      <c r="AT85" s="73" t="s">
        <v>3088</v>
      </c>
      <c r="AU85" s="73" t="s">
        <v>3088</v>
      </c>
      <c r="AV85" s="73" t="s">
        <v>3088</v>
      </c>
      <c r="AW85" s="73" t="s">
        <v>3088</v>
      </c>
      <c r="AX85" s="73" t="s">
        <v>3088</v>
      </c>
      <c r="AY85" s="73" t="s">
        <v>3088</v>
      </c>
      <c r="AZ85" s="73" t="s">
        <v>3088</v>
      </c>
      <c r="BA85" s="73" t="s">
        <v>3088</v>
      </c>
      <c r="BB85" s="73" t="s">
        <v>3088</v>
      </c>
      <c r="BC85" s="73" t="s">
        <v>3088</v>
      </c>
      <c r="BD85" s="73" t="s">
        <v>3088</v>
      </c>
      <c r="BE85" s="73" t="s">
        <v>3088</v>
      </c>
      <c r="BF85" s="73" t="s">
        <v>3088</v>
      </c>
      <c r="BG85" s="73" t="s">
        <v>3088</v>
      </c>
      <c r="BH85" s="73" t="s">
        <v>3088</v>
      </c>
      <c r="BI85" s="73" t="s">
        <v>3088</v>
      </c>
      <c r="BJ85" s="73" t="s">
        <v>3088</v>
      </c>
      <c r="BK85" s="73" t="s">
        <v>3088</v>
      </c>
      <c r="BL85" s="73" t="s">
        <v>3088</v>
      </c>
      <c r="BM85" s="73" t="s">
        <v>3088</v>
      </c>
      <c r="BN85" s="73" t="s">
        <v>3088</v>
      </c>
      <c r="BO85" s="73" t="s">
        <v>3088</v>
      </c>
      <c r="BP85" s="73" t="s">
        <v>3088</v>
      </c>
      <c r="BQ85" s="73" t="s">
        <v>3275</v>
      </c>
      <c r="BR85" s="73" t="s">
        <v>3088</v>
      </c>
    </row>
    <row r="86" spans="1:70">
      <c r="A86" s="73" t="s">
        <v>1862</v>
      </c>
      <c r="B86" s="73" t="s">
        <v>3276</v>
      </c>
      <c r="C86" s="73" t="s">
        <v>2571</v>
      </c>
      <c r="D86" s="73" t="s">
        <v>3088</v>
      </c>
      <c r="E86" s="73" t="s">
        <v>3088</v>
      </c>
      <c r="F86" s="73" t="s">
        <v>3088</v>
      </c>
      <c r="G86" s="73" t="s">
        <v>3089</v>
      </c>
      <c r="H86" s="73" t="s">
        <v>3088</v>
      </c>
      <c r="I86" s="73" t="s">
        <v>3113</v>
      </c>
      <c r="J86" s="73" t="s">
        <v>3277</v>
      </c>
      <c r="K86" s="73" t="s">
        <v>3089</v>
      </c>
      <c r="L86" s="73" t="s">
        <v>3180</v>
      </c>
      <c r="M86" s="73" t="s">
        <v>3278</v>
      </c>
      <c r="N86" s="73" t="s">
        <v>3089</v>
      </c>
      <c r="O86" s="73" t="s">
        <v>3279</v>
      </c>
      <c r="P86" s="73" t="s">
        <v>3278</v>
      </c>
      <c r="Q86" s="73" t="s">
        <v>3089</v>
      </c>
      <c r="R86" s="73" t="s">
        <v>3088</v>
      </c>
      <c r="S86" s="73" t="s">
        <v>3088</v>
      </c>
      <c r="T86" s="73" t="s">
        <v>3088</v>
      </c>
      <c r="U86" s="73" t="s">
        <v>3088</v>
      </c>
      <c r="V86" s="73" t="s">
        <v>3088</v>
      </c>
      <c r="W86" s="73" t="s">
        <v>3088</v>
      </c>
      <c r="X86" s="73" t="s">
        <v>3088</v>
      </c>
      <c r="Y86" s="73" t="s">
        <v>3088</v>
      </c>
      <c r="Z86" s="73" t="s">
        <v>3088</v>
      </c>
      <c r="AA86" s="73" t="s">
        <v>3088</v>
      </c>
      <c r="AB86" s="73" t="s">
        <v>3088</v>
      </c>
      <c r="AC86" s="73" t="s">
        <v>3088</v>
      </c>
      <c r="AD86" s="73" t="s">
        <v>3088</v>
      </c>
      <c r="AE86" s="73" t="s">
        <v>3088</v>
      </c>
      <c r="AF86" s="73" t="s">
        <v>3088</v>
      </c>
      <c r="AG86" s="73" t="s">
        <v>3088</v>
      </c>
      <c r="AH86" s="73" t="s">
        <v>3088</v>
      </c>
      <c r="AI86" s="73" t="s">
        <v>3088</v>
      </c>
      <c r="AJ86" s="73" t="s">
        <v>3088</v>
      </c>
      <c r="AK86" s="73" t="s">
        <v>3088</v>
      </c>
      <c r="AL86" s="73" t="s">
        <v>3088</v>
      </c>
      <c r="AM86" s="73" t="s">
        <v>3088</v>
      </c>
      <c r="AN86" s="73" t="s">
        <v>3088</v>
      </c>
      <c r="AO86" s="73" t="s">
        <v>3088</v>
      </c>
      <c r="AP86" s="73" t="s">
        <v>3088</v>
      </c>
      <c r="AQ86" s="73" t="s">
        <v>3088</v>
      </c>
      <c r="AR86" s="73" t="s">
        <v>3088</v>
      </c>
      <c r="AS86" s="73" t="s">
        <v>3088</v>
      </c>
      <c r="AT86" s="73" t="s">
        <v>3088</v>
      </c>
      <c r="AU86" s="73" t="s">
        <v>3088</v>
      </c>
      <c r="AV86" s="73" t="s">
        <v>3088</v>
      </c>
      <c r="AW86" s="73" t="s">
        <v>3088</v>
      </c>
      <c r="AX86" s="73" t="s">
        <v>3088</v>
      </c>
      <c r="AY86" s="73" t="s">
        <v>3088</v>
      </c>
      <c r="AZ86" s="73" t="s">
        <v>3088</v>
      </c>
      <c r="BA86" s="73" t="s">
        <v>3088</v>
      </c>
      <c r="BB86" s="73" t="s">
        <v>3088</v>
      </c>
      <c r="BC86" s="73" t="s">
        <v>3088</v>
      </c>
      <c r="BD86" s="73" t="s">
        <v>3088</v>
      </c>
      <c r="BE86" s="73" t="s">
        <v>3088</v>
      </c>
      <c r="BF86" s="73" t="s">
        <v>3088</v>
      </c>
      <c r="BG86" s="73" t="s">
        <v>3088</v>
      </c>
      <c r="BH86" s="73" t="s">
        <v>3088</v>
      </c>
      <c r="BI86" s="73" t="s">
        <v>3088</v>
      </c>
      <c r="BJ86" s="73" t="s">
        <v>3088</v>
      </c>
      <c r="BK86" s="73" t="s">
        <v>3088</v>
      </c>
      <c r="BL86" s="73" t="s">
        <v>3088</v>
      </c>
      <c r="BM86" s="73" t="s">
        <v>3088</v>
      </c>
      <c r="BN86" s="73" t="s">
        <v>3088</v>
      </c>
      <c r="BO86" s="73" t="s">
        <v>3088</v>
      </c>
      <c r="BP86" s="73" t="s">
        <v>3088</v>
      </c>
      <c r="BQ86" s="73" t="s">
        <v>3280</v>
      </c>
      <c r="BR86" s="73" t="s">
        <v>3088</v>
      </c>
    </row>
    <row r="87" spans="1:70">
      <c r="A87" s="73" t="s">
        <v>1862</v>
      </c>
      <c r="B87" s="73" t="s">
        <v>3281</v>
      </c>
      <c r="C87" s="73" t="s">
        <v>2545</v>
      </c>
      <c r="D87" s="73" t="s">
        <v>3088</v>
      </c>
      <c r="E87" s="73" t="s">
        <v>3088</v>
      </c>
      <c r="F87" s="73" t="s">
        <v>3088</v>
      </c>
      <c r="G87" s="73" t="s">
        <v>3089</v>
      </c>
      <c r="H87" s="73" t="s">
        <v>3088</v>
      </c>
      <c r="I87" s="73" t="s">
        <v>3093</v>
      </c>
      <c r="J87" s="73" t="s">
        <v>3143</v>
      </c>
      <c r="K87" s="73" t="s">
        <v>3089</v>
      </c>
      <c r="L87" s="73" t="s">
        <v>3088</v>
      </c>
      <c r="M87" s="73" t="s">
        <v>3088</v>
      </c>
      <c r="N87" s="73" t="s">
        <v>3088</v>
      </c>
      <c r="O87" s="73" t="s">
        <v>3088</v>
      </c>
      <c r="P87" s="73" t="s">
        <v>3088</v>
      </c>
      <c r="Q87" s="73" t="s">
        <v>3088</v>
      </c>
      <c r="R87" s="73" t="s">
        <v>3088</v>
      </c>
      <c r="S87" s="73" t="s">
        <v>3088</v>
      </c>
      <c r="T87" s="73" t="s">
        <v>3088</v>
      </c>
      <c r="U87" s="73" t="s">
        <v>3088</v>
      </c>
      <c r="V87" s="73" t="s">
        <v>3088</v>
      </c>
      <c r="W87" s="73" t="s">
        <v>3088</v>
      </c>
      <c r="X87" s="73" t="s">
        <v>3088</v>
      </c>
      <c r="Y87" s="73" t="s">
        <v>3088</v>
      </c>
      <c r="Z87" s="73" t="s">
        <v>3088</v>
      </c>
      <c r="AA87" s="73" t="s">
        <v>3088</v>
      </c>
      <c r="AB87" s="73" t="s">
        <v>3088</v>
      </c>
      <c r="AC87" s="73" t="s">
        <v>3088</v>
      </c>
      <c r="AD87" s="73" t="s">
        <v>3088</v>
      </c>
      <c r="AE87" s="73" t="s">
        <v>3088</v>
      </c>
      <c r="AF87" s="73" t="s">
        <v>3088</v>
      </c>
      <c r="AG87" s="73" t="s">
        <v>3088</v>
      </c>
      <c r="AH87" s="73" t="s">
        <v>3088</v>
      </c>
      <c r="AI87" s="73" t="s">
        <v>3088</v>
      </c>
      <c r="AJ87" s="73" t="s">
        <v>3088</v>
      </c>
      <c r="AK87" s="73" t="s">
        <v>3088</v>
      </c>
      <c r="AL87" s="73" t="s">
        <v>3088</v>
      </c>
      <c r="AM87" s="73" t="s">
        <v>3088</v>
      </c>
      <c r="AN87" s="73" t="s">
        <v>3088</v>
      </c>
      <c r="AO87" s="73" t="s">
        <v>3088</v>
      </c>
      <c r="AP87" s="73" t="s">
        <v>3088</v>
      </c>
      <c r="AQ87" s="73" t="s">
        <v>3088</v>
      </c>
      <c r="AR87" s="73" t="s">
        <v>3088</v>
      </c>
      <c r="AS87" s="73" t="s">
        <v>3088</v>
      </c>
      <c r="AT87" s="73" t="s">
        <v>3088</v>
      </c>
      <c r="AU87" s="73" t="s">
        <v>3088</v>
      </c>
      <c r="AV87" s="73" t="s">
        <v>3088</v>
      </c>
      <c r="AW87" s="73" t="s">
        <v>3088</v>
      </c>
      <c r="AX87" s="73" t="s">
        <v>3088</v>
      </c>
      <c r="AY87" s="73" t="s">
        <v>3088</v>
      </c>
      <c r="AZ87" s="73" t="s">
        <v>3088</v>
      </c>
      <c r="BA87" s="73" t="s">
        <v>3088</v>
      </c>
      <c r="BB87" s="73" t="s">
        <v>3088</v>
      </c>
      <c r="BC87" s="73" t="s">
        <v>3088</v>
      </c>
      <c r="BD87" s="73" t="s">
        <v>3088</v>
      </c>
      <c r="BE87" s="73" t="s">
        <v>3088</v>
      </c>
      <c r="BF87" s="73" t="s">
        <v>3088</v>
      </c>
      <c r="BG87" s="73" t="s">
        <v>3088</v>
      </c>
      <c r="BH87" s="73" t="s">
        <v>3088</v>
      </c>
      <c r="BI87" s="73" t="s">
        <v>3088</v>
      </c>
      <c r="BJ87" s="73" t="s">
        <v>3088</v>
      </c>
      <c r="BK87" s="73" t="s">
        <v>3088</v>
      </c>
      <c r="BL87" s="73" t="s">
        <v>3088</v>
      </c>
      <c r="BM87" s="73" t="s">
        <v>3088</v>
      </c>
      <c r="BN87" s="73" t="s">
        <v>3088</v>
      </c>
      <c r="BO87" s="73" t="s">
        <v>3088</v>
      </c>
      <c r="BP87" s="73" t="s">
        <v>3088</v>
      </c>
      <c r="BQ87" s="73" t="s">
        <v>3282</v>
      </c>
      <c r="BR87" s="73" t="s">
        <v>3088</v>
      </c>
    </row>
    <row r="88" spans="1:70">
      <c r="A88" s="73" t="s">
        <v>1862</v>
      </c>
      <c r="B88" s="73" t="s">
        <v>2596</v>
      </c>
      <c r="C88" s="73" t="s">
        <v>2582</v>
      </c>
      <c r="D88" s="73" t="s">
        <v>3088</v>
      </c>
      <c r="E88" s="73" t="s">
        <v>3088</v>
      </c>
      <c r="F88" s="73" t="s">
        <v>3088</v>
      </c>
      <c r="G88" s="73" t="s">
        <v>3089</v>
      </c>
      <c r="H88" s="73" t="s">
        <v>3088</v>
      </c>
      <c r="I88" s="73" t="s">
        <v>108</v>
      </c>
      <c r="J88" s="73" t="s">
        <v>3088</v>
      </c>
      <c r="K88" s="73" t="s">
        <v>3088</v>
      </c>
      <c r="L88" s="73" t="s">
        <v>3088</v>
      </c>
      <c r="M88" s="73" t="s">
        <v>3088</v>
      </c>
      <c r="N88" s="73" t="s">
        <v>3088</v>
      </c>
      <c r="O88" s="73" t="s">
        <v>3088</v>
      </c>
      <c r="P88" s="73" t="s">
        <v>3088</v>
      </c>
      <c r="Q88" s="73" t="s">
        <v>3088</v>
      </c>
      <c r="R88" s="73" t="s">
        <v>3088</v>
      </c>
      <c r="S88" s="73" t="s">
        <v>3088</v>
      </c>
      <c r="T88" s="73" t="s">
        <v>3088</v>
      </c>
      <c r="U88" s="73" t="s">
        <v>3088</v>
      </c>
      <c r="V88" s="73" t="s">
        <v>3088</v>
      </c>
      <c r="W88" s="73" t="s">
        <v>3088</v>
      </c>
      <c r="X88" s="73" t="s">
        <v>3088</v>
      </c>
      <c r="Y88" s="73" t="s">
        <v>3088</v>
      </c>
      <c r="Z88" s="73" t="s">
        <v>3088</v>
      </c>
      <c r="AA88" s="73" t="s">
        <v>3088</v>
      </c>
      <c r="AB88" s="73" t="s">
        <v>3088</v>
      </c>
      <c r="AC88" s="73" t="s">
        <v>3088</v>
      </c>
      <c r="AD88" s="73" t="s">
        <v>3088</v>
      </c>
      <c r="AE88" s="73" t="s">
        <v>3088</v>
      </c>
      <c r="AF88" s="73" t="s">
        <v>3088</v>
      </c>
      <c r="AG88" s="73" t="s">
        <v>3088</v>
      </c>
      <c r="AH88" s="73" t="s">
        <v>3088</v>
      </c>
      <c r="AI88" s="73" t="s">
        <v>3088</v>
      </c>
      <c r="AJ88" s="73" t="s">
        <v>3088</v>
      </c>
      <c r="AK88" s="73" t="s">
        <v>3088</v>
      </c>
      <c r="AL88" s="73" t="s">
        <v>3088</v>
      </c>
      <c r="AM88" s="73" t="s">
        <v>3088</v>
      </c>
      <c r="AN88" s="73" t="s">
        <v>3088</v>
      </c>
      <c r="AO88" s="73" t="s">
        <v>3088</v>
      </c>
      <c r="AP88" s="73" t="s">
        <v>3088</v>
      </c>
      <c r="AQ88" s="73" t="s">
        <v>3088</v>
      </c>
      <c r="AR88" s="73" t="s">
        <v>3088</v>
      </c>
      <c r="AS88" s="73" t="s">
        <v>3088</v>
      </c>
      <c r="AT88" s="73" t="s">
        <v>3088</v>
      </c>
      <c r="AU88" s="73" t="s">
        <v>3088</v>
      </c>
      <c r="AV88" s="73" t="s">
        <v>3088</v>
      </c>
      <c r="AW88" s="73" t="s">
        <v>3088</v>
      </c>
      <c r="AX88" s="73" t="s">
        <v>3088</v>
      </c>
      <c r="AY88" s="73" t="s">
        <v>3088</v>
      </c>
      <c r="AZ88" s="73" t="s">
        <v>3088</v>
      </c>
      <c r="BA88" s="73" t="s">
        <v>3088</v>
      </c>
      <c r="BB88" s="73" t="s">
        <v>3088</v>
      </c>
      <c r="BC88" s="73" t="s">
        <v>3088</v>
      </c>
      <c r="BD88" s="73" t="s">
        <v>3088</v>
      </c>
      <c r="BE88" s="73" t="s">
        <v>3088</v>
      </c>
      <c r="BF88" s="73" t="s">
        <v>3088</v>
      </c>
      <c r="BG88" s="73" t="s">
        <v>3088</v>
      </c>
      <c r="BH88" s="73" t="s">
        <v>3088</v>
      </c>
      <c r="BI88" s="73" t="s">
        <v>3088</v>
      </c>
      <c r="BJ88" s="73" t="s">
        <v>3088</v>
      </c>
      <c r="BK88" s="73" t="s">
        <v>3088</v>
      </c>
      <c r="BL88" s="73" t="s">
        <v>3088</v>
      </c>
      <c r="BM88" s="73" t="s">
        <v>3088</v>
      </c>
      <c r="BN88" s="73" t="s">
        <v>3088</v>
      </c>
      <c r="BO88" s="73" t="s">
        <v>3088</v>
      </c>
      <c r="BP88" s="73" t="s">
        <v>3088</v>
      </c>
      <c r="BQ88" s="73" t="s">
        <v>3283</v>
      </c>
      <c r="BR88" s="73" t="s">
        <v>3088</v>
      </c>
    </row>
    <row r="89" spans="1:70">
      <c r="A89" s="73" t="s">
        <v>1862</v>
      </c>
      <c r="B89" s="73" t="s">
        <v>2597</v>
      </c>
      <c r="C89" s="73" t="s">
        <v>2537</v>
      </c>
      <c r="D89" s="73" t="s">
        <v>3088</v>
      </c>
      <c r="E89" s="73" t="s">
        <v>3088</v>
      </c>
      <c r="F89" s="73" t="s">
        <v>3088</v>
      </c>
      <c r="G89" s="73" t="s">
        <v>3089</v>
      </c>
      <c r="H89" s="73" t="s">
        <v>3088</v>
      </c>
      <c r="I89" s="73" t="s">
        <v>108</v>
      </c>
      <c r="J89" s="73" t="s">
        <v>2598</v>
      </c>
      <c r="K89" s="73" t="s">
        <v>3089</v>
      </c>
      <c r="L89" s="73" t="s">
        <v>3088</v>
      </c>
      <c r="M89" s="73" t="s">
        <v>3088</v>
      </c>
      <c r="N89" s="73" t="s">
        <v>3088</v>
      </c>
      <c r="O89" s="73" t="s">
        <v>3088</v>
      </c>
      <c r="P89" s="73" t="s">
        <v>3088</v>
      </c>
      <c r="Q89" s="73" t="s">
        <v>3088</v>
      </c>
      <c r="R89" s="73" t="s">
        <v>3088</v>
      </c>
      <c r="S89" s="73" t="s">
        <v>3088</v>
      </c>
      <c r="T89" s="73" t="s">
        <v>3088</v>
      </c>
      <c r="U89" s="73" t="s">
        <v>3088</v>
      </c>
      <c r="V89" s="73" t="s">
        <v>3088</v>
      </c>
      <c r="W89" s="73" t="s">
        <v>3088</v>
      </c>
      <c r="X89" s="73" t="s">
        <v>3088</v>
      </c>
      <c r="Y89" s="73" t="s">
        <v>3088</v>
      </c>
      <c r="Z89" s="73" t="s">
        <v>3088</v>
      </c>
      <c r="AA89" s="73" t="s">
        <v>3088</v>
      </c>
      <c r="AB89" s="73" t="s">
        <v>3088</v>
      </c>
      <c r="AC89" s="73" t="s">
        <v>3088</v>
      </c>
      <c r="AD89" s="73" t="s">
        <v>3088</v>
      </c>
      <c r="AE89" s="73" t="s">
        <v>3088</v>
      </c>
      <c r="AF89" s="73" t="s">
        <v>3088</v>
      </c>
      <c r="AG89" s="73" t="s">
        <v>3088</v>
      </c>
      <c r="AH89" s="73" t="s">
        <v>3088</v>
      </c>
      <c r="AI89" s="73" t="s">
        <v>3088</v>
      </c>
      <c r="AJ89" s="73" t="s">
        <v>3088</v>
      </c>
      <c r="AK89" s="73" t="s">
        <v>3088</v>
      </c>
      <c r="AL89" s="73" t="s">
        <v>3088</v>
      </c>
      <c r="AM89" s="73" t="s">
        <v>3088</v>
      </c>
      <c r="AN89" s="73" t="s">
        <v>3088</v>
      </c>
      <c r="AO89" s="73" t="s">
        <v>3088</v>
      </c>
      <c r="AP89" s="73" t="s">
        <v>3088</v>
      </c>
      <c r="AQ89" s="73" t="s">
        <v>3088</v>
      </c>
      <c r="AR89" s="73" t="s">
        <v>3088</v>
      </c>
      <c r="AS89" s="73" t="s">
        <v>3088</v>
      </c>
      <c r="AT89" s="73" t="s">
        <v>3088</v>
      </c>
      <c r="AU89" s="73" t="s">
        <v>3088</v>
      </c>
      <c r="AV89" s="73" t="s">
        <v>3088</v>
      </c>
      <c r="AW89" s="73" t="s">
        <v>3088</v>
      </c>
      <c r="AX89" s="73" t="s">
        <v>3088</v>
      </c>
      <c r="AY89" s="73" t="s">
        <v>3088</v>
      </c>
      <c r="AZ89" s="73" t="s">
        <v>3088</v>
      </c>
      <c r="BA89" s="73" t="s">
        <v>3088</v>
      </c>
      <c r="BB89" s="73" t="s">
        <v>3088</v>
      </c>
      <c r="BC89" s="73" t="s">
        <v>3088</v>
      </c>
      <c r="BD89" s="73" t="s">
        <v>3088</v>
      </c>
      <c r="BE89" s="73" t="s">
        <v>3088</v>
      </c>
      <c r="BF89" s="73" t="s">
        <v>3088</v>
      </c>
      <c r="BG89" s="73" t="s">
        <v>3088</v>
      </c>
      <c r="BH89" s="73" t="s">
        <v>3088</v>
      </c>
      <c r="BI89" s="73" t="s">
        <v>3088</v>
      </c>
      <c r="BJ89" s="73" t="s">
        <v>3088</v>
      </c>
      <c r="BK89" s="73" t="s">
        <v>3088</v>
      </c>
      <c r="BL89" s="73" t="s">
        <v>3088</v>
      </c>
      <c r="BM89" s="73" t="s">
        <v>3088</v>
      </c>
      <c r="BN89" s="73" t="s">
        <v>3088</v>
      </c>
      <c r="BO89" s="73" t="s">
        <v>3088</v>
      </c>
      <c r="BP89" s="73" t="s">
        <v>3088</v>
      </c>
      <c r="BQ89" s="73" t="s">
        <v>3284</v>
      </c>
      <c r="BR89" s="73" t="s">
        <v>3088</v>
      </c>
    </row>
    <row r="90" spans="1:70">
      <c r="A90" s="73" t="s">
        <v>1862</v>
      </c>
      <c r="B90" s="73" t="s">
        <v>3285</v>
      </c>
      <c r="C90" s="73" t="s">
        <v>2545</v>
      </c>
      <c r="D90" s="73" t="s">
        <v>3088</v>
      </c>
      <c r="E90" s="73" t="s">
        <v>3088</v>
      </c>
      <c r="F90" s="73" t="s">
        <v>3088</v>
      </c>
      <c r="G90" s="73" t="s">
        <v>3089</v>
      </c>
      <c r="H90" s="73" t="s">
        <v>3088</v>
      </c>
      <c r="I90" s="73" t="s">
        <v>3093</v>
      </c>
      <c r="J90" s="73" t="s">
        <v>3088</v>
      </c>
      <c r="K90" s="73" t="s">
        <v>3088</v>
      </c>
      <c r="L90" s="73" t="s">
        <v>3088</v>
      </c>
      <c r="M90" s="73" t="s">
        <v>3088</v>
      </c>
      <c r="N90" s="73" t="s">
        <v>3088</v>
      </c>
      <c r="O90" s="73" t="s">
        <v>3088</v>
      </c>
      <c r="P90" s="73" t="s">
        <v>3088</v>
      </c>
      <c r="Q90" s="73" t="s">
        <v>3088</v>
      </c>
      <c r="R90" s="73" t="s">
        <v>3088</v>
      </c>
      <c r="S90" s="73" t="s">
        <v>3088</v>
      </c>
      <c r="T90" s="73" t="s">
        <v>3088</v>
      </c>
      <c r="U90" s="73" t="s">
        <v>3088</v>
      </c>
      <c r="V90" s="73" t="s">
        <v>3088</v>
      </c>
      <c r="W90" s="73" t="s">
        <v>3088</v>
      </c>
      <c r="X90" s="73" t="s">
        <v>3088</v>
      </c>
      <c r="Y90" s="73" t="s">
        <v>3088</v>
      </c>
      <c r="Z90" s="73" t="s">
        <v>3088</v>
      </c>
      <c r="AA90" s="73" t="s">
        <v>3088</v>
      </c>
      <c r="AB90" s="73" t="s">
        <v>3088</v>
      </c>
      <c r="AC90" s="73" t="s">
        <v>3088</v>
      </c>
      <c r="AD90" s="73" t="s">
        <v>3088</v>
      </c>
      <c r="AE90" s="73" t="s">
        <v>3088</v>
      </c>
      <c r="AF90" s="73" t="s">
        <v>3088</v>
      </c>
      <c r="AG90" s="73" t="s">
        <v>3088</v>
      </c>
      <c r="AH90" s="73" t="s">
        <v>3088</v>
      </c>
      <c r="AI90" s="73" t="s">
        <v>3088</v>
      </c>
      <c r="AJ90" s="73" t="s">
        <v>3088</v>
      </c>
      <c r="AK90" s="73" t="s">
        <v>3088</v>
      </c>
      <c r="AL90" s="73" t="s">
        <v>3088</v>
      </c>
      <c r="AM90" s="73" t="s">
        <v>3088</v>
      </c>
      <c r="AN90" s="73" t="s">
        <v>3088</v>
      </c>
      <c r="AO90" s="73" t="s">
        <v>3088</v>
      </c>
      <c r="AP90" s="73" t="s">
        <v>3088</v>
      </c>
      <c r="AQ90" s="73" t="s">
        <v>3088</v>
      </c>
      <c r="AR90" s="73" t="s">
        <v>3088</v>
      </c>
      <c r="AS90" s="73" t="s">
        <v>3088</v>
      </c>
      <c r="AT90" s="73" t="s">
        <v>3088</v>
      </c>
      <c r="AU90" s="73" t="s">
        <v>3088</v>
      </c>
      <c r="AV90" s="73" t="s">
        <v>3088</v>
      </c>
      <c r="AW90" s="73" t="s">
        <v>3088</v>
      </c>
      <c r="AX90" s="73" t="s">
        <v>3088</v>
      </c>
      <c r="AY90" s="73" t="s">
        <v>3088</v>
      </c>
      <c r="AZ90" s="73" t="s">
        <v>3088</v>
      </c>
      <c r="BA90" s="73" t="s">
        <v>3088</v>
      </c>
      <c r="BB90" s="73" t="s">
        <v>3088</v>
      </c>
      <c r="BC90" s="73" t="s">
        <v>3088</v>
      </c>
      <c r="BD90" s="73" t="s">
        <v>3088</v>
      </c>
      <c r="BE90" s="73" t="s">
        <v>3088</v>
      </c>
      <c r="BF90" s="73" t="s">
        <v>3088</v>
      </c>
      <c r="BG90" s="73" t="s">
        <v>3088</v>
      </c>
      <c r="BH90" s="73" t="s">
        <v>3088</v>
      </c>
      <c r="BI90" s="73" t="s">
        <v>3088</v>
      </c>
      <c r="BJ90" s="73" t="s">
        <v>3088</v>
      </c>
      <c r="BK90" s="73" t="s">
        <v>3088</v>
      </c>
      <c r="BL90" s="73" t="s">
        <v>3088</v>
      </c>
      <c r="BM90" s="73" t="s">
        <v>3088</v>
      </c>
      <c r="BN90" s="73" t="s">
        <v>3088</v>
      </c>
      <c r="BO90" s="73" t="s">
        <v>3088</v>
      </c>
      <c r="BP90" s="73" t="s">
        <v>3088</v>
      </c>
      <c r="BQ90" s="73" t="s">
        <v>3286</v>
      </c>
      <c r="BR90" s="73" t="s">
        <v>3088</v>
      </c>
    </row>
    <row r="91" spans="1:70">
      <c r="A91" s="73" t="s">
        <v>1862</v>
      </c>
      <c r="B91" s="73" t="s">
        <v>2599</v>
      </c>
      <c r="C91" s="73" t="s">
        <v>2559</v>
      </c>
      <c r="D91" s="73" t="s">
        <v>3088</v>
      </c>
      <c r="E91" s="73" t="s">
        <v>3088</v>
      </c>
      <c r="F91" s="73" t="s">
        <v>3088</v>
      </c>
      <c r="G91" s="73" t="s">
        <v>3089</v>
      </c>
      <c r="H91" s="73" t="s">
        <v>3088</v>
      </c>
      <c r="I91" s="73" t="s">
        <v>108</v>
      </c>
      <c r="J91" s="73" t="s">
        <v>3287</v>
      </c>
      <c r="K91" s="73" t="s">
        <v>3089</v>
      </c>
      <c r="L91" s="73" t="s">
        <v>2193</v>
      </c>
      <c r="M91" s="73" t="s">
        <v>3287</v>
      </c>
      <c r="N91" s="73" t="s">
        <v>3089</v>
      </c>
      <c r="O91" s="73" t="s">
        <v>3088</v>
      </c>
      <c r="P91" s="73" t="s">
        <v>3088</v>
      </c>
      <c r="Q91" s="73" t="s">
        <v>3088</v>
      </c>
      <c r="R91" s="73" t="s">
        <v>3088</v>
      </c>
      <c r="S91" s="73" t="s">
        <v>3088</v>
      </c>
      <c r="T91" s="73" t="s">
        <v>3088</v>
      </c>
      <c r="U91" s="73" t="s">
        <v>3088</v>
      </c>
      <c r="V91" s="73" t="s">
        <v>3088</v>
      </c>
      <c r="W91" s="73" t="s">
        <v>3088</v>
      </c>
      <c r="X91" s="73" t="s">
        <v>3088</v>
      </c>
      <c r="Y91" s="73" t="s">
        <v>3088</v>
      </c>
      <c r="Z91" s="73" t="s">
        <v>3088</v>
      </c>
      <c r="AA91" s="73" t="s">
        <v>3088</v>
      </c>
      <c r="AB91" s="73" t="s">
        <v>3088</v>
      </c>
      <c r="AC91" s="73" t="s">
        <v>3088</v>
      </c>
      <c r="AD91" s="73" t="s">
        <v>3088</v>
      </c>
      <c r="AE91" s="73" t="s">
        <v>3088</v>
      </c>
      <c r="AF91" s="73" t="s">
        <v>3088</v>
      </c>
      <c r="AG91" s="73" t="s">
        <v>3088</v>
      </c>
      <c r="AH91" s="73" t="s">
        <v>3088</v>
      </c>
      <c r="AI91" s="73" t="s">
        <v>3088</v>
      </c>
      <c r="AJ91" s="73" t="s">
        <v>3088</v>
      </c>
      <c r="AK91" s="73" t="s">
        <v>3088</v>
      </c>
      <c r="AL91" s="73" t="s">
        <v>3088</v>
      </c>
      <c r="AM91" s="73" t="s">
        <v>3088</v>
      </c>
      <c r="AN91" s="73" t="s">
        <v>3088</v>
      </c>
      <c r="AO91" s="73" t="s">
        <v>3088</v>
      </c>
      <c r="AP91" s="73" t="s">
        <v>3088</v>
      </c>
      <c r="AQ91" s="73" t="s">
        <v>3088</v>
      </c>
      <c r="AR91" s="73" t="s">
        <v>3088</v>
      </c>
      <c r="AS91" s="73" t="s">
        <v>3088</v>
      </c>
      <c r="AT91" s="73" t="s">
        <v>3088</v>
      </c>
      <c r="AU91" s="73" t="s">
        <v>3088</v>
      </c>
      <c r="AV91" s="73" t="s">
        <v>3088</v>
      </c>
      <c r="AW91" s="73" t="s">
        <v>3088</v>
      </c>
      <c r="AX91" s="73" t="s">
        <v>3088</v>
      </c>
      <c r="AY91" s="73" t="s">
        <v>3088</v>
      </c>
      <c r="AZ91" s="73" t="s">
        <v>3088</v>
      </c>
      <c r="BA91" s="73" t="s">
        <v>3088</v>
      </c>
      <c r="BB91" s="73" t="s">
        <v>3088</v>
      </c>
      <c r="BC91" s="73" t="s">
        <v>3088</v>
      </c>
      <c r="BD91" s="73" t="s">
        <v>3088</v>
      </c>
      <c r="BE91" s="73" t="s">
        <v>3088</v>
      </c>
      <c r="BF91" s="73" t="s">
        <v>3088</v>
      </c>
      <c r="BG91" s="73" t="s">
        <v>3088</v>
      </c>
      <c r="BH91" s="73" t="s">
        <v>3088</v>
      </c>
      <c r="BI91" s="73" t="s">
        <v>3088</v>
      </c>
      <c r="BJ91" s="73" t="s">
        <v>3088</v>
      </c>
      <c r="BK91" s="73" t="s">
        <v>3088</v>
      </c>
      <c r="BL91" s="73" t="s">
        <v>3088</v>
      </c>
      <c r="BM91" s="73" t="s">
        <v>3088</v>
      </c>
      <c r="BN91" s="73" t="s">
        <v>3088</v>
      </c>
      <c r="BO91" s="73" t="s">
        <v>3088</v>
      </c>
      <c r="BP91" s="73" t="s">
        <v>3088</v>
      </c>
      <c r="BQ91" s="73" t="s">
        <v>3288</v>
      </c>
      <c r="BR91" s="73" t="s">
        <v>3088</v>
      </c>
    </row>
    <row r="92" spans="1:70">
      <c r="A92" s="73" t="s">
        <v>1862</v>
      </c>
      <c r="B92" s="73" t="s">
        <v>3289</v>
      </c>
      <c r="C92" s="73" t="s">
        <v>2579</v>
      </c>
      <c r="D92" s="73" t="s">
        <v>3088</v>
      </c>
      <c r="E92" s="73" t="s">
        <v>3088</v>
      </c>
      <c r="F92" s="73" t="s">
        <v>3088</v>
      </c>
      <c r="G92" s="73" t="s">
        <v>3089</v>
      </c>
      <c r="H92" s="73" t="s">
        <v>3088</v>
      </c>
      <c r="I92" s="73" t="s">
        <v>3122</v>
      </c>
      <c r="J92" s="73" t="s">
        <v>3290</v>
      </c>
      <c r="K92" s="73" t="s">
        <v>3095</v>
      </c>
      <c r="L92" s="73" t="s">
        <v>3180</v>
      </c>
      <c r="M92" s="73" t="s">
        <v>3291</v>
      </c>
      <c r="N92" s="73" t="s">
        <v>3095</v>
      </c>
      <c r="O92" s="73" t="s">
        <v>3088</v>
      </c>
      <c r="P92" s="73" t="s">
        <v>3088</v>
      </c>
      <c r="Q92" s="73" t="s">
        <v>3088</v>
      </c>
      <c r="R92" s="73" t="s">
        <v>3088</v>
      </c>
      <c r="S92" s="73" t="s">
        <v>3088</v>
      </c>
      <c r="T92" s="73" t="s">
        <v>3088</v>
      </c>
      <c r="U92" s="73" t="s">
        <v>3088</v>
      </c>
      <c r="V92" s="73" t="s">
        <v>3088</v>
      </c>
      <c r="W92" s="73" t="s">
        <v>3088</v>
      </c>
      <c r="X92" s="73" t="s">
        <v>3088</v>
      </c>
      <c r="Y92" s="73" t="s">
        <v>3088</v>
      </c>
      <c r="Z92" s="73" t="s">
        <v>3088</v>
      </c>
      <c r="AA92" s="73" t="s">
        <v>3088</v>
      </c>
      <c r="AB92" s="73" t="s">
        <v>3088</v>
      </c>
      <c r="AC92" s="73" t="s">
        <v>3088</v>
      </c>
      <c r="AD92" s="73" t="s">
        <v>3088</v>
      </c>
      <c r="AE92" s="73" t="s">
        <v>3088</v>
      </c>
      <c r="AF92" s="73" t="s">
        <v>3088</v>
      </c>
      <c r="AG92" s="73" t="s">
        <v>3088</v>
      </c>
      <c r="AH92" s="73" t="s">
        <v>3088</v>
      </c>
      <c r="AI92" s="73" t="s">
        <v>3088</v>
      </c>
      <c r="AJ92" s="73" t="s">
        <v>3088</v>
      </c>
      <c r="AK92" s="73" t="s">
        <v>3088</v>
      </c>
      <c r="AL92" s="73" t="s">
        <v>3088</v>
      </c>
      <c r="AM92" s="73" t="s">
        <v>3088</v>
      </c>
      <c r="AN92" s="73" t="s">
        <v>3088</v>
      </c>
      <c r="AO92" s="73" t="s">
        <v>3088</v>
      </c>
      <c r="AP92" s="73" t="s">
        <v>3088</v>
      </c>
      <c r="AQ92" s="73" t="s">
        <v>3088</v>
      </c>
      <c r="AR92" s="73" t="s">
        <v>3088</v>
      </c>
      <c r="AS92" s="73" t="s">
        <v>3088</v>
      </c>
      <c r="AT92" s="73" t="s">
        <v>3088</v>
      </c>
      <c r="AU92" s="73" t="s">
        <v>3088</v>
      </c>
      <c r="AV92" s="73" t="s">
        <v>3088</v>
      </c>
      <c r="AW92" s="73" t="s">
        <v>3088</v>
      </c>
      <c r="AX92" s="73" t="s">
        <v>3088</v>
      </c>
      <c r="AY92" s="73" t="s">
        <v>3088</v>
      </c>
      <c r="AZ92" s="73" t="s">
        <v>3088</v>
      </c>
      <c r="BA92" s="73" t="s">
        <v>3088</v>
      </c>
      <c r="BB92" s="73" t="s">
        <v>3088</v>
      </c>
      <c r="BC92" s="73" t="s">
        <v>3088</v>
      </c>
      <c r="BD92" s="73" t="s">
        <v>3088</v>
      </c>
      <c r="BE92" s="73" t="s">
        <v>3088</v>
      </c>
      <c r="BF92" s="73" t="s">
        <v>3088</v>
      </c>
      <c r="BG92" s="73" t="s">
        <v>3088</v>
      </c>
      <c r="BH92" s="73" t="s">
        <v>3088</v>
      </c>
      <c r="BI92" s="73" t="s">
        <v>3088</v>
      </c>
      <c r="BJ92" s="73" t="s">
        <v>3088</v>
      </c>
      <c r="BK92" s="73" t="s">
        <v>3088</v>
      </c>
      <c r="BL92" s="73" t="s">
        <v>3088</v>
      </c>
      <c r="BM92" s="73" t="s">
        <v>3088</v>
      </c>
      <c r="BN92" s="73" t="s">
        <v>3088</v>
      </c>
      <c r="BO92" s="73" t="s">
        <v>3088</v>
      </c>
      <c r="BP92" s="73" t="s">
        <v>3088</v>
      </c>
      <c r="BQ92" s="73" t="s">
        <v>3292</v>
      </c>
      <c r="BR92" s="73" t="s">
        <v>3097</v>
      </c>
    </row>
    <row r="93" spans="1:70">
      <c r="A93" s="73" t="s">
        <v>1862</v>
      </c>
      <c r="B93" s="73" t="s">
        <v>3293</v>
      </c>
      <c r="C93" s="73" t="s">
        <v>2579</v>
      </c>
      <c r="D93" s="73" t="s">
        <v>3088</v>
      </c>
      <c r="E93" s="73" t="s">
        <v>3088</v>
      </c>
      <c r="F93" s="73" t="s">
        <v>3088</v>
      </c>
      <c r="G93" s="73" t="s">
        <v>3089</v>
      </c>
      <c r="H93" s="73" t="s">
        <v>3088</v>
      </c>
      <c r="I93" s="73" t="s">
        <v>3113</v>
      </c>
      <c r="J93" s="73" t="s">
        <v>3294</v>
      </c>
      <c r="K93" s="73" t="s">
        <v>3089</v>
      </c>
      <c r="L93" s="73" t="s">
        <v>3088</v>
      </c>
      <c r="M93" s="73" t="s">
        <v>3088</v>
      </c>
      <c r="N93" s="73" t="s">
        <v>3088</v>
      </c>
      <c r="O93" s="73" t="s">
        <v>3088</v>
      </c>
      <c r="P93" s="73" t="s">
        <v>3088</v>
      </c>
      <c r="Q93" s="73" t="s">
        <v>3088</v>
      </c>
      <c r="R93" s="73" t="s">
        <v>3088</v>
      </c>
      <c r="S93" s="73" t="s">
        <v>3088</v>
      </c>
      <c r="T93" s="73" t="s">
        <v>3088</v>
      </c>
      <c r="U93" s="73" t="s">
        <v>3088</v>
      </c>
      <c r="V93" s="73" t="s">
        <v>3088</v>
      </c>
      <c r="W93" s="73" t="s">
        <v>3088</v>
      </c>
      <c r="X93" s="73" t="s">
        <v>3088</v>
      </c>
      <c r="Y93" s="73" t="s">
        <v>3088</v>
      </c>
      <c r="Z93" s="73" t="s">
        <v>3088</v>
      </c>
      <c r="AA93" s="73" t="s">
        <v>3088</v>
      </c>
      <c r="AB93" s="73" t="s">
        <v>3088</v>
      </c>
      <c r="AC93" s="73" t="s">
        <v>3088</v>
      </c>
      <c r="AD93" s="73" t="s">
        <v>3088</v>
      </c>
      <c r="AE93" s="73" t="s">
        <v>3088</v>
      </c>
      <c r="AF93" s="73" t="s">
        <v>3088</v>
      </c>
      <c r="AG93" s="73" t="s">
        <v>3088</v>
      </c>
      <c r="AH93" s="73" t="s">
        <v>3088</v>
      </c>
      <c r="AI93" s="73" t="s">
        <v>3088</v>
      </c>
      <c r="AJ93" s="73" t="s">
        <v>3088</v>
      </c>
      <c r="AK93" s="73" t="s">
        <v>3088</v>
      </c>
      <c r="AL93" s="73" t="s">
        <v>3088</v>
      </c>
      <c r="AM93" s="73" t="s">
        <v>3088</v>
      </c>
      <c r="AN93" s="73" t="s">
        <v>3088</v>
      </c>
      <c r="AO93" s="73" t="s">
        <v>3088</v>
      </c>
      <c r="AP93" s="73" t="s">
        <v>3088</v>
      </c>
      <c r="AQ93" s="73" t="s">
        <v>3088</v>
      </c>
      <c r="AR93" s="73" t="s">
        <v>3088</v>
      </c>
      <c r="AS93" s="73" t="s">
        <v>3088</v>
      </c>
      <c r="AT93" s="73" t="s">
        <v>3088</v>
      </c>
      <c r="AU93" s="73" t="s">
        <v>3088</v>
      </c>
      <c r="AV93" s="73" t="s">
        <v>3088</v>
      </c>
      <c r="AW93" s="73" t="s">
        <v>3088</v>
      </c>
      <c r="AX93" s="73" t="s">
        <v>3088</v>
      </c>
      <c r="AY93" s="73" t="s">
        <v>3088</v>
      </c>
      <c r="AZ93" s="73" t="s">
        <v>3088</v>
      </c>
      <c r="BA93" s="73" t="s">
        <v>3088</v>
      </c>
      <c r="BB93" s="73" t="s">
        <v>3088</v>
      </c>
      <c r="BC93" s="73" t="s">
        <v>3088</v>
      </c>
      <c r="BD93" s="73" t="s">
        <v>3088</v>
      </c>
      <c r="BE93" s="73" t="s">
        <v>3088</v>
      </c>
      <c r="BF93" s="73" t="s">
        <v>3088</v>
      </c>
      <c r="BG93" s="73" t="s">
        <v>3088</v>
      </c>
      <c r="BH93" s="73" t="s">
        <v>3088</v>
      </c>
      <c r="BI93" s="73" t="s">
        <v>3088</v>
      </c>
      <c r="BJ93" s="73" t="s">
        <v>3088</v>
      </c>
      <c r="BK93" s="73" t="s">
        <v>3088</v>
      </c>
      <c r="BL93" s="73" t="s">
        <v>3088</v>
      </c>
      <c r="BM93" s="73" t="s">
        <v>3088</v>
      </c>
      <c r="BN93" s="73" t="s">
        <v>3088</v>
      </c>
      <c r="BO93" s="73" t="s">
        <v>3088</v>
      </c>
      <c r="BP93" s="73" t="s">
        <v>3088</v>
      </c>
      <c r="BQ93" s="73" t="s">
        <v>3295</v>
      </c>
      <c r="BR93" s="73" t="s">
        <v>3088</v>
      </c>
    </row>
    <row r="94" spans="1:70">
      <c r="A94" s="73" t="s">
        <v>1862</v>
      </c>
      <c r="B94" s="73" t="s">
        <v>3296</v>
      </c>
      <c r="C94" s="73" t="s">
        <v>2554</v>
      </c>
      <c r="D94" s="73" t="s">
        <v>3088</v>
      </c>
      <c r="E94" s="73" t="s">
        <v>3088</v>
      </c>
      <c r="F94" s="73" t="s">
        <v>3088</v>
      </c>
      <c r="G94" s="73" t="s">
        <v>3089</v>
      </c>
      <c r="H94" s="73" t="s">
        <v>3088</v>
      </c>
      <c r="I94" s="73" t="s">
        <v>2463</v>
      </c>
      <c r="J94" s="73" t="s">
        <v>3088</v>
      </c>
      <c r="K94" s="73" t="s">
        <v>3088</v>
      </c>
      <c r="L94" s="73" t="s">
        <v>3088</v>
      </c>
      <c r="M94" s="73" t="s">
        <v>3088</v>
      </c>
      <c r="N94" s="73" t="s">
        <v>3088</v>
      </c>
      <c r="O94" s="73" t="s">
        <v>3088</v>
      </c>
      <c r="P94" s="73" t="s">
        <v>3088</v>
      </c>
      <c r="Q94" s="73" t="s">
        <v>3088</v>
      </c>
      <c r="R94" s="73" t="s">
        <v>3088</v>
      </c>
      <c r="S94" s="73" t="s">
        <v>3088</v>
      </c>
      <c r="T94" s="73" t="s">
        <v>3088</v>
      </c>
      <c r="U94" s="73" t="s">
        <v>3088</v>
      </c>
      <c r="V94" s="73" t="s">
        <v>3088</v>
      </c>
      <c r="W94" s="73" t="s">
        <v>3088</v>
      </c>
      <c r="X94" s="73" t="s">
        <v>3088</v>
      </c>
      <c r="Y94" s="73" t="s">
        <v>3088</v>
      </c>
      <c r="Z94" s="73" t="s">
        <v>3088</v>
      </c>
      <c r="AA94" s="73" t="s">
        <v>3088</v>
      </c>
      <c r="AB94" s="73" t="s">
        <v>3088</v>
      </c>
      <c r="AC94" s="73" t="s">
        <v>3088</v>
      </c>
      <c r="AD94" s="73" t="s">
        <v>3088</v>
      </c>
      <c r="AE94" s="73" t="s">
        <v>3088</v>
      </c>
      <c r="AF94" s="73" t="s">
        <v>3088</v>
      </c>
      <c r="AG94" s="73" t="s">
        <v>3088</v>
      </c>
      <c r="AH94" s="73" t="s">
        <v>3088</v>
      </c>
      <c r="AI94" s="73" t="s">
        <v>3088</v>
      </c>
      <c r="AJ94" s="73" t="s">
        <v>3088</v>
      </c>
      <c r="AK94" s="73" t="s">
        <v>3088</v>
      </c>
      <c r="AL94" s="73" t="s">
        <v>3088</v>
      </c>
      <c r="AM94" s="73" t="s">
        <v>3088</v>
      </c>
      <c r="AN94" s="73" t="s">
        <v>3088</v>
      </c>
      <c r="AO94" s="73" t="s">
        <v>3088</v>
      </c>
      <c r="AP94" s="73" t="s">
        <v>3088</v>
      </c>
      <c r="AQ94" s="73" t="s">
        <v>3088</v>
      </c>
      <c r="AR94" s="73" t="s">
        <v>3088</v>
      </c>
      <c r="AS94" s="73" t="s">
        <v>3088</v>
      </c>
      <c r="AT94" s="73" t="s">
        <v>3088</v>
      </c>
      <c r="AU94" s="73" t="s">
        <v>3088</v>
      </c>
      <c r="AV94" s="73" t="s">
        <v>3088</v>
      </c>
      <c r="AW94" s="73" t="s">
        <v>3088</v>
      </c>
      <c r="AX94" s="73" t="s">
        <v>3088</v>
      </c>
      <c r="AY94" s="73" t="s">
        <v>3088</v>
      </c>
      <c r="AZ94" s="73" t="s">
        <v>3088</v>
      </c>
      <c r="BA94" s="73" t="s">
        <v>3088</v>
      </c>
      <c r="BB94" s="73" t="s">
        <v>3088</v>
      </c>
      <c r="BC94" s="73" t="s">
        <v>3088</v>
      </c>
      <c r="BD94" s="73" t="s">
        <v>3088</v>
      </c>
      <c r="BE94" s="73" t="s">
        <v>3088</v>
      </c>
      <c r="BF94" s="73" t="s">
        <v>3088</v>
      </c>
      <c r="BG94" s="73" t="s">
        <v>3088</v>
      </c>
      <c r="BH94" s="73" t="s">
        <v>3088</v>
      </c>
      <c r="BI94" s="73" t="s">
        <v>3088</v>
      </c>
      <c r="BJ94" s="73" t="s">
        <v>3088</v>
      </c>
      <c r="BK94" s="73" t="s">
        <v>3088</v>
      </c>
      <c r="BL94" s="73" t="s">
        <v>3088</v>
      </c>
      <c r="BM94" s="73" t="s">
        <v>3088</v>
      </c>
      <c r="BN94" s="73" t="s">
        <v>3088</v>
      </c>
      <c r="BO94" s="73" t="s">
        <v>3088</v>
      </c>
      <c r="BP94" s="73" t="s">
        <v>3088</v>
      </c>
      <c r="BQ94" s="73" t="s">
        <v>3297</v>
      </c>
      <c r="BR94" s="73" t="s">
        <v>3088</v>
      </c>
    </row>
    <row r="95" spans="1:70">
      <c r="A95" s="73" t="s">
        <v>1862</v>
      </c>
      <c r="B95" s="73" t="s">
        <v>3298</v>
      </c>
      <c r="C95" s="73" t="s">
        <v>2591</v>
      </c>
      <c r="D95" s="73" t="s">
        <v>3088</v>
      </c>
      <c r="E95" s="73" t="s">
        <v>3088</v>
      </c>
      <c r="F95" s="73" t="s">
        <v>3088</v>
      </c>
      <c r="G95" s="73" t="s">
        <v>3089</v>
      </c>
      <c r="H95" s="73" t="s">
        <v>3088</v>
      </c>
      <c r="I95" s="73" t="s">
        <v>3093</v>
      </c>
      <c r="J95" s="73" t="s">
        <v>3299</v>
      </c>
      <c r="K95" s="73" t="s">
        <v>3089</v>
      </c>
      <c r="L95" s="73" t="s">
        <v>3088</v>
      </c>
      <c r="M95" s="73" t="s">
        <v>3088</v>
      </c>
      <c r="N95" s="73" t="s">
        <v>3088</v>
      </c>
      <c r="O95" s="73" t="s">
        <v>3088</v>
      </c>
      <c r="P95" s="73" t="s">
        <v>3088</v>
      </c>
      <c r="Q95" s="73" t="s">
        <v>3088</v>
      </c>
      <c r="R95" s="73" t="s">
        <v>3088</v>
      </c>
      <c r="S95" s="73" t="s">
        <v>3088</v>
      </c>
      <c r="T95" s="73" t="s">
        <v>3088</v>
      </c>
      <c r="U95" s="73" t="s">
        <v>3088</v>
      </c>
      <c r="V95" s="73" t="s">
        <v>3088</v>
      </c>
      <c r="W95" s="73" t="s">
        <v>3088</v>
      </c>
      <c r="X95" s="73" t="s">
        <v>3088</v>
      </c>
      <c r="Y95" s="73" t="s">
        <v>3088</v>
      </c>
      <c r="Z95" s="73" t="s">
        <v>3088</v>
      </c>
      <c r="AA95" s="73" t="s">
        <v>3088</v>
      </c>
      <c r="AB95" s="73" t="s">
        <v>3088</v>
      </c>
      <c r="AC95" s="73" t="s">
        <v>3088</v>
      </c>
      <c r="AD95" s="73" t="s">
        <v>3088</v>
      </c>
      <c r="AE95" s="73" t="s">
        <v>3088</v>
      </c>
      <c r="AF95" s="73" t="s">
        <v>3088</v>
      </c>
      <c r="AG95" s="73" t="s">
        <v>3088</v>
      </c>
      <c r="AH95" s="73" t="s">
        <v>3088</v>
      </c>
      <c r="AI95" s="73" t="s">
        <v>3088</v>
      </c>
      <c r="AJ95" s="73" t="s">
        <v>3088</v>
      </c>
      <c r="AK95" s="73" t="s">
        <v>3088</v>
      </c>
      <c r="AL95" s="73" t="s">
        <v>3088</v>
      </c>
      <c r="AM95" s="73" t="s">
        <v>3088</v>
      </c>
      <c r="AN95" s="73" t="s">
        <v>3088</v>
      </c>
      <c r="AO95" s="73" t="s">
        <v>3088</v>
      </c>
      <c r="AP95" s="73" t="s">
        <v>3088</v>
      </c>
      <c r="AQ95" s="73" t="s">
        <v>3088</v>
      </c>
      <c r="AR95" s="73" t="s">
        <v>3088</v>
      </c>
      <c r="AS95" s="73" t="s">
        <v>3088</v>
      </c>
      <c r="AT95" s="73" t="s">
        <v>3088</v>
      </c>
      <c r="AU95" s="73" t="s">
        <v>3088</v>
      </c>
      <c r="AV95" s="73" t="s">
        <v>3088</v>
      </c>
      <c r="AW95" s="73" t="s">
        <v>3088</v>
      </c>
      <c r="AX95" s="73" t="s">
        <v>3088</v>
      </c>
      <c r="AY95" s="73" t="s">
        <v>3088</v>
      </c>
      <c r="AZ95" s="73" t="s">
        <v>3088</v>
      </c>
      <c r="BA95" s="73" t="s">
        <v>3088</v>
      </c>
      <c r="BB95" s="73" t="s">
        <v>3088</v>
      </c>
      <c r="BC95" s="73" t="s">
        <v>3088</v>
      </c>
      <c r="BD95" s="73" t="s">
        <v>3088</v>
      </c>
      <c r="BE95" s="73" t="s">
        <v>3088</v>
      </c>
      <c r="BF95" s="73" t="s">
        <v>3088</v>
      </c>
      <c r="BG95" s="73" t="s">
        <v>3088</v>
      </c>
      <c r="BH95" s="73" t="s">
        <v>3088</v>
      </c>
      <c r="BI95" s="73" t="s">
        <v>3088</v>
      </c>
      <c r="BJ95" s="73" t="s">
        <v>3088</v>
      </c>
      <c r="BK95" s="73" t="s">
        <v>3088</v>
      </c>
      <c r="BL95" s="73" t="s">
        <v>3088</v>
      </c>
      <c r="BM95" s="73" t="s">
        <v>3088</v>
      </c>
      <c r="BN95" s="73" t="s">
        <v>3088</v>
      </c>
      <c r="BO95" s="73" t="s">
        <v>3088</v>
      </c>
      <c r="BP95" s="73" t="s">
        <v>3088</v>
      </c>
      <c r="BQ95" s="73" t="s">
        <v>3300</v>
      </c>
      <c r="BR95" s="73" t="s">
        <v>3088</v>
      </c>
    </row>
    <row r="96" spans="1:70">
      <c r="A96" s="73" t="s">
        <v>1862</v>
      </c>
      <c r="B96" s="73" t="s">
        <v>2601</v>
      </c>
      <c r="C96" s="73" t="s">
        <v>2533</v>
      </c>
      <c r="D96" s="73" t="s">
        <v>3088</v>
      </c>
      <c r="E96" s="73" t="s">
        <v>3088</v>
      </c>
      <c r="F96" s="73" t="s">
        <v>3088</v>
      </c>
      <c r="G96" s="73" t="s">
        <v>3089</v>
      </c>
      <c r="H96" s="73" t="s">
        <v>3088</v>
      </c>
      <c r="I96" s="73" t="s">
        <v>108</v>
      </c>
      <c r="J96" s="73" t="s">
        <v>3301</v>
      </c>
      <c r="K96" s="73" t="s">
        <v>3089</v>
      </c>
      <c r="L96" s="73" t="s">
        <v>2193</v>
      </c>
      <c r="M96" s="73" t="s">
        <v>3301</v>
      </c>
      <c r="N96" s="73" t="s">
        <v>3089</v>
      </c>
      <c r="O96" s="73" t="s">
        <v>3088</v>
      </c>
      <c r="P96" s="73" t="s">
        <v>3088</v>
      </c>
      <c r="Q96" s="73" t="s">
        <v>3088</v>
      </c>
      <c r="R96" s="73" t="s">
        <v>3088</v>
      </c>
      <c r="S96" s="73" t="s">
        <v>3088</v>
      </c>
      <c r="T96" s="73" t="s">
        <v>3088</v>
      </c>
      <c r="U96" s="73" t="s">
        <v>3088</v>
      </c>
      <c r="V96" s="73" t="s">
        <v>3088</v>
      </c>
      <c r="W96" s="73" t="s">
        <v>3088</v>
      </c>
      <c r="X96" s="73" t="s">
        <v>3088</v>
      </c>
      <c r="Y96" s="73" t="s">
        <v>3088</v>
      </c>
      <c r="Z96" s="73" t="s">
        <v>3088</v>
      </c>
      <c r="AA96" s="73" t="s">
        <v>3088</v>
      </c>
      <c r="AB96" s="73" t="s">
        <v>3088</v>
      </c>
      <c r="AC96" s="73" t="s">
        <v>3088</v>
      </c>
      <c r="AD96" s="73" t="s">
        <v>3088</v>
      </c>
      <c r="AE96" s="73" t="s">
        <v>3088</v>
      </c>
      <c r="AF96" s="73" t="s">
        <v>3088</v>
      </c>
      <c r="AG96" s="73" t="s">
        <v>3088</v>
      </c>
      <c r="AH96" s="73" t="s">
        <v>3088</v>
      </c>
      <c r="AI96" s="73" t="s">
        <v>3088</v>
      </c>
      <c r="AJ96" s="73" t="s">
        <v>3088</v>
      </c>
      <c r="AK96" s="73" t="s">
        <v>3088</v>
      </c>
      <c r="AL96" s="73" t="s">
        <v>3088</v>
      </c>
      <c r="AM96" s="73" t="s">
        <v>3088</v>
      </c>
      <c r="AN96" s="73" t="s">
        <v>3088</v>
      </c>
      <c r="AO96" s="73" t="s">
        <v>3088</v>
      </c>
      <c r="AP96" s="73" t="s">
        <v>3088</v>
      </c>
      <c r="AQ96" s="73" t="s">
        <v>3088</v>
      </c>
      <c r="AR96" s="73" t="s">
        <v>3088</v>
      </c>
      <c r="AS96" s="73" t="s">
        <v>3088</v>
      </c>
      <c r="AT96" s="73" t="s">
        <v>3088</v>
      </c>
      <c r="AU96" s="73" t="s">
        <v>3088</v>
      </c>
      <c r="AV96" s="73" t="s">
        <v>3088</v>
      </c>
      <c r="AW96" s="73" t="s">
        <v>3088</v>
      </c>
      <c r="AX96" s="73" t="s">
        <v>3088</v>
      </c>
      <c r="AY96" s="73" t="s">
        <v>3088</v>
      </c>
      <c r="AZ96" s="73" t="s">
        <v>3088</v>
      </c>
      <c r="BA96" s="73" t="s">
        <v>3088</v>
      </c>
      <c r="BB96" s="73" t="s">
        <v>3088</v>
      </c>
      <c r="BC96" s="73" t="s">
        <v>3088</v>
      </c>
      <c r="BD96" s="73" t="s">
        <v>3088</v>
      </c>
      <c r="BE96" s="73" t="s">
        <v>3088</v>
      </c>
      <c r="BF96" s="73" t="s">
        <v>3088</v>
      </c>
      <c r="BG96" s="73" t="s">
        <v>3088</v>
      </c>
      <c r="BH96" s="73" t="s">
        <v>3088</v>
      </c>
      <c r="BI96" s="73" t="s">
        <v>3088</v>
      </c>
      <c r="BJ96" s="73" t="s">
        <v>3088</v>
      </c>
      <c r="BK96" s="73" t="s">
        <v>3088</v>
      </c>
      <c r="BL96" s="73" t="s">
        <v>3088</v>
      </c>
      <c r="BM96" s="73" t="s">
        <v>3088</v>
      </c>
      <c r="BN96" s="73" t="s">
        <v>3088</v>
      </c>
      <c r="BO96" s="73" t="s">
        <v>3088</v>
      </c>
      <c r="BP96" s="73" t="s">
        <v>3088</v>
      </c>
      <c r="BQ96" s="73" t="s">
        <v>3302</v>
      </c>
      <c r="BR96" s="73" t="s">
        <v>3088</v>
      </c>
    </row>
    <row r="97" spans="1:70">
      <c r="A97" s="73" t="s">
        <v>1862</v>
      </c>
      <c r="B97" s="73" t="s">
        <v>3303</v>
      </c>
      <c r="C97" s="73" t="s">
        <v>2533</v>
      </c>
      <c r="D97" s="73" t="s">
        <v>3088</v>
      </c>
      <c r="E97" s="73" t="s">
        <v>3088</v>
      </c>
      <c r="F97" s="73" t="s">
        <v>3088</v>
      </c>
      <c r="G97" s="73" t="s">
        <v>3089</v>
      </c>
      <c r="H97" s="73" t="s">
        <v>3088</v>
      </c>
      <c r="I97" s="73" t="s">
        <v>3093</v>
      </c>
      <c r="J97" s="73" t="s">
        <v>3299</v>
      </c>
      <c r="K97" s="73" t="s">
        <v>3089</v>
      </c>
      <c r="L97" s="73" t="s">
        <v>3088</v>
      </c>
      <c r="M97" s="73" t="s">
        <v>3088</v>
      </c>
      <c r="N97" s="73" t="s">
        <v>3088</v>
      </c>
      <c r="O97" s="73" t="s">
        <v>3088</v>
      </c>
      <c r="P97" s="73" t="s">
        <v>3088</v>
      </c>
      <c r="Q97" s="73" t="s">
        <v>3088</v>
      </c>
      <c r="R97" s="73" t="s">
        <v>3088</v>
      </c>
      <c r="S97" s="73" t="s">
        <v>3088</v>
      </c>
      <c r="T97" s="73" t="s">
        <v>3088</v>
      </c>
      <c r="U97" s="73" t="s">
        <v>3088</v>
      </c>
      <c r="V97" s="73" t="s">
        <v>3088</v>
      </c>
      <c r="W97" s="73" t="s">
        <v>3088</v>
      </c>
      <c r="X97" s="73" t="s">
        <v>3088</v>
      </c>
      <c r="Y97" s="73" t="s">
        <v>3088</v>
      </c>
      <c r="Z97" s="73" t="s">
        <v>3088</v>
      </c>
      <c r="AA97" s="73" t="s">
        <v>3088</v>
      </c>
      <c r="AB97" s="73" t="s">
        <v>3088</v>
      </c>
      <c r="AC97" s="73" t="s">
        <v>3088</v>
      </c>
      <c r="AD97" s="73" t="s">
        <v>3088</v>
      </c>
      <c r="AE97" s="73" t="s">
        <v>3088</v>
      </c>
      <c r="AF97" s="73" t="s">
        <v>3088</v>
      </c>
      <c r="AG97" s="73" t="s">
        <v>3088</v>
      </c>
      <c r="AH97" s="73" t="s">
        <v>3088</v>
      </c>
      <c r="AI97" s="73" t="s">
        <v>3088</v>
      </c>
      <c r="AJ97" s="73" t="s">
        <v>3088</v>
      </c>
      <c r="AK97" s="73" t="s">
        <v>3088</v>
      </c>
      <c r="AL97" s="73" t="s">
        <v>3088</v>
      </c>
      <c r="AM97" s="73" t="s">
        <v>3088</v>
      </c>
      <c r="AN97" s="73" t="s">
        <v>3088</v>
      </c>
      <c r="AO97" s="73" t="s">
        <v>3088</v>
      </c>
      <c r="AP97" s="73" t="s">
        <v>3088</v>
      </c>
      <c r="AQ97" s="73" t="s">
        <v>3088</v>
      </c>
      <c r="AR97" s="73" t="s">
        <v>3088</v>
      </c>
      <c r="AS97" s="73" t="s">
        <v>3088</v>
      </c>
      <c r="AT97" s="73" t="s">
        <v>3088</v>
      </c>
      <c r="AU97" s="73" t="s">
        <v>3088</v>
      </c>
      <c r="AV97" s="73" t="s">
        <v>3088</v>
      </c>
      <c r="AW97" s="73" t="s">
        <v>3088</v>
      </c>
      <c r="AX97" s="73" t="s">
        <v>3088</v>
      </c>
      <c r="AY97" s="73" t="s">
        <v>3088</v>
      </c>
      <c r="AZ97" s="73" t="s">
        <v>3088</v>
      </c>
      <c r="BA97" s="73" t="s">
        <v>3088</v>
      </c>
      <c r="BB97" s="73" t="s">
        <v>3088</v>
      </c>
      <c r="BC97" s="73" t="s">
        <v>3088</v>
      </c>
      <c r="BD97" s="73" t="s">
        <v>3088</v>
      </c>
      <c r="BE97" s="73" t="s">
        <v>3088</v>
      </c>
      <c r="BF97" s="73" t="s">
        <v>3088</v>
      </c>
      <c r="BG97" s="73" t="s">
        <v>3088</v>
      </c>
      <c r="BH97" s="73" t="s">
        <v>3088</v>
      </c>
      <c r="BI97" s="73" t="s">
        <v>3088</v>
      </c>
      <c r="BJ97" s="73" t="s">
        <v>3088</v>
      </c>
      <c r="BK97" s="73" t="s">
        <v>3088</v>
      </c>
      <c r="BL97" s="73" t="s">
        <v>3088</v>
      </c>
      <c r="BM97" s="73" t="s">
        <v>3088</v>
      </c>
      <c r="BN97" s="73" t="s">
        <v>3088</v>
      </c>
      <c r="BO97" s="73" t="s">
        <v>3088</v>
      </c>
      <c r="BP97" s="73" t="s">
        <v>3088</v>
      </c>
      <c r="BQ97" s="73" t="s">
        <v>3304</v>
      </c>
      <c r="BR97" s="73" t="s">
        <v>3088</v>
      </c>
    </row>
    <row r="98" spans="1:70">
      <c r="A98" s="73" t="s">
        <v>1862</v>
      </c>
      <c r="B98" s="73" t="s">
        <v>2603</v>
      </c>
      <c r="C98" s="73" t="s">
        <v>2559</v>
      </c>
      <c r="D98" s="73" t="s">
        <v>3088</v>
      </c>
      <c r="E98" s="73" t="s">
        <v>3088</v>
      </c>
      <c r="F98" s="73" t="s">
        <v>3088</v>
      </c>
      <c r="G98" s="73" t="s">
        <v>3089</v>
      </c>
      <c r="H98" s="73" t="s">
        <v>3088</v>
      </c>
      <c r="I98" s="73" t="s">
        <v>3113</v>
      </c>
      <c r="J98" s="73" t="s">
        <v>3305</v>
      </c>
      <c r="K98" s="73" t="s">
        <v>3095</v>
      </c>
      <c r="L98" s="73" t="s">
        <v>3013</v>
      </c>
      <c r="M98" s="73" t="s">
        <v>3305</v>
      </c>
      <c r="N98" s="73" t="s">
        <v>3095</v>
      </c>
      <c r="O98" s="73" t="s">
        <v>2400</v>
      </c>
      <c r="P98" s="73" t="s">
        <v>3305</v>
      </c>
      <c r="Q98" s="73" t="s">
        <v>3095</v>
      </c>
      <c r="R98" s="73" t="s">
        <v>3306</v>
      </c>
      <c r="S98" s="73" t="s">
        <v>3305</v>
      </c>
      <c r="T98" s="73" t="s">
        <v>3095</v>
      </c>
      <c r="U98" s="73" t="s">
        <v>3307</v>
      </c>
      <c r="V98" s="73" t="s">
        <v>3305</v>
      </c>
      <c r="W98" s="73" t="s">
        <v>3095</v>
      </c>
      <c r="X98" s="73" t="s">
        <v>2193</v>
      </c>
      <c r="Y98" s="73" t="s">
        <v>3305</v>
      </c>
      <c r="Z98" s="73" t="s">
        <v>3095</v>
      </c>
      <c r="AA98" s="73" t="s">
        <v>3088</v>
      </c>
      <c r="AB98" s="73" t="s">
        <v>3088</v>
      </c>
      <c r="AC98" s="73" t="s">
        <v>3088</v>
      </c>
      <c r="AD98" s="73" t="s">
        <v>3088</v>
      </c>
      <c r="AE98" s="73" t="s">
        <v>3088</v>
      </c>
      <c r="AF98" s="73" t="s">
        <v>3088</v>
      </c>
      <c r="AG98" s="73" t="s">
        <v>3088</v>
      </c>
      <c r="AH98" s="73" t="s">
        <v>3088</v>
      </c>
      <c r="AI98" s="73" t="s">
        <v>3088</v>
      </c>
      <c r="AJ98" s="73" t="s">
        <v>3088</v>
      </c>
      <c r="AK98" s="73" t="s">
        <v>3088</v>
      </c>
      <c r="AL98" s="73" t="s">
        <v>3088</v>
      </c>
      <c r="AM98" s="73" t="s">
        <v>3088</v>
      </c>
      <c r="AN98" s="73" t="s">
        <v>3088</v>
      </c>
      <c r="AO98" s="73" t="s">
        <v>3088</v>
      </c>
      <c r="AP98" s="73" t="s">
        <v>3088</v>
      </c>
      <c r="AQ98" s="73" t="s">
        <v>3088</v>
      </c>
      <c r="AR98" s="73" t="s">
        <v>3088</v>
      </c>
      <c r="AS98" s="73" t="s">
        <v>3088</v>
      </c>
      <c r="AT98" s="73" t="s">
        <v>3088</v>
      </c>
      <c r="AU98" s="73" t="s">
        <v>3088</v>
      </c>
      <c r="AV98" s="73" t="s">
        <v>3088</v>
      </c>
      <c r="AW98" s="73" t="s">
        <v>3088</v>
      </c>
      <c r="AX98" s="73" t="s">
        <v>3088</v>
      </c>
      <c r="AY98" s="73" t="s">
        <v>3088</v>
      </c>
      <c r="AZ98" s="73" t="s">
        <v>3088</v>
      </c>
      <c r="BA98" s="73" t="s">
        <v>3088</v>
      </c>
      <c r="BB98" s="73" t="s">
        <v>3088</v>
      </c>
      <c r="BC98" s="73" t="s">
        <v>3088</v>
      </c>
      <c r="BD98" s="73" t="s">
        <v>3088</v>
      </c>
      <c r="BE98" s="73" t="s">
        <v>3088</v>
      </c>
      <c r="BF98" s="73" t="s">
        <v>3088</v>
      </c>
      <c r="BG98" s="73" t="s">
        <v>3088</v>
      </c>
      <c r="BH98" s="73" t="s">
        <v>3088</v>
      </c>
      <c r="BI98" s="73" t="s">
        <v>3088</v>
      </c>
      <c r="BJ98" s="73" t="s">
        <v>3088</v>
      </c>
      <c r="BK98" s="73" t="s">
        <v>3088</v>
      </c>
      <c r="BL98" s="73" t="s">
        <v>3088</v>
      </c>
      <c r="BM98" s="73" t="s">
        <v>3088</v>
      </c>
      <c r="BN98" s="73" t="s">
        <v>3088</v>
      </c>
      <c r="BO98" s="73" t="s">
        <v>3088</v>
      </c>
      <c r="BP98" s="73" t="s">
        <v>3088</v>
      </c>
      <c r="BQ98" s="73" t="s">
        <v>3308</v>
      </c>
      <c r="BR98" s="73" t="s">
        <v>3097</v>
      </c>
    </row>
    <row r="99" spans="1:70">
      <c r="A99" s="73" t="s">
        <v>1862</v>
      </c>
      <c r="B99" s="73" t="s">
        <v>3309</v>
      </c>
      <c r="C99" s="73" t="s">
        <v>2591</v>
      </c>
      <c r="D99" s="73" t="s">
        <v>3088</v>
      </c>
      <c r="E99" s="73" t="s">
        <v>3088</v>
      </c>
      <c r="F99" s="73" t="s">
        <v>3088</v>
      </c>
      <c r="G99" s="73" t="s">
        <v>3089</v>
      </c>
      <c r="H99" s="73" t="s">
        <v>3088</v>
      </c>
      <c r="I99" s="73" t="s">
        <v>3310</v>
      </c>
      <c r="J99" s="73" t="s">
        <v>3311</v>
      </c>
      <c r="K99" s="73" t="s">
        <v>3089</v>
      </c>
      <c r="L99" s="73" t="s">
        <v>3088</v>
      </c>
      <c r="M99" s="73" t="s">
        <v>3088</v>
      </c>
      <c r="N99" s="73" t="s">
        <v>3088</v>
      </c>
      <c r="O99" s="73" t="s">
        <v>3088</v>
      </c>
      <c r="P99" s="73" t="s">
        <v>3088</v>
      </c>
      <c r="Q99" s="73" t="s">
        <v>3088</v>
      </c>
      <c r="R99" s="73" t="s">
        <v>3088</v>
      </c>
      <c r="S99" s="73" t="s">
        <v>3088</v>
      </c>
      <c r="T99" s="73" t="s">
        <v>3088</v>
      </c>
      <c r="U99" s="73" t="s">
        <v>3088</v>
      </c>
      <c r="V99" s="73" t="s">
        <v>3088</v>
      </c>
      <c r="W99" s="73" t="s">
        <v>3088</v>
      </c>
      <c r="X99" s="73" t="s">
        <v>3088</v>
      </c>
      <c r="Y99" s="73" t="s">
        <v>3088</v>
      </c>
      <c r="Z99" s="73" t="s">
        <v>3088</v>
      </c>
      <c r="AA99" s="73" t="s">
        <v>3088</v>
      </c>
      <c r="AB99" s="73" t="s">
        <v>3088</v>
      </c>
      <c r="AC99" s="73" t="s">
        <v>3088</v>
      </c>
      <c r="AD99" s="73" t="s">
        <v>3088</v>
      </c>
      <c r="AE99" s="73" t="s">
        <v>3088</v>
      </c>
      <c r="AF99" s="73" t="s">
        <v>3088</v>
      </c>
      <c r="AG99" s="73" t="s">
        <v>3088</v>
      </c>
      <c r="AH99" s="73" t="s">
        <v>3088</v>
      </c>
      <c r="AI99" s="73" t="s">
        <v>3088</v>
      </c>
      <c r="AJ99" s="73" t="s">
        <v>3088</v>
      </c>
      <c r="AK99" s="73" t="s">
        <v>3088</v>
      </c>
      <c r="AL99" s="73" t="s">
        <v>3088</v>
      </c>
      <c r="AM99" s="73" t="s">
        <v>3088</v>
      </c>
      <c r="AN99" s="73" t="s">
        <v>3088</v>
      </c>
      <c r="AO99" s="73" t="s">
        <v>3088</v>
      </c>
      <c r="AP99" s="73" t="s">
        <v>3088</v>
      </c>
      <c r="AQ99" s="73" t="s">
        <v>3088</v>
      </c>
      <c r="AR99" s="73" t="s">
        <v>3088</v>
      </c>
      <c r="AS99" s="73" t="s">
        <v>3088</v>
      </c>
      <c r="AT99" s="73" t="s">
        <v>3088</v>
      </c>
      <c r="AU99" s="73" t="s">
        <v>3088</v>
      </c>
      <c r="AV99" s="73" t="s">
        <v>3088</v>
      </c>
      <c r="AW99" s="73" t="s">
        <v>3088</v>
      </c>
      <c r="AX99" s="73" t="s">
        <v>3088</v>
      </c>
      <c r="AY99" s="73" t="s">
        <v>3088</v>
      </c>
      <c r="AZ99" s="73" t="s">
        <v>3088</v>
      </c>
      <c r="BA99" s="73" t="s">
        <v>3088</v>
      </c>
      <c r="BB99" s="73" t="s">
        <v>3088</v>
      </c>
      <c r="BC99" s="73" t="s">
        <v>3088</v>
      </c>
      <c r="BD99" s="73" t="s">
        <v>3088</v>
      </c>
      <c r="BE99" s="73" t="s">
        <v>3088</v>
      </c>
      <c r="BF99" s="73" t="s">
        <v>3088</v>
      </c>
      <c r="BG99" s="73" t="s">
        <v>3088</v>
      </c>
      <c r="BH99" s="73" t="s">
        <v>3088</v>
      </c>
      <c r="BI99" s="73" t="s">
        <v>3088</v>
      </c>
      <c r="BJ99" s="73" t="s">
        <v>3088</v>
      </c>
      <c r="BK99" s="73" t="s">
        <v>3088</v>
      </c>
      <c r="BL99" s="73" t="s">
        <v>3088</v>
      </c>
      <c r="BM99" s="73" t="s">
        <v>3088</v>
      </c>
      <c r="BN99" s="73" t="s">
        <v>3088</v>
      </c>
      <c r="BO99" s="73" t="s">
        <v>3088</v>
      </c>
      <c r="BP99" s="73" t="s">
        <v>3088</v>
      </c>
      <c r="BQ99" s="73" t="s">
        <v>3312</v>
      </c>
      <c r="BR99" s="73" t="s">
        <v>3088</v>
      </c>
    </row>
    <row r="100" spans="1:70">
      <c r="A100" s="73" t="s">
        <v>1862</v>
      </c>
      <c r="B100" s="73" t="s">
        <v>3313</v>
      </c>
      <c r="C100" s="73" t="s">
        <v>2554</v>
      </c>
      <c r="D100" s="73" t="s">
        <v>3088</v>
      </c>
      <c r="E100" s="73" t="s">
        <v>3088</v>
      </c>
      <c r="F100" s="73" t="s">
        <v>3088</v>
      </c>
      <c r="G100" s="73" t="s">
        <v>3089</v>
      </c>
      <c r="H100" s="73" t="s">
        <v>3088</v>
      </c>
      <c r="I100" s="73" t="s">
        <v>3122</v>
      </c>
      <c r="J100" s="73" t="s">
        <v>3088</v>
      </c>
      <c r="K100" s="73" t="s">
        <v>3088</v>
      </c>
      <c r="L100" s="73" t="s">
        <v>3088</v>
      </c>
      <c r="M100" s="73" t="s">
        <v>3088</v>
      </c>
      <c r="N100" s="73" t="s">
        <v>3088</v>
      </c>
      <c r="O100" s="73" t="s">
        <v>3088</v>
      </c>
      <c r="P100" s="73" t="s">
        <v>3088</v>
      </c>
      <c r="Q100" s="73" t="s">
        <v>3088</v>
      </c>
      <c r="R100" s="73" t="s">
        <v>3088</v>
      </c>
      <c r="S100" s="73" t="s">
        <v>3088</v>
      </c>
      <c r="T100" s="73" t="s">
        <v>3088</v>
      </c>
      <c r="U100" s="73" t="s">
        <v>3088</v>
      </c>
      <c r="V100" s="73" t="s">
        <v>3088</v>
      </c>
      <c r="W100" s="73" t="s">
        <v>3088</v>
      </c>
      <c r="X100" s="73" t="s">
        <v>3088</v>
      </c>
      <c r="Y100" s="73" t="s">
        <v>3088</v>
      </c>
      <c r="Z100" s="73" t="s">
        <v>3088</v>
      </c>
      <c r="AA100" s="73" t="s">
        <v>3088</v>
      </c>
      <c r="AB100" s="73" t="s">
        <v>3088</v>
      </c>
      <c r="AC100" s="73" t="s">
        <v>3088</v>
      </c>
      <c r="AD100" s="73" t="s">
        <v>3088</v>
      </c>
      <c r="AE100" s="73" t="s">
        <v>3088</v>
      </c>
      <c r="AF100" s="73" t="s">
        <v>3088</v>
      </c>
      <c r="AG100" s="73" t="s">
        <v>3088</v>
      </c>
      <c r="AH100" s="73" t="s">
        <v>3088</v>
      </c>
      <c r="AI100" s="73" t="s">
        <v>3088</v>
      </c>
      <c r="AJ100" s="73" t="s">
        <v>3088</v>
      </c>
      <c r="AK100" s="73" t="s">
        <v>3088</v>
      </c>
      <c r="AL100" s="73" t="s">
        <v>3088</v>
      </c>
      <c r="AM100" s="73" t="s">
        <v>3088</v>
      </c>
      <c r="AN100" s="73" t="s">
        <v>3088</v>
      </c>
      <c r="AO100" s="73" t="s">
        <v>3088</v>
      </c>
      <c r="AP100" s="73" t="s">
        <v>3088</v>
      </c>
      <c r="AQ100" s="73" t="s">
        <v>3088</v>
      </c>
      <c r="AR100" s="73" t="s">
        <v>3088</v>
      </c>
      <c r="AS100" s="73" t="s">
        <v>3088</v>
      </c>
      <c r="AT100" s="73" t="s">
        <v>3088</v>
      </c>
      <c r="AU100" s="73" t="s">
        <v>3088</v>
      </c>
      <c r="AV100" s="73" t="s">
        <v>3088</v>
      </c>
      <c r="AW100" s="73" t="s">
        <v>3088</v>
      </c>
      <c r="AX100" s="73" t="s">
        <v>3088</v>
      </c>
      <c r="AY100" s="73" t="s">
        <v>3088</v>
      </c>
      <c r="AZ100" s="73" t="s">
        <v>3088</v>
      </c>
      <c r="BA100" s="73" t="s">
        <v>3088</v>
      </c>
      <c r="BB100" s="73" t="s">
        <v>3088</v>
      </c>
      <c r="BC100" s="73" t="s">
        <v>3088</v>
      </c>
      <c r="BD100" s="73" t="s">
        <v>3088</v>
      </c>
      <c r="BE100" s="73" t="s">
        <v>3088</v>
      </c>
      <c r="BF100" s="73" t="s">
        <v>3088</v>
      </c>
      <c r="BG100" s="73" t="s">
        <v>3088</v>
      </c>
      <c r="BH100" s="73" t="s">
        <v>3088</v>
      </c>
      <c r="BI100" s="73" t="s">
        <v>3088</v>
      </c>
      <c r="BJ100" s="73" t="s">
        <v>3088</v>
      </c>
      <c r="BK100" s="73" t="s">
        <v>3088</v>
      </c>
      <c r="BL100" s="73" t="s">
        <v>3088</v>
      </c>
      <c r="BM100" s="73" t="s">
        <v>3088</v>
      </c>
      <c r="BN100" s="73" t="s">
        <v>3088</v>
      </c>
      <c r="BO100" s="73" t="s">
        <v>3088</v>
      </c>
      <c r="BP100" s="73" t="s">
        <v>3088</v>
      </c>
      <c r="BQ100" s="73" t="s">
        <v>3314</v>
      </c>
      <c r="BR100" s="73" t="s">
        <v>3088</v>
      </c>
    </row>
    <row r="101" spans="1:70">
      <c r="A101" s="73" t="s">
        <v>1862</v>
      </c>
      <c r="B101" s="73" t="s">
        <v>2607</v>
      </c>
      <c r="C101" s="73" t="s">
        <v>2563</v>
      </c>
      <c r="D101" s="73" t="s">
        <v>3088</v>
      </c>
      <c r="E101" s="73" t="s">
        <v>3088</v>
      </c>
      <c r="F101" s="73" t="s">
        <v>3088</v>
      </c>
      <c r="G101" s="73" t="s">
        <v>3089</v>
      </c>
      <c r="H101" s="73" t="s">
        <v>3088</v>
      </c>
      <c r="I101" s="73" t="s">
        <v>108</v>
      </c>
      <c r="J101" s="73" t="s">
        <v>3315</v>
      </c>
      <c r="K101" s="73" t="s">
        <v>3089</v>
      </c>
      <c r="L101" s="73" t="s">
        <v>2193</v>
      </c>
      <c r="M101" s="73" t="s">
        <v>3315</v>
      </c>
      <c r="N101" s="73" t="s">
        <v>3089</v>
      </c>
      <c r="O101" s="73" t="s">
        <v>3316</v>
      </c>
      <c r="P101" s="73" t="s">
        <v>3315</v>
      </c>
      <c r="Q101" s="73" t="s">
        <v>3089</v>
      </c>
      <c r="R101" s="73" t="s">
        <v>3317</v>
      </c>
      <c r="S101" s="73" t="s">
        <v>3315</v>
      </c>
      <c r="T101" s="73" t="s">
        <v>3089</v>
      </c>
      <c r="U101" s="73" t="s">
        <v>3088</v>
      </c>
      <c r="V101" s="73" t="s">
        <v>3088</v>
      </c>
      <c r="W101" s="73" t="s">
        <v>3088</v>
      </c>
      <c r="X101" s="73" t="s">
        <v>3088</v>
      </c>
      <c r="Y101" s="73" t="s">
        <v>3088</v>
      </c>
      <c r="Z101" s="73" t="s">
        <v>3088</v>
      </c>
      <c r="AA101" s="73" t="s">
        <v>3088</v>
      </c>
      <c r="AB101" s="73" t="s">
        <v>3088</v>
      </c>
      <c r="AC101" s="73" t="s">
        <v>3088</v>
      </c>
      <c r="AD101" s="73" t="s">
        <v>3088</v>
      </c>
      <c r="AE101" s="73" t="s">
        <v>3088</v>
      </c>
      <c r="AF101" s="73" t="s">
        <v>3088</v>
      </c>
      <c r="AG101" s="73" t="s">
        <v>3088</v>
      </c>
      <c r="AH101" s="73" t="s">
        <v>3088</v>
      </c>
      <c r="AI101" s="73" t="s">
        <v>3088</v>
      </c>
      <c r="AJ101" s="73" t="s">
        <v>3088</v>
      </c>
      <c r="AK101" s="73" t="s">
        <v>3088</v>
      </c>
      <c r="AL101" s="73" t="s">
        <v>3088</v>
      </c>
      <c r="AM101" s="73" t="s">
        <v>3088</v>
      </c>
      <c r="AN101" s="73" t="s">
        <v>3088</v>
      </c>
      <c r="AO101" s="73" t="s">
        <v>3088</v>
      </c>
      <c r="AP101" s="73" t="s">
        <v>3088</v>
      </c>
      <c r="AQ101" s="73" t="s">
        <v>3088</v>
      </c>
      <c r="AR101" s="73" t="s">
        <v>3088</v>
      </c>
      <c r="AS101" s="73" t="s">
        <v>3088</v>
      </c>
      <c r="AT101" s="73" t="s">
        <v>3088</v>
      </c>
      <c r="AU101" s="73" t="s">
        <v>3088</v>
      </c>
      <c r="AV101" s="73" t="s">
        <v>3088</v>
      </c>
      <c r="AW101" s="73" t="s">
        <v>3088</v>
      </c>
      <c r="AX101" s="73" t="s">
        <v>3088</v>
      </c>
      <c r="AY101" s="73" t="s">
        <v>3088</v>
      </c>
      <c r="AZ101" s="73" t="s">
        <v>3088</v>
      </c>
      <c r="BA101" s="73" t="s">
        <v>3088</v>
      </c>
      <c r="BB101" s="73" t="s">
        <v>3088</v>
      </c>
      <c r="BC101" s="73" t="s">
        <v>3088</v>
      </c>
      <c r="BD101" s="73" t="s">
        <v>3088</v>
      </c>
      <c r="BE101" s="73" t="s">
        <v>3088</v>
      </c>
      <c r="BF101" s="73" t="s">
        <v>3088</v>
      </c>
      <c r="BG101" s="73" t="s">
        <v>3088</v>
      </c>
      <c r="BH101" s="73" t="s">
        <v>3088</v>
      </c>
      <c r="BI101" s="73" t="s">
        <v>3088</v>
      </c>
      <c r="BJ101" s="73" t="s">
        <v>3088</v>
      </c>
      <c r="BK101" s="73" t="s">
        <v>3088</v>
      </c>
      <c r="BL101" s="73" t="s">
        <v>3088</v>
      </c>
      <c r="BM101" s="73" t="s">
        <v>3088</v>
      </c>
      <c r="BN101" s="73" t="s">
        <v>3088</v>
      </c>
      <c r="BO101" s="73" t="s">
        <v>3088</v>
      </c>
      <c r="BP101" s="73" t="s">
        <v>3088</v>
      </c>
      <c r="BQ101" s="73" t="s">
        <v>3318</v>
      </c>
      <c r="BR101" s="73" t="s">
        <v>3088</v>
      </c>
    </row>
    <row r="102" spans="1:70">
      <c r="A102" s="73" t="s">
        <v>1862</v>
      </c>
      <c r="B102" s="73" t="s">
        <v>2610</v>
      </c>
      <c r="C102" s="73" t="s">
        <v>2545</v>
      </c>
      <c r="D102" s="73" t="s">
        <v>3088</v>
      </c>
      <c r="E102" s="73" t="s">
        <v>3088</v>
      </c>
      <c r="F102" s="73" t="s">
        <v>3088</v>
      </c>
      <c r="G102" s="73" t="s">
        <v>3089</v>
      </c>
      <c r="H102" s="73" t="s">
        <v>3088</v>
      </c>
      <c r="I102" s="73" t="s">
        <v>108</v>
      </c>
      <c r="J102" s="73" t="s">
        <v>3088</v>
      </c>
      <c r="K102" s="73" t="s">
        <v>3088</v>
      </c>
      <c r="L102" s="73" t="s">
        <v>3088</v>
      </c>
      <c r="M102" s="73" t="s">
        <v>3088</v>
      </c>
      <c r="N102" s="73" t="s">
        <v>3088</v>
      </c>
      <c r="O102" s="73" t="s">
        <v>3088</v>
      </c>
      <c r="P102" s="73" t="s">
        <v>3088</v>
      </c>
      <c r="Q102" s="73" t="s">
        <v>3088</v>
      </c>
      <c r="R102" s="73" t="s">
        <v>3088</v>
      </c>
      <c r="S102" s="73" t="s">
        <v>3088</v>
      </c>
      <c r="T102" s="73" t="s">
        <v>3088</v>
      </c>
      <c r="U102" s="73" t="s">
        <v>3088</v>
      </c>
      <c r="V102" s="73" t="s">
        <v>3088</v>
      </c>
      <c r="W102" s="73" t="s">
        <v>3088</v>
      </c>
      <c r="X102" s="73" t="s">
        <v>3088</v>
      </c>
      <c r="Y102" s="73" t="s">
        <v>3088</v>
      </c>
      <c r="Z102" s="73" t="s">
        <v>3088</v>
      </c>
      <c r="AA102" s="73" t="s">
        <v>3088</v>
      </c>
      <c r="AB102" s="73" t="s">
        <v>3088</v>
      </c>
      <c r="AC102" s="73" t="s">
        <v>3088</v>
      </c>
      <c r="AD102" s="73" t="s">
        <v>3088</v>
      </c>
      <c r="AE102" s="73" t="s">
        <v>3088</v>
      </c>
      <c r="AF102" s="73" t="s">
        <v>3088</v>
      </c>
      <c r="AG102" s="73" t="s">
        <v>3088</v>
      </c>
      <c r="AH102" s="73" t="s">
        <v>3088</v>
      </c>
      <c r="AI102" s="73" t="s">
        <v>3088</v>
      </c>
      <c r="AJ102" s="73" t="s">
        <v>3088</v>
      </c>
      <c r="AK102" s="73" t="s">
        <v>3088</v>
      </c>
      <c r="AL102" s="73" t="s">
        <v>3088</v>
      </c>
      <c r="AM102" s="73" t="s">
        <v>3088</v>
      </c>
      <c r="AN102" s="73" t="s">
        <v>3088</v>
      </c>
      <c r="AO102" s="73" t="s">
        <v>3088</v>
      </c>
      <c r="AP102" s="73" t="s">
        <v>3088</v>
      </c>
      <c r="AQ102" s="73" t="s">
        <v>3088</v>
      </c>
      <c r="AR102" s="73" t="s">
        <v>3088</v>
      </c>
      <c r="AS102" s="73" t="s">
        <v>3088</v>
      </c>
      <c r="AT102" s="73" t="s">
        <v>3088</v>
      </c>
      <c r="AU102" s="73" t="s">
        <v>3088</v>
      </c>
      <c r="AV102" s="73" t="s">
        <v>3088</v>
      </c>
      <c r="AW102" s="73" t="s">
        <v>3088</v>
      </c>
      <c r="AX102" s="73" t="s">
        <v>3088</v>
      </c>
      <c r="AY102" s="73" t="s">
        <v>3088</v>
      </c>
      <c r="AZ102" s="73" t="s">
        <v>3088</v>
      </c>
      <c r="BA102" s="73" t="s">
        <v>3088</v>
      </c>
      <c r="BB102" s="73" t="s">
        <v>3088</v>
      </c>
      <c r="BC102" s="73" t="s">
        <v>3088</v>
      </c>
      <c r="BD102" s="73" t="s">
        <v>3088</v>
      </c>
      <c r="BE102" s="73" t="s">
        <v>3088</v>
      </c>
      <c r="BF102" s="73" t="s">
        <v>3088</v>
      </c>
      <c r="BG102" s="73" t="s">
        <v>3088</v>
      </c>
      <c r="BH102" s="73" t="s">
        <v>3088</v>
      </c>
      <c r="BI102" s="73" t="s">
        <v>3088</v>
      </c>
      <c r="BJ102" s="73" t="s">
        <v>3088</v>
      </c>
      <c r="BK102" s="73" t="s">
        <v>3088</v>
      </c>
      <c r="BL102" s="73" t="s">
        <v>3088</v>
      </c>
      <c r="BM102" s="73" t="s">
        <v>3088</v>
      </c>
      <c r="BN102" s="73" t="s">
        <v>3088</v>
      </c>
      <c r="BO102" s="73" t="s">
        <v>3088</v>
      </c>
      <c r="BP102" s="73" t="s">
        <v>3088</v>
      </c>
      <c r="BQ102" s="73" t="s">
        <v>3319</v>
      </c>
      <c r="BR102" s="73" t="s">
        <v>3088</v>
      </c>
    </row>
    <row r="103" spans="1:70">
      <c r="A103" s="73" t="s">
        <v>1862</v>
      </c>
      <c r="B103" s="73" t="s">
        <v>2850</v>
      </c>
      <c r="C103" s="73" t="s">
        <v>2545</v>
      </c>
      <c r="D103" s="73" t="s">
        <v>3088</v>
      </c>
      <c r="E103" s="73" t="s">
        <v>3088</v>
      </c>
      <c r="F103" s="73" t="s">
        <v>3088</v>
      </c>
      <c r="G103" s="73" t="s">
        <v>3089</v>
      </c>
      <c r="H103" s="73" t="s">
        <v>3088</v>
      </c>
      <c r="I103" s="73" t="s">
        <v>543</v>
      </c>
      <c r="J103" s="73" t="s">
        <v>2851</v>
      </c>
      <c r="K103" s="73" t="s">
        <v>3089</v>
      </c>
      <c r="L103" s="73" t="s">
        <v>3088</v>
      </c>
      <c r="M103" s="73" t="s">
        <v>3088</v>
      </c>
      <c r="N103" s="73" t="s">
        <v>3088</v>
      </c>
      <c r="O103" s="73" t="s">
        <v>3088</v>
      </c>
      <c r="P103" s="73" t="s">
        <v>3088</v>
      </c>
      <c r="Q103" s="73" t="s">
        <v>3088</v>
      </c>
      <c r="R103" s="73" t="s">
        <v>3088</v>
      </c>
      <c r="S103" s="73" t="s">
        <v>3088</v>
      </c>
      <c r="T103" s="73" t="s">
        <v>3088</v>
      </c>
      <c r="U103" s="73" t="s">
        <v>3088</v>
      </c>
      <c r="V103" s="73" t="s">
        <v>3088</v>
      </c>
      <c r="W103" s="73" t="s">
        <v>3088</v>
      </c>
      <c r="X103" s="73" t="s">
        <v>3088</v>
      </c>
      <c r="Y103" s="73" t="s">
        <v>3088</v>
      </c>
      <c r="Z103" s="73" t="s">
        <v>3088</v>
      </c>
      <c r="AA103" s="73" t="s">
        <v>3088</v>
      </c>
      <c r="AB103" s="73" t="s">
        <v>3088</v>
      </c>
      <c r="AC103" s="73" t="s">
        <v>3088</v>
      </c>
      <c r="AD103" s="73" t="s">
        <v>3088</v>
      </c>
      <c r="AE103" s="73" t="s">
        <v>3088</v>
      </c>
      <c r="AF103" s="73" t="s">
        <v>3088</v>
      </c>
      <c r="AG103" s="73" t="s">
        <v>3088</v>
      </c>
      <c r="AH103" s="73" t="s">
        <v>3088</v>
      </c>
      <c r="AI103" s="73" t="s">
        <v>3088</v>
      </c>
      <c r="AJ103" s="73" t="s">
        <v>3088</v>
      </c>
      <c r="AK103" s="73" t="s">
        <v>3088</v>
      </c>
      <c r="AL103" s="73" t="s">
        <v>3088</v>
      </c>
      <c r="AM103" s="73" t="s">
        <v>3088</v>
      </c>
      <c r="AN103" s="73" t="s">
        <v>3088</v>
      </c>
      <c r="AO103" s="73" t="s">
        <v>3088</v>
      </c>
      <c r="AP103" s="73" t="s">
        <v>3088</v>
      </c>
      <c r="AQ103" s="73" t="s">
        <v>3088</v>
      </c>
      <c r="AR103" s="73" t="s">
        <v>3088</v>
      </c>
      <c r="AS103" s="73" t="s">
        <v>3088</v>
      </c>
      <c r="AT103" s="73" t="s">
        <v>3088</v>
      </c>
      <c r="AU103" s="73" t="s">
        <v>3088</v>
      </c>
      <c r="AV103" s="73" t="s">
        <v>3088</v>
      </c>
      <c r="AW103" s="73" t="s">
        <v>3088</v>
      </c>
      <c r="AX103" s="73" t="s">
        <v>3088</v>
      </c>
      <c r="AY103" s="73" t="s">
        <v>3088</v>
      </c>
      <c r="AZ103" s="73" t="s">
        <v>3088</v>
      </c>
      <c r="BA103" s="73" t="s">
        <v>3088</v>
      </c>
      <c r="BB103" s="73" t="s">
        <v>3088</v>
      </c>
      <c r="BC103" s="73" t="s">
        <v>3088</v>
      </c>
      <c r="BD103" s="73" t="s">
        <v>3088</v>
      </c>
      <c r="BE103" s="73" t="s">
        <v>3088</v>
      </c>
      <c r="BF103" s="73" t="s">
        <v>3088</v>
      </c>
      <c r="BG103" s="73" t="s">
        <v>3088</v>
      </c>
      <c r="BH103" s="73" t="s">
        <v>3088</v>
      </c>
      <c r="BI103" s="73" t="s">
        <v>3088</v>
      </c>
      <c r="BJ103" s="73" t="s">
        <v>3088</v>
      </c>
      <c r="BK103" s="73" t="s">
        <v>3088</v>
      </c>
      <c r="BL103" s="73" t="s">
        <v>3088</v>
      </c>
      <c r="BM103" s="73" t="s">
        <v>3088</v>
      </c>
      <c r="BN103" s="73" t="s">
        <v>3088</v>
      </c>
      <c r="BO103" s="73" t="s">
        <v>3088</v>
      </c>
      <c r="BP103" s="73" t="s">
        <v>3088</v>
      </c>
      <c r="BQ103" s="73" t="s">
        <v>3320</v>
      </c>
      <c r="BR103" s="73" t="s">
        <v>3088</v>
      </c>
    </row>
    <row r="104" spans="1:70">
      <c r="A104" s="73" t="s">
        <v>1862</v>
      </c>
      <c r="B104" s="73" t="s">
        <v>2611</v>
      </c>
      <c r="C104" s="73" t="s">
        <v>2545</v>
      </c>
      <c r="D104" s="73" t="s">
        <v>3088</v>
      </c>
      <c r="E104" s="73" t="s">
        <v>3088</v>
      </c>
      <c r="F104" s="73" t="s">
        <v>3088</v>
      </c>
      <c r="G104" s="73" t="s">
        <v>3089</v>
      </c>
      <c r="H104" s="73" t="s">
        <v>3088</v>
      </c>
      <c r="I104" s="73" t="s">
        <v>108</v>
      </c>
      <c r="J104" s="73" t="s">
        <v>3321</v>
      </c>
      <c r="K104" s="73" t="s">
        <v>3089</v>
      </c>
      <c r="L104" s="73" t="s">
        <v>2193</v>
      </c>
      <c r="M104" s="73" t="s">
        <v>3321</v>
      </c>
      <c r="N104" s="73" t="s">
        <v>3089</v>
      </c>
      <c r="O104" s="73" t="s">
        <v>3088</v>
      </c>
      <c r="P104" s="73" t="s">
        <v>3088</v>
      </c>
      <c r="Q104" s="73" t="s">
        <v>3088</v>
      </c>
      <c r="R104" s="73" t="s">
        <v>3088</v>
      </c>
      <c r="S104" s="73" t="s">
        <v>3088</v>
      </c>
      <c r="T104" s="73" t="s">
        <v>3088</v>
      </c>
      <c r="U104" s="73" t="s">
        <v>3088</v>
      </c>
      <c r="V104" s="73" t="s">
        <v>3088</v>
      </c>
      <c r="W104" s="73" t="s">
        <v>3088</v>
      </c>
      <c r="X104" s="73" t="s">
        <v>3088</v>
      </c>
      <c r="Y104" s="73" t="s">
        <v>3088</v>
      </c>
      <c r="Z104" s="73" t="s">
        <v>3088</v>
      </c>
      <c r="AA104" s="73" t="s">
        <v>3088</v>
      </c>
      <c r="AB104" s="73" t="s">
        <v>3088</v>
      </c>
      <c r="AC104" s="73" t="s">
        <v>3088</v>
      </c>
      <c r="AD104" s="73" t="s">
        <v>3088</v>
      </c>
      <c r="AE104" s="73" t="s">
        <v>3088</v>
      </c>
      <c r="AF104" s="73" t="s">
        <v>3088</v>
      </c>
      <c r="AG104" s="73" t="s">
        <v>3088</v>
      </c>
      <c r="AH104" s="73" t="s">
        <v>3088</v>
      </c>
      <c r="AI104" s="73" t="s">
        <v>3088</v>
      </c>
      <c r="AJ104" s="73" t="s">
        <v>3088</v>
      </c>
      <c r="AK104" s="73" t="s">
        <v>3088</v>
      </c>
      <c r="AL104" s="73" t="s">
        <v>3088</v>
      </c>
      <c r="AM104" s="73" t="s">
        <v>3088</v>
      </c>
      <c r="AN104" s="73" t="s">
        <v>3088</v>
      </c>
      <c r="AO104" s="73" t="s">
        <v>3088</v>
      </c>
      <c r="AP104" s="73" t="s">
        <v>3088</v>
      </c>
      <c r="AQ104" s="73" t="s">
        <v>3088</v>
      </c>
      <c r="AR104" s="73" t="s">
        <v>3088</v>
      </c>
      <c r="AS104" s="73" t="s">
        <v>3088</v>
      </c>
      <c r="AT104" s="73" t="s">
        <v>3088</v>
      </c>
      <c r="AU104" s="73" t="s">
        <v>3088</v>
      </c>
      <c r="AV104" s="73" t="s">
        <v>3088</v>
      </c>
      <c r="AW104" s="73" t="s">
        <v>3088</v>
      </c>
      <c r="AX104" s="73" t="s">
        <v>3088</v>
      </c>
      <c r="AY104" s="73" t="s">
        <v>3088</v>
      </c>
      <c r="AZ104" s="73" t="s">
        <v>3088</v>
      </c>
      <c r="BA104" s="73" t="s">
        <v>3088</v>
      </c>
      <c r="BB104" s="73" t="s">
        <v>3088</v>
      </c>
      <c r="BC104" s="73" t="s">
        <v>3088</v>
      </c>
      <c r="BD104" s="73" t="s">
        <v>3088</v>
      </c>
      <c r="BE104" s="73" t="s">
        <v>3088</v>
      </c>
      <c r="BF104" s="73" t="s">
        <v>3088</v>
      </c>
      <c r="BG104" s="73" t="s">
        <v>3088</v>
      </c>
      <c r="BH104" s="73" t="s">
        <v>3088</v>
      </c>
      <c r="BI104" s="73" t="s">
        <v>3088</v>
      </c>
      <c r="BJ104" s="73" t="s">
        <v>3088</v>
      </c>
      <c r="BK104" s="73" t="s">
        <v>3088</v>
      </c>
      <c r="BL104" s="73" t="s">
        <v>3088</v>
      </c>
      <c r="BM104" s="73" t="s">
        <v>3088</v>
      </c>
      <c r="BN104" s="73" t="s">
        <v>3088</v>
      </c>
      <c r="BO104" s="73" t="s">
        <v>3088</v>
      </c>
      <c r="BP104" s="73" t="s">
        <v>3088</v>
      </c>
      <c r="BQ104" s="73" t="s">
        <v>3322</v>
      </c>
      <c r="BR104" s="73" t="s">
        <v>3088</v>
      </c>
    </row>
    <row r="105" spans="1:70">
      <c r="A105" s="73" t="s">
        <v>1864</v>
      </c>
      <c r="B105" s="73" t="s">
        <v>2546</v>
      </c>
      <c r="C105" s="73" t="s">
        <v>2546</v>
      </c>
      <c r="D105" s="73" t="s">
        <v>3088</v>
      </c>
      <c r="E105" s="73" t="s">
        <v>3088</v>
      </c>
      <c r="F105" s="73" t="s">
        <v>3088</v>
      </c>
      <c r="G105" s="73" t="s">
        <v>3089</v>
      </c>
      <c r="H105" s="73" t="s">
        <v>3088</v>
      </c>
      <c r="I105" s="73" t="s">
        <v>2135</v>
      </c>
      <c r="J105" s="73" t="s">
        <v>2614</v>
      </c>
      <c r="K105" s="73" t="s">
        <v>3089</v>
      </c>
      <c r="L105" s="73" t="s">
        <v>3088</v>
      </c>
      <c r="M105" s="73" t="s">
        <v>3088</v>
      </c>
      <c r="N105" s="73" t="s">
        <v>3088</v>
      </c>
      <c r="O105" s="73" t="s">
        <v>3088</v>
      </c>
      <c r="P105" s="73" t="s">
        <v>3088</v>
      </c>
      <c r="Q105" s="73" t="s">
        <v>3088</v>
      </c>
      <c r="R105" s="73" t="s">
        <v>3088</v>
      </c>
      <c r="S105" s="73" t="s">
        <v>3088</v>
      </c>
      <c r="T105" s="73" t="s">
        <v>3088</v>
      </c>
      <c r="U105" s="73" t="s">
        <v>3088</v>
      </c>
      <c r="V105" s="73" t="s">
        <v>3088</v>
      </c>
      <c r="W105" s="73" t="s">
        <v>3088</v>
      </c>
      <c r="X105" s="73" t="s">
        <v>3088</v>
      </c>
      <c r="Y105" s="73" t="s">
        <v>3088</v>
      </c>
      <c r="Z105" s="73" t="s">
        <v>3088</v>
      </c>
      <c r="AA105" s="73" t="s">
        <v>3088</v>
      </c>
      <c r="AB105" s="73" t="s">
        <v>3088</v>
      </c>
      <c r="AC105" s="73" t="s">
        <v>3088</v>
      </c>
      <c r="AD105" s="73" t="s">
        <v>3088</v>
      </c>
      <c r="AE105" s="73" t="s">
        <v>3088</v>
      </c>
      <c r="AF105" s="73" t="s">
        <v>3088</v>
      </c>
      <c r="AG105" s="73" t="s">
        <v>3088</v>
      </c>
      <c r="AH105" s="73" t="s">
        <v>3088</v>
      </c>
      <c r="AI105" s="73" t="s">
        <v>3088</v>
      </c>
      <c r="AJ105" s="73" t="s">
        <v>3088</v>
      </c>
      <c r="AK105" s="73" t="s">
        <v>3088</v>
      </c>
      <c r="AL105" s="73" t="s">
        <v>3088</v>
      </c>
      <c r="AM105" s="73" t="s">
        <v>3088</v>
      </c>
      <c r="AN105" s="73" t="s">
        <v>3088</v>
      </c>
      <c r="AO105" s="73" t="s">
        <v>3088</v>
      </c>
      <c r="AP105" s="73" t="s">
        <v>3088</v>
      </c>
      <c r="AQ105" s="73" t="s">
        <v>3088</v>
      </c>
      <c r="AR105" s="73" t="s">
        <v>3088</v>
      </c>
      <c r="AS105" s="73" t="s">
        <v>3088</v>
      </c>
      <c r="AT105" s="73" t="s">
        <v>3088</v>
      </c>
      <c r="AU105" s="73" t="s">
        <v>3088</v>
      </c>
      <c r="AV105" s="73" t="s">
        <v>3088</v>
      </c>
      <c r="AW105" s="73" t="s">
        <v>3088</v>
      </c>
      <c r="AX105" s="73" t="s">
        <v>3088</v>
      </c>
      <c r="AY105" s="73" t="s">
        <v>3088</v>
      </c>
      <c r="AZ105" s="73" t="s">
        <v>3088</v>
      </c>
      <c r="BA105" s="73" t="s">
        <v>3088</v>
      </c>
      <c r="BB105" s="73" t="s">
        <v>3088</v>
      </c>
      <c r="BC105" s="73" t="s">
        <v>3088</v>
      </c>
      <c r="BD105" s="73" t="s">
        <v>3088</v>
      </c>
      <c r="BE105" s="73" t="s">
        <v>3088</v>
      </c>
      <c r="BF105" s="73" t="s">
        <v>3088</v>
      </c>
      <c r="BG105" s="73" t="s">
        <v>3088</v>
      </c>
      <c r="BH105" s="73" t="s">
        <v>3088</v>
      </c>
      <c r="BI105" s="73" t="s">
        <v>3088</v>
      </c>
      <c r="BJ105" s="73" t="s">
        <v>3088</v>
      </c>
      <c r="BK105" s="73" t="s">
        <v>3088</v>
      </c>
      <c r="BL105" s="73" t="s">
        <v>3088</v>
      </c>
      <c r="BM105" s="73" t="s">
        <v>3088</v>
      </c>
      <c r="BN105" s="73" t="s">
        <v>3088</v>
      </c>
      <c r="BO105" s="73" t="s">
        <v>3088</v>
      </c>
      <c r="BP105" s="73" t="s">
        <v>3088</v>
      </c>
      <c r="BQ105" s="73" t="s">
        <v>3323</v>
      </c>
      <c r="BR105" s="73" t="s">
        <v>3097</v>
      </c>
    </row>
    <row r="106" spans="1:70">
      <c r="A106" s="73" t="s">
        <v>1864</v>
      </c>
      <c r="B106" s="73" t="s">
        <v>2615</v>
      </c>
      <c r="C106" s="73" t="s">
        <v>2537</v>
      </c>
      <c r="D106" s="73" t="s">
        <v>3088</v>
      </c>
      <c r="E106" s="73" t="s">
        <v>3088</v>
      </c>
      <c r="F106" s="73" t="s">
        <v>3088</v>
      </c>
      <c r="G106" s="73" t="s">
        <v>3089</v>
      </c>
      <c r="H106" s="73" t="s">
        <v>3088</v>
      </c>
      <c r="I106" s="73" t="s">
        <v>3113</v>
      </c>
      <c r="J106" s="73" t="s">
        <v>3324</v>
      </c>
      <c r="K106" s="73" t="s">
        <v>3089</v>
      </c>
      <c r="L106" s="73" t="s">
        <v>108</v>
      </c>
      <c r="M106" s="73" t="s">
        <v>3324</v>
      </c>
      <c r="N106" s="73" t="s">
        <v>3089</v>
      </c>
      <c r="O106" s="73" t="s">
        <v>2193</v>
      </c>
      <c r="P106" s="73" t="s">
        <v>3324</v>
      </c>
      <c r="Q106" s="73" t="s">
        <v>3089</v>
      </c>
      <c r="R106" s="73" t="s">
        <v>3088</v>
      </c>
      <c r="S106" s="73" t="s">
        <v>3088</v>
      </c>
      <c r="T106" s="73" t="s">
        <v>3088</v>
      </c>
      <c r="U106" s="73" t="s">
        <v>3088</v>
      </c>
      <c r="V106" s="73" t="s">
        <v>3088</v>
      </c>
      <c r="W106" s="73" t="s">
        <v>3088</v>
      </c>
      <c r="X106" s="73" t="s">
        <v>3088</v>
      </c>
      <c r="Y106" s="73" t="s">
        <v>3088</v>
      </c>
      <c r="Z106" s="73" t="s">
        <v>3088</v>
      </c>
      <c r="AA106" s="73" t="s">
        <v>3088</v>
      </c>
      <c r="AB106" s="73" t="s">
        <v>3088</v>
      </c>
      <c r="AC106" s="73" t="s">
        <v>3088</v>
      </c>
      <c r="AD106" s="73" t="s">
        <v>3088</v>
      </c>
      <c r="AE106" s="73" t="s">
        <v>3088</v>
      </c>
      <c r="AF106" s="73" t="s">
        <v>3088</v>
      </c>
      <c r="AG106" s="73" t="s">
        <v>3088</v>
      </c>
      <c r="AH106" s="73" t="s">
        <v>3088</v>
      </c>
      <c r="AI106" s="73" t="s">
        <v>3088</v>
      </c>
      <c r="AJ106" s="73" t="s">
        <v>3088</v>
      </c>
      <c r="AK106" s="73" t="s">
        <v>3088</v>
      </c>
      <c r="AL106" s="73" t="s">
        <v>3088</v>
      </c>
      <c r="AM106" s="73" t="s">
        <v>3088</v>
      </c>
      <c r="AN106" s="73" t="s">
        <v>3088</v>
      </c>
      <c r="AO106" s="73" t="s">
        <v>3088</v>
      </c>
      <c r="AP106" s="73" t="s">
        <v>3088</v>
      </c>
      <c r="AQ106" s="73" t="s">
        <v>3088</v>
      </c>
      <c r="AR106" s="73" t="s">
        <v>3088</v>
      </c>
      <c r="AS106" s="73" t="s">
        <v>3088</v>
      </c>
      <c r="AT106" s="73" t="s">
        <v>3088</v>
      </c>
      <c r="AU106" s="73" t="s">
        <v>3088</v>
      </c>
      <c r="AV106" s="73" t="s">
        <v>3088</v>
      </c>
      <c r="AW106" s="73" t="s">
        <v>3088</v>
      </c>
      <c r="AX106" s="73" t="s">
        <v>3088</v>
      </c>
      <c r="AY106" s="73" t="s">
        <v>3088</v>
      </c>
      <c r="AZ106" s="73" t="s">
        <v>3088</v>
      </c>
      <c r="BA106" s="73" t="s">
        <v>3088</v>
      </c>
      <c r="BB106" s="73" t="s">
        <v>3088</v>
      </c>
      <c r="BC106" s="73" t="s">
        <v>3088</v>
      </c>
      <c r="BD106" s="73" t="s">
        <v>3088</v>
      </c>
      <c r="BE106" s="73" t="s">
        <v>3088</v>
      </c>
      <c r="BF106" s="73" t="s">
        <v>3088</v>
      </c>
      <c r="BG106" s="73" t="s">
        <v>3088</v>
      </c>
      <c r="BH106" s="73" t="s">
        <v>3088</v>
      </c>
      <c r="BI106" s="73" t="s">
        <v>3088</v>
      </c>
      <c r="BJ106" s="73" t="s">
        <v>3088</v>
      </c>
      <c r="BK106" s="73" t="s">
        <v>3088</v>
      </c>
      <c r="BL106" s="73" t="s">
        <v>3088</v>
      </c>
      <c r="BM106" s="73" t="s">
        <v>3088</v>
      </c>
      <c r="BN106" s="73" t="s">
        <v>3088</v>
      </c>
      <c r="BO106" s="73" t="s">
        <v>3088</v>
      </c>
      <c r="BP106" s="73" t="s">
        <v>3088</v>
      </c>
      <c r="BQ106" s="73" t="s">
        <v>3325</v>
      </c>
      <c r="BR106" s="73" t="s">
        <v>3088</v>
      </c>
    </row>
    <row r="107" spans="1:70">
      <c r="A107" s="73" t="s">
        <v>1864</v>
      </c>
      <c r="B107" s="73" t="s">
        <v>3326</v>
      </c>
      <c r="C107" s="73" t="s">
        <v>2533</v>
      </c>
      <c r="D107" s="73" t="s">
        <v>3088</v>
      </c>
      <c r="E107" s="73" t="s">
        <v>3088</v>
      </c>
      <c r="F107" s="73" t="s">
        <v>3088</v>
      </c>
      <c r="G107" s="73" t="s">
        <v>3089</v>
      </c>
      <c r="H107" s="73" t="s">
        <v>3088</v>
      </c>
      <c r="I107" s="73" t="s">
        <v>3093</v>
      </c>
      <c r="J107" s="73" t="s">
        <v>3088</v>
      </c>
      <c r="K107" s="73" t="s">
        <v>3088</v>
      </c>
      <c r="L107" s="73" t="s">
        <v>3088</v>
      </c>
      <c r="M107" s="73" t="s">
        <v>3088</v>
      </c>
      <c r="N107" s="73" t="s">
        <v>3088</v>
      </c>
      <c r="O107" s="73" t="s">
        <v>3088</v>
      </c>
      <c r="P107" s="73" t="s">
        <v>3088</v>
      </c>
      <c r="Q107" s="73" t="s">
        <v>3088</v>
      </c>
      <c r="R107" s="73" t="s">
        <v>3088</v>
      </c>
      <c r="S107" s="73" t="s">
        <v>3088</v>
      </c>
      <c r="T107" s="73" t="s">
        <v>3088</v>
      </c>
      <c r="U107" s="73" t="s">
        <v>3088</v>
      </c>
      <c r="V107" s="73" t="s">
        <v>3088</v>
      </c>
      <c r="W107" s="73" t="s">
        <v>3088</v>
      </c>
      <c r="X107" s="73" t="s">
        <v>3088</v>
      </c>
      <c r="Y107" s="73" t="s">
        <v>3088</v>
      </c>
      <c r="Z107" s="73" t="s">
        <v>3088</v>
      </c>
      <c r="AA107" s="73" t="s">
        <v>3088</v>
      </c>
      <c r="AB107" s="73" t="s">
        <v>3088</v>
      </c>
      <c r="AC107" s="73" t="s">
        <v>3088</v>
      </c>
      <c r="AD107" s="73" t="s">
        <v>3088</v>
      </c>
      <c r="AE107" s="73" t="s">
        <v>3088</v>
      </c>
      <c r="AF107" s="73" t="s">
        <v>3088</v>
      </c>
      <c r="AG107" s="73" t="s">
        <v>3088</v>
      </c>
      <c r="AH107" s="73" t="s">
        <v>3088</v>
      </c>
      <c r="AI107" s="73" t="s">
        <v>3088</v>
      </c>
      <c r="AJ107" s="73" t="s">
        <v>3088</v>
      </c>
      <c r="AK107" s="73" t="s">
        <v>3088</v>
      </c>
      <c r="AL107" s="73" t="s">
        <v>3088</v>
      </c>
      <c r="AM107" s="73" t="s">
        <v>3088</v>
      </c>
      <c r="AN107" s="73" t="s">
        <v>3088</v>
      </c>
      <c r="AO107" s="73" t="s">
        <v>3088</v>
      </c>
      <c r="AP107" s="73" t="s">
        <v>3088</v>
      </c>
      <c r="AQ107" s="73" t="s">
        <v>3088</v>
      </c>
      <c r="AR107" s="73" t="s">
        <v>3088</v>
      </c>
      <c r="AS107" s="73" t="s">
        <v>3088</v>
      </c>
      <c r="AT107" s="73" t="s">
        <v>3088</v>
      </c>
      <c r="AU107" s="73" t="s">
        <v>3088</v>
      </c>
      <c r="AV107" s="73" t="s">
        <v>3088</v>
      </c>
      <c r="AW107" s="73" t="s">
        <v>3088</v>
      </c>
      <c r="AX107" s="73" t="s">
        <v>3088</v>
      </c>
      <c r="AY107" s="73" t="s">
        <v>3088</v>
      </c>
      <c r="AZ107" s="73" t="s">
        <v>3088</v>
      </c>
      <c r="BA107" s="73" t="s">
        <v>3088</v>
      </c>
      <c r="BB107" s="73" t="s">
        <v>3088</v>
      </c>
      <c r="BC107" s="73" t="s">
        <v>3088</v>
      </c>
      <c r="BD107" s="73" t="s">
        <v>3088</v>
      </c>
      <c r="BE107" s="73" t="s">
        <v>3088</v>
      </c>
      <c r="BF107" s="73" t="s">
        <v>3088</v>
      </c>
      <c r="BG107" s="73" t="s">
        <v>3088</v>
      </c>
      <c r="BH107" s="73" t="s">
        <v>3088</v>
      </c>
      <c r="BI107" s="73" t="s">
        <v>3088</v>
      </c>
      <c r="BJ107" s="73" t="s">
        <v>3088</v>
      </c>
      <c r="BK107" s="73" t="s">
        <v>3088</v>
      </c>
      <c r="BL107" s="73" t="s">
        <v>3088</v>
      </c>
      <c r="BM107" s="73" t="s">
        <v>3088</v>
      </c>
      <c r="BN107" s="73" t="s">
        <v>3088</v>
      </c>
      <c r="BO107" s="73" t="s">
        <v>3088</v>
      </c>
      <c r="BP107" s="73" t="s">
        <v>3088</v>
      </c>
      <c r="BQ107" s="73" t="s">
        <v>3327</v>
      </c>
      <c r="BR107" s="73" t="s">
        <v>3088</v>
      </c>
    </row>
    <row r="108" spans="1:70">
      <c r="A108" s="73" t="s">
        <v>1864</v>
      </c>
      <c r="B108" s="73" t="s">
        <v>3328</v>
      </c>
      <c r="C108" s="73" t="s">
        <v>2591</v>
      </c>
      <c r="D108" s="73" t="s">
        <v>3088</v>
      </c>
      <c r="E108" s="73" t="s">
        <v>3088</v>
      </c>
      <c r="F108" s="73" t="s">
        <v>3088</v>
      </c>
      <c r="G108" s="73" t="s">
        <v>3089</v>
      </c>
      <c r="H108" s="73" t="s">
        <v>3088</v>
      </c>
      <c r="I108" s="73" t="s">
        <v>3093</v>
      </c>
      <c r="J108" s="73" t="s">
        <v>3088</v>
      </c>
      <c r="K108" s="73" t="s">
        <v>3088</v>
      </c>
      <c r="L108" s="73" t="s">
        <v>3088</v>
      </c>
      <c r="M108" s="73" t="s">
        <v>3088</v>
      </c>
      <c r="N108" s="73" t="s">
        <v>3088</v>
      </c>
      <c r="O108" s="73" t="s">
        <v>3088</v>
      </c>
      <c r="P108" s="73" t="s">
        <v>3088</v>
      </c>
      <c r="Q108" s="73" t="s">
        <v>3088</v>
      </c>
      <c r="R108" s="73" t="s">
        <v>3088</v>
      </c>
      <c r="S108" s="73" t="s">
        <v>3088</v>
      </c>
      <c r="T108" s="73" t="s">
        <v>3088</v>
      </c>
      <c r="U108" s="73" t="s">
        <v>3088</v>
      </c>
      <c r="V108" s="73" t="s">
        <v>3088</v>
      </c>
      <c r="W108" s="73" t="s">
        <v>3088</v>
      </c>
      <c r="X108" s="73" t="s">
        <v>3088</v>
      </c>
      <c r="Y108" s="73" t="s">
        <v>3088</v>
      </c>
      <c r="Z108" s="73" t="s">
        <v>3088</v>
      </c>
      <c r="AA108" s="73" t="s">
        <v>3088</v>
      </c>
      <c r="AB108" s="73" t="s">
        <v>3088</v>
      </c>
      <c r="AC108" s="73" t="s">
        <v>3088</v>
      </c>
      <c r="AD108" s="73" t="s">
        <v>3088</v>
      </c>
      <c r="AE108" s="73" t="s">
        <v>3088</v>
      </c>
      <c r="AF108" s="73" t="s">
        <v>3088</v>
      </c>
      <c r="AG108" s="73" t="s">
        <v>3088</v>
      </c>
      <c r="AH108" s="73" t="s">
        <v>3088</v>
      </c>
      <c r="AI108" s="73" t="s">
        <v>3088</v>
      </c>
      <c r="AJ108" s="73" t="s">
        <v>3088</v>
      </c>
      <c r="AK108" s="73" t="s">
        <v>3088</v>
      </c>
      <c r="AL108" s="73" t="s">
        <v>3088</v>
      </c>
      <c r="AM108" s="73" t="s">
        <v>3088</v>
      </c>
      <c r="AN108" s="73" t="s">
        <v>3088</v>
      </c>
      <c r="AO108" s="73" t="s">
        <v>3088</v>
      </c>
      <c r="AP108" s="73" t="s">
        <v>3088</v>
      </c>
      <c r="AQ108" s="73" t="s">
        <v>3088</v>
      </c>
      <c r="AR108" s="73" t="s">
        <v>3088</v>
      </c>
      <c r="AS108" s="73" t="s">
        <v>3088</v>
      </c>
      <c r="AT108" s="73" t="s">
        <v>3088</v>
      </c>
      <c r="AU108" s="73" t="s">
        <v>3088</v>
      </c>
      <c r="AV108" s="73" t="s">
        <v>3088</v>
      </c>
      <c r="AW108" s="73" t="s">
        <v>3088</v>
      </c>
      <c r="AX108" s="73" t="s">
        <v>3088</v>
      </c>
      <c r="AY108" s="73" t="s">
        <v>3088</v>
      </c>
      <c r="AZ108" s="73" t="s">
        <v>3088</v>
      </c>
      <c r="BA108" s="73" t="s">
        <v>3088</v>
      </c>
      <c r="BB108" s="73" t="s">
        <v>3088</v>
      </c>
      <c r="BC108" s="73" t="s">
        <v>3088</v>
      </c>
      <c r="BD108" s="73" t="s">
        <v>3088</v>
      </c>
      <c r="BE108" s="73" t="s">
        <v>3088</v>
      </c>
      <c r="BF108" s="73" t="s">
        <v>3088</v>
      </c>
      <c r="BG108" s="73" t="s">
        <v>3088</v>
      </c>
      <c r="BH108" s="73" t="s">
        <v>3088</v>
      </c>
      <c r="BI108" s="73" t="s">
        <v>3088</v>
      </c>
      <c r="BJ108" s="73" t="s">
        <v>3088</v>
      </c>
      <c r="BK108" s="73" t="s">
        <v>3088</v>
      </c>
      <c r="BL108" s="73" t="s">
        <v>3088</v>
      </c>
      <c r="BM108" s="73" t="s">
        <v>3088</v>
      </c>
      <c r="BN108" s="73" t="s">
        <v>3088</v>
      </c>
      <c r="BO108" s="73" t="s">
        <v>3088</v>
      </c>
      <c r="BP108" s="73" t="s">
        <v>3088</v>
      </c>
      <c r="BQ108" s="73" t="s">
        <v>3329</v>
      </c>
      <c r="BR108" s="73" t="s">
        <v>3088</v>
      </c>
    </row>
    <row r="109" spans="1:70">
      <c r="A109" s="73" t="s">
        <v>1864</v>
      </c>
      <c r="B109" s="73" t="s">
        <v>3330</v>
      </c>
      <c r="C109" s="73" t="s">
        <v>2591</v>
      </c>
      <c r="D109" s="73" t="s">
        <v>3088</v>
      </c>
      <c r="E109" s="73" t="s">
        <v>3088</v>
      </c>
      <c r="F109" s="73" t="s">
        <v>3088</v>
      </c>
      <c r="G109" s="73" t="s">
        <v>3089</v>
      </c>
      <c r="H109" s="73" t="s">
        <v>3088</v>
      </c>
      <c r="I109" s="73" t="s">
        <v>3093</v>
      </c>
      <c r="J109" s="73" t="s">
        <v>3088</v>
      </c>
      <c r="K109" s="73" t="s">
        <v>3088</v>
      </c>
      <c r="L109" s="73" t="s">
        <v>3088</v>
      </c>
      <c r="M109" s="73" t="s">
        <v>3088</v>
      </c>
      <c r="N109" s="73" t="s">
        <v>3088</v>
      </c>
      <c r="O109" s="73" t="s">
        <v>3088</v>
      </c>
      <c r="P109" s="73" t="s">
        <v>3088</v>
      </c>
      <c r="Q109" s="73" t="s">
        <v>3088</v>
      </c>
      <c r="R109" s="73" t="s">
        <v>3088</v>
      </c>
      <c r="S109" s="73" t="s">
        <v>3088</v>
      </c>
      <c r="T109" s="73" t="s">
        <v>3088</v>
      </c>
      <c r="U109" s="73" t="s">
        <v>3088</v>
      </c>
      <c r="V109" s="73" t="s">
        <v>3088</v>
      </c>
      <c r="W109" s="73" t="s">
        <v>3088</v>
      </c>
      <c r="X109" s="73" t="s">
        <v>3088</v>
      </c>
      <c r="Y109" s="73" t="s">
        <v>3088</v>
      </c>
      <c r="Z109" s="73" t="s">
        <v>3088</v>
      </c>
      <c r="AA109" s="73" t="s">
        <v>3088</v>
      </c>
      <c r="AB109" s="73" t="s">
        <v>3088</v>
      </c>
      <c r="AC109" s="73" t="s">
        <v>3088</v>
      </c>
      <c r="AD109" s="73" t="s">
        <v>3088</v>
      </c>
      <c r="AE109" s="73" t="s">
        <v>3088</v>
      </c>
      <c r="AF109" s="73" t="s">
        <v>3088</v>
      </c>
      <c r="AG109" s="73" t="s">
        <v>3088</v>
      </c>
      <c r="AH109" s="73" t="s">
        <v>3088</v>
      </c>
      <c r="AI109" s="73" t="s">
        <v>3088</v>
      </c>
      <c r="AJ109" s="73" t="s">
        <v>3088</v>
      </c>
      <c r="AK109" s="73" t="s">
        <v>3088</v>
      </c>
      <c r="AL109" s="73" t="s">
        <v>3088</v>
      </c>
      <c r="AM109" s="73" t="s">
        <v>3088</v>
      </c>
      <c r="AN109" s="73" t="s">
        <v>3088</v>
      </c>
      <c r="AO109" s="73" t="s">
        <v>3088</v>
      </c>
      <c r="AP109" s="73" t="s">
        <v>3088</v>
      </c>
      <c r="AQ109" s="73" t="s">
        <v>3088</v>
      </c>
      <c r="AR109" s="73" t="s">
        <v>3088</v>
      </c>
      <c r="AS109" s="73" t="s">
        <v>3088</v>
      </c>
      <c r="AT109" s="73" t="s">
        <v>3088</v>
      </c>
      <c r="AU109" s="73" t="s">
        <v>3088</v>
      </c>
      <c r="AV109" s="73" t="s">
        <v>3088</v>
      </c>
      <c r="AW109" s="73" t="s">
        <v>3088</v>
      </c>
      <c r="AX109" s="73" t="s">
        <v>3088</v>
      </c>
      <c r="AY109" s="73" t="s">
        <v>3088</v>
      </c>
      <c r="AZ109" s="73" t="s">
        <v>3088</v>
      </c>
      <c r="BA109" s="73" t="s">
        <v>3088</v>
      </c>
      <c r="BB109" s="73" t="s">
        <v>3088</v>
      </c>
      <c r="BC109" s="73" t="s">
        <v>3088</v>
      </c>
      <c r="BD109" s="73" t="s">
        <v>3088</v>
      </c>
      <c r="BE109" s="73" t="s">
        <v>3088</v>
      </c>
      <c r="BF109" s="73" t="s">
        <v>3088</v>
      </c>
      <c r="BG109" s="73" t="s">
        <v>3088</v>
      </c>
      <c r="BH109" s="73" t="s">
        <v>3088</v>
      </c>
      <c r="BI109" s="73" t="s">
        <v>3088</v>
      </c>
      <c r="BJ109" s="73" t="s">
        <v>3088</v>
      </c>
      <c r="BK109" s="73" t="s">
        <v>3088</v>
      </c>
      <c r="BL109" s="73" t="s">
        <v>3088</v>
      </c>
      <c r="BM109" s="73" t="s">
        <v>3088</v>
      </c>
      <c r="BN109" s="73" t="s">
        <v>3088</v>
      </c>
      <c r="BO109" s="73" t="s">
        <v>3088</v>
      </c>
      <c r="BP109" s="73" t="s">
        <v>3088</v>
      </c>
      <c r="BQ109" s="73" t="s">
        <v>3331</v>
      </c>
      <c r="BR109" s="73" t="s">
        <v>3088</v>
      </c>
    </row>
    <row r="110" spans="1:70">
      <c r="A110" s="73" t="s">
        <v>1864</v>
      </c>
      <c r="B110" s="73" t="s">
        <v>3332</v>
      </c>
      <c r="C110" s="73" t="s">
        <v>2571</v>
      </c>
      <c r="D110" s="73" t="s">
        <v>3088</v>
      </c>
      <c r="E110" s="73" t="s">
        <v>3088</v>
      </c>
      <c r="F110" s="73" t="s">
        <v>3088</v>
      </c>
      <c r="G110" s="73" t="s">
        <v>3089</v>
      </c>
      <c r="H110" s="73" t="s">
        <v>3088</v>
      </c>
      <c r="I110" s="73" t="s">
        <v>3093</v>
      </c>
      <c r="J110" s="73" t="s">
        <v>3088</v>
      </c>
      <c r="K110" s="73" t="s">
        <v>3088</v>
      </c>
      <c r="L110" s="73" t="s">
        <v>3088</v>
      </c>
      <c r="M110" s="73" t="s">
        <v>3088</v>
      </c>
      <c r="N110" s="73" t="s">
        <v>3088</v>
      </c>
      <c r="O110" s="73" t="s">
        <v>3088</v>
      </c>
      <c r="P110" s="73" t="s">
        <v>3088</v>
      </c>
      <c r="Q110" s="73" t="s">
        <v>3088</v>
      </c>
      <c r="R110" s="73" t="s">
        <v>3088</v>
      </c>
      <c r="S110" s="73" t="s">
        <v>3088</v>
      </c>
      <c r="T110" s="73" t="s">
        <v>3088</v>
      </c>
      <c r="U110" s="73" t="s">
        <v>3088</v>
      </c>
      <c r="V110" s="73" t="s">
        <v>3088</v>
      </c>
      <c r="W110" s="73" t="s">
        <v>3088</v>
      </c>
      <c r="X110" s="73" t="s">
        <v>3088</v>
      </c>
      <c r="Y110" s="73" t="s">
        <v>3088</v>
      </c>
      <c r="Z110" s="73" t="s">
        <v>3088</v>
      </c>
      <c r="AA110" s="73" t="s">
        <v>3088</v>
      </c>
      <c r="AB110" s="73" t="s">
        <v>3088</v>
      </c>
      <c r="AC110" s="73" t="s">
        <v>3088</v>
      </c>
      <c r="AD110" s="73" t="s">
        <v>3088</v>
      </c>
      <c r="AE110" s="73" t="s">
        <v>3088</v>
      </c>
      <c r="AF110" s="73" t="s">
        <v>3088</v>
      </c>
      <c r="AG110" s="73" t="s">
        <v>3088</v>
      </c>
      <c r="AH110" s="73" t="s">
        <v>3088</v>
      </c>
      <c r="AI110" s="73" t="s">
        <v>3088</v>
      </c>
      <c r="AJ110" s="73" t="s">
        <v>3088</v>
      </c>
      <c r="AK110" s="73" t="s">
        <v>3088</v>
      </c>
      <c r="AL110" s="73" t="s">
        <v>3088</v>
      </c>
      <c r="AM110" s="73" t="s">
        <v>3088</v>
      </c>
      <c r="AN110" s="73" t="s">
        <v>3088</v>
      </c>
      <c r="AO110" s="73" t="s">
        <v>3088</v>
      </c>
      <c r="AP110" s="73" t="s">
        <v>3088</v>
      </c>
      <c r="AQ110" s="73" t="s">
        <v>3088</v>
      </c>
      <c r="AR110" s="73" t="s">
        <v>3088</v>
      </c>
      <c r="AS110" s="73" t="s">
        <v>3088</v>
      </c>
      <c r="AT110" s="73" t="s">
        <v>3088</v>
      </c>
      <c r="AU110" s="73" t="s">
        <v>3088</v>
      </c>
      <c r="AV110" s="73" t="s">
        <v>3088</v>
      </c>
      <c r="AW110" s="73" t="s">
        <v>3088</v>
      </c>
      <c r="AX110" s="73" t="s">
        <v>3088</v>
      </c>
      <c r="AY110" s="73" t="s">
        <v>3088</v>
      </c>
      <c r="AZ110" s="73" t="s">
        <v>3088</v>
      </c>
      <c r="BA110" s="73" t="s">
        <v>3088</v>
      </c>
      <c r="BB110" s="73" t="s">
        <v>3088</v>
      </c>
      <c r="BC110" s="73" t="s">
        <v>3088</v>
      </c>
      <c r="BD110" s="73" t="s">
        <v>3088</v>
      </c>
      <c r="BE110" s="73" t="s">
        <v>3088</v>
      </c>
      <c r="BF110" s="73" t="s">
        <v>3088</v>
      </c>
      <c r="BG110" s="73" t="s">
        <v>3088</v>
      </c>
      <c r="BH110" s="73" t="s">
        <v>3088</v>
      </c>
      <c r="BI110" s="73" t="s">
        <v>3088</v>
      </c>
      <c r="BJ110" s="73" t="s">
        <v>3088</v>
      </c>
      <c r="BK110" s="73" t="s">
        <v>3088</v>
      </c>
      <c r="BL110" s="73" t="s">
        <v>3088</v>
      </c>
      <c r="BM110" s="73" t="s">
        <v>3088</v>
      </c>
      <c r="BN110" s="73" t="s">
        <v>3088</v>
      </c>
      <c r="BO110" s="73" t="s">
        <v>3088</v>
      </c>
      <c r="BP110" s="73" t="s">
        <v>3088</v>
      </c>
      <c r="BQ110" s="73" t="s">
        <v>3333</v>
      </c>
      <c r="BR110" s="73" t="s">
        <v>3088</v>
      </c>
    </row>
    <row r="111" spans="1:70">
      <c r="A111" s="73" t="s">
        <v>1864</v>
      </c>
      <c r="B111" s="73" t="s">
        <v>2618</v>
      </c>
      <c r="C111" s="73" t="s">
        <v>2619</v>
      </c>
      <c r="D111" s="73" t="s">
        <v>3088</v>
      </c>
      <c r="E111" s="73" t="s">
        <v>3088</v>
      </c>
      <c r="F111" s="73" t="s">
        <v>3088</v>
      </c>
      <c r="G111" s="73" t="s">
        <v>3089</v>
      </c>
      <c r="H111" s="73" t="s">
        <v>3088</v>
      </c>
      <c r="I111" s="73" t="s">
        <v>2135</v>
      </c>
      <c r="J111" s="73" t="s">
        <v>3088</v>
      </c>
      <c r="K111" s="73" t="s">
        <v>3088</v>
      </c>
      <c r="L111" s="73" t="s">
        <v>3088</v>
      </c>
      <c r="M111" s="73" t="s">
        <v>3088</v>
      </c>
      <c r="N111" s="73" t="s">
        <v>3088</v>
      </c>
      <c r="O111" s="73" t="s">
        <v>3088</v>
      </c>
      <c r="P111" s="73" t="s">
        <v>3088</v>
      </c>
      <c r="Q111" s="73" t="s">
        <v>3088</v>
      </c>
      <c r="R111" s="73" t="s">
        <v>3088</v>
      </c>
      <c r="S111" s="73" t="s">
        <v>3088</v>
      </c>
      <c r="T111" s="73" t="s">
        <v>3088</v>
      </c>
      <c r="U111" s="73" t="s">
        <v>3088</v>
      </c>
      <c r="V111" s="73" t="s">
        <v>3088</v>
      </c>
      <c r="W111" s="73" t="s">
        <v>3088</v>
      </c>
      <c r="X111" s="73" t="s">
        <v>3088</v>
      </c>
      <c r="Y111" s="73" t="s">
        <v>3088</v>
      </c>
      <c r="Z111" s="73" t="s">
        <v>3088</v>
      </c>
      <c r="AA111" s="73" t="s">
        <v>3088</v>
      </c>
      <c r="AB111" s="73" t="s">
        <v>3088</v>
      </c>
      <c r="AC111" s="73" t="s">
        <v>3088</v>
      </c>
      <c r="AD111" s="73" t="s">
        <v>3088</v>
      </c>
      <c r="AE111" s="73" t="s">
        <v>3088</v>
      </c>
      <c r="AF111" s="73" t="s">
        <v>3088</v>
      </c>
      <c r="AG111" s="73" t="s">
        <v>3088</v>
      </c>
      <c r="AH111" s="73" t="s">
        <v>3088</v>
      </c>
      <c r="AI111" s="73" t="s">
        <v>3088</v>
      </c>
      <c r="AJ111" s="73" t="s">
        <v>3088</v>
      </c>
      <c r="AK111" s="73" t="s">
        <v>3088</v>
      </c>
      <c r="AL111" s="73" t="s">
        <v>3088</v>
      </c>
      <c r="AM111" s="73" t="s">
        <v>3088</v>
      </c>
      <c r="AN111" s="73" t="s">
        <v>3088</v>
      </c>
      <c r="AO111" s="73" t="s">
        <v>3088</v>
      </c>
      <c r="AP111" s="73" t="s">
        <v>3088</v>
      </c>
      <c r="AQ111" s="73" t="s">
        <v>3088</v>
      </c>
      <c r="AR111" s="73" t="s">
        <v>3088</v>
      </c>
      <c r="AS111" s="73" t="s">
        <v>3088</v>
      </c>
      <c r="AT111" s="73" t="s">
        <v>3088</v>
      </c>
      <c r="AU111" s="73" t="s">
        <v>3088</v>
      </c>
      <c r="AV111" s="73" t="s">
        <v>3088</v>
      </c>
      <c r="AW111" s="73" t="s">
        <v>3088</v>
      </c>
      <c r="AX111" s="73" t="s">
        <v>3088</v>
      </c>
      <c r="AY111" s="73" t="s">
        <v>3088</v>
      </c>
      <c r="AZ111" s="73" t="s">
        <v>3088</v>
      </c>
      <c r="BA111" s="73" t="s">
        <v>3088</v>
      </c>
      <c r="BB111" s="73" t="s">
        <v>3088</v>
      </c>
      <c r="BC111" s="73" t="s">
        <v>3088</v>
      </c>
      <c r="BD111" s="73" t="s">
        <v>3088</v>
      </c>
      <c r="BE111" s="73" t="s">
        <v>3088</v>
      </c>
      <c r="BF111" s="73" t="s">
        <v>3088</v>
      </c>
      <c r="BG111" s="73" t="s">
        <v>3088</v>
      </c>
      <c r="BH111" s="73" t="s">
        <v>3088</v>
      </c>
      <c r="BI111" s="73" t="s">
        <v>3088</v>
      </c>
      <c r="BJ111" s="73" t="s">
        <v>3088</v>
      </c>
      <c r="BK111" s="73" t="s">
        <v>3088</v>
      </c>
      <c r="BL111" s="73" t="s">
        <v>3088</v>
      </c>
      <c r="BM111" s="73" t="s">
        <v>3088</v>
      </c>
      <c r="BN111" s="73" t="s">
        <v>3088</v>
      </c>
      <c r="BO111" s="73" t="s">
        <v>3088</v>
      </c>
      <c r="BP111" s="73" t="s">
        <v>3088</v>
      </c>
      <c r="BQ111" s="73" t="s">
        <v>3334</v>
      </c>
      <c r="BR111" s="73" t="s">
        <v>3088</v>
      </c>
    </row>
    <row r="112" spans="1:70">
      <c r="A112" s="73" t="s">
        <v>1864</v>
      </c>
      <c r="B112" s="73" t="s">
        <v>3335</v>
      </c>
      <c r="C112" s="73" t="s">
        <v>2559</v>
      </c>
      <c r="D112" s="73" t="s">
        <v>3088</v>
      </c>
      <c r="E112" s="73" t="s">
        <v>3088</v>
      </c>
      <c r="F112" s="73" t="s">
        <v>3088</v>
      </c>
      <c r="G112" s="73" t="s">
        <v>3089</v>
      </c>
      <c r="H112" s="73" t="s">
        <v>3088</v>
      </c>
      <c r="I112" s="73" t="s">
        <v>3093</v>
      </c>
      <c r="J112" s="73" t="s">
        <v>3088</v>
      </c>
      <c r="K112" s="73" t="s">
        <v>3088</v>
      </c>
      <c r="L112" s="73" t="s">
        <v>3088</v>
      </c>
      <c r="M112" s="73" t="s">
        <v>3088</v>
      </c>
      <c r="N112" s="73" t="s">
        <v>3088</v>
      </c>
      <c r="O112" s="73" t="s">
        <v>3088</v>
      </c>
      <c r="P112" s="73" t="s">
        <v>3088</v>
      </c>
      <c r="Q112" s="73" t="s">
        <v>3088</v>
      </c>
      <c r="R112" s="73" t="s">
        <v>3088</v>
      </c>
      <c r="S112" s="73" t="s">
        <v>3088</v>
      </c>
      <c r="T112" s="73" t="s">
        <v>3088</v>
      </c>
      <c r="U112" s="73" t="s">
        <v>3088</v>
      </c>
      <c r="V112" s="73" t="s">
        <v>3088</v>
      </c>
      <c r="W112" s="73" t="s">
        <v>3088</v>
      </c>
      <c r="X112" s="73" t="s">
        <v>3088</v>
      </c>
      <c r="Y112" s="73" t="s">
        <v>3088</v>
      </c>
      <c r="Z112" s="73" t="s">
        <v>3088</v>
      </c>
      <c r="AA112" s="73" t="s">
        <v>3088</v>
      </c>
      <c r="AB112" s="73" t="s">
        <v>3088</v>
      </c>
      <c r="AC112" s="73" t="s">
        <v>3088</v>
      </c>
      <c r="AD112" s="73" t="s">
        <v>3088</v>
      </c>
      <c r="AE112" s="73" t="s">
        <v>3088</v>
      </c>
      <c r="AF112" s="73" t="s">
        <v>3088</v>
      </c>
      <c r="AG112" s="73" t="s">
        <v>3088</v>
      </c>
      <c r="AH112" s="73" t="s">
        <v>3088</v>
      </c>
      <c r="AI112" s="73" t="s">
        <v>3088</v>
      </c>
      <c r="AJ112" s="73" t="s">
        <v>3088</v>
      </c>
      <c r="AK112" s="73" t="s">
        <v>3088</v>
      </c>
      <c r="AL112" s="73" t="s">
        <v>3088</v>
      </c>
      <c r="AM112" s="73" t="s">
        <v>3088</v>
      </c>
      <c r="AN112" s="73" t="s">
        <v>3088</v>
      </c>
      <c r="AO112" s="73" t="s">
        <v>3088</v>
      </c>
      <c r="AP112" s="73" t="s">
        <v>3088</v>
      </c>
      <c r="AQ112" s="73" t="s">
        <v>3088</v>
      </c>
      <c r="AR112" s="73" t="s">
        <v>3088</v>
      </c>
      <c r="AS112" s="73" t="s">
        <v>3088</v>
      </c>
      <c r="AT112" s="73" t="s">
        <v>3088</v>
      </c>
      <c r="AU112" s="73" t="s">
        <v>3088</v>
      </c>
      <c r="AV112" s="73" t="s">
        <v>3088</v>
      </c>
      <c r="AW112" s="73" t="s">
        <v>3088</v>
      </c>
      <c r="AX112" s="73" t="s">
        <v>3088</v>
      </c>
      <c r="AY112" s="73" t="s">
        <v>3088</v>
      </c>
      <c r="AZ112" s="73" t="s">
        <v>3088</v>
      </c>
      <c r="BA112" s="73" t="s">
        <v>3088</v>
      </c>
      <c r="BB112" s="73" t="s">
        <v>3088</v>
      </c>
      <c r="BC112" s="73" t="s">
        <v>3088</v>
      </c>
      <c r="BD112" s="73" t="s">
        <v>3088</v>
      </c>
      <c r="BE112" s="73" t="s">
        <v>3088</v>
      </c>
      <c r="BF112" s="73" t="s">
        <v>3088</v>
      </c>
      <c r="BG112" s="73" t="s">
        <v>3088</v>
      </c>
      <c r="BH112" s="73" t="s">
        <v>3088</v>
      </c>
      <c r="BI112" s="73" t="s">
        <v>3088</v>
      </c>
      <c r="BJ112" s="73" t="s">
        <v>3088</v>
      </c>
      <c r="BK112" s="73" t="s">
        <v>3088</v>
      </c>
      <c r="BL112" s="73" t="s">
        <v>3088</v>
      </c>
      <c r="BM112" s="73" t="s">
        <v>3088</v>
      </c>
      <c r="BN112" s="73" t="s">
        <v>3088</v>
      </c>
      <c r="BO112" s="73" t="s">
        <v>3088</v>
      </c>
      <c r="BP112" s="73" t="s">
        <v>3088</v>
      </c>
      <c r="BQ112" s="73" t="s">
        <v>3336</v>
      </c>
      <c r="BR112" s="73" t="s">
        <v>3088</v>
      </c>
    </row>
    <row r="113" spans="1:70">
      <c r="A113" s="73" t="s">
        <v>1864</v>
      </c>
      <c r="B113" s="73" t="s">
        <v>2620</v>
      </c>
      <c r="C113" s="73" t="s">
        <v>2554</v>
      </c>
      <c r="D113" s="73" t="s">
        <v>3088</v>
      </c>
      <c r="E113" s="73" t="s">
        <v>3088</v>
      </c>
      <c r="F113" s="73" t="s">
        <v>3088</v>
      </c>
      <c r="G113" s="73" t="s">
        <v>3089</v>
      </c>
      <c r="H113" s="73" t="s">
        <v>3088</v>
      </c>
      <c r="I113" s="73" t="s">
        <v>108</v>
      </c>
      <c r="J113" s="73" t="s">
        <v>3337</v>
      </c>
      <c r="K113" s="73" t="s">
        <v>3089</v>
      </c>
      <c r="L113" s="73" t="s">
        <v>2193</v>
      </c>
      <c r="M113" s="73" t="s">
        <v>3337</v>
      </c>
      <c r="N113" s="73" t="s">
        <v>3089</v>
      </c>
      <c r="O113" s="73" t="s">
        <v>3088</v>
      </c>
      <c r="P113" s="73" t="s">
        <v>3088</v>
      </c>
      <c r="Q113" s="73" t="s">
        <v>3088</v>
      </c>
      <c r="R113" s="73" t="s">
        <v>3088</v>
      </c>
      <c r="S113" s="73" t="s">
        <v>3088</v>
      </c>
      <c r="T113" s="73" t="s">
        <v>3088</v>
      </c>
      <c r="U113" s="73" t="s">
        <v>3088</v>
      </c>
      <c r="V113" s="73" t="s">
        <v>3088</v>
      </c>
      <c r="W113" s="73" t="s">
        <v>3088</v>
      </c>
      <c r="X113" s="73" t="s">
        <v>3088</v>
      </c>
      <c r="Y113" s="73" t="s">
        <v>3088</v>
      </c>
      <c r="Z113" s="73" t="s">
        <v>3088</v>
      </c>
      <c r="AA113" s="73" t="s">
        <v>3088</v>
      </c>
      <c r="AB113" s="73" t="s">
        <v>3088</v>
      </c>
      <c r="AC113" s="73" t="s">
        <v>3088</v>
      </c>
      <c r="AD113" s="73" t="s">
        <v>3088</v>
      </c>
      <c r="AE113" s="73" t="s">
        <v>3088</v>
      </c>
      <c r="AF113" s="73" t="s">
        <v>3088</v>
      </c>
      <c r="AG113" s="73" t="s">
        <v>3088</v>
      </c>
      <c r="AH113" s="73" t="s">
        <v>3088</v>
      </c>
      <c r="AI113" s="73" t="s">
        <v>3088</v>
      </c>
      <c r="AJ113" s="73" t="s">
        <v>3088</v>
      </c>
      <c r="AK113" s="73" t="s">
        <v>3088</v>
      </c>
      <c r="AL113" s="73" t="s">
        <v>3088</v>
      </c>
      <c r="AM113" s="73" t="s">
        <v>3088</v>
      </c>
      <c r="AN113" s="73" t="s">
        <v>3088</v>
      </c>
      <c r="AO113" s="73" t="s">
        <v>3088</v>
      </c>
      <c r="AP113" s="73" t="s">
        <v>3088</v>
      </c>
      <c r="AQ113" s="73" t="s">
        <v>3088</v>
      </c>
      <c r="AR113" s="73" t="s">
        <v>3088</v>
      </c>
      <c r="AS113" s="73" t="s">
        <v>3088</v>
      </c>
      <c r="AT113" s="73" t="s">
        <v>3088</v>
      </c>
      <c r="AU113" s="73" t="s">
        <v>3088</v>
      </c>
      <c r="AV113" s="73" t="s">
        <v>3088</v>
      </c>
      <c r="AW113" s="73" t="s">
        <v>3088</v>
      </c>
      <c r="AX113" s="73" t="s">
        <v>3088</v>
      </c>
      <c r="AY113" s="73" t="s">
        <v>3088</v>
      </c>
      <c r="AZ113" s="73" t="s">
        <v>3088</v>
      </c>
      <c r="BA113" s="73" t="s">
        <v>3088</v>
      </c>
      <c r="BB113" s="73" t="s">
        <v>3088</v>
      </c>
      <c r="BC113" s="73" t="s">
        <v>3088</v>
      </c>
      <c r="BD113" s="73" t="s">
        <v>3088</v>
      </c>
      <c r="BE113" s="73" t="s">
        <v>3088</v>
      </c>
      <c r="BF113" s="73" t="s">
        <v>3088</v>
      </c>
      <c r="BG113" s="73" t="s">
        <v>3088</v>
      </c>
      <c r="BH113" s="73" t="s">
        <v>3088</v>
      </c>
      <c r="BI113" s="73" t="s">
        <v>3088</v>
      </c>
      <c r="BJ113" s="73" t="s">
        <v>3088</v>
      </c>
      <c r="BK113" s="73" t="s">
        <v>3088</v>
      </c>
      <c r="BL113" s="73" t="s">
        <v>3088</v>
      </c>
      <c r="BM113" s="73" t="s">
        <v>3088</v>
      </c>
      <c r="BN113" s="73" t="s">
        <v>3088</v>
      </c>
      <c r="BO113" s="73" t="s">
        <v>3088</v>
      </c>
      <c r="BP113" s="73" t="s">
        <v>3088</v>
      </c>
      <c r="BQ113" s="73" t="s">
        <v>3338</v>
      </c>
      <c r="BR113" s="73" t="s">
        <v>3088</v>
      </c>
    </row>
    <row r="114" spans="1:70">
      <c r="A114" s="73" t="s">
        <v>1864</v>
      </c>
      <c r="B114" s="73" t="s">
        <v>2622</v>
      </c>
      <c r="C114" s="73" t="s">
        <v>2582</v>
      </c>
      <c r="D114" s="73" t="s">
        <v>3088</v>
      </c>
      <c r="E114" s="73" t="s">
        <v>3088</v>
      </c>
      <c r="F114" s="73" t="s">
        <v>3088</v>
      </c>
      <c r="G114" s="73" t="s">
        <v>3089</v>
      </c>
      <c r="H114" s="73" t="s">
        <v>3088</v>
      </c>
      <c r="I114" s="73" t="s">
        <v>2135</v>
      </c>
      <c r="J114" s="73" t="s">
        <v>3088</v>
      </c>
      <c r="K114" s="73" t="s">
        <v>3088</v>
      </c>
      <c r="L114" s="73" t="s">
        <v>3088</v>
      </c>
      <c r="M114" s="73" t="s">
        <v>3088</v>
      </c>
      <c r="N114" s="73" t="s">
        <v>3088</v>
      </c>
      <c r="O114" s="73" t="s">
        <v>3088</v>
      </c>
      <c r="P114" s="73" t="s">
        <v>3088</v>
      </c>
      <c r="Q114" s="73" t="s">
        <v>3088</v>
      </c>
      <c r="R114" s="73" t="s">
        <v>3088</v>
      </c>
      <c r="S114" s="73" t="s">
        <v>3088</v>
      </c>
      <c r="T114" s="73" t="s">
        <v>3088</v>
      </c>
      <c r="U114" s="73" t="s">
        <v>3088</v>
      </c>
      <c r="V114" s="73" t="s">
        <v>3088</v>
      </c>
      <c r="W114" s="73" t="s">
        <v>3088</v>
      </c>
      <c r="X114" s="73" t="s">
        <v>3088</v>
      </c>
      <c r="Y114" s="73" t="s">
        <v>3088</v>
      </c>
      <c r="Z114" s="73" t="s">
        <v>3088</v>
      </c>
      <c r="AA114" s="73" t="s">
        <v>3088</v>
      </c>
      <c r="AB114" s="73" t="s">
        <v>3088</v>
      </c>
      <c r="AC114" s="73" t="s">
        <v>3088</v>
      </c>
      <c r="AD114" s="73" t="s">
        <v>3088</v>
      </c>
      <c r="AE114" s="73" t="s">
        <v>3088</v>
      </c>
      <c r="AF114" s="73" t="s">
        <v>3088</v>
      </c>
      <c r="AG114" s="73" t="s">
        <v>3088</v>
      </c>
      <c r="AH114" s="73" t="s">
        <v>3088</v>
      </c>
      <c r="AI114" s="73" t="s">
        <v>3088</v>
      </c>
      <c r="AJ114" s="73" t="s">
        <v>3088</v>
      </c>
      <c r="AK114" s="73" t="s">
        <v>3088</v>
      </c>
      <c r="AL114" s="73" t="s">
        <v>3088</v>
      </c>
      <c r="AM114" s="73" t="s">
        <v>3088</v>
      </c>
      <c r="AN114" s="73" t="s">
        <v>3088</v>
      </c>
      <c r="AO114" s="73" t="s">
        <v>3088</v>
      </c>
      <c r="AP114" s="73" t="s">
        <v>3088</v>
      </c>
      <c r="AQ114" s="73" t="s">
        <v>3088</v>
      </c>
      <c r="AR114" s="73" t="s">
        <v>3088</v>
      </c>
      <c r="AS114" s="73" t="s">
        <v>3088</v>
      </c>
      <c r="AT114" s="73" t="s">
        <v>3088</v>
      </c>
      <c r="AU114" s="73" t="s">
        <v>3088</v>
      </c>
      <c r="AV114" s="73" t="s">
        <v>3088</v>
      </c>
      <c r="AW114" s="73" t="s">
        <v>3088</v>
      </c>
      <c r="AX114" s="73" t="s">
        <v>3088</v>
      </c>
      <c r="AY114" s="73" t="s">
        <v>3088</v>
      </c>
      <c r="AZ114" s="73" t="s">
        <v>3088</v>
      </c>
      <c r="BA114" s="73" t="s">
        <v>3088</v>
      </c>
      <c r="BB114" s="73" t="s">
        <v>3088</v>
      </c>
      <c r="BC114" s="73" t="s">
        <v>3088</v>
      </c>
      <c r="BD114" s="73" t="s">
        <v>3088</v>
      </c>
      <c r="BE114" s="73" t="s">
        <v>3088</v>
      </c>
      <c r="BF114" s="73" t="s">
        <v>3088</v>
      </c>
      <c r="BG114" s="73" t="s">
        <v>3088</v>
      </c>
      <c r="BH114" s="73" t="s">
        <v>3088</v>
      </c>
      <c r="BI114" s="73" t="s">
        <v>3088</v>
      </c>
      <c r="BJ114" s="73" t="s">
        <v>3088</v>
      </c>
      <c r="BK114" s="73" t="s">
        <v>3088</v>
      </c>
      <c r="BL114" s="73" t="s">
        <v>3088</v>
      </c>
      <c r="BM114" s="73" t="s">
        <v>3088</v>
      </c>
      <c r="BN114" s="73" t="s">
        <v>3088</v>
      </c>
      <c r="BO114" s="73" t="s">
        <v>3088</v>
      </c>
      <c r="BP114" s="73" t="s">
        <v>3088</v>
      </c>
      <c r="BQ114" s="73" t="s">
        <v>3339</v>
      </c>
      <c r="BR114" s="73" t="s">
        <v>3088</v>
      </c>
    </row>
    <row r="115" spans="1:70">
      <c r="A115" s="73" t="s">
        <v>1864</v>
      </c>
      <c r="B115" s="73" t="s">
        <v>3340</v>
      </c>
      <c r="C115" s="73" t="s">
        <v>2579</v>
      </c>
      <c r="D115" s="73" t="s">
        <v>3088</v>
      </c>
      <c r="E115" s="73" t="s">
        <v>3088</v>
      </c>
      <c r="F115" s="73" t="s">
        <v>3088</v>
      </c>
      <c r="G115" s="73" t="s">
        <v>3089</v>
      </c>
      <c r="H115" s="73" t="s">
        <v>3088</v>
      </c>
      <c r="I115" s="73" t="s">
        <v>3093</v>
      </c>
      <c r="J115" s="73" t="s">
        <v>3341</v>
      </c>
      <c r="K115" s="73" t="s">
        <v>3089</v>
      </c>
      <c r="L115" s="73" t="s">
        <v>3088</v>
      </c>
      <c r="M115" s="73" t="s">
        <v>3088</v>
      </c>
      <c r="N115" s="73" t="s">
        <v>3088</v>
      </c>
      <c r="O115" s="73" t="s">
        <v>3088</v>
      </c>
      <c r="P115" s="73" t="s">
        <v>3088</v>
      </c>
      <c r="Q115" s="73" t="s">
        <v>3088</v>
      </c>
      <c r="R115" s="73" t="s">
        <v>3088</v>
      </c>
      <c r="S115" s="73" t="s">
        <v>3088</v>
      </c>
      <c r="T115" s="73" t="s">
        <v>3088</v>
      </c>
      <c r="U115" s="73" t="s">
        <v>3088</v>
      </c>
      <c r="V115" s="73" t="s">
        <v>3088</v>
      </c>
      <c r="W115" s="73" t="s">
        <v>3088</v>
      </c>
      <c r="X115" s="73" t="s">
        <v>3088</v>
      </c>
      <c r="Y115" s="73" t="s">
        <v>3088</v>
      </c>
      <c r="Z115" s="73" t="s">
        <v>3088</v>
      </c>
      <c r="AA115" s="73" t="s">
        <v>3088</v>
      </c>
      <c r="AB115" s="73" t="s">
        <v>3088</v>
      </c>
      <c r="AC115" s="73" t="s">
        <v>3088</v>
      </c>
      <c r="AD115" s="73" t="s">
        <v>3088</v>
      </c>
      <c r="AE115" s="73" t="s">
        <v>3088</v>
      </c>
      <c r="AF115" s="73" t="s">
        <v>3088</v>
      </c>
      <c r="AG115" s="73" t="s">
        <v>3088</v>
      </c>
      <c r="AH115" s="73" t="s">
        <v>3088</v>
      </c>
      <c r="AI115" s="73" t="s">
        <v>3088</v>
      </c>
      <c r="AJ115" s="73" t="s">
        <v>3088</v>
      </c>
      <c r="AK115" s="73" t="s">
        <v>3088</v>
      </c>
      <c r="AL115" s="73" t="s">
        <v>3088</v>
      </c>
      <c r="AM115" s="73" t="s">
        <v>3088</v>
      </c>
      <c r="AN115" s="73" t="s">
        <v>3088</v>
      </c>
      <c r="AO115" s="73" t="s">
        <v>3088</v>
      </c>
      <c r="AP115" s="73" t="s">
        <v>3088</v>
      </c>
      <c r="AQ115" s="73" t="s">
        <v>3088</v>
      </c>
      <c r="AR115" s="73" t="s">
        <v>3088</v>
      </c>
      <c r="AS115" s="73" t="s">
        <v>3088</v>
      </c>
      <c r="AT115" s="73" t="s">
        <v>3088</v>
      </c>
      <c r="AU115" s="73" t="s">
        <v>3088</v>
      </c>
      <c r="AV115" s="73" t="s">
        <v>3088</v>
      </c>
      <c r="AW115" s="73" t="s">
        <v>3088</v>
      </c>
      <c r="AX115" s="73" t="s">
        <v>3088</v>
      </c>
      <c r="AY115" s="73" t="s">
        <v>3088</v>
      </c>
      <c r="AZ115" s="73" t="s">
        <v>3088</v>
      </c>
      <c r="BA115" s="73" t="s">
        <v>3088</v>
      </c>
      <c r="BB115" s="73" t="s">
        <v>3088</v>
      </c>
      <c r="BC115" s="73" t="s">
        <v>3088</v>
      </c>
      <c r="BD115" s="73" t="s">
        <v>3088</v>
      </c>
      <c r="BE115" s="73" t="s">
        <v>3088</v>
      </c>
      <c r="BF115" s="73" t="s">
        <v>3088</v>
      </c>
      <c r="BG115" s="73" t="s">
        <v>3088</v>
      </c>
      <c r="BH115" s="73" t="s">
        <v>3088</v>
      </c>
      <c r="BI115" s="73" t="s">
        <v>3088</v>
      </c>
      <c r="BJ115" s="73" t="s">
        <v>3088</v>
      </c>
      <c r="BK115" s="73" t="s">
        <v>3088</v>
      </c>
      <c r="BL115" s="73" t="s">
        <v>3088</v>
      </c>
      <c r="BM115" s="73" t="s">
        <v>3088</v>
      </c>
      <c r="BN115" s="73" t="s">
        <v>3088</v>
      </c>
      <c r="BO115" s="73" t="s">
        <v>3088</v>
      </c>
      <c r="BP115" s="73" t="s">
        <v>3088</v>
      </c>
      <c r="BQ115" s="73" t="s">
        <v>3342</v>
      </c>
      <c r="BR115" s="73" t="s">
        <v>3088</v>
      </c>
    </row>
    <row r="116" spans="1:70">
      <c r="A116" s="73" t="s">
        <v>1864</v>
      </c>
      <c r="B116" s="73" t="s">
        <v>3343</v>
      </c>
      <c r="C116" s="73" t="s">
        <v>2537</v>
      </c>
      <c r="D116" s="73" t="s">
        <v>3088</v>
      </c>
      <c r="E116" s="73" t="s">
        <v>3088</v>
      </c>
      <c r="F116" s="73" t="s">
        <v>3088</v>
      </c>
      <c r="G116" s="73" t="s">
        <v>3089</v>
      </c>
      <c r="H116" s="73" t="s">
        <v>3088</v>
      </c>
      <c r="I116" s="73" t="s">
        <v>3093</v>
      </c>
      <c r="J116" s="73" t="s">
        <v>3344</v>
      </c>
      <c r="K116" s="73" t="s">
        <v>3089</v>
      </c>
      <c r="L116" s="73" t="s">
        <v>3088</v>
      </c>
      <c r="M116" s="73" t="s">
        <v>3088</v>
      </c>
      <c r="N116" s="73" t="s">
        <v>3088</v>
      </c>
      <c r="O116" s="73" t="s">
        <v>3088</v>
      </c>
      <c r="P116" s="73" t="s">
        <v>3088</v>
      </c>
      <c r="Q116" s="73" t="s">
        <v>3088</v>
      </c>
      <c r="R116" s="73" t="s">
        <v>3088</v>
      </c>
      <c r="S116" s="73" t="s">
        <v>3088</v>
      </c>
      <c r="T116" s="73" t="s">
        <v>3088</v>
      </c>
      <c r="U116" s="73" t="s">
        <v>3088</v>
      </c>
      <c r="V116" s="73" t="s">
        <v>3088</v>
      </c>
      <c r="W116" s="73" t="s">
        <v>3088</v>
      </c>
      <c r="X116" s="73" t="s">
        <v>3088</v>
      </c>
      <c r="Y116" s="73" t="s">
        <v>3088</v>
      </c>
      <c r="Z116" s="73" t="s">
        <v>3088</v>
      </c>
      <c r="AA116" s="73" t="s">
        <v>3088</v>
      </c>
      <c r="AB116" s="73" t="s">
        <v>3088</v>
      </c>
      <c r="AC116" s="73" t="s">
        <v>3088</v>
      </c>
      <c r="AD116" s="73" t="s">
        <v>3088</v>
      </c>
      <c r="AE116" s="73" t="s">
        <v>3088</v>
      </c>
      <c r="AF116" s="73" t="s">
        <v>3088</v>
      </c>
      <c r="AG116" s="73" t="s">
        <v>3088</v>
      </c>
      <c r="AH116" s="73" t="s">
        <v>3088</v>
      </c>
      <c r="AI116" s="73" t="s">
        <v>3088</v>
      </c>
      <c r="AJ116" s="73" t="s">
        <v>3088</v>
      </c>
      <c r="AK116" s="73" t="s">
        <v>3088</v>
      </c>
      <c r="AL116" s="73" t="s">
        <v>3088</v>
      </c>
      <c r="AM116" s="73" t="s">
        <v>3088</v>
      </c>
      <c r="AN116" s="73" t="s">
        <v>3088</v>
      </c>
      <c r="AO116" s="73" t="s">
        <v>3088</v>
      </c>
      <c r="AP116" s="73" t="s">
        <v>3088</v>
      </c>
      <c r="AQ116" s="73" t="s">
        <v>3088</v>
      </c>
      <c r="AR116" s="73" t="s">
        <v>3088</v>
      </c>
      <c r="AS116" s="73" t="s">
        <v>3088</v>
      </c>
      <c r="AT116" s="73" t="s">
        <v>3088</v>
      </c>
      <c r="AU116" s="73" t="s">
        <v>3088</v>
      </c>
      <c r="AV116" s="73" t="s">
        <v>3088</v>
      </c>
      <c r="AW116" s="73" t="s">
        <v>3088</v>
      </c>
      <c r="AX116" s="73" t="s">
        <v>3088</v>
      </c>
      <c r="AY116" s="73" t="s">
        <v>3088</v>
      </c>
      <c r="AZ116" s="73" t="s">
        <v>3088</v>
      </c>
      <c r="BA116" s="73" t="s">
        <v>3088</v>
      </c>
      <c r="BB116" s="73" t="s">
        <v>3088</v>
      </c>
      <c r="BC116" s="73" t="s">
        <v>3088</v>
      </c>
      <c r="BD116" s="73" t="s">
        <v>3088</v>
      </c>
      <c r="BE116" s="73" t="s">
        <v>3088</v>
      </c>
      <c r="BF116" s="73" t="s">
        <v>3088</v>
      </c>
      <c r="BG116" s="73" t="s">
        <v>3088</v>
      </c>
      <c r="BH116" s="73" t="s">
        <v>3088</v>
      </c>
      <c r="BI116" s="73" t="s">
        <v>3088</v>
      </c>
      <c r="BJ116" s="73" t="s">
        <v>3088</v>
      </c>
      <c r="BK116" s="73" t="s">
        <v>3088</v>
      </c>
      <c r="BL116" s="73" t="s">
        <v>3088</v>
      </c>
      <c r="BM116" s="73" t="s">
        <v>3088</v>
      </c>
      <c r="BN116" s="73" t="s">
        <v>3088</v>
      </c>
      <c r="BO116" s="73" t="s">
        <v>3088</v>
      </c>
      <c r="BP116" s="73" t="s">
        <v>3088</v>
      </c>
      <c r="BQ116" s="73" t="s">
        <v>3345</v>
      </c>
      <c r="BR116" s="73" t="s">
        <v>3088</v>
      </c>
    </row>
    <row r="117" spans="1:70">
      <c r="A117" s="73" t="s">
        <v>1864</v>
      </c>
      <c r="B117" s="73" t="s">
        <v>2853</v>
      </c>
      <c r="C117" s="73" t="s">
        <v>2571</v>
      </c>
      <c r="D117" s="73" t="s">
        <v>3088</v>
      </c>
      <c r="E117" s="73" t="s">
        <v>3088</v>
      </c>
      <c r="F117" s="73" t="s">
        <v>3088</v>
      </c>
      <c r="G117" s="73" t="s">
        <v>3089</v>
      </c>
      <c r="H117" s="73" t="s">
        <v>3088</v>
      </c>
      <c r="I117" s="73" t="s">
        <v>543</v>
      </c>
      <c r="J117" s="73" t="s">
        <v>2854</v>
      </c>
      <c r="K117" s="73" t="s">
        <v>3089</v>
      </c>
      <c r="L117" s="73" t="s">
        <v>3088</v>
      </c>
      <c r="M117" s="73" t="s">
        <v>3088</v>
      </c>
      <c r="N117" s="73" t="s">
        <v>3088</v>
      </c>
      <c r="O117" s="73" t="s">
        <v>3088</v>
      </c>
      <c r="P117" s="73" t="s">
        <v>3088</v>
      </c>
      <c r="Q117" s="73" t="s">
        <v>3088</v>
      </c>
      <c r="R117" s="73" t="s">
        <v>3088</v>
      </c>
      <c r="S117" s="73" t="s">
        <v>3088</v>
      </c>
      <c r="T117" s="73" t="s">
        <v>3088</v>
      </c>
      <c r="U117" s="73" t="s">
        <v>3088</v>
      </c>
      <c r="V117" s="73" t="s">
        <v>3088</v>
      </c>
      <c r="W117" s="73" t="s">
        <v>3088</v>
      </c>
      <c r="X117" s="73" t="s">
        <v>3088</v>
      </c>
      <c r="Y117" s="73" t="s">
        <v>3088</v>
      </c>
      <c r="Z117" s="73" t="s">
        <v>3088</v>
      </c>
      <c r="AA117" s="73" t="s">
        <v>3088</v>
      </c>
      <c r="AB117" s="73" t="s">
        <v>3088</v>
      </c>
      <c r="AC117" s="73" t="s">
        <v>3088</v>
      </c>
      <c r="AD117" s="73" t="s">
        <v>3088</v>
      </c>
      <c r="AE117" s="73" t="s">
        <v>3088</v>
      </c>
      <c r="AF117" s="73" t="s">
        <v>3088</v>
      </c>
      <c r="AG117" s="73" t="s">
        <v>3088</v>
      </c>
      <c r="AH117" s="73" t="s">
        <v>3088</v>
      </c>
      <c r="AI117" s="73" t="s">
        <v>3088</v>
      </c>
      <c r="AJ117" s="73" t="s">
        <v>3088</v>
      </c>
      <c r="AK117" s="73" t="s">
        <v>3088</v>
      </c>
      <c r="AL117" s="73" t="s">
        <v>3088</v>
      </c>
      <c r="AM117" s="73" t="s">
        <v>3088</v>
      </c>
      <c r="AN117" s="73" t="s">
        <v>3088</v>
      </c>
      <c r="AO117" s="73" t="s">
        <v>3088</v>
      </c>
      <c r="AP117" s="73" t="s">
        <v>3088</v>
      </c>
      <c r="AQ117" s="73" t="s">
        <v>3088</v>
      </c>
      <c r="AR117" s="73" t="s">
        <v>3088</v>
      </c>
      <c r="AS117" s="73" t="s">
        <v>3088</v>
      </c>
      <c r="AT117" s="73" t="s">
        <v>3088</v>
      </c>
      <c r="AU117" s="73" t="s">
        <v>3088</v>
      </c>
      <c r="AV117" s="73" t="s">
        <v>3088</v>
      </c>
      <c r="AW117" s="73" t="s">
        <v>3088</v>
      </c>
      <c r="AX117" s="73" t="s">
        <v>3088</v>
      </c>
      <c r="AY117" s="73" t="s">
        <v>3088</v>
      </c>
      <c r="AZ117" s="73" t="s">
        <v>3088</v>
      </c>
      <c r="BA117" s="73" t="s">
        <v>3088</v>
      </c>
      <c r="BB117" s="73" t="s">
        <v>3088</v>
      </c>
      <c r="BC117" s="73" t="s">
        <v>3088</v>
      </c>
      <c r="BD117" s="73" t="s">
        <v>3088</v>
      </c>
      <c r="BE117" s="73" t="s">
        <v>3088</v>
      </c>
      <c r="BF117" s="73" t="s">
        <v>3088</v>
      </c>
      <c r="BG117" s="73" t="s">
        <v>3088</v>
      </c>
      <c r="BH117" s="73" t="s">
        <v>3088</v>
      </c>
      <c r="BI117" s="73" t="s">
        <v>3088</v>
      </c>
      <c r="BJ117" s="73" t="s">
        <v>3088</v>
      </c>
      <c r="BK117" s="73" t="s">
        <v>3088</v>
      </c>
      <c r="BL117" s="73" t="s">
        <v>3088</v>
      </c>
      <c r="BM117" s="73" t="s">
        <v>3088</v>
      </c>
      <c r="BN117" s="73" t="s">
        <v>3088</v>
      </c>
      <c r="BO117" s="73" t="s">
        <v>3088</v>
      </c>
      <c r="BP117" s="73" t="s">
        <v>3088</v>
      </c>
      <c r="BQ117" s="73" t="s">
        <v>3346</v>
      </c>
      <c r="BR117" s="73" t="s">
        <v>3088</v>
      </c>
    </row>
    <row r="118" spans="1:70">
      <c r="A118" s="73" t="s">
        <v>1864</v>
      </c>
      <c r="B118" s="73" t="s">
        <v>2623</v>
      </c>
      <c r="C118" s="73" t="s">
        <v>2533</v>
      </c>
      <c r="D118" s="73" t="s">
        <v>3088</v>
      </c>
      <c r="E118" s="73" t="s">
        <v>3088</v>
      </c>
      <c r="F118" s="73" t="s">
        <v>3088</v>
      </c>
      <c r="G118" s="73" t="s">
        <v>3089</v>
      </c>
      <c r="H118" s="73" t="s">
        <v>3088</v>
      </c>
      <c r="I118" s="73" t="s">
        <v>108</v>
      </c>
      <c r="J118" s="73" t="s">
        <v>3347</v>
      </c>
      <c r="K118" s="73" t="s">
        <v>3095</v>
      </c>
      <c r="L118" s="73" t="s">
        <v>2193</v>
      </c>
      <c r="M118" s="73" t="s">
        <v>3347</v>
      </c>
      <c r="N118" s="73" t="s">
        <v>3095</v>
      </c>
      <c r="O118" s="73" t="s">
        <v>3088</v>
      </c>
      <c r="P118" s="73" t="s">
        <v>3088</v>
      </c>
      <c r="Q118" s="73" t="s">
        <v>3088</v>
      </c>
      <c r="R118" s="73" t="s">
        <v>3088</v>
      </c>
      <c r="S118" s="73" t="s">
        <v>3088</v>
      </c>
      <c r="T118" s="73" t="s">
        <v>3088</v>
      </c>
      <c r="U118" s="73" t="s">
        <v>3088</v>
      </c>
      <c r="V118" s="73" t="s">
        <v>3088</v>
      </c>
      <c r="W118" s="73" t="s">
        <v>3088</v>
      </c>
      <c r="X118" s="73" t="s">
        <v>3088</v>
      </c>
      <c r="Y118" s="73" t="s">
        <v>3088</v>
      </c>
      <c r="Z118" s="73" t="s">
        <v>3088</v>
      </c>
      <c r="AA118" s="73" t="s">
        <v>3088</v>
      </c>
      <c r="AB118" s="73" t="s">
        <v>3088</v>
      </c>
      <c r="AC118" s="73" t="s">
        <v>3088</v>
      </c>
      <c r="AD118" s="73" t="s">
        <v>3088</v>
      </c>
      <c r="AE118" s="73" t="s">
        <v>3088</v>
      </c>
      <c r="AF118" s="73" t="s">
        <v>3088</v>
      </c>
      <c r="AG118" s="73" t="s">
        <v>3088</v>
      </c>
      <c r="AH118" s="73" t="s">
        <v>3088</v>
      </c>
      <c r="AI118" s="73" t="s">
        <v>3088</v>
      </c>
      <c r="AJ118" s="73" t="s">
        <v>3088</v>
      </c>
      <c r="AK118" s="73" t="s">
        <v>3088</v>
      </c>
      <c r="AL118" s="73" t="s">
        <v>3088</v>
      </c>
      <c r="AM118" s="73" t="s">
        <v>3088</v>
      </c>
      <c r="AN118" s="73" t="s">
        <v>3088</v>
      </c>
      <c r="AO118" s="73" t="s">
        <v>3088</v>
      </c>
      <c r="AP118" s="73" t="s">
        <v>3088</v>
      </c>
      <c r="AQ118" s="73" t="s">
        <v>3088</v>
      </c>
      <c r="AR118" s="73" t="s">
        <v>3088</v>
      </c>
      <c r="AS118" s="73" t="s">
        <v>3088</v>
      </c>
      <c r="AT118" s="73" t="s">
        <v>3088</v>
      </c>
      <c r="AU118" s="73" t="s">
        <v>3088</v>
      </c>
      <c r="AV118" s="73" t="s">
        <v>3088</v>
      </c>
      <c r="AW118" s="73" t="s">
        <v>3088</v>
      </c>
      <c r="AX118" s="73" t="s">
        <v>3088</v>
      </c>
      <c r="AY118" s="73" t="s">
        <v>3088</v>
      </c>
      <c r="AZ118" s="73" t="s">
        <v>3088</v>
      </c>
      <c r="BA118" s="73" t="s">
        <v>3088</v>
      </c>
      <c r="BB118" s="73" t="s">
        <v>3088</v>
      </c>
      <c r="BC118" s="73" t="s">
        <v>3088</v>
      </c>
      <c r="BD118" s="73" t="s">
        <v>3088</v>
      </c>
      <c r="BE118" s="73" t="s">
        <v>3088</v>
      </c>
      <c r="BF118" s="73" t="s">
        <v>3088</v>
      </c>
      <c r="BG118" s="73" t="s">
        <v>3088</v>
      </c>
      <c r="BH118" s="73" t="s">
        <v>3088</v>
      </c>
      <c r="BI118" s="73" t="s">
        <v>3088</v>
      </c>
      <c r="BJ118" s="73" t="s">
        <v>3088</v>
      </c>
      <c r="BK118" s="73" t="s">
        <v>3088</v>
      </c>
      <c r="BL118" s="73" t="s">
        <v>3088</v>
      </c>
      <c r="BM118" s="73" t="s">
        <v>3088</v>
      </c>
      <c r="BN118" s="73" t="s">
        <v>3088</v>
      </c>
      <c r="BO118" s="73" t="s">
        <v>3088</v>
      </c>
      <c r="BP118" s="73" t="s">
        <v>3088</v>
      </c>
      <c r="BQ118" s="73" t="s">
        <v>3348</v>
      </c>
      <c r="BR118" s="73" t="s">
        <v>3097</v>
      </c>
    </row>
    <row r="119" spans="1:70">
      <c r="A119" s="73" t="s">
        <v>1864</v>
      </c>
      <c r="B119" s="73" t="s">
        <v>2855</v>
      </c>
      <c r="C119" s="73" t="s">
        <v>2582</v>
      </c>
      <c r="D119" s="73" t="s">
        <v>3088</v>
      </c>
      <c r="E119" s="73" t="s">
        <v>3088</v>
      </c>
      <c r="F119" s="73" t="s">
        <v>3088</v>
      </c>
      <c r="G119" s="73" t="s">
        <v>3089</v>
      </c>
      <c r="H119" s="73" t="s">
        <v>3088</v>
      </c>
      <c r="I119" s="73" t="s">
        <v>543</v>
      </c>
      <c r="J119" s="73" t="s">
        <v>2856</v>
      </c>
      <c r="K119" s="73" t="s">
        <v>3089</v>
      </c>
      <c r="L119" s="73" t="s">
        <v>3088</v>
      </c>
      <c r="M119" s="73" t="s">
        <v>3088</v>
      </c>
      <c r="N119" s="73" t="s">
        <v>3088</v>
      </c>
      <c r="O119" s="73" t="s">
        <v>3088</v>
      </c>
      <c r="P119" s="73" t="s">
        <v>3088</v>
      </c>
      <c r="Q119" s="73" t="s">
        <v>3088</v>
      </c>
      <c r="R119" s="73" t="s">
        <v>3088</v>
      </c>
      <c r="S119" s="73" t="s">
        <v>3088</v>
      </c>
      <c r="T119" s="73" t="s">
        <v>3088</v>
      </c>
      <c r="U119" s="73" t="s">
        <v>3088</v>
      </c>
      <c r="V119" s="73" t="s">
        <v>3088</v>
      </c>
      <c r="W119" s="73" t="s">
        <v>3088</v>
      </c>
      <c r="X119" s="73" t="s">
        <v>3088</v>
      </c>
      <c r="Y119" s="73" t="s">
        <v>3088</v>
      </c>
      <c r="Z119" s="73" t="s">
        <v>3088</v>
      </c>
      <c r="AA119" s="73" t="s">
        <v>3088</v>
      </c>
      <c r="AB119" s="73" t="s">
        <v>3088</v>
      </c>
      <c r="AC119" s="73" t="s">
        <v>3088</v>
      </c>
      <c r="AD119" s="73" t="s">
        <v>3088</v>
      </c>
      <c r="AE119" s="73" t="s">
        <v>3088</v>
      </c>
      <c r="AF119" s="73" t="s">
        <v>3088</v>
      </c>
      <c r="AG119" s="73" t="s">
        <v>3088</v>
      </c>
      <c r="AH119" s="73" t="s">
        <v>3088</v>
      </c>
      <c r="AI119" s="73" t="s">
        <v>3088</v>
      </c>
      <c r="AJ119" s="73" t="s">
        <v>3088</v>
      </c>
      <c r="AK119" s="73" t="s">
        <v>3088</v>
      </c>
      <c r="AL119" s="73" t="s">
        <v>3088</v>
      </c>
      <c r="AM119" s="73" t="s">
        <v>3088</v>
      </c>
      <c r="AN119" s="73" t="s">
        <v>3088</v>
      </c>
      <c r="AO119" s="73" t="s">
        <v>3088</v>
      </c>
      <c r="AP119" s="73" t="s">
        <v>3088</v>
      </c>
      <c r="AQ119" s="73" t="s">
        <v>3088</v>
      </c>
      <c r="AR119" s="73" t="s">
        <v>3088</v>
      </c>
      <c r="AS119" s="73" t="s">
        <v>3088</v>
      </c>
      <c r="AT119" s="73" t="s">
        <v>3088</v>
      </c>
      <c r="AU119" s="73" t="s">
        <v>3088</v>
      </c>
      <c r="AV119" s="73" t="s">
        <v>3088</v>
      </c>
      <c r="AW119" s="73" t="s">
        <v>3088</v>
      </c>
      <c r="AX119" s="73" t="s">
        <v>3088</v>
      </c>
      <c r="AY119" s="73" t="s">
        <v>3088</v>
      </c>
      <c r="AZ119" s="73" t="s">
        <v>3088</v>
      </c>
      <c r="BA119" s="73" t="s">
        <v>3088</v>
      </c>
      <c r="BB119" s="73" t="s">
        <v>3088</v>
      </c>
      <c r="BC119" s="73" t="s">
        <v>3088</v>
      </c>
      <c r="BD119" s="73" t="s">
        <v>3088</v>
      </c>
      <c r="BE119" s="73" t="s">
        <v>3088</v>
      </c>
      <c r="BF119" s="73" t="s">
        <v>3088</v>
      </c>
      <c r="BG119" s="73" t="s">
        <v>3088</v>
      </c>
      <c r="BH119" s="73" t="s">
        <v>3088</v>
      </c>
      <c r="BI119" s="73" t="s">
        <v>3088</v>
      </c>
      <c r="BJ119" s="73" t="s">
        <v>3088</v>
      </c>
      <c r="BK119" s="73" t="s">
        <v>3088</v>
      </c>
      <c r="BL119" s="73" t="s">
        <v>3088</v>
      </c>
      <c r="BM119" s="73" t="s">
        <v>3088</v>
      </c>
      <c r="BN119" s="73" t="s">
        <v>3088</v>
      </c>
      <c r="BO119" s="73" t="s">
        <v>3088</v>
      </c>
      <c r="BP119" s="73" t="s">
        <v>3088</v>
      </c>
      <c r="BQ119" s="73" t="s">
        <v>3349</v>
      </c>
      <c r="BR119" s="73" t="s">
        <v>3088</v>
      </c>
    </row>
    <row r="120" spans="1:70">
      <c r="A120" s="73" t="s">
        <v>1864</v>
      </c>
      <c r="B120" s="73" t="s">
        <v>3350</v>
      </c>
      <c r="C120" s="73" t="s">
        <v>2563</v>
      </c>
      <c r="D120" s="73" t="s">
        <v>3088</v>
      </c>
      <c r="E120" s="73" t="s">
        <v>3088</v>
      </c>
      <c r="F120" s="73" t="s">
        <v>3088</v>
      </c>
      <c r="G120" s="73" t="s">
        <v>3089</v>
      </c>
      <c r="H120" s="73" t="s">
        <v>3088</v>
      </c>
      <c r="I120" s="73" t="s">
        <v>3180</v>
      </c>
      <c r="J120" s="73" t="s">
        <v>3351</v>
      </c>
      <c r="K120" s="73" t="s">
        <v>3089</v>
      </c>
      <c r="L120" s="73" t="s">
        <v>3088</v>
      </c>
      <c r="M120" s="73" t="s">
        <v>3088</v>
      </c>
      <c r="N120" s="73" t="s">
        <v>3088</v>
      </c>
      <c r="O120" s="73" t="s">
        <v>3088</v>
      </c>
      <c r="P120" s="73" t="s">
        <v>3088</v>
      </c>
      <c r="Q120" s="73" t="s">
        <v>3088</v>
      </c>
      <c r="R120" s="73" t="s">
        <v>3088</v>
      </c>
      <c r="S120" s="73" t="s">
        <v>3088</v>
      </c>
      <c r="T120" s="73" t="s">
        <v>3088</v>
      </c>
      <c r="U120" s="73" t="s">
        <v>3088</v>
      </c>
      <c r="V120" s="73" t="s">
        <v>3088</v>
      </c>
      <c r="W120" s="73" t="s">
        <v>3088</v>
      </c>
      <c r="X120" s="73" t="s">
        <v>3088</v>
      </c>
      <c r="Y120" s="73" t="s">
        <v>3088</v>
      </c>
      <c r="Z120" s="73" t="s">
        <v>3088</v>
      </c>
      <c r="AA120" s="73" t="s">
        <v>3088</v>
      </c>
      <c r="AB120" s="73" t="s">
        <v>3088</v>
      </c>
      <c r="AC120" s="73" t="s">
        <v>3088</v>
      </c>
      <c r="AD120" s="73" t="s">
        <v>3088</v>
      </c>
      <c r="AE120" s="73" t="s">
        <v>3088</v>
      </c>
      <c r="AF120" s="73" t="s">
        <v>3088</v>
      </c>
      <c r="AG120" s="73" t="s">
        <v>3088</v>
      </c>
      <c r="AH120" s="73" t="s">
        <v>3088</v>
      </c>
      <c r="AI120" s="73" t="s">
        <v>3088</v>
      </c>
      <c r="AJ120" s="73" t="s">
        <v>3088</v>
      </c>
      <c r="AK120" s="73" t="s">
        <v>3088</v>
      </c>
      <c r="AL120" s="73" t="s">
        <v>3088</v>
      </c>
      <c r="AM120" s="73" t="s">
        <v>3088</v>
      </c>
      <c r="AN120" s="73" t="s">
        <v>3088</v>
      </c>
      <c r="AO120" s="73" t="s">
        <v>3088</v>
      </c>
      <c r="AP120" s="73" t="s">
        <v>3088</v>
      </c>
      <c r="AQ120" s="73" t="s">
        <v>3088</v>
      </c>
      <c r="AR120" s="73" t="s">
        <v>3088</v>
      </c>
      <c r="AS120" s="73" t="s">
        <v>3088</v>
      </c>
      <c r="AT120" s="73" t="s">
        <v>3088</v>
      </c>
      <c r="AU120" s="73" t="s">
        <v>3088</v>
      </c>
      <c r="AV120" s="73" t="s">
        <v>3088</v>
      </c>
      <c r="AW120" s="73" t="s">
        <v>3088</v>
      </c>
      <c r="AX120" s="73" t="s">
        <v>3088</v>
      </c>
      <c r="AY120" s="73" t="s">
        <v>3088</v>
      </c>
      <c r="AZ120" s="73" t="s">
        <v>3088</v>
      </c>
      <c r="BA120" s="73" t="s">
        <v>3088</v>
      </c>
      <c r="BB120" s="73" t="s">
        <v>3088</v>
      </c>
      <c r="BC120" s="73" t="s">
        <v>3088</v>
      </c>
      <c r="BD120" s="73" t="s">
        <v>3088</v>
      </c>
      <c r="BE120" s="73" t="s">
        <v>3088</v>
      </c>
      <c r="BF120" s="73" t="s">
        <v>3088</v>
      </c>
      <c r="BG120" s="73" t="s">
        <v>3088</v>
      </c>
      <c r="BH120" s="73" t="s">
        <v>3088</v>
      </c>
      <c r="BI120" s="73" t="s">
        <v>3088</v>
      </c>
      <c r="BJ120" s="73" t="s">
        <v>3088</v>
      </c>
      <c r="BK120" s="73" t="s">
        <v>3088</v>
      </c>
      <c r="BL120" s="73" t="s">
        <v>3088</v>
      </c>
      <c r="BM120" s="73" t="s">
        <v>3088</v>
      </c>
      <c r="BN120" s="73" t="s">
        <v>3088</v>
      </c>
      <c r="BO120" s="73" t="s">
        <v>3088</v>
      </c>
      <c r="BP120" s="73" t="s">
        <v>3088</v>
      </c>
      <c r="BQ120" s="73" t="s">
        <v>3352</v>
      </c>
      <c r="BR120" s="73" t="s">
        <v>3088</v>
      </c>
    </row>
    <row r="121" spans="1:70">
      <c r="A121" s="73" t="s">
        <v>1864</v>
      </c>
      <c r="B121" s="73" t="s">
        <v>2625</v>
      </c>
      <c r="C121" s="73" t="s">
        <v>2533</v>
      </c>
      <c r="D121" s="73" t="s">
        <v>3088</v>
      </c>
      <c r="E121" s="73" t="s">
        <v>3088</v>
      </c>
      <c r="F121" s="73" t="s">
        <v>3088</v>
      </c>
      <c r="G121" s="73" t="s">
        <v>3089</v>
      </c>
      <c r="H121" s="73" t="s">
        <v>3088</v>
      </c>
      <c r="I121" s="73" t="s">
        <v>108</v>
      </c>
      <c r="J121" s="73" t="s">
        <v>3088</v>
      </c>
      <c r="K121" s="73" t="s">
        <v>3088</v>
      </c>
      <c r="L121" s="73" t="s">
        <v>2193</v>
      </c>
      <c r="M121" s="73" t="s">
        <v>3088</v>
      </c>
      <c r="N121" s="73" t="s">
        <v>3088</v>
      </c>
      <c r="O121" s="73" t="s">
        <v>3088</v>
      </c>
      <c r="P121" s="73" t="s">
        <v>3088</v>
      </c>
      <c r="Q121" s="73" t="s">
        <v>3088</v>
      </c>
      <c r="R121" s="73" t="s">
        <v>3088</v>
      </c>
      <c r="S121" s="73" t="s">
        <v>3088</v>
      </c>
      <c r="T121" s="73" t="s">
        <v>3088</v>
      </c>
      <c r="U121" s="73" t="s">
        <v>3088</v>
      </c>
      <c r="V121" s="73" t="s">
        <v>3088</v>
      </c>
      <c r="W121" s="73" t="s">
        <v>3088</v>
      </c>
      <c r="X121" s="73" t="s">
        <v>3088</v>
      </c>
      <c r="Y121" s="73" t="s">
        <v>3088</v>
      </c>
      <c r="Z121" s="73" t="s">
        <v>3088</v>
      </c>
      <c r="AA121" s="73" t="s">
        <v>3088</v>
      </c>
      <c r="AB121" s="73" t="s">
        <v>3088</v>
      </c>
      <c r="AC121" s="73" t="s">
        <v>3088</v>
      </c>
      <c r="AD121" s="73" t="s">
        <v>3088</v>
      </c>
      <c r="AE121" s="73" t="s">
        <v>3088</v>
      </c>
      <c r="AF121" s="73" t="s">
        <v>3088</v>
      </c>
      <c r="AG121" s="73" t="s">
        <v>3088</v>
      </c>
      <c r="AH121" s="73" t="s">
        <v>3088</v>
      </c>
      <c r="AI121" s="73" t="s">
        <v>3088</v>
      </c>
      <c r="AJ121" s="73" t="s">
        <v>3088</v>
      </c>
      <c r="AK121" s="73" t="s">
        <v>3088</v>
      </c>
      <c r="AL121" s="73" t="s">
        <v>3088</v>
      </c>
      <c r="AM121" s="73" t="s">
        <v>3088</v>
      </c>
      <c r="AN121" s="73" t="s">
        <v>3088</v>
      </c>
      <c r="AO121" s="73" t="s">
        <v>3088</v>
      </c>
      <c r="AP121" s="73" t="s">
        <v>3088</v>
      </c>
      <c r="AQ121" s="73" t="s">
        <v>3088</v>
      </c>
      <c r="AR121" s="73" t="s">
        <v>3088</v>
      </c>
      <c r="AS121" s="73" t="s">
        <v>3088</v>
      </c>
      <c r="AT121" s="73" t="s">
        <v>3088</v>
      </c>
      <c r="AU121" s="73" t="s">
        <v>3088</v>
      </c>
      <c r="AV121" s="73" t="s">
        <v>3088</v>
      </c>
      <c r="AW121" s="73" t="s">
        <v>3088</v>
      </c>
      <c r="AX121" s="73" t="s">
        <v>3088</v>
      </c>
      <c r="AY121" s="73" t="s">
        <v>3088</v>
      </c>
      <c r="AZ121" s="73" t="s">
        <v>3088</v>
      </c>
      <c r="BA121" s="73" t="s">
        <v>3088</v>
      </c>
      <c r="BB121" s="73" t="s">
        <v>3088</v>
      </c>
      <c r="BC121" s="73" t="s">
        <v>3088</v>
      </c>
      <c r="BD121" s="73" t="s">
        <v>3088</v>
      </c>
      <c r="BE121" s="73" t="s">
        <v>3088</v>
      </c>
      <c r="BF121" s="73" t="s">
        <v>3088</v>
      </c>
      <c r="BG121" s="73" t="s">
        <v>3088</v>
      </c>
      <c r="BH121" s="73" t="s">
        <v>3088</v>
      </c>
      <c r="BI121" s="73" t="s">
        <v>3088</v>
      </c>
      <c r="BJ121" s="73" t="s">
        <v>3088</v>
      </c>
      <c r="BK121" s="73" t="s">
        <v>3088</v>
      </c>
      <c r="BL121" s="73" t="s">
        <v>3088</v>
      </c>
      <c r="BM121" s="73" t="s">
        <v>3088</v>
      </c>
      <c r="BN121" s="73" t="s">
        <v>3088</v>
      </c>
      <c r="BO121" s="73" t="s">
        <v>3088</v>
      </c>
      <c r="BP121" s="73" t="s">
        <v>3088</v>
      </c>
      <c r="BQ121" s="73" t="s">
        <v>3353</v>
      </c>
      <c r="BR121" s="73" t="s">
        <v>3088</v>
      </c>
    </row>
    <row r="122" spans="1:70">
      <c r="A122" s="73" t="s">
        <v>1864</v>
      </c>
      <c r="B122" s="73" t="s">
        <v>2626</v>
      </c>
      <c r="C122" s="73" t="s">
        <v>2579</v>
      </c>
      <c r="D122" s="73" t="s">
        <v>3088</v>
      </c>
      <c r="E122" s="73" t="s">
        <v>3088</v>
      </c>
      <c r="F122" s="73" t="s">
        <v>3088</v>
      </c>
      <c r="G122" s="73" t="s">
        <v>3089</v>
      </c>
      <c r="H122" s="73" t="s">
        <v>3088</v>
      </c>
      <c r="I122" s="73" t="s">
        <v>1201</v>
      </c>
      <c r="J122" s="73" t="s">
        <v>2627</v>
      </c>
      <c r="K122" s="73" t="s">
        <v>3089</v>
      </c>
      <c r="L122" s="73" t="s">
        <v>3088</v>
      </c>
      <c r="M122" s="73" t="s">
        <v>3088</v>
      </c>
      <c r="N122" s="73" t="s">
        <v>3088</v>
      </c>
      <c r="O122" s="73" t="s">
        <v>3088</v>
      </c>
      <c r="P122" s="73" t="s">
        <v>3088</v>
      </c>
      <c r="Q122" s="73" t="s">
        <v>3088</v>
      </c>
      <c r="R122" s="73" t="s">
        <v>3088</v>
      </c>
      <c r="S122" s="73" t="s">
        <v>3088</v>
      </c>
      <c r="T122" s="73" t="s">
        <v>3088</v>
      </c>
      <c r="U122" s="73" t="s">
        <v>3088</v>
      </c>
      <c r="V122" s="73" t="s">
        <v>3088</v>
      </c>
      <c r="W122" s="73" t="s">
        <v>3088</v>
      </c>
      <c r="X122" s="73" t="s">
        <v>3088</v>
      </c>
      <c r="Y122" s="73" t="s">
        <v>3088</v>
      </c>
      <c r="Z122" s="73" t="s">
        <v>3088</v>
      </c>
      <c r="AA122" s="73" t="s">
        <v>3088</v>
      </c>
      <c r="AB122" s="73" t="s">
        <v>3088</v>
      </c>
      <c r="AC122" s="73" t="s">
        <v>3088</v>
      </c>
      <c r="AD122" s="73" t="s">
        <v>3088</v>
      </c>
      <c r="AE122" s="73" t="s">
        <v>3088</v>
      </c>
      <c r="AF122" s="73" t="s">
        <v>3088</v>
      </c>
      <c r="AG122" s="73" t="s">
        <v>3088</v>
      </c>
      <c r="AH122" s="73" t="s">
        <v>3088</v>
      </c>
      <c r="AI122" s="73" t="s">
        <v>3088</v>
      </c>
      <c r="AJ122" s="73" t="s">
        <v>3088</v>
      </c>
      <c r="AK122" s="73" t="s">
        <v>3088</v>
      </c>
      <c r="AL122" s="73" t="s">
        <v>3088</v>
      </c>
      <c r="AM122" s="73" t="s">
        <v>3088</v>
      </c>
      <c r="AN122" s="73" t="s">
        <v>3088</v>
      </c>
      <c r="AO122" s="73" t="s">
        <v>3088</v>
      </c>
      <c r="AP122" s="73" t="s">
        <v>3088</v>
      </c>
      <c r="AQ122" s="73" t="s">
        <v>3088</v>
      </c>
      <c r="AR122" s="73" t="s">
        <v>3088</v>
      </c>
      <c r="AS122" s="73" t="s">
        <v>3088</v>
      </c>
      <c r="AT122" s="73" t="s">
        <v>3088</v>
      </c>
      <c r="AU122" s="73" t="s">
        <v>3088</v>
      </c>
      <c r="AV122" s="73" t="s">
        <v>3088</v>
      </c>
      <c r="AW122" s="73" t="s">
        <v>3088</v>
      </c>
      <c r="AX122" s="73" t="s">
        <v>3088</v>
      </c>
      <c r="AY122" s="73" t="s">
        <v>3088</v>
      </c>
      <c r="AZ122" s="73" t="s">
        <v>3088</v>
      </c>
      <c r="BA122" s="73" t="s">
        <v>3088</v>
      </c>
      <c r="BB122" s="73" t="s">
        <v>3088</v>
      </c>
      <c r="BC122" s="73" t="s">
        <v>3088</v>
      </c>
      <c r="BD122" s="73" t="s">
        <v>3088</v>
      </c>
      <c r="BE122" s="73" t="s">
        <v>3088</v>
      </c>
      <c r="BF122" s="73" t="s">
        <v>3088</v>
      </c>
      <c r="BG122" s="73" t="s">
        <v>3088</v>
      </c>
      <c r="BH122" s="73" t="s">
        <v>3088</v>
      </c>
      <c r="BI122" s="73" t="s">
        <v>3088</v>
      </c>
      <c r="BJ122" s="73" t="s">
        <v>3088</v>
      </c>
      <c r="BK122" s="73" t="s">
        <v>3088</v>
      </c>
      <c r="BL122" s="73" t="s">
        <v>3088</v>
      </c>
      <c r="BM122" s="73" t="s">
        <v>3088</v>
      </c>
      <c r="BN122" s="73" t="s">
        <v>3088</v>
      </c>
      <c r="BO122" s="73" t="s">
        <v>3088</v>
      </c>
      <c r="BP122" s="73" t="s">
        <v>3088</v>
      </c>
      <c r="BQ122" s="73" t="s">
        <v>3354</v>
      </c>
      <c r="BR122" s="73" t="s">
        <v>3088</v>
      </c>
    </row>
    <row r="123" spans="1:70">
      <c r="A123" s="73" t="s">
        <v>1864</v>
      </c>
      <c r="B123" s="73" t="s">
        <v>2628</v>
      </c>
      <c r="C123" s="73" t="s">
        <v>2533</v>
      </c>
      <c r="D123" s="73" t="s">
        <v>3088</v>
      </c>
      <c r="E123" s="73" t="s">
        <v>3088</v>
      </c>
      <c r="F123" s="73" t="s">
        <v>3088</v>
      </c>
      <c r="G123" s="73" t="s">
        <v>3089</v>
      </c>
      <c r="H123" s="73" t="s">
        <v>3088</v>
      </c>
      <c r="I123" s="73" t="s">
        <v>108</v>
      </c>
      <c r="J123" s="73" t="s">
        <v>3355</v>
      </c>
      <c r="K123" s="73" t="s">
        <v>3089</v>
      </c>
      <c r="L123" s="73" t="s">
        <v>2193</v>
      </c>
      <c r="M123" s="73" t="s">
        <v>3355</v>
      </c>
      <c r="N123" s="73" t="s">
        <v>3089</v>
      </c>
      <c r="O123" s="73" t="s">
        <v>1201</v>
      </c>
      <c r="P123" s="73" t="s">
        <v>3355</v>
      </c>
      <c r="Q123" s="73" t="s">
        <v>3089</v>
      </c>
      <c r="R123" s="73" t="s">
        <v>3088</v>
      </c>
      <c r="S123" s="73" t="s">
        <v>3088</v>
      </c>
      <c r="T123" s="73" t="s">
        <v>3088</v>
      </c>
      <c r="U123" s="73" t="s">
        <v>3088</v>
      </c>
      <c r="V123" s="73" t="s">
        <v>3088</v>
      </c>
      <c r="W123" s="73" t="s">
        <v>3088</v>
      </c>
      <c r="X123" s="73" t="s">
        <v>3088</v>
      </c>
      <c r="Y123" s="73" t="s">
        <v>3088</v>
      </c>
      <c r="Z123" s="73" t="s">
        <v>3088</v>
      </c>
      <c r="AA123" s="73" t="s">
        <v>3088</v>
      </c>
      <c r="AB123" s="73" t="s">
        <v>3088</v>
      </c>
      <c r="AC123" s="73" t="s">
        <v>3088</v>
      </c>
      <c r="AD123" s="73" t="s">
        <v>3088</v>
      </c>
      <c r="AE123" s="73" t="s">
        <v>3088</v>
      </c>
      <c r="AF123" s="73" t="s">
        <v>3088</v>
      </c>
      <c r="AG123" s="73" t="s">
        <v>3088</v>
      </c>
      <c r="AH123" s="73" t="s">
        <v>3088</v>
      </c>
      <c r="AI123" s="73" t="s">
        <v>3088</v>
      </c>
      <c r="AJ123" s="73" t="s">
        <v>3088</v>
      </c>
      <c r="AK123" s="73" t="s">
        <v>3088</v>
      </c>
      <c r="AL123" s="73" t="s">
        <v>3088</v>
      </c>
      <c r="AM123" s="73" t="s">
        <v>3088</v>
      </c>
      <c r="AN123" s="73" t="s">
        <v>3088</v>
      </c>
      <c r="AO123" s="73" t="s">
        <v>3088</v>
      </c>
      <c r="AP123" s="73" t="s">
        <v>3088</v>
      </c>
      <c r="AQ123" s="73" t="s">
        <v>3088</v>
      </c>
      <c r="AR123" s="73" t="s">
        <v>3088</v>
      </c>
      <c r="AS123" s="73" t="s">
        <v>3088</v>
      </c>
      <c r="AT123" s="73" t="s">
        <v>3088</v>
      </c>
      <c r="AU123" s="73" t="s">
        <v>3088</v>
      </c>
      <c r="AV123" s="73" t="s">
        <v>3088</v>
      </c>
      <c r="AW123" s="73" t="s">
        <v>3088</v>
      </c>
      <c r="AX123" s="73" t="s">
        <v>3088</v>
      </c>
      <c r="AY123" s="73" t="s">
        <v>3088</v>
      </c>
      <c r="AZ123" s="73" t="s">
        <v>3088</v>
      </c>
      <c r="BA123" s="73" t="s">
        <v>3088</v>
      </c>
      <c r="BB123" s="73" t="s">
        <v>3088</v>
      </c>
      <c r="BC123" s="73" t="s">
        <v>3088</v>
      </c>
      <c r="BD123" s="73" t="s">
        <v>3088</v>
      </c>
      <c r="BE123" s="73" t="s">
        <v>3088</v>
      </c>
      <c r="BF123" s="73" t="s">
        <v>3088</v>
      </c>
      <c r="BG123" s="73" t="s">
        <v>3088</v>
      </c>
      <c r="BH123" s="73" t="s">
        <v>3088</v>
      </c>
      <c r="BI123" s="73" t="s">
        <v>3088</v>
      </c>
      <c r="BJ123" s="73" t="s">
        <v>3088</v>
      </c>
      <c r="BK123" s="73" t="s">
        <v>3088</v>
      </c>
      <c r="BL123" s="73" t="s">
        <v>3088</v>
      </c>
      <c r="BM123" s="73" t="s">
        <v>3088</v>
      </c>
      <c r="BN123" s="73" t="s">
        <v>3088</v>
      </c>
      <c r="BO123" s="73" t="s">
        <v>3088</v>
      </c>
      <c r="BP123" s="73" t="s">
        <v>3088</v>
      </c>
      <c r="BQ123" s="73" t="s">
        <v>3356</v>
      </c>
      <c r="BR123" s="73" t="s">
        <v>3088</v>
      </c>
    </row>
    <row r="124" spans="1:70">
      <c r="A124" s="73" t="s">
        <v>1864</v>
      </c>
      <c r="B124" s="73" t="s">
        <v>2631</v>
      </c>
      <c r="C124" s="73" t="s">
        <v>2537</v>
      </c>
      <c r="D124" s="73" t="s">
        <v>3088</v>
      </c>
      <c r="E124" s="73" t="s">
        <v>3088</v>
      </c>
      <c r="F124" s="73" t="s">
        <v>3088</v>
      </c>
      <c r="G124" s="73" t="s">
        <v>3089</v>
      </c>
      <c r="H124" s="73" t="s">
        <v>3088</v>
      </c>
      <c r="I124" s="73" t="s">
        <v>2135</v>
      </c>
      <c r="J124" s="73" t="s">
        <v>2632</v>
      </c>
      <c r="K124" s="73" t="s">
        <v>3089</v>
      </c>
      <c r="L124" s="73" t="s">
        <v>3088</v>
      </c>
      <c r="M124" s="73" t="s">
        <v>3088</v>
      </c>
      <c r="N124" s="73" t="s">
        <v>3088</v>
      </c>
      <c r="O124" s="73" t="s">
        <v>3088</v>
      </c>
      <c r="P124" s="73" t="s">
        <v>3088</v>
      </c>
      <c r="Q124" s="73" t="s">
        <v>3088</v>
      </c>
      <c r="R124" s="73" t="s">
        <v>3088</v>
      </c>
      <c r="S124" s="73" t="s">
        <v>3088</v>
      </c>
      <c r="T124" s="73" t="s">
        <v>3088</v>
      </c>
      <c r="U124" s="73" t="s">
        <v>3088</v>
      </c>
      <c r="V124" s="73" t="s">
        <v>3088</v>
      </c>
      <c r="W124" s="73" t="s">
        <v>3088</v>
      </c>
      <c r="X124" s="73" t="s">
        <v>3088</v>
      </c>
      <c r="Y124" s="73" t="s">
        <v>3088</v>
      </c>
      <c r="Z124" s="73" t="s">
        <v>3088</v>
      </c>
      <c r="AA124" s="73" t="s">
        <v>3088</v>
      </c>
      <c r="AB124" s="73" t="s">
        <v>3088</v>
      </c>
      <c r="AC124" s="73" t="s">
        <v>3088</v>
      </c>
      <c r="AD124" s="73" t="s">
        <v>3088</v>
      </c>
      <c r="AE124" s="73" t="s">
        <v>3088</v>
      </c>
      <c r="AF124" s="73" t="s">
        <v>3088</v>
      </c>
      <c r="AG124" s="73" t="s">
        <v>3088</v>
      </c>
      <c r="AH124" s="73" t="s">
        <v>3088</v>
      </c>
      <c r="AI124" s="73" t="s">
        <v>3088</v>
      </c>
      <c r="AJ124" s="73" t="s">
        <v>3088</v>
      </c>
      <c r="AK124" s="73" t="s">
        <v>3088</v>
      </c>
      <c r="AL124" s="73" t="s">
        <v>3088</v>
      </c>
      <c r="AM124" s="73" t="s">
        <v>3088</v>
      </c>
      <c r="AN124" s="73" t="s">
        <v>3088</v>
      </c>
      <c r="AO124" s="73" t="s">
        <v>3088</v>
      </c>
      <c r="AP124" s="73" t="s">
        <v>3088</v>
      </c>
      <c r="AQ124" s="73" t="s">
        <v>3088</v>
      </c>
      <c r="AR124" s="73" t="s">
        <v>3088</v>
      </c>
      <c r="AS124" s="73" t="s">
        <v>3088</v>
      </c>
      <c r="AT124" s="73" t="s">
        <v>3088</v>
      </c>
      <c r="AU124" s="73" t="s">
        <v>3088</v>
      </c>
      <c r="AV124" s="73" t="s">
        <v>3088</v>
      </c>
      <c r="AW124" s="73" t="s">
        <v>3088</v>
      </c>
      <c r="AX124" s="73" t="s">
        <v>3088</v>
      </c>
      <c r="AY124" s="73" t="s">
        <v>3088</v>
      </c>
      <c r="AZ124" s="73" t="s">
        <v>3088</v>
      </c>
      <c r="BA124" s="73" t="s">
        <v>3088</v>
      </c>
      <c r="BB124" s="73" t="s">
        <v>3088</v>
      </c>
      <c r="BC124" s="73" t="s">
        <v>3088</v>
      </c>
      <c r="BD124" s="73" t="s">
        <v>3088</v>
      </c>
      <c r="BE124" s="73" t="s">
        <v>3088</v>
      </c>
      <c r="BF124" s="73" t="s">
        <v>3088</v>
      </c>
      <c r="BG124" s="73" t="s">
        <v>3088</v>
      </c>
      <c r="BH124" s="73" t="s">
        <v>3088</v>
      </c>
      <c r="BI124" s="73" t="s">
        <v>3088</v>
      </c>
      <c r="BJ124" s="73" t="s">
        <v>3088</v>
      </c>
      <c r="BK124" s="73" t="s">
        <v>3088</v>
      </c>
      <c r="BL124" s="73" t="s">
        <v>3088</v>
      </c>
      <c r="BM124" s="73" t="s">
        <v>3088</v>
      </c>
      <c r="BN124" s="73" t="s">
        <v>3088</v>
      </c>
      <c r="BO124" s="73" t="s">
        <v>3088</v>
      </c>
      <c r="BP124" s="73" t="s">
        <v>3088</v>
      </c>
      <c r="BQ124" s="73" t="s">
        <v>3357</v>
      </c>
      <c r="BR124" s="73" t="s">
        <v>3088</v>
      </c>
    </row>
    <row r="125" spans="1:70">
      <c r="A125" s="73" t="s">
        <v>1864</v>
      </c>
      <c r="B125" s="73" t="s">
        <v>2633</v>
      </c>
      <c r="C125" s="73" t="s">
        <v>2571</v>
      </c>
      <c r="D125" s="73" t="s">
        <v>3088</v>
      </c>
      <c r="E125" s="73" t="s">
        <v>3088</v>
      </c>
      <c r="F125" s="73" t="s">
        <v>3088</v>
      </c>
      <c r="G125" s="73" t="s">
        <v>3089</v>
      </c>
      <c r="H125" s="73" t="s">
        <v>3088</v>
      </c>
      <c r="I125" s="73" t="s">
        <v>2135</v>
      </c>
      <c r="J125" s="73" t="s">
        <v>2632</v>
      </c>
      <c r="K125" s="73" t="s">
        <v>3089</v>
      </c>
      <c r="L125" s="73" t="s">
        <v>3088</v>
      </c>
      <c r="M125" s="73" t="s">
        <v>3088</v>
      </c>
      <c r="N125" s="73" t="s">
        <v>3088</v>
      </c>
      <c r="O125" s="73" t="s">
        <v>3088</v>
      </c>
      <c r="P125" s="73" t="s">
        <v>3088</v>
      </c>
      <c r="Q125" s="73" t="s">
        <v>3088</v>
      </c>
      <c r="R125" s="73" t="s">
        <v>3088</v>
      </c>
      <c r="S125" s="73" t="s">
        <v>3088</v>
      </c>
      <c r="T125" s="73" t="s">
        <v>3088</v>
      </c>
      <c r="U125" s="73" t="s">
        <v>3088</v>
      </c>
      <c r="V125" s="73" t="s">
        <v>3088</v>
      </c>
      <c r="W125" s="73" t="s">
        <v>3088</v>
      </c>
      <c r="X125" s="73" t="s">
        <v>3088</v>
      </c>
      <c r="Y125" s="73" t="s">
        <v>3088</v>
      </c>
      <c r="Z125" s="73" t="s">
        <v>3088</v>
      </c>
      <c r="AA125" s="73" t="s">
        <v>3088</v>
      </c>
      <c r="AB125" s="73" t="s">
        <v>3088</v>
      </c>
      <c r="AC125" s="73" t="s">
        <v>3088</v>
      </c>
      <c r="AD125" s="73" t="s">
        <v>3088</v>
      </c>
      <c r="AE125" s="73" t="s">
        <v>3088</v>
      </c>
      <c r="AF125" s="73" t="s">
        <v>3088</v>
      </c>
      <c r="AG125" s="73" t="s">
        <v>3088</v>
      </c>
      <c r="AH125" s="73" t="s">
        <v>3088</v>
      </c>
      <c r="AI125" s="73" t="s">
        <v>3088</v>
      </c>
      <c r="AJ125" s="73" t="s">
        <v>3088</v>
      </c>
      <c r="AK125" s="73" t="s">
        <v>3088</v>
      </c>
      <c r="AL125" s="73" t="s">
        <v>3088</v>
      </c>
      <c r="AM125" s="73" t="s">
        <v>3088</v>
      </c>
      <c r="AN125" s="73" t="s">
        <v>3088</v>
      </c>
      <c r="AO125" s="73" t="s">
        <v>3088</v>
      </c>
      <c r="AP125" s="73" t="s">
        <v>3088</v>
      </c>
      <c r="AQ125" s="73" t="s">
        <v>3088</v>
      </c>
      <c r="AR125" s="73" t="s">
        <v>3088</v>
      </c>
      <c r="AS125" s="73" t="s">
        <v>3088</v>
      </c>
      <c r="AT125" s="73" t="s">
        <v>3088</v>
      </c>
      <c r="AU125" s="73" t="s">
        <v>3088</v>
      </c>
      <c r="AV125" s="73" t="s">
        <v>3088</v>
      </c>
      <c r="AW125" s="73" t="s">
        <v>3088</v>
      </c>
      <c r="AX125" s="73" t="s">
        <v>3088</v>
      </c>
      <c r="AY125" s="73" t="s">
        <v>3088</v>
      </c>
      <c r="AZ125" s="73" t="s">
        <v>3088</v>
      </c>
      <c r="BA125" s="73" t="s">
        <v>3088</v>
      </c>
      <c r="BB125" s="73" t="s">
        <v>3088</v>
      </c>
      <c r="BC125" s="73" t="s">
        <v>3088</v>
      </c>
      <c r="BD125" s="73" t="s">
        <v>3088</v>
      </c>
      <c r="BE125" s="73" t="s">
        <v>3088</v>
      </c>
      <c r="BF125" s="73" t="s">
        <v>3088</v>
      </c>
      <c r="BG125" s="73" t="s">
        <v>3088</v>
      </c>
      <c r="BH125" s="73" t="s">
        <v>3088</v>
      </c>
      <c r="BI125" s="73" t="s">
        <v>3088</v>
      </c>
      <c r="BJ125" s="73" t="s">
        <v>3088</v>
      </c>
      <c r="BK125" s="73" t="s">
        <v>3088</v>
      </c>
      <c r="BL125" s="73" t="s">
        <v>3088</v>
      </c>
      <c r="BM125" s="73" t="s">
        <v>3088</v>
      </c>
      <c r="BN125" s="73" t="s">
        <v>3088</v>
      </c>
      <c r="BO125" s="73" t="s">
        <v>3088</v>
      </c>
      <c r="BP125" s="73" t="s">
        <v>3088</v>
      </c>
      <c r="BQ125" s="73" t="s">
        <v>3358</v>
      </c>
      <c r="BR125" s="73" t="s">
        <v>3088</v>
      </c>
    </row>
    <row r="126" spans="1:70">
      <c r="A126" s="73" t="s">
        <v>1864</v>
      </c>
      <c r="B126" s="73" t="s">
        <v>2634</v>
      </c>
      <c r="C126" s="73" t="s">
        <v>2563</v>
      </c>
      <c r="D126" s="73" t="s">
        <v>3088</v>
      </c>
      <c r="E126" s="73" t="s">
        <v>3088</v>
      </c>
      <c r="F126" s="73" t="s">
        <v>3088</v>
      </c>
      <c r="G126" s="73" t="s">
        <v>3089</v>
      </c>
      <c r="H126" s="73" t="s">
        <v>3088</v>
      </c>
      <c r="I126" s="73" t="s">
        <v>108</v>
      </c>
      <c r="J126" s="73" t="s">
        <v>3359</v>
      </c>
      <c r="K126" s="73" t="s">
        <v>3089</v>
      </c>
      <c r="L126" s="73" t="s">
        <v>2193</v>
      </c>
      <c r="M126" s="73" t="s">
        <v>3359</v>
      </c>
      <c r="N126" s="73" t="s">
        <v>3089</v>
      </c>
      <c r="O126" s="73" t="s">
        <v>3088</v>
      </c>
      <c r="P126" s="73" t="s">
        <v>3088</v>
      </c>
      <c r="Q126" s="73" t="s">
        <v>3088</v>
      </c>
      <c r="R126" s="73" t="s">
        <v>3088</v>
      </c>
      <c r="S126" s="73" t="s">
        <v>3088</v>
      </c>
      <c r="T126" s="73" t="s">
        <v>3088</v>
      </c>
      <c r="U126" s="73" t="s">
        <v>3088</v>
      </c>
      <c r="V126" s="73" t="s">
        <v>3088</v>
      </c>
      <c r="W126" s="73" t="s">
        <v>3088</v>
      </c>
      <c r="X126" s="73" t="s">
        <v>3088</v>
      </c>
      <c r="Y126" s="73" t="s">
        <v>3088</v>
      </c>
      <c r="Z126" s="73" t="s">
        <v>3088</v>
      </c>
      <c r="AA126" s="73" t="s">
        <v>3088</v>
      </c>
      <c r="AB126" s="73" t="s">
        <v>3088</v>
      </c>
      <c r="AC126" s="73" t="s">
        <v>3088</v>
      </c>
      <c r="AD126" s="73" t="s">
        <v>3088</v>
      </c>
      <c r="AE126" s="73" t="s">
        <v>3088</v>
      </c>
      <c r="AF126" s="73" t="s">
        <v>3088</v>
      </c>
      <c r="AG126" s="73" t="s">
        <v>3088</v>
      </c>
      <c r="AH126" s="73" t="s">
        <v>3088</v>
      </c>
      <c r="AI126" s="73" t="s">
        <v>3088</v>
      </c>
      <c r="AJ126" s="73" t="s">
        <v>3088</v>
      </c>
      <c r="AK126" s="73" t="s">
        <v>3088</v>
      </c>
      <c r="AL126" s="73" t="s">
        <v>3088</v>
      </c>
      <c r="AM126" s="73" t="s">
        <v>3088</v>
      </c>
      <c r="AN126" s="73" t="s">
        <v>3088</v>
      </c>
      <c r="AO126" s="73" t="s">
        <v>3088</v>
      </c>
      <c r="AP126" s="73" t="s">
        <v>3088</v>
      </c>
      <c r="AQ126" s="73" t="s">
        <v>3088</v>
      </c>
      <c r="AR126" s="73" t="s">
        <v>3088</v>
      </c>
      <c r="AS126" s="73" t="s">
        <v>3088</v>
      </c>
      <c r="AT126" s="73" t="s">
        <v>3088</v>
      </c>
      <c r="AU126" s="73" t="s">
        <v>3088</v>
      </c>
      <c r="AV126" s="73" t="s">
        <v>3088</v>
      </c>
      <c r="AW126" s="73" t="s">
        <v>3088</v>
      </c>
      <c r="AX126" s="73" t="s">
        <v>3088</v>
      </c>
      <c r="AY126" s="73" t="s">
        <v>3088</v>
      </c>
      <c r="AZ126" s="73" t="s">
        <v>3088</v>
      </c>
      <c r="BA126" s="73" t="s">
        <v>3088</v>
      </c>
      <c r="BB126" s="73" t="s">
        <v>3088</v>
      </c>
      <c r="BC126" s="73" t="s">
        <v>3088</v>
      </c>
      <c r="BD126" s="73" t="s">
        <v>3088</v>
      </c>
      <c r="BE126" s="73" t="s">
        <v>3088</v>
      </c>
      <c r="BF126" s="73" t="s">
        <v>3088</v>
      </c>
      <c r="BG126" s="73" t="s">
        <v>3088</v>
      </c>
      <c r="BH126" s="73" t="s">
        <v>3088</v>
      </c>
      <c r="BI126" s="73" t="s">
        <v>3088</v>
      </c>
      <c r="BJ126" s="73" t="s">
        <v>3088</v>
      </c>
      <c r="BK126" s="73" t="s">
        <v>3088</v>
      </c>
      <c r="BL126" s="73" t="s">
        <v>3088</v>
      </c>
      <c r="BM126" s="73" t="s">
        <v>3088</v>
      </c>
      <c r="BN126" s="73" t="s">
        <v>3088</v>
      </c>
      <c r="BO126" s="73" t="s">
        <v>3088</v>
      </c>
      <c r="BP126" s="73" t="s">
        <v>3088</v>
      </c>
      <c r="BQ126" s="73" t="s">
        <v>3360</v>
      </c>
      <c r="BR126" s="73" t="s">
        <v>3088</v>
      </c>
    </row>
    <row r="127" spans="1:70">
      <c r="A127" s="73" t="s">
        <v>1864</v>
      </c>
      <c r="B127" s="73" t="s">
        <v>2857</v>
      </c>
      <c r="C127" s="73" t="s">
        <v>2533</v>
      </c>
      <c r="D127" s="73" t="s">
        <v>3088</v>
      </c>
      <c r="E127" s="73" t="s">
        <v>3088</v>
      </c>
      <c r="F127" s="73" t="s">
        <v>3088</v>
      </c>
      <c r="G127" s="73" t="s">
        <v>3089</v>
      </c>
      <c r="H127" s="73" t="s">
        <v>3088</v>
      </c>
      <c r="I127" s="73" t="s">
        <v>543</v>
      </c>
      <c r="J127" s="73" t="s">
        <v>3361</v>
      </c>
      <c r="K127" s="73" t="s">
        <v>3089</v>
      </c>
      <c r="L127" s="73" t="s">
        <v>3241</v>
      </c>
      <c r="M127" s="73" t="s">
        <v>3362</v>
      </c>
      <c r="N127" s="73" t="s">
        <v>3095</v>
      </c>
      <c r="O127" s="73" t="s">
        <v>3243</v>
      </c>
      <c r="P127" s="73" t="s">
        <v>3362</v>
      </c>
      <c r="Q127" s="73" t="s">
        <v>3095</v>
      </c>
      <c r="R127" s="73" t="s">
        <v>3088</v>
      </c>
      <c r="S127" s="73" t="s">
        <v>3088</v>
      </c>
      <c r="T127" s="73" t="s">
        <v>3088</v>
      </c>
      <c r="U127" s="73" t="s">
        <v>3088</v>
      </c>
      <c r="V127" s="73" t="s">
        <v>3088</v>
      </c>
      <c r="W127" s="73" t="s">
        <v>3088</v>
      </c>
      <c r="X127" s="73" t="s">
        <v>3088</v>
      </c>
      <c r="Y127" s="73" t="s">
        <v>3088</v>
      </c>
      <c r="Z127" s="73" t="s">
        <v>3088</v>
      </c>
      <c r="AA127" s="73" t="s">
        <v>3088</v>
      </c>
      <c r="AB127" s="73" t="s">
        <v>3088</v>
      </c>
      <c r="AC127" s="73" t="s">
        <v>3088</v>
      </c>
      <c r="AD127" s="73" t="s">
        <v>3088</v>
      </c>
      <c r="AE127" s="73" t="s">
        <v>3088</v>
      </c>
      <c r="AF127" s="73" t="s">
        <v>3088</v>
      </c>
      <c r="AG127" s="73" t="s">
        <v>3088</v>
      </c>
      <c r="AH127" s="73" t="s">
        <v>3088</v>
      </c>
      <c r="AI127" s="73" t="s">
        <v>3088</v>
      </c>
      <c r="AJ127" s="73" t="s">
        <v>3088</v>
      </c>
      <c r="AK127" s="73" t="s">
        <v>3088</v>
      </c>
      <c r="AL127" s="73" t="s">
        <v>3088</v>
      </c>
      <c r="AM127" s="73" t="s">
        <v>3088</v>
      </c>
      <c r="AN127" s="73" t="s">
        <v>3088</v>
      </c>
      <c r="AO127" s="73" t="s">
        <v>3088</v>
      </c>
      <c r="AP127" s="73" t="s">
        <v>3088</v>
      </c>
      <c r="AQ127" s="73" t="s">
        <v>3088</v>
      </c>
      <c r="AR127" s="73" t="s">
        <v>3088</v>
      </c>
      <c r="AS127" s="73" t="s">
        <v>3088</v>
      </c>
      <c r="AT127" s="73" t="s">
        <v>3088</v>
      </c>
      <c r="AU127" s="73" t="s">
        <v>3088</v>
      </c>
      <c r="AV127" s="73" t="s">
        <v>3088</v>
      </c>
      <c r="AW127" s="73" t="s">
        <v>3088</v>
      </c>
      <c r="AX127" s="73" t="s">
        <v>3088</v>
      </c>
      <c r="AY127" s="73" t="s">
        <v>3088</v>
      </c>
      <c r="AZ127" s="73" t="s">
        <v>3088</v>
      </c>
      <c r="BA127" s="73" t="s">
        <v>3088</v>
      </c>
      <c r="BB127" s="73" t="s">
        <v>3088</v>
      </c>
      <c r="BC127" s="73" t="s">
        <v>3088</v>
      </c>
      <c r="BD127" s="73" t="s">
        <v>3088</v>
      </c>
      <c r="BE127" s="73" t="s">
        <v>3088</v>
      </c>
      <c r="BF127" s="73" t="s">
        <v>3088</v>
      </c>
      <c r="BG127" s="73" t="s">
        <v>3088</v>
      </c>
      <c r="BH127" s="73" t="s">
        <v>3088</v>
      </c>
      <c r="BI127" s="73" t="s">
        <v>3088</v>
      </c>
      <c r="BJ127" s="73" t="s">
        <v>3088</v>
      </c>
      <c r="BK127" s="73" t="s">
        <v>3088</v>
      </c>
      <c r="BL127" s="73" t="s">
        <v>3088</v>
      </c>
      <c r="BM127" s="73" t="s">
        <v>3088</v>
      </c>
      <c r="BN127" s="73" t="s">
        <v>3088</v>
      </c>
      <c r="BO127" s="73" t="s">
        <v>3088</v>
      </c>
      <c r="BP127" s="73" t="s">
        <v>3088</v>
      </c>
      <c r="BQ127" s="73" t="s">
        <v>3363</v>
      </c>
      <c r="BR127" s="73" t="s">
        <v>3097</v>
      </c>
    </row>
    <row r="128" spans="1:70">
      <c r="A128" s="73" t="s">
        <v>1864</v>
      </c>
      <c r="B128" s="73" t="s">
        <v>3364</v>
      </c>
      <c r="C128" s="73" t="s">
        <v>2582</v>
      </c>
      <c r="D128" s="73" t="s">
        <v>3088</v>
      </c>
      <c r="E128" s="73" t="s">
        <v>3088</v>
      </c>
      <c r="F128" s="73" t="s">
        <v>3088</v>
      </c>
      <c r="G128" s="73" t="s">
        <v>3089</v>
      </c>
      <c r="H128" s="73" t="s">
        <v>3130</v>
      </c>
      <c r="I128" s="73" t="s">
        <v>3088</v>
      </c>
      <c r="J128" s="73" t="s">
        <v>3088</v>
      </c>
      <c r="K128" s="73" t="s">
        <v>3088</v>
      </c>
      <c r="L128" s="73" t="s">
        <v>3088</v>
      </c>
      <c r="M128" s="73" t="s">
        <v>3088</v>
      </c>
      <c r="N128" s="73" t="s">
        <v>3088</v>
      </c>
      <c r="O128" s="73" t="s">
        <v>3088</v>
      </c>
      <c r="P128" s="73" t="s">
        <v>3088</v>
      </c>
      <c r="Q128" s="73" t="s">
        <v>3088</v>
      </c>
      <c r="R128" s="73" t="s">
        <v>3088</v>
      </c>
      <c r="S128" s="73" t="s">
        <v>3088</v>
      </c>
      <c r="T128" s="73" t="s">
        <v>3088</v>
      </c>
      <c r="U128" s="73" t="s">
        <v>3088</v>
      </c>
      <c r="V128" s="73" t="s">
        <v>3088</v>
      </c>
      <c r="W128" s="73" t="s">
        <v>3088</v>
      </c>
      <c r="X128" s="73" t="s">
        <v>3088</v>
      </c>
      <c r="Y128" s="73" t="s">
        <v>3088</v>
      </c>
      <c r="Z128" s="73" t="s">
        <v>3088</v>
      </c>
      <c r="AA128" s="73" t="s">
        <v>3088</v>
      </c>
      <c r="AB128" s="73" t="s">
        <v>3088</v>
      </c>
      <c r="AC128" s="73" t="s">
        <v>3088</v>
      </c>
      <c r="AD128" s="73" t="s">
        <v>3088</v>
      </c>
      <c r="AE128" s="73" t="s">
        <v>3088</v>
      </c>
      <c r="AF128" s="73" t="s">
        <v>3088</v>
      </c>
      <c r="AG128" s="73" t="s">
        <v>3088</v>
      </c>
      <c r="AH128" s="73" t="s">
        <v>3088</v>
      </c>
      <c r="AI128" s="73" t="s">
        <v>3088</v>
      </c>
      <c r="AJ128" s="73" t="s">
        <v>3088</v>
      </c>
      <c r="AK128" s="73" t="s">
        <v>3088</v>
      </c>
      <c r="AL128" s="73" t="s">
        <v>3088</v>
      </c>
      <c r="AM128" s="73" t="s">
        <v>3088</v>
      </c>
      <c r="AN128" s="73" t="s">
        <v>3088</v>
      </c>
      <c r="AO128" s="73" t="s">
        <v>3088</v>
      </c>
      <c r="AP128" s="73" t="s">
        <v>3088</v>
      </c>
      <c r="AQ128" s="73" t="s">
        <v>3088</v>
      </c>
      <c r="AR128" s="73" t="s">
        <v>3088</v>
      </c>
      <c r="AS128" s="73" t="s">
        <v>3088</v>
      </c>
      <c r="AT128" s="73" t="s">
        <v>3088</v>
      </c>
      <c r="AU128" s="73" t="s">
        <v>3088</v>
      </c>
      <c r="AV128" s="73" t="s">
        <v>3088</v>
      </c>
      <c r="AW128" s="73" t="s">
        <v>3088</v>
      </c>
      <c r="AX128" s="73" t="s">
        <v>3088</v>
      </c>
      <c r="AY128" s="73" t="s">
        <v>3088</v>
      </c>
      <c r="AZ128" s="73" t="s">
        <v>3088</v>
      </c>
      <c r="BA128" s="73" t="s">
        <v>3088</v>
      </c>
      <c r="BB128" s="73" t="s">
        <v>3088</v>
      </c>
      <c r="BC128" s="73" t="s">
        <v>3088</v>
      </c>
      <c r="BD128" s="73" t="s">
        <v>3088</v>
      </c>
      <c r="BE128" s="73" t="s">
        <v>3088</v>
      </c>
      <c r="BF128" s="73" t="s">
        <v>3088</v>
      </c>
      <c r="BG128" s="73" t="s">
        <v>3088</v>
      </c>
      <c r="BH128" s="73" t="s">
        <v>3088</v>
      </c>
      <c r="BI128" s="73" t="s">
        <v>3088</v>
      </c>
      <c r="BJ128" s="73" t="s">
        <v>3088</v>
      </c>
      <c r="BK128" s="73" t="s">
        <v>3088</v>
      </c>
      <c r="BL128" s="73" t="s">
        <v>3088</v>
      </c>
      <c r="BM128" s="73" t="s">
        <v>3088</v>
      </c>
      <c r="BN128" s="73" t="s">
        <v>3088</v>
      </c>
      <c r="BO128" s="73" t="s">
        <v>3088</v>
      </c>
      <c r="BP128" s="73" t="s">
        <v>3088</v>
      </c>
      <c r="BQ128" s="73" t="s">
        <v>3365</v>
      </c>
      <c r="BR128" s="73" t="s">
        <v>3097</v>
      </c>
    </row>
    <row r="129" spans="1:70">
      <c r="A129" s="73" t="s">
        <v>1864</v>
      </c>
      <c r="B129" s="73" t="s">
        <v>2860</v>
      </c>
      <c r="C129" s="73" t="s">
        <v>2591</v>
      </c>
      <c r="D129" s="73" t="s">
        <v>3088</v>
      </c>
      <c r="E129" s="73" t="s">
        <v>3088</v>
      </c>
      <c r="F129" s="73" t="s">
        <v>3088</v>
      </c>
      <c r="G129" s="73" t="s">
        <v>3089</v>
      </c>
      <c r="H129" s="73" t="s">
        <v>3088</v>
      </c>
      <c r="I129" s="73" t="s">
        <v>543</v>
      </c>
      <c r="J129" s="73" t="s">
        <v>3366</v>
      </c>
      <c r="K129" s="73" t="s">
        <v>3089</v>
      </c>
      <c r="L129" s="73" t="s">
        <v>3113</v>
      </c>
      <c r="M129" s="73" t="s">
        <v>3367</v>
      </c>
      <c r="N129" s="73" t="s">
        <v>3089</v>
      </c>
      <c r="O129" s="73" t="s">
        <v>3013</v>
      </c>
      <c r="P129" s="73" t="s">
        <v>3367</v>
      </c>
      <c r="Q129" s="73" t="s">
        <v>3089</v>
      </c>
      <c r="R129" s="73" t="s">
        <v>3088</v>
      </c>
      <c r="S129" s="73" t="s">
        <v>3088</v>
      </c>
      <c r="T129" s="73" t="s">
        <v>3088</v>
      </c>
      <c r="U129" s="73" t="s">
        <v>3088</v>
      </c>
      <c r="V129" s="73" t="s">
        <v>3088</v>
      </c>
      <c r="W129" s="73" t="s">
        <v>3088</v>
      </c>
      <c r="X129" s="73" t="s">
        <v>3088</v>
      </c>
      <c r="Y129" s="73" t="s">
        <v>3088</v>
      </c>
      <c r="Z129" s="73" t="s">
        <v>3088</v>
      </c>
      <c r="AA129" s="73" t="s">
        <v>3088</v>
      </c>
      <c r="AB129" s="73" t="s">
        <v>3088</v>
      </c>
      <c r="AC129" s="73" t="s">
        <v>3088</v>
      </c>
      <c r="AD129" s="73" t="s">
        <v>3088</v>
      </c>
      <c r="AE129" s="73" t="s">
        <v>3088</v>
      </c>
      <c r="AF129" s="73" t="s">
        <v>3088</v>
      </c>
      <c r="AG129" s="73" t="s">
        <v>3088</v>
      </c>
      <c r="AH129" s="73" t="s">
        <v>3088</v>
      </c>
      <c r="AI129" s="73" t="s">
        <v>3088</v>
      </c>
      <c r="AJ129" s="73" t="s">
        <v>3088</v>
      </c>
      <c r="AK129" s="73" t="s">
        <v>3088</v>
      </c>
      <c r="AL129" s="73" t="s">
        <v>3088</v>
      </c>
      <c r="AM129" s="73" t="s">
        <v>3088</v>
      </c>
      <c r="AN129" s="73" t="s">
        <v>3088</v>
      </c>
      <c r="AO129" s="73" t="s">
        <v>3088</v>
      </c>
      <c r="AP129" s="73" t="s">
        <v>3088</v>
      </c>
      <c r="AQ129" s="73" t="s">
        <v>3088</v>
      </c>
      <c r="AR129" s="73" t="s">
        <v>3088</v>
      </c>
      <c r="AS129" s="73" t="s">
        <v>3088</v>
      </c>
      <c r="AT129" s="73" t="s">
        <v>3088</v>
      </c>
      <c r="AU129" s="73" t="s">
        <v>3088</v>
      </c>
      <c r="AV129" s="73" t="s">
        <v>3088</v>
      </c>
      <c r="AW129" s="73" t="s">
        <v>3088</v>
      </c>
      <c r="AX129" s="73" t="s">
        <v>3088</v>
      </c>
      <c r="AY129" s="73" t="s">
        <v>3088</v>
      </c>
      <c r="AZ129" s="73" t="s">
        <v>3088</v>
      </c>
      <c r="BA129" s="73" t="s">
        <v>3088</v>
      </c>
      <c r="BB129" s="73" t="s">
        <v>3088</v>
      </c>
      <c r="BC129" s="73" t="s">
        <v>3088</v>
      </c>
      <c r="BD129" s="73" t="s">
        <v>3088</v>
      </c>
      <c r="BE129" s="73" t="s">
        <v>3088</v>
      </c>
      <c r="BF129" s="73" t="s">
        <v>3088</v>
      </c>
      <c r="BG129" s="73" t="s">
        <v>3088</v>
      </c>
      <c r="BH129" s="73" t="s">
        <v>3088</v>
      </c>
      <c r="BI129" s="73" t="s">
        <v>3088</v>
      </c>
      <c r="BJ129" s="73" t="s">
        <v>3088</v>
      </c>
      <c r="BK129" s="73" t="s">
        <v>3088</v>
      </c>
      <c r="BL129" s="73" t="s">
        <v>3088</v>
      </c>
      <c r="BM129" s="73" t="s">
        <v>3088</v>
      </c>
      <c r="BN129" s="73" t="s">
        <v>3088</v>
      </c>
      <c r="BO129" s="73" t="s">
        <v>3088</v>
      </c>
      <c r="BP129" s="73" t="s">
        <v>3088</v>
      </c>
      <c r="BQ129" s="73" t="s">
        <v>3368</v>
      </c>
      <c r="BR129" s="73" t="s">
        <v>3088</v>
      </c>
    </row>
    <row r="130" spans="1:70">
      <c r="A130" s="73" t="s">
        <v>1864</v>
      </c>
      <c r="B130" s="73" t="s">
        <v>2863</v>
      </c>
      <c r="C130" s="73" t="s">
        <v>2533</v>
      </c>
      <c r="D130" s="73" t="s">
        <v>3088</v>
      </c>
      <c r="E130" s="73" t="s">
        <v>3088</v>
      </c>
      <c r="F130" s="73" t="s">
        <v>3088</v>
      </c>
      <c r="G130" s="73" t="s">
        <v>3089</v>
      </c>
      <c r="H130" s="73" t="s">
        <v>3088</v>
      </c>
      <c r="I130" s="73" t="s">
        <v>543</v>
      </c>
      <c r="J130" s="73" t="s">
        <v>2864</v>
      </c>
      <c r="K130" s="73" t="s">
        <v>3089</v>
      </c>
      <c r="L130" s="73" t="s">
        <v>3088</v>
      </c>
      <c r="M130" s="73" t="s">
        <v>3088</v>
      </c>
      <c r="N130" s="73" t="s">
        <v>3088</v>
      </c>
      <c r="O130" s="73" t="s">
        <v>3088</v>
      </c>
      <c r="P130" s="73" t="s">
        <v>3088</v>
      </c>
      <c r="Q130" s="73" t="s">
        <v>3088</v>
      </c>
      <c r="R130" s="73" t="s">
        <v>3088</v>
      </c>
      <c r="S130" s="73" t="s">
        <v>3088</v>
      </c>
      <c r="T130" s="73" t="s">
        <v>3088</v>
      </c>
      <c r="U130" s="73" t="s">
        <v>3088</v>
      </c>
      <c r="V130" s="73" t="s">
        <v>3088</v>
      </c>
      <c r="W130" s="73" t="s">
        <v>3088</v>
      </c>
      <c r="X130" s="73" t="s">
        <v>3088</v>
      </c>
      <c r="Y130" s="73" t="s">
        <v>3088</v>
      </c>
      <c r="Z130" s="73" t="s">
        <v>3088</v>
      </c>
      <c r="AA130" s="73" t="s">
        <v>3088</v>
      </c>
      <c r="AB130" s="73" t="s">
        <v>3088</v>
      </c>
      <c r="AC130" s="73" t="s">
        <v>3088</v>
      </c>
      <c r="AD130" s="73" t="s">
        <v>3088</v>
      </c>
      <c r="AE130" s="73" t="s">
        <v>3088</v>
      </c>
      <c r="AF130" s="73" t="s">
        <v>3088</v>
      </c>
      <c r="AG130" s="73" t="s">
        <v>3088</v>
      </c>
      <c r="AH130" s="73" t="s">
        <v>3088</v>
      </c>
      <c r="AI130" s="73" t="s">
        <v>3088</v>
      </c>
      <c r="AJ130" s="73" t="s">
        <v>3088</v>
      </c>
      <c r="AK130" s="73" t="s">
        <v>3088</v>
      </c>
      <c r="AL130" s="73" t="s">
        <v>3088</v>
      </c>
      <c r="AM130" s="73" t="s">
        <v>3088</v>
      </c>
      <c r="AN130" s="73" t="s">
        <v>3088</v>
      </c>
      <c r="AO130" s="73" t="s">
        <v>3088</v>
      </c>
      <c r="AP130" s="73" t="s">
        <v>3088</v>
      </c>
      <c r="AQ130" s="73" t="s">
        <v>3088</v>
      </c>
      <c r="AR130" s="73" t="s">
        <v>3088</v>
      </c>
      <c r="AS130" s="73" t="s">
        <v>3088</v>
      </c>
      <c r="AT130" s="73" t="s">
        <v>3088</v>
      </c>
      <c r="AU130" s="73" t="s">
        <v>3088</v>
      </c>
      <c r="AV130" s="73" t="s">
        <v>3088</v>
      </c>
      <c r="AW130" s="73" t="s">
        <v>3088</v>
      </c>
      <c r="AX130" s="73" t="s">
        <v>3088</v>
      </c>
      <c r="AY130" s="73" t="s">
        <v>3088</v>
      </c>
      <c r="AZ130" s="73" t="s">
        <v>3088</v>
      </c>
      <c r="BA130" s="73" t="s">
        <v>3088</v>
      </c>
      <c r="BB130" s="73" t="s">
        <v>3088</v>
      </c>
      <c r="BC130" s="73" t="s">
        <v>3088</v>
      </c>
      <c r="BD130" s="73" t="s">
        <v>3088</v>
      </c>
      <c r="BE130" s="73" t="s">
        <v>3088</v>
      </c>
      <c r="BF130" s="73" t="s">
        <v>3088</v>
      </c>
      <c r="BG130" s="73" t="s">
        <v>3088</v>
      </c>
      <c r="BH130" s="73" t="s">
        <v>3088</v>
      </c>
      <c r="BI130" s="73" t="s">
        <v>3088</v>
      </c>
      <c r="BJ130" s="73" t="s">
        <v>3088</v>
      </c>
      <c r="BK130" s="73" t="s">
        <v>3088</v>
      </c>
      <c r="BL130" s="73" t="s">
        <v>3088</v>
      </c>
      <c r="BM130" s="73" t="s">
        <v>3088</v>
      </c>
      <c r="BN130" s="73" t="s">
        <v>3088</v>
      </c>
      <c r="BO130" s="73" t="s">
        <v>3088</v>
      </c>
      <c r="BP130" s="73" t="s">
        <v>3088</v>
      </c>
      <c r="BQ130" s="73" t="s">
        <v>3369</v>
      </c>
      <c r="BR130" s="73" t="s">
        <v>3088</v>
      </c>
    </row>
    <row r="131" spans="1:70">
      <c r="A131" s="73" t="s">
        <v>1864</v>
      </c>
      <c r="B131" s="73" t="s">
        <v>2636</v>
      </c>
      <c r="C131" s="73" t="s">
        <v>2582</v>
      </c>
      <c r="D131" s="73" t="s">
        <v>3088</v>
      </c>
      <c r="E131" s="73" t="s">
        <v>3088</v>
      </c>
      <c r="F131" s="73" t="s">
        <v>3088</v>
      </c>
      <c r="G131" s="73" t="s">
        <v>3089</v>
      </c>
      <c r="H131" s="73" t="s">
        <v>3088</v>
      </c>
      <c r="I131" s="73" t="s">
        <v>2135</v>
      </c>
      <c r="J131" s="73" t="s">
        <v>3088</v>
      </c>
      <c r="K131" s="73" t="s">
        <v>3088</v>
      </c>
      <c r="L131" s="73" t="s">
        <v>3088</v>
      </c>
      <c r="M131" s="73" t="s">
        <v>3088</v>
      </c>
      <c r="N131" s="73" t="s">
        <v>3088</v>
      </c>
      <c r="O131" s="73" t="s">
        <v>3088</v>
      </c>
      <c r="P131" s="73" t="s">
        <v>3088</v>
      </c>
      <c r="Q131" s="73" t="s">
        <v>3088</v>
      </c>
      <c r="R131" s="73" t="s">
        <v>3088</v>
      </c>
      <c r="S131" s="73" t="s">
        <v>3088</v>
      </c>
      <c r="T131" s="73" t="s">
        <v>3088</v>
      </c>
      <c r="U131" s="73" t="s">
        <v>3088</v>
      </c>
      <c r="V131" s="73" t="s">
        <v>3088</v>
      </c>
      <c r="W131" s="73" t="s">
        <v>3088</v>
      </c>
      <c r="X131" s="73" t="s">
        <v>3088</v>
      </c>
      <c r="Y131" s="73" t="s">
        <v>3088</v>
      </c>
      <c r="Z131" s="73" t="s">
        <v>3088</v>
      </c>
      <c r="AA131" s="73" t="s">
        <v>3088</v>
      </c>
      <c r="AB131" s="73" t="s">
        <v>3088</v>
      </c>
      <c r="AC131" s="73" t="s">
        <v>3088</v>
      </c>
      <c r="AD131" s="73" t="s">
        <v>3088</v>
      </c>
      <c r="AE131" s="73" t="s">
        <v>3088</v>
      </c>
      <c r="AF131" s="73" t="s">
        <v>3088</v>
      </c>
      <c r="AG131" s="73" t="s">
        <v>3088</v>
      </c>
      <c r="AH131" s="73" t="s">
        <v>3088</v>
      </c>
      <c r="AI131" s="73" t="s">
        <v>3088</v>
      </c>
      <c r="AJ131" s="73" t="s">
        <v>3088</v>
      </c>
      <c r="AK131" s="73" t="s">
        <v>3088</v>
      </c>
      <c r="AL131" s="73" t="s">
        <v>3088</v>
      </c>
      <c r="AM131" s="73" t="s">
        <v>3088</v>
      </c>
      <c r="AN131" s="73" t="s">
        <v>3088</v>
      </c>
      <c r="AO131" s="73" t="s">
        <v>3088</v>
      </c>
      <c r="AP131" s="73" t="s">
        <v>3088</v>
      </c>
      <c r="AQ131" s="73" t="s">
        <v>3088</v>
      </c>
      <c r="AR131" s="73" t="s">
        <v>3088</v>
      </c>
      <c r="AS131" s="73" t="s">
        <v>3088</v>
      </c>
      <c r="AT131" s="73" t="s">
        <v>3088</v>
      </c>
      <c r="AU131" s="73" t="s">
        <v>3088</v>
      </c>
      <c r="AV131" s="73" t="s">
        <v>3088</v>
      </c>
      <c r="AW131" s="73" t="s">
        <v>3088</v>
      </c>
      <c r="AX131" s="73" t="s">
        <v>3088</v>
      </c>
      <c r="AY131" s="73" t="s">
        <v>3088</v>
      </c>
      <c r="AZ131" s="73" t="s">
        <v>3088</v>
      </c>
      <c r="BA131" s="73" t="s">
        <v>3088</v>
      </c>
      <c r="BB131" s="73" t="s">
        <v>3088</v>
      </c>
      <c r="BC131" s="73" t="s">
        <v>3088</v>
      </c>
      <c r="BD131" s="73" t="s">
        <v>3088</v>
      </c>
      <c r="BE131" s="73" t="s">
        <v>3088</v>
      </c>
      <c r="BF131" s="73" t="s">
        <v>3088</v>
      </c>
      <c r="BG131" s="73" t="s">
        <v>3088</v>
      </c>
      <c r="BH131" s="73" t="s">
        <v>3088</v>
      </c>
      <c r="BI131" s="73" t="s">
        <v>3088</v>
      </c>
      <c r="BJ131" s="73" t="s">
        <v>3088</v>
      </c>
      <c r="BK131" s="73" t="s">
        <v>3088</v>
      </c>
      <c r="BL131" s="73" t="s">
        <v>3088</v>
      </c>
      <c r="BM131" s="73" t="s">
        <v>3088</v>
      </c>
      <c r="BN131" s="73" t="s">
        <v>3088</v>
      </c>
      <c r="BO131" s="73" t="s">
        <v>3088</v>
      </c>
      <c r="BP131" s="73" t="s">
        <v>3088</v>
      </c>
      <c r="BQ131" s="73" t="s">
        <v>3370</v>
      </c>
      <c r="BR131" s="73" t="s">
        <v>3088</v>
      </c>
    </row>
    <row r="132" spans="1:70">
      <c r="A132" s="73" t="s">
        <v>1864</v>
      </c>
      <c r="B132" s="73" t="s">
        <v>2637</v>
      </c>
      <c r="C132" s="73" t="s">
        <v>2619</v>
      </c>
      <c r="D132" s="73" t="s">
        <v>3088</v>
      </c>
      <c r="E132" s="73" t="s">
        <v>3088</v>
      </c>
      <c r="F132" s="73" t="s">
        <v>3088</v>
      </c>
      <c r="G132" s="73" t="s">
        <v>3089</v>
      </c>
      <c r="H132" s="73" t="s">
        <v>3088</v>
      </c>
      <c r="I132" s="73" t="s">
        <v>2338</v>
      </c>
      <c r="J132" s="73" t="s">
        <v>3088</v>
      </c>
      <c r="K132" s="73" t="s">
        <v>3088</v>
      </c>
      <c r="L132" s="73" t="s">
        <v>3088</v>
      </c>
      <c r="M132" s="73" t="s">
        <v>3088</v>
      </c>
      <c r="N132" s="73" t="s">
        <v>3088</v>
      </c>
      <c r="O132" s="73" t="s">
        <v>3088</v>
      </c>
      <c r="P132" s="73" t="s">
        <v>3088</v>
      </c>
      <c r="Q132" s="73" t="s">
        <v>3088</v>
      </c>
      <c r="R132" s="73" t="s">
        <v>3088</v>
      </c>
      <c r="S132" s="73" t="s">
        <v>3088</v>
      </c>
      <c r="T132" s="73" t="s">
        <v>3088</v>
      </c>
      <c r="U132" s="73" t="s">
        <v>3088</v>
      </c>
      <c r="V132" s="73" t="s">
        <v>3088</v>
      </c>
      <c r="W132" s="73" t="s">
        <v>3088</v>
      </c>
      <c r="X132" s="73" t="s">
        <v>3088</v>
      </c>
      <c r="Y132" s="73" t="s">
        <v>3088</v>
      </c>
      <c r="Z132" s="73" t="s">
        <v>3088</v>
      </c>
      <c r="AA132" s="73" t="s">
        <v>3088</v>
      </c>
      <c r="AB132" s="73" t="s">
        <v>3088</v>
      </c>
      <c r="AC132" s="73" t="s">
        <v>3088</v>
      </c>
      <c r="AD132" s="73" t="s">
        <v>3088</v>
      </c>
      <c r="AE132" s="73" t="s">
        <v>3088</v>
      </c>
      <c r="AF132" s="73" t="s">
        <v>3088</v>
      </c>
      <c r="AG132" s="73" t="s">
        <v>3088</v>
      </c>
      <c r="AH132" s="73" t="s">
        <v>3088</v>
      </c>
      <c r="AI132" s="73" t="s">
        <v>3088</v>
      </c>
      <c r="AJ132" s="73" t="s">
        <v>3088</v>
      </c>
      <c r="AK132" s="73" t="s">
        <v>3088</v>
      </c>
      <c r="AL132" s="73" t="s">
        <v>3088</v>
      </c>
      <c r="AM132" s="73" t="s">
        <v>3088</v>
      </c>
      <c r="AN132" s="73" t="s">
        <v>3088</v>
      </c>
      <c r="AO132" s="73" t="s">
        <v>3088</v>
      </c>
      <c r="AP132" s="73" t="s">
        <v>3088</v>
      </c>
      <c r="AQ132" s="73" t="s">
        <v>3088</v>
      </c>
      <c r="AR132" s="73" t="s">
        <v>3088</v>
      </c>
      <c r="AS132" s="73" t="s">
        <v>3088</v>
      </c>
      <c r="AT132" s="73" t="s">
        <v>3088</v>
      </c>
      <c r="AU132" s="73" t="s">
        <v>3088</v>
      </c>
      <c r="AV132" s="73" t="s">
        <v>3088</v>
      </c>
      <c r="AW132" s="73" t="s">
        <v>3088</v>
      </c>
      <c r="AX132" s="73" t="s">
        <v>3088</v>
      </c>
      <c r="AY132" s="73" t="s">
        <v>3088</v>
      </c>
      <c r="AZ132" s="73" t="s">
        <v>3088</v>
      </c>
      <c r="BA132" s="73" t="s">
        <v>3088</v>
      </c>
      <c r="BB132" s="73" t="s">
        <v>3088</v>
      </c>
      <c r="BC132" s="73" t="s">
        <v>3088</v>
      </c>
      <c r="BD132" s="73" t="s">
        <v>3088</v>
      </c>
      <c r="BE132" s="73" t="s">
        <v>3088</v>
      </c>
      <c r="BF132" s="73" t="s">
        <v>3088</v>
      </c>
      <c r="BG132" s="73" t="s">
        <v>3088</v>
      </c>
      <c r="BH132" s="73" t="s">
        <v>3088</v>
      </c>
      <c r="BI132" s="73" t="s">
        <v>3088</v>
      </c>
      <c r="BJ132" s="73" t="s">
        <v>3088</v>
      </c>
      <c r="BK132" s="73" t="s">
        <v>3088</v>
      </c>
      <c r="BL132" s="73" t="s">
        <v>3088</v>
      </c>
      <c r="BM132" s="73" t="s">
        <v>3088</v>
      </c>
      <c r="BN132" s="73" t="s">
        <v>3088</v>
      </c>
      <c r="BO132" s="73" t="s">
        <v>3088</v>
      </c>
      <c r="BP132" s="73" t="s">
        <v>3088</v>
      </c>
      <c r="BQ132" s="73" t="s">
        <v>3371</v>
      </c>
      <c r="BR132" s="73" t="s">
        <v>3088</v>
      </c>
    </row>
    <row r="133" spans="1:70">
      <c r="A133" s="73" t="s">
        <v>1864</v>
      </c>
      <c r="B133" s="73" t="s">
        <v>2638</v>
      </c>
      <c r="C133" s="73" t="s">
        <v>2537</v>
      </c>
      <c r="D133" s="73" t="s">
        <v>3088</v>
      </c>
      <c r="E133" s="73" t="s">
        <v>3088</v>
      </c>
      <c r="F133" s="73" t="s">
        <v>3088</v>
      </c>
      <c r="G133" s="73" t="s">
        <v>3089</v>
      </c>
      <c r="H133" s="73" t="s">
        <v>3088</v>
      </c>
      <c r="I133" s="73" t="s">
        <v>2338</v>
      </c>
      <c r="J133" s="73" t="s">
        <v>2639</v>
      </c>
      <c r="K133" s="73" t="s">
        <v>3089</v>
      </c>
      <c r="L133" s="73" t="s">
        <v>3088</v>
      </c>
      <c r="M133" s="73" t="s">
        <v>3088</v>
      </c>
      <c r="N133" s="73" t="s">
        <v>3088</v>
      </c>
      <c r="O133" s="73" t="s">
        <v>3088</v>
      </c>
      <c r="P133" s="73" t="s">
        <v>3088</v>
      </c>
      <c r="Q133" s="73" t="s">
        <v>3088</v>
      </c>
      <c r="R133" s="73" t="s">
        <v>3088</v>
      </c>
      <c r="S133" s="73" t="s">
        <v>3088</v>
      </c>
      <c r="T133" s="73" t="s">
        <v>3088</v>
      </c>
      <c r="U133" s="73" t="s">
        <v>3088</v>
      </c>
      <c r="V133" s="73" t="s">
        <v>3088</v>
      </c>
      <c r="W133" s="73" t="s">
        <v>3088</v>
      </c>
      <c r="X133" s="73" t="s">
        <v>3088</v>
      </c>
      <c r="Y133" s="73" t="s">
        <v>3088</v>
      </c>
      <c r="Z133" s="73" t="s">
        <v>3088</v>
      </c>
      <c r="AA133" s="73" t="s">
        <v>3088</v>
      </c>
      <c r="AB133" s="73" t="s">
        <v>3088</v>
      </c>
      <c r="AC133" s="73" t="s">
        <v>3088</v>
      </c>
      <c r="AD133" s="73" t="s">
        <v>3088</v>
      </c>
      <c r="AE133" s="73" t="s">
        <v>3088</v>
      </c>
      <c r="AF133" s="73" t="s">
        <v>3088</v>
      </c>
      <c r="AG133" s="73" t="s">
        <v>3088</v>
      </c>
      <c r="AH133" s="73" t="s">
        <v>3088</v>
      </c>
      <c r="AI133" s="73" t="s">
        <v>3088</v>
      </c>
      <c r="AJ133" s="73" t="s">
        <v>3088</v>
      </c>
      <c r="AK133" s="73" t="s">
        <v>3088</v>
      </c>
      <c r="AL133" s="73" t="s">
        <v>3088</v>
      </c>
      <c r="AM133" s="73" t="s">
        <v>3088</v>
      </c>
      <c r="AN133" s="73" t="s">
        <v>3088</v>
      </c>
      <c r="AO133" s="73" t="s">
        <v>3088</v>
      </c>
      <c r="AP133" s="73" t="s">
        <v>3088</v>
      </c>
      <c r="AQ133" s="73" t="s">
        <v>3088</v>
      </c>
      <c r="AR133" s="73" t="s">
        <v>3088</v>
      </c>
      <c r="AS133" s="73" t="s">
        <v>3088</v>
      </c>
      <c r="AT133" s="73" t="s">
        <v>3088</v>
      </c>
      <c r="AU133" s="73" t="s">
        <v>3088</v>
      </c>
      <c r="AV133" s="73" t="s">
        <v>3088</v>
      </c>
      <c r="AW133" s="73" t="s">
        <v>3088</v>
      </c>
      <c r="AX133" s="73" t="s">
        <v>3088</v>
      </c>
      <c r="AY133" s="73" t="s">
        <v>3088</v>
      </c>
      <c r="AZ133" s="73" t="s">
        <v>3088</v>
      </c>
      <c r="BA133" s="73" t="s">
        <v>3088</v>
      </c>
      <c r="BB133" s="73" t="s">
        <v>3088</v>
      </c>
      <c r="BC133" s="73" t="s">
        <v>3088</v>
      </c>
      <c r="BD133" s="73" t="s">
        <v>3088</v>
      </c>
      <c r="BE133" s="73" t="s">
        <v>3088</v>
      </c>
      <c r="BF133" s="73" t="s">
        <v>3088</v>
      </c>
      <c r="BG133" s="73" t="s">
        <v>3088</v>
      </c>
      <c r="BH133" s="73" t="s">
        <v>3088</v>
      </c>
      <c r="BI133" s="73" t="s">
        <v>3088</v>
      </c>
      <c r="BJ133" s="73" t="s">
        <v>3088</v>
      </c>
      <c r="BK133" s="73" t="s">
        <v>3088</v>
      </c>
      <c r="BL133" s="73" t="s">
        <v>3088</v>
      </c>
      <c r="BM133" s="73" t="s">
        <v>3088</v>
      </c>
      <c r="BN133" s="73" t="s">
        <v>3088</v>
      </c>
      <c r="BO133" s="73" t="s">
        <v>3088</v>
      </c>
      <c r="BP133" s="73" t="s">
        <v>3088</v>
      </c>
      <c r="BQ133" s="73" t="s">
        <v>3372</v>
      </c>
      <c r="BR133" s="73" t="s">
        <v>3088</v>
      </c>
    </row>
    <row r="134" spans="1:70">
      <c r="A134" s="73" t="s">
        <v>1864</v>
      </c>
      <c r="B134" s="73" t="s">
        <v>2640</v>
      </c>
      <c r="C134" s="73" t="s">
        <v>2619</v>
      </c>
      <c r="D134" s="73" t="s">
        <v>3088</v>
      </c>
      <c r="E134" s="73" t="s">
        <v>3088</v>
      </c>
      <c r="F134" s="73" t="s">
        <v>3088</v>
      </c>
      <c r="G134" s="73" t="s">
        <v>3089</v>
      </c>
      <c r="H134" s="73" t="s">
        <v>3088</v>
      </c>
      <c r="I134" s="73" t="s">
        <v>2309</v>
      </c>
      <c r="J134" s="73" t="s">
        <v>2641</v>
      </c>
      <c r="K134" s="73" t="s">
        <v>3089</v>
      </c>
      <c r="L134" s="73" t="s">
        <v>3088</v>
      </c>
      <c r="M134" s="73" t="s">
        <v>3088</v>
      </c>
      <c r="N134" s="73" t="s">
        <v>3088</v>
      </c>
      <c r="O134" s="73" t="s">
        <v>3088</v>
      </c>
      <c r="P134" s="73" t="s">
        <v>3088</v>
      </c>
      <c r="Q134" s="73" t="s">
        <v>3088</v>
      </c>
      <c r="R134" s="73" t="s">
        <v>3088</v>
      </c>
      <c r="S134" s="73" t="s">
        <v>3088</v>
      </c>
      <c r="T134" s="73" t="s">
        <v>3088</v>
      </c>
      <c r="U134" s="73" t="s">
        <v>3088</v>
      </c>
      <c r="V134" s="73" t="s">
        <v>3088</v>
      </c>
      <c r="W134" s="73" t="s">
        <v>3088</v>
      </c>
      <c r="X134" s="73" t="s">
        <v>3088</v>
      </c>
      <c r="Y134" s="73" t="s">
        <v>3088</v>
      </c>
      <c r="Z134" s="73" t="s">
        <v>3088</v>
      </c>
      <c r="AA134" s="73" t="s">
        <v>3088</v>
      </c>
      <c r="AB134" s="73" t="s">
        <v>3088</v>
      </c>
      <c r="AC134" s="73" t="s">
        <v>3088</v>
      </c>
      <c r="AD134" s="73" t="s">
        <v>3088</v>
      </c>
      <c r="AE134" s="73" t="s">
        <v>3088</v>
      </c>
      <c r="AF134" s="73" t="s">
        <v>3088</v>
      </c>
      <c r="AG134" s="73" t="s">
        <v>3088</v>
      </c>
      <c r="AH134" s="73" t="s">
        <v>3088</v>
      </c>
      <c r="AI134" s="73" t="s">
        <v>3088</v>
      </c>
      <c r="AJ134" s="73" t="s">
        <v>3088</v>
      </c>
      <c r="AK134" s="73" t="s">
        <v>3088</v>
      </c>
      <c r="AL134" s="73" t="s">
        <v>3088</v>
      </c>
      <c r="AM134" s="73" t="s">
        <v>3088</v>
      </c>
      <c r="AN134" s="73" t="s">
        <v>3088</v>
      </c>
      <c r="AO134" s="73" t="s">
        <v>3088</v>
      </c>
      <c r="AP134" s="73" t="s">
        <v>3088</v>
      </c>
      <c r="AQ134" s="73" t="s">
        <v>3088</v>
      </c>
      <c r="AR134" s="73" t="s">
        <v>3088</v>
      </c>
      <c r="AS134" s="73" t="s">
        <v>3088</v>
      </c>
      <c r="AT134" s="73" t="s">
        <v>3088</v>
      </c>
      <c r="AU134" s="73" t="s">
        <v>3088</v>
      </c>
      <c r="AV134" s="73" t="s">
        <v>3088</v>
      </c>
      <c r="AW134" s="73" t="s">
        <v>3088</v>
      </c>
      <c r="AX134" s="73" t="s">
        <v>3088</v>
      </c>
      <c r="AY134" s="73" t="s">
        <v>3088</v>
      </c>
      <c r="AZ134" s="73" t="s">
        <v>3088</v>
      </c>
      <c r="BA134" s="73" t="s">
        <v>3088</v>
      </c>
      <c r="BB134" s="73" t="s">
        <v>3088</v>
      </c>
      <c r="BC134" s="73" t="s">
        <v>3088</v>
      </c>
      <c r="BD134" s="73" t="s">
        <v>3088</v>
      </c>
      <c r="BE134" s="73" t="s">
        <v>3088</v>
      </c>
      <c r="BF134" s="73" t="s">
        <v>3088</v>
      </c>
      <c r="BG134" s="73" t="s">
        <v>3088</v>
      </c>
      <c r="BH134" s="73" t="s">
        <v>3088</v>
      </c>
      <c r="BI134" s="73" t="s">
        <v>3088</v>
      </c>
      <c r="BJ134" s="73" t="s">
        <v>3088</v>
      </c>
      <c r="BK134" s="73" t="s">
        <v>3088</v>
      </c>
      <c r="BL134" s="73" t="s">
        <v>3088</v>
      </c>
      <c r="BM134" s="73" t="s">
        <v>3088</v>
      </c>
      <c r="BN134" s="73" t="s">
        <v>3088</v>
      </c>
      <c r="BO134" s="73" t="s">
        <v>3088</v>
      </c>
      <c r="BP134" s="73" t="s">
        <v>3088</v>
      </c>
      <c r="BQ134" s="73" t="s">
        <v>3373</v>
      </c>
      <c r="BR134" s="73" t="s">
        <v>3088</v>
      </c>
    </row>
    <row r="135" spans="1:70">
      <c r="A135" s="73" t="s">
        <v>1866</v>
      </c>
      <c r="B135" s="73" t="s">
        <v>2546</v>
      </c>
      <c r="C135" s="73" t="s">
        <v>2546</v>
      </c>
      <c r="D135" s="73" t="s">
        <v>3088</v>
      </c>
      <c r="E135" s="73" t="s">
        <v>3088</v>
      </c>
      <c r="F135" s="73" t="s">
        <v>3088</v>
      </c>
      <c r="G135" s="73" t="s">
        <v>3089</v>
      </c>
      <c r="H135" s="73" t="s">
        <v>3088</v>
      </c>
      <c r="I135" s="73" t="s">
        <v>2135</v>
      </c>
      <c r="J135" s="73" t="s">
        <v>2580</v>
      </c>
      <c r="K135" s="73" t="s">
        <v>3089</v>
      </c>
      <c r="L135" s="73" t="s">
        <v>3088</v>
      </c>
      <c r="M135" s="73" t="s">
        <v>3088</v>
      </c>
      <c r="N135" s="73" t="s">
        <v>3088</v>
      </c>
      <c r="O135" s="73" t="s">
        <v>3088</v>
      </c>
      <c r="P135" s="73" t="s">
        <v>3088</v>
      </c>
      <c r="Q135" s="73" t="s">
        <v>3088</v>
      </c>
      <c r="R135" s="73" t="s">
        <v>3088</v>
      </c>
      <c r="S135" s="73" t="s">
        <v>3088</v>
      </c>
      <c r="T135" s="73" t="s">
        <v>3088</v>
      </c>
      <c r="U135" s="73" t="s">
        <v>3088</v>
      </c>
      <c r="V135" s="73" t="s">
        <v>3088</v>
      </c>
      <c r="W135" s="73" t="s">
        <v>3088</v>
      </c>
      <c r="X135" s="73" t="s">
        <v>3088</v>
      </c>
      <c r="Y135" s="73" t="s">
        <v>3088</v>
      </c>
      <c r="Z135" s="73" t="s">
        <v>3088</v>
      </c>
      <c r="AA135" s="73" t="s">
        <v>3088</v>
      </c>
      <c r="AB135" s="73" t="s">
        <v>3088</v>
      </c>
      <c r="AC135" s="73" t="s">
        <v>3088</v>
      </c>
      <c r="AD135" s="73" t="s">
        <v>3088</v>
      </c>
      <c r="AE135" s="73" t="s">
        <v>3088</v>
      </c>
      <c r="AF135" s="73" t="s">
        <v>3088</v>
      </c>
      <c r="AG135" s="73" t="s">
        <v>3088</v>
      </c>
      <c r="AH135" s="73" t="s">
        <v>3088</v>
      </c>
      <c r="AI135" s="73" t="s">
        <v>3088</v>
      </c>
      <c r="AJ135" s="73" t="s">
        <v>3088</v>
      </c>
      <c r="AK135" s="73" t="s">
        <v>3088</v>
      </c>
      <c r="AL135" s="73" t="s">
        <v>3088</v>
      </c>
      <c r="AM135" s="73" t="s">
        <v>3088</v>
      </c>
      <c r="AN135" s="73" t="s">
        <v>3088</v>
      </c>
      <c r="AO135" s="73" t="s">
        <v>3088</v>
      </c>
      <c r="AP135" s="73" t="s">
        <v>3088</v>
      </c>
      <c r="AQ135" s="73" t="s">
        <v>3088</v>
      </c>
      <c r="AR135" s="73" t="s">
        <v>3088</v>
      </c>
      <c r="AS135" s="73" t="s">
        <v>3088</v>
      </c>
      <c r="AT135" s="73" t="s">
        <v>3088</v>
      </c>
      <c r="AU135" s="73" t="s">
        <v>3088</v>
      </c>
      <c r="AV135" s="73" t="s">
        <v>3088</v>
      </c>
      <c r="AW135" s="73" t="s">
        <v>3088</v>
      </c>
      <c r="AX135" s="73" t="s">
        <v>3088</v>
      </c>
      <c r="AY135" s="73" t="s">
        <v>3088</v>
      </c>
      <c r="AZ135" s="73" t="s">
        <v>3088</v>
      </c>
      <c r="BA135" s="73" t="s">
        <v>3088</v>
      </c>
      <c r="BB135" s="73" t="s">
        <v>3088</v>
      </c>
      <c r="BC135" s="73" t="s">
        <v>3088</v>
      </c>
      <c r="BD135" s="73" t="s">
        <v>3088</v>
      </c>
      <c r="BE135" s="73" t="s">
        <v>3088</v>
      </c>
      <c r="BF135" s="73" t="s">
        <v>3088</v>
      </c>
      <c r="BG135" s="73" t="s">
        <v>3088</v>
      </c>
      <c r="BH135" s="73" t="s">
        <v>3088</v>
      </c>
      <c r="BI135" s="73" t="s">
        <v>3088</v>
      </c>
      <c r="BJ135" s="73" t="s">
        <v>3088</v>
      </c>
      <c r="BK135" s="73" t="s">
        <v>3088</v>
      </c>
      <c r="BL135" s="73" t="s">
        <v>3088</v>
      </c>
      <c r="BM135" s="73" t="s">
        <v>3088</v>
      </c>
      <c r="BN135" s="73" t="s">
        <v>3088</v>
      </c>
      <c r="BO135" s="73" t="s">
        <v>3088</v>
      </c>
      <c r="BP135" s="73" t="s">
        <v>3088</v>
      </c>
      <c r="BQ135" s="73" t="s">
        <v>3374</v>
      </c>
      <c r="BR135" s="73" t="s">
        <v>3097</v>
      </c>
    </row>
    <row r="136" spans="1:70">
      <c r="A136" s="73" t="s">
        <v>1866</v>
      </c>
      <c r="B136" s="73" t="s">
        <v>3375</v>
      </c>
      <c r="C136" s="73" t="s">
        <v>2619</v>
      </c>
      <c r="D136" s="73" t="s">
        <v>3088</v>
      </c>
      <c r="E136" s="73" t="s">
        <v>3088</v>
      </c>
      <c r="F136" s="73" t="s">
        <v>3088</v>
      </c>
      <c r="G136" s="73" t="s">
        <v>3089</v>
      </c>
      <c r="H136" s="73" t="s">
        <v>3088</v>
      </c>
      <c r="I136" s="73" t="s">
        <v>3241</v>
      </c>
      <c r="J136" s="73" t="s">
        <v>3376</v>
      </c>
      <c r="K136" s="73" t="s">
        <v>3089</v>
      </c>
      <c r="L136" s="73" t="s">
        <v>3088</v>
      </c>
      <c r="M136" s="73" t="s">
        <v>3088</v>
      </c>
      <c r="N136" s="73" t="s">
        <v>3088</v>
      </c>
      <c r="O136" s="73" t="s">
        <v>3088</v>
      </c>
      <c r="P136" s="73" t="s">
        <v>3088</v>
      </c>
      <c r="Q136" s="73" t="s">
        <v>3088</v>
      </c>
      <c r="R136" s="73" t="s">
        <v>3088</v>
      </c>
      <c r="S136" s="73" t="s">
        <v>3088</v>
      </c>
      <c r="T136" s="73" t="s">
        <v>3088</v>
      </c>
      <c r="U136" s="73" t="s">
        <v>3088</v>
      </c>
      <c r="V136" s="73" t="s">
        <v>3088</v>
      </c>
      <c r="W136" s="73" t="s">
        <v>3088</v>
      </c>
      <c r="X136" s="73" t="s">
        <v>3088</v>
      </c>
      <c r="Y136" s="73" t="s">
        <v>3088</v>
      </c>
      <c r="Z136" s="73" t="s">
        <v>3088</v>
      </c>
      <c r="AA136" s="73" t="s">
        <v>3088</v>
      </c>
      <c r="AB136" s="73" t="s">
        <v>3088</v>
      </c>
      <c r="AC136" s="73" t="s">
        <v>3088</v>
      </c>
      <c r="AD136" s="73" t="s">
        <v>3088</v>
      </c>
      <c r="AE136" s="73" t="s">
        <v>3088</v>
      </c>
      <c r="AF136" s="73" t="s">
        <v>3088</v>
      </c>
      <c r="AG136" s="73" t="s">
        <v>3088</v>
      </c>
      <c r="AH136" s="73" t="s">
        <v>3088</v>
      </c>
      <c r="AI136" s="73" t="s">
        <v>3088</v>
      </c>
      <c r="AJ136" s="73" t="s">
        <v>3088</v>
      </c>
      <c r="AK136" s="73" t="s">
        <v>3088</v>
      </c>
      <c r="AL136" s="73" t="s">
        <v>3088</v>
      </c>
      <c r="AM136" s="73" t="s">
        <v>3088</v>
      </c>
      <c r="AN136" s="73" t="s">
        <v>3088</v>
      </c>
      <c r="AO136" s="73" t="s">
        <v>3088</v>
      </c>
      <c r="AP136" s="73" t="s">
        <v>3088</v>
      </c>
      <c r="AQ136" s="73" t="s">
        <v>3088</v>
      </c>
      <c r="AR136" s="73" t="s">
        <v>3088</v>
      </c>
      <c r="AS136" s="73" t="s">
        <v>3088</v>
      </c>
      <c r="AT136" s="73" t="s">
        <v>3088</v>
      </c>
      <c r="AU136" s="73" t="s">
        <v>3088</v>
      </c>
      <c r="AV136" s="73" t="s">
        <v>3088</v>
      </c>
      <c r="AW136" s="73" t="s">
        <v>3088</v>
      </c>
      <c r="AX136" s="73" t="s">
        <v>3088</v>
      </c>
      <c r="AY136" s="73" t="s">
        <v>3088</v>
      </c>
      <c r="AZ136" s="73" t="s">
        <v>3088</v>
      </c>
      <c r="BA136" s="73" t="s">
        <v>3088</v>
      </c>
      <c r="BB136" s="73" t="s">
        <v>3088</v>
      </c>
      <c r="BC136" s="73" t="s">
        <v>3088</v>
      </c>
      <c r="BD136" s="73" t="s">
        <v>3088</v>
      </c>
      <c r="BE136" s="73" t="s">
        <v>3088</v>
      </c>
      <c r="BF136" s="73" t="s">
        <v>3088</v>
      </c>
      <c r="BG136" s="73" t="s">
        <v>3088</v>
      </c>
      <c r="BH136" s="73" t="s">
        <v>3088</v>
      </c>
      <c r="BI136" s="73" t="s">
        <v>3088</v>
      </c>
      <c r="BJ136" s="73" t="s">
        <v>3088</v>
      </c>
      <c r="BK136" s="73" t="s">
        <v>3088</v>
      </c>
      <c r="BL136" s="73" t="s">
        <v>3088</v>
      </c>
      <c r="BM136" s="73" t="s">
        <v>3088</v>
      </c>
      <c r="BN136" s="73" t="s">
        <v>3088</v>
      </c>
      <c r="BO136" s="73" t="s">
        <v>3088</v>
      </c>
      <c r="BP136" s="73" t="s">
        <v>3088</v>
      </c>
      <c r="BQ136" s="73" t="s">
        <v>3377</v>
      </c>
      <c r="BR136" s="73" t="s">
        <v>3088</v>
      </c>
    </row>
    <row r="137" spans="1:70">
      <c r="A137" s="73" t="s">
        <v>1866</v>
      </c>
      <c r="B137" s="73" t="s">
        <v>2643</v>
      </c>
      <c r="C137" s="73" t="s">
        <v>2579</v>
      </c>
      <c r="D137" s="73" t="s">
        <v>3088</v>
      </c>
      <c r="E137" s="73" t="s">
        <v>3088</v>
      </c>
      <c r="F137" s="73" t="s">
        <v>3088</v>
      </c>
      <c r="G137" s="73" t="s">
        <v>3089</v>
      </c>
      <c r="H137" s="73" t="s">
        <v>3088</v>
      </c>
      <c r="I137" s="73" t="s">
        <v>108</v>
      </c>
      <c r="J137" s="73" t="s">
        <v>3378</v>
      </c>
      <c r="K137" s="73" t="s">
        <v>3089</v>
      </c>
      <c r="L137" s="73" t="s">
        <v>2193</v>
      </c>
      <c r="M137" s="73" t="s">
        <v>3378</v>
      </c>
      <c r="N137" s="73" t="s">
        <v>3089</v>
      </c>
      <c r="O137" s="73" t="s">
        <v>3088</v>
      </c>
      <c r="P137" s="73" t="s">
        <v>3088</v>
      </c>
      <c r="Q137" s="73" t="s">
        <v>3088</v>
      </c>
      <c r="R137" s="73" t="s">
        <v>3088</v>
      </c>
      <c r="S137" s="73" t="s">
        <v>3088</v>
      </c>
      <c r="T137" s="73" t="s">
        <v>3088</v>
      </c>
      <c r="U137" s="73" t="s">
        <v>3088</v>
      </c>
      <c r="V137" s="73" t="s">
        <v>3088</v>
      </c>
      <c r="W137" s="73" t="s">
        <v>3088</v>
      </c>
      <c r="X137" s="73" t="s">
        <v>3088</v>
      </c>
      <c r="Y137" s="73" t="s">
        <v>3088</v>
      </c>
      <c r="Z137" s="73" t="s">
        <v>3088</v>
      </c>
      <c r="AA137" s="73" t="s">
        <v>3088</v>
      </c>
      <c r="AB137" s="73" t="s">
        <v>3088</v>
      </c>
      <c r="AC137" s="73" t="s">
        <v>3088</v>
      </c>
      <c r="AD137" s="73" t="s">
        <v>3088</v>
      </c>
      <c r="AE137" s="73" t="s">
        <v>3088</v>
      </c>
      <c r="AF137" s="73" t="s">
        <v>3088</v>
      </c>
      <c r="AG137" s="73" t="s">
        <v>3088</v>
      </c>
      <c r="AH137" s="73" t="s">
        <v>3088</v>
      </c>
      <c r="AI137" s="73" t="s">
        <v>3088</v>
      </c>
      <c r="AJ137" s="73" t="s">
        <v>3088</v>
      </c>
      <c r="AK137" s="73" t="s">
        <v>3088</v>
      </c>
      <c r="AL137" s="73" t="s">
        <v>3088</v>
      </c>
      <c r="AM137" s="73" t="s">
        <v>3088</v>
      </c>
      <c r="AN137" s="73" t="s">
        <v>3088</v>
      </c>
      <c r="AO137" s="73" t="s">
        <v>3088</v>
      </c>
      <c r="AP137" s="73" t="s">
        <v>3088</v>
      </c>
      <c r="AQ137" s="73" t="s">
        <v>3088</v>
      </c>
      <c r="AR137" s="73" t="s">
        <v>3088</v>
      </c>
      <c r="AS137" s="73" t="s">
        <v>3088</v>
      </c>
      <c r="AT137" s="73" t="s">
        <v>3088</v>
      </c>
      <c r="AU137" s="73" t="s">
        <v>3088</v>
      </c>
      <c r="AV137" s="73" t="s">
        <v>3088</v>
      </c>
      <c r="AW137" s="73" t="s">
        <v>3088</v>
      </c>
      <c r="AX137" s="73" t="s">
        <v>3088</v>
      </c>
      <c r="AY137" s="73" t="s">
        <v>3088</v>
      </c>
      <c r="AZ137" s="73" t="s">
        <v>3088</v>
      </c>
      <c r="BA137" s="73" t="s">
        <v>3088</v>
      </c>
      <c r="BB137" s="73" t="s">
        <v>3088</v>
      </c>
      <c r="BC137" s="73" t="s">
        <v>3088</v>
      </c>
      <c r="BD137" s="73" t="s">
        <v>3088</v>
      </c>
      <c r="BE137" s="73" t="s">
        <v>3088</v>
      </c>
      <c r="BF137" s="73" t="s">
        <v>3088</v>
      </c>
      <c r="BG137" s="73" t="s">
        <v>3088</v>
      </c>
      <c r="BH137" s="73" t="s">
        <v>3088</v>
      </c>
      <c r="BI137" s="73" t="s">
        <v>3088</v>
      </c>
      <c r="BJ137" s="73" t="s">
        <v>3088</v>
      </c>
      <c r="BK137" s="73" t="s">
        <v>3088</v>
      </c>
      <c r="BL137" s="73" t="s">
        <v>3088</v>
      </c>
      <c r="BM137" s="73" t="s">
        <v>3088</v>
      </c>
      <c r="BN137" s="73" t="s">
        <v>3088</v>
      </c>
      <c r="BO137" s="73" t="s">
        <v>3088</v>
      </c>
      <c r="BP137" s="73" t="s">
        <v>3088</v>
      </c>
      <c r="BQ137" s="73" t="s">
        <v>3379</v>
      </c>
      <c r="BR137" s="73" t="s">
        <v>3088</v>
      </c>
    </row>
    <row r="138" spans="1:70">
      <c r="A138" s="73" t="s">
        <v>1866</v>
      </c>
      <c r="B138" s="73" t="s">
        <v>2645</v>
      </c>
      <c r="C138" s="73" t="s">
        <v>2537</v>
      </c>
      <c r="D138" s="73" t="s">
        <v>3088</v>
      </c>
      <c r="E138" s="73" t="s">
        <v>3088</v>
      </c>
      <c r="F138" s="73" t="s">
        <v>3088</v>
      </c>
      <c r="G138" s="73" t="s">
        <v>3089</v>
      </c>
      <c r="H138" s="73" t="s">
        <v>3088</v>
      </c>
      <c r="I138" s="73" t="s">
        <v>108</v>
      </c>
      <c r="J138" s="73" t="s">
        <v>3380</v>
      </c>
      <c r="K138" s="73" t="s">
        <v>3089</v>
      </c>
      <c r="L138" s="73" t="s">
        <v>2193</v>
      </c>
      <c r="M138" s="73" t="s">
        <v>3380</v>
      </c>
      <c r="N138" s="73" t="s">
        <v>3089</v>
      </c>
      <c r="O138" s="73" t="s">
        <v>3088</v>
      </c>
      <c r="P138" s="73" t="s">
        <v>3088</v>
      </c>
      <c r="Q138" s="73" t="s">
        <v>3088</v>
      </c>
      <c r="R138" s="73" t="s">
        <v>3088</v>
      </c>
      <c r="S138" s="73" t="s">
        <v>3088</v>
      </c>
      <c r="T138" s="73" t="s">
        <v>3088</v>
      </c>
      <c r="U138" s="73" t="s">
        <v>3088</v>
      </c>
      <c r="V138" s="73" t="s">
        <v>3088</v>
      </c>
      <c r="W138" s="73" t="s">
        <v>3088</v>
      </c>
      <c r="X138" s="73" t="s">
        <v>3088</v>
      </c>
      <c r="Y138" s="73" t="s">
        <v>3088</v>
      </c>
      <c r="Z138" s="73" t="s">
        <v>3088</v>
      </c>
      <c r="AA138" s="73" t="s">
        <v>3088</v>
      </c>
      <c r="AB138" s="73" t="s">
        <v>3088</v>
      </c>
      <c r="AC138" s="73" t="s">
        <v>3088</v>
      </c>
      <c r="AD138" s="73" t="s">
        <v>3088</v>
      </c>
      <c r="AE138" s="73" t="s">
        <v>3088</v>
      </c>
      <c r="AF138" s="73" t="s">
        <v>3088</v>
      </c>
      <c r="AG138" s="73" t="s">
        <v>3088</v>
      </c>
      <c r="AH138" s="73" t="s">
        <v>3088</v>
      </c>
      <c r="AI138" s="73" t="s">
        <v>3088</v>
      </c>
      <c r="AJ138" s="73" t="s">
        <v>3088</v>
      </c>
      <c r="AK138" s="73" t="s">
        <v>3088</v>
      </c>
      <c r="AL138" s="73" t="s">
        <v>3088</v>
      </c>
      <c r="AM138" s="73" t="s">
        <v>3088</v>
      </c>
      <c r="AN138" s="73" t="s">
        <v>3088</v>
      </c>
      <c r="AO138" s="73" t="s">
        <v>3088</v>
      </c>
      <c r="AP138" s="73" t="s">
        <v>3088</v>
      </c>
      <c r="AQ138" s="73" t="s">
        <v>3088</v>
      </c>
      <c r="AR138" s="73" t="s">
        <v>3088</v>
      </c>
      <c r="AS138" s="73" t="s">
        <v>3088</v>
      </c>
      <c r="AT138" s="73" t="s">
        <v>3088</v>
      </c>
      <c r="AU138" s="73" t="s">
        <v>3088</v>
      </c>
      <c r="AV138" s="73" t="s">
        <v>3088</v>
      </c>
      <c r="AW138" s="73" t="s">
        <v>3088</v>
      </c>
      <c r="AX138" s="73" t="s">
        <v>3088</v>
      </c>
      <c r="AY138" s="73" t="s">
        <v>3088</v>
      </c>
      <c r="AZ138" s="73" t="s">
        <v>3088</v>
      </c>
      <c r="BA138" s="73" t="s">
        <v>3088</v>
      </c>
      <c r="BB138" s="73" t="s">
        <v>3088</v>
      </c>
      <c r="BC138" s="73" t="s">
        <v>3088</v>
      </c>
      <c r="BD138" s="73" t="s">
        <v>3088</v>
      </c>
      <c r="BE138" s="73" t="s">
        <v>3088</v>
      </c>
      <c r="BF138" s="73" t="s">
        <v>3088</v>
      </c>
      <c r="BG138" s="73" t="s">
        <v>3088</v>
      </c>
      <c r="BH138" s="73" t="s">
        <v>3088</v>
      </c>
      <c r="BI138" s="73" t="s">
        <v>3088</v>
      </c>
      <c r="BJ138" s="73" t="s">
        <v>3088</v>
      </c>
      <c r="BK138" s="73" t="s">
        <v>3088</v>
      </c>
      <c r="BL138" s="73" t="s">
        <v>3088</v>
      </c>
      <c r="BM138" s="73" t="s">
        <v>3088</v>
      </c>
      <c r="BN138" s="73" t="s">
        <v>3088</v>
      </c>
      <c r="BO138" s="73" t="s">
        <v>3088</v>
      </c>
      <c r="BP138" s="73" t="s">
        <v>3088</v>
      </c>
      <c r="BQ138" s="73" t="s">
        <v>3381</v>
      </c>
      <c r="BR138" s="73" t="s">
        <v>3088</v>
      </c>
    </row>
    <row r="139" spans="1:70">
      <c r="A139" s="73" t="s">
        <v>1866</v>
      </c>
      <c r="B139" s="73" t="s">
        <v>2647</v>
      </c>
      <c r="C139" s="73" t="s">
        <v>2591</v>
      </c>
      <c r="D139" s="73" t="s">
        <v>3088</v>
      </c>
      <c r="E139" s="73" t="s">
        <v>3088</v>
      </c>
      <c r="F139" s="73" t="s">
        <v>3088</v>
      </c>
      <c r="G139" s="73" t="s">
        <v>3089</v>
      </c>
      <c r="H139" s="73" t="s">
        <v>3088</v>
      </c>
      <c r="I139" s="73" t="s">
        <v>2135</v>
      </c>
      <c r="J139" s="73" t="s">
        <v>3088</v>
      </c>
      <c r="K139" s="73" t="s">
        <v>3088</v>
      </c>
      <c r="L139" s="73" t="s">
        <v>3088</v>
      </c>
      <c r="M139" s="73" t="s">
        <v>3088</v>
      </c>
      <c r="N139" s="73" t="s">
        <v>3088</v>
      </c>
      <c r="O139" s="73" t="s">
        <v>3088</v>
      </c>
      <c r="P139" s="73" t="s">
        <v>3088</v>
      </c>
      <c r="Q139" s="73" t="s">
        <v>3088</v>
      </c>
      <c r="R139" s="73" t="s">
        <v>3088</v>
      </c>
      <c r="S139" s="73" t="s">
        <v>3088</v>
      </c>
      <c r="T139" s="73" t="s">
        <v>3088</v>
      </c>
      <c r="U139" s="73" t="s">
        <v>3088</v>
      </c>
      <c r="V139" s="73" t="s">
        <v>3088</v>
      </c>
      <c r="W139" s="73" t="s">
        <v>3088</v>
      </c>
      <c r="X139" s="73" t="s">
        <v>3088</v>
      </c>
      <c r="Y139" s="73" t="s">
        <v>3088</v>
      </c>
      <c r="Z139" s="73" t="s">
        <v>3088</v>
      </c>
      <c r="AA139" s="73" t="s">
        <v>3088</v>
      </c>
      <c r="AB139" s="73" t="s">
        <v>3088</v>
      </c>
      <c r="AC139" s="73" t="s">
        <v>3088</v>
      </c>
      <c r="AD139" s="73" t="s">
        <v>3088</v>
      </c>
      <c r="AE139" s="73" t="s">
        <v>3088</v>
      </c>
      <c r="AF139" s="73" t="s">
        <v>3088</v>
      </c>
      <c r="AG139" s="73" t="s">
        <v>3088</v>
      </c>
      <c r="AH139" s="73" t="s">
        <v>3088</v>
      </c>
      <c r="AI139" s="73" t="s">
        <v>3088</v>
      </c>
      <c r="AJ139" s="73" t="s">
        <v>3088</v>
      </c>
      <c r="AK139" s="73" t="s">
        <v>3088</v>
      </c>
      <c r="AL139" s="73" t="s">
        <v>3088</v>
      </c>
      <c r="AM139" s="73" t="s">
        <v>3088</v>
      </c>
      <c r="AN139" s="73" t="s">
        <v>3088</v>
      </c>
      <c r="AO139" s="73" t="s">
        <v>3088</v>
      </c>
      <c r="AP139" s="73" t="s">
        <v>3088</v>
      </c>
      <c r="AQ139" s="73" t="s">
        <v>3088</v>
      </c>
      <c r="AR139" s="73" t="s">
        <v>3088</v>
      </c>
      <c r="AS139" s="73" t="s">
        <v>3088</v>
      </c>
      <c r="AT139" s="73" t="s">
        <v>3088</v>
      </c>
      <c r="AU139" s="73" t="s">
        <v>3088</v>
      </c>
      <c r="AV139" s="73" t="s">
        <v>3088</v>
      </c>
      <c r="AW139" s="73" t="s">
        <v>3088</v>
      </c>
      <c r="AX139" s="73" t="s">
        <v>3088</v>
      </c>
      <c r="AY139" s="73" t="s">
        <v>3088</v>
      </c>
      <c r="AZ139" s="73" t="s">
        <v>3088</v>
      </c>
      <c r="BA139" s="73" t="s">
        <v>3088</v>
      </c>
      <c r="BB139" s="73" t="s">
        <v>3088</v>
      </c>
      <c r="BC139" s="73" t="s">
        <v>3088</v>
      </c>
      <c r="BD139" s="73" t="s">
        <v>3088</v>
      </c>
      <c r="BE139" s="73" t="s">
        <v>3088</v>
      </c>
      <c r="BF139" s="73" t="s">
        <v>3088</v>
      </c>
      <c r="BG139" s="73" t="s">
        <v>3088</v>
      </c>
      <c r="BH139" s="73" t="s">
        <v>3088</v>
      </c>
      <c r="BI139" s="73" t="s">
        <v>3088</v>
      </c>
      <c r="BJ139" s="73" t="s">
        <v>3088</v>
      </c>
      <c r="BK139" s="73" t="s">
        <v>3088</v>
      </c>
      <c r="BL139" s="73" t="s">
        <v>3088</v>
      </c>
      <c r="BM139" s="73" t="s">
        <v>3088</v>
      </c>
      <c r="BN139" s="73" t="s">
        <v>3088</v>
      </c>
      <c r="BO139" s="73" t="s">
        <v>3088</v>
      </c>
      <c r="BP139" s="73" t="s">
        <v>3088</v>
      </c>
      <c r="BQ139" s="73" t="s">
        <v>3382</v>
      </c>
      <c r="BR139" s="73" t="s">
        <v>3088</v>
      </c>
    </row>
    <row r="140" spans="1:70">
      <c r="A140" s="73" t="s">
        <v>1866</v>
      </c>
      <c r="B140" s="73" t="s">
        <v>2648</v>
      </c>
      <c r="C140" s="73" t="s">
        <v>2591</v>
      </c>
      <c r="D140" s="73" t="s">
        <v>3088</v>
      </c>
      <c r="E140" s="73" t="s">
        <v>3088</v>
      </c>
      <c r="F140" s="73" t="s">
        <v>3088</v>
      </c>
      <c r="G140" s="73" t="s">
        <v>3089</v>
      </c>
      <c r="H140" s="73" t="s">
        <v>3088</v>
      </c>
      <c r="I140" s="73" t="s">
        <v>108</v>
      </c>
      <c r="J140" s="73" t="s">
        <v>3383</v>
      </c>
      <c r="K140" s="73" t="s">
        <v>3089</v>
      </c>
      <c r="L140" s="73" t="s">
        <v>2193</v>
      </c>
      <c r="M140" s="73" t="s">
        <v>3383</v>
      </c>
      <c r="N140" s="73" t="s">
        <v>3089</v>
      </c>
      <c r="O140" s="73" t="s">
        <v>3088</v>
      </c>
      <c r="P140" s="73" t="s">
        <v>3088</v>
      </c>
      <c r="Q140" s="73" t="s">
        <v>3088</v>
      </c>
      <c r="R140" s="73" t="s">
        <v>3088</v>
      </c>
      <c r="S140" s="73" t="s">
        <v>3088</v>
      </c>
      <c r="T140" s="73" t="s">
        <v>3088</v>
      </c>
      <c r="U140" s="73" t="s">
        <v>3088</v>
      </c>
      <c r="V140" s="73" t="s">
        <v>3088</v>
      </c>
      <c r="W140" s="73" t="s">
        <v>3088</v>
      </c>
      <c r="X140" s="73" t="s">
        <v>3088</v>
      </c>
      <c r="Y140" s="73" t="s">
        <v>3088</v>
      </c>
      <c r="Z140" s="73" t="s">
        <v>3088</v>
      </c>
      <c r="AA140" s="73" t="s">
        <v>3088</v>
      </c>
      <c r="AB140" s="73" t="s">
        <v>3088</v>
      </c>
      <c r="AC140" s="73" t="s">
        <v>3088</v>
      </c>
      <c r="AD140" s="73" t="s">
        <v>3088</v>
      </c>
      <c r="AE140" s="73" t="s">
        <v>3088</v>
      </c>
      <c r="AF140" s="73" t="s">
        <v>3088</v>
      </c>
      <c r="AG140" s="73" t="s">
        <v>3088</v>
      </c>
      <c r="AH140" s="73" t="s">
        <v>3088</v>
      </c>
      <c r="AI140" s="73" t="s">
        <v>3088</v>
      </c>
      <c r="AJ140" s="73" t="s">
        <v>3088</v>
      </c>
      <c r="AK140" s="73" t="s">
        <v>3088</v>
      </c>
      <c r="AL140" s="73" t="s">
        <v>3088</v>
      </c>
      <c r="AM140" s="73" t="s">
        <v>3088</v>
      </c>
      <c r="AN140" s="73" t="s">
        <v>3088</v>
      </c>
      <c r="AO140" s="73" t="s">
        <v>3088</v>
      </c>
      <c r="AP140" s="73" t="s">
        <v>3088</v>
      </c>
      <c r="AQ140" s="73" t="s">
        <v>3088</v>
      </c>
      <c r="AR140" s="73" t="s">
        <v>3088</v>
      </c>
      <c r="AS140" s="73" t="s">
        <v>3088</v>
      </c>
      <c r="AT140" s="73" t="s">
        <v>3088</v>
      </c>
      <c r="AU140" s="73" t="s">
        <v>3088</v>
      </c>
      <c r="AV140" s="73" t="s">
        <v>3088</v>
      </c>
      <c r="AW140" s="73" t="s">
        <v>3088</v>
      </c>
      <c r="AX140" s="73" t="s">
        <v>3088</v>
      </c>
      <c r="AY140" s="73" t="s">
        <v>3088</v>
      </c>
      <c r="AZ140" s="73" t="s">
        <v>3088</v>
      </c>
      <c r="BA140" s="73" t="s">
        <v>3088</v>
      </c>
      <c r="BB140" s="73" t="s">
        <v>3088</v>
      </c>
      <c r="BC140" s="73" t="s">
        <v>3088</v>
      </c>
      <c r="BD140" s="73" t="s">
        <v>3088</v>
      </c>
      <c r="BE140" s="73" t="s">
        <v>3088</v>
      </c>
      <c r="BF140" s="73" t="s">
        <v>3088</v>
      </c>
      <c r="BG140" s="73" t="s">
        <v>3088</v>
      </c>
      <c r="BH140" s="73" t="s">
        <v>3088</v>
      </c>
      <c r="BI140" s="73" t="s">
        <v>3088</v>
      </c>
      <c r="BJ140" s="73" t="s">
        <v>3088</v>
      </c>
      <c r="BK140" s="73" t="s">
        <v>3088</v>
      </c>
      <c r="BL140" s="73" t="s">
        <v>3088</v>
      </c>
      <c r="BM140" s="73" t="s">
        <v>3088</v>
      </c>
      <c r="BN140" s="73" t="s">
        <v>3088</v>
      </c>
      <c r="BO140" s="73" t="s">
        <v>3088</v>
      </c>
      <c r="BP140" s="73" t="s">
        <v>3088</v>
      </c>
      <c r="BQ140" s="73" t="s">
        <v>3384</v>
      </c>
      <c r="BR140" s="73" t="s">
        <v>3088</v>
      </c>
    </row>
    <row r="141" spans="1:70">
      <c r="A141" s="73" t="s">
        <v>1866</v>
      </c>
      <c r="B141" s="73" t="s">
        <v>3385</v>
      </c>
      <c r="C141" s="73" t="s">
        <v>2571</v>
      </c>
      <c r="D141" s="73" t="s">
        <v>3088</v>
      </c>
      <c r="E141" s="73" t="s">
        <v>3088</v>
      </c>
      <c r="F141" s="73" t="s">
        <v>3088</v>
      </c>
      <c r="G141" s="73" t="s">
        <v>3089</v>
      </c>
      <c r="H141" s="73" t="s">
        <v>3088</v>
      </c>
      <c r="I141" s="73" t="s">
        <v>3180</v>
      </c>
      <c r="J141" s="73" t="s">
        <v>3386</v>
      </c>
      <c r="K141" s="73" t="s">
        <v>3089</v>
      </c>
      <c r="L141" s="73" t="s">
        <v>3088</v>
      </c>
      <c r="M141" s="73" t="s">
        <v>3088</v>
      </c>
      <c r="N141" s="73" t="s">
        <v>3088</v>
      </c>
      <c r="O141" s="73" t="s">
        <v>3088</v>
      </c>
      <c r="P141" s="73" t="s">
        <v>3088</v>
      </c>
      <c r="Q141" s="73" t="s">
        <v>3088</v>
      </c>
      <c r="R141" s="73" t="s">
        <v>3088</v>
      </c>
      <c r="S141" s="73" t="s">
        <v>3088</v>
      </c>
      <c r="T141" s="73" t="s">
        <v>3088</v>
      </c>
      <c r="U141" s="73" t="s">
        <v>3088</v>
      </c>
      <c r="V141" s="73" t="s">
        <v>3088</v>
      </c>
      <c r="W141" s="73" t="s">
        <v>3088</v>
      </c>
      <c r="X141" s="73" t="s">
        <v>3088</v>
      </c>
      <c r="Y141" s="73" t="s">
        <v>3088</v>
      </c>
      <c r="Z141" s="73" t="s">
        <v>3088</v>
      </c>
      <c r="AA141" s="73" t="s">
        <v>3088</v>
      </c>
      <c r="AB141" s="73" t="s">
        <v>3088</v>
      </c>
      <c r="AC141" s="73" t="s">
        <v>3088</v>
      </c>
      <c r="AD141" s="73" t="s">
        <v>3088</v>
      </c>
      <c r="AE141" s="73" t="s">
        <v>3088</v>
      </c>
      <c r="AF141" s="73" t="s">
        <v>3088</v>
      </c>
      <c r="AG141" s="73" t="s">
        <v>3088</v>
      </c>
      <c r="AH141" s="73" t="s">
        <v>3088</v>
      </c>
      <c r="AI141" s="73" t="s">
        <v>3088</v>
      </c>
      <c r="AJ141" s="73" t="s">
        <v>3088</v>
      </c>
      <c r="AK141" s="73" t="s">
        <v>3088</v>
      </c>
      <c r="AL141" s="73" t="s">
        <v>3088</v>
      </c>
      <c r="AM141" s="73" t="s">
        <v>3088</v>
      </c>
      <c r="AN141" s="73" t="s">
        <v>3088</v>
      </c>
      <c r="AO141" s="73" t="s">
        <v>3088</v>
      </c>
      <c r="AP141" s="73" t="s">
        <v>3088</v>
      </c>
      <c r="AQ141" s="73" t="s">
        <v>3088</v>
      </c>
      <c r="AR141" s="73" t="s">
        <v>3088</v>
      </c>
      <c r="AS141" s="73" t="s">
        <v>3088</v>
      </c>
      <c r="AT141" s="73" t="s">
        <v>3088</v>
      </c>
      <c r="AU141" s="73" t="s">
        <v>3088</v>
      </c>
      <c r="AV141" s="73" t="s">
        <v>3088</v>
      </c>
      <c r="AW141" s="73" t="s">
        <v>3088</v>
      </c>
      <c r="AX141" s="73" t="s">
        <v>3088</v>
      </c>
      <c r="AY141" s="73" t="s">
        <v>3088</v>
      </c>
      <c r="AZ141" s="73" t="s">
        <v>3088</v>
      </c>
      <c r="BA141" s="73" t="s">
        <v>3088</v>
      </c>
      <c r="BB141" s="73" t="s">
        <v>3088</v>
      </c>
      <c r="BC141" s="73" t="s">
        <v>3088</v>
      </c>
      <c r="BD141" s="73" t="s">
        <v>3088</v>
      </c>
      <c r="BE141" s="73" t="s">
        <v>3088</v>
      </c>
      <c r="BF141" s="73" t="s">
        <v>3088</v>
      </c>
      <c r="BG141" s="73" t="s">
        <v>3088</v>
      </c>
      <c r="BH141" s="73" t="s">
        <v>3088</v>
      </c>
      <c r="BI141" s="73" t="s">
        <v>3088</v>
      </c>
      <c r="BJ141" s="73" t="s">
        <v>3088</v>
      </c>
      <c r="BK141" s="73" t="s">
        <v>3088</v>
      </c>
      <c r="BL141" s="73" t="s">
        <v>3088</v>
      </c>
      <c r="BM141" s="73" t="s">
        <v>3088</v>
      </c>
      <c r="BN141" s="73" t="s">
        <v>3088</v>
      </c>
      <c r="BO141" s="73" t="s">
        <v>3088</v>
      </c>
      <c r="BP141" s="73" t="s">
        <v>3088</v>
      </c>
      <c r="BQ141" s="73" t="s">
        <v>3387</v>
      </c>
      <c r="BR141" s="73" t="s">
        <v>3088</v>
      </c>
    </row>
    <row r="142" spans="1:70">
      <c r="A142" s="73" t="s">
        <v>1866</v>
      </c>
      <c r="B142" s="73" t="s">
        <v>3388</v>
      </c>
      <c r="C142" s="73" t="s">
        <v>2554</v>
      </c>
      <c r="D142" s="73" t="s">
        <v>3088</v>
      </c>
      <c r="E142" s="73" t="s">
        <v>3088</v>
      </c>
      <c r="F142" s="73" t="s">
        <v>3088</v>
      </c>
      <c r="G142" s="73" t="s">
        <v>3089</v>
      </c>
      <c r="H142" s="73" t="s">
        <v>3088</v>
      </c>
      <c r="I142" s="73" t="s">
        <v>3113</v>
      </c>
      <c r="J142" s="73" t="s">
        <v>3389</v>
      </c>
      <c r="K142" s="73" t="s">
        <v>3089</v>
      </c>
      <c r="L142" s="73" t="s">
        <v>3088</v>
      </c>
      <c r="M142" s="73" t="s">
        <v>3088</v>
      </c>
      <c r="N142" s="73" t="s">
        <v>3088</v>
      </c>
      <c r="O142" s="73" t="s">
        <v>3088</v>
      </c>
      <c r="P142" s="73" t="s">
        <v>3088</v>
      </c>
      <c r="Q142" s="73" t="s">
        <v>3088</v>
      </c>
      <c r="R142" s="73" t="s">
        <v>3088</v>
      </c>
      <c r="S142" s="73" t="s">
        <v>3088</v>
      </c>
      <c r="T142" s="73" t="s">
        <v>3088</v>
      </c>
      <c r="U142" s="73" t="s">
        <v>3088</v>
      </c>
      <c r="V142" s="73" t="s">
        <v>3088</v>
      </c>
      <c r="W142" s="73" t="s">
        <v>3088</v>
      </c>
      <c r="X142" s="73" t="s">
        <v>3088</v>
      </c>
      <c r="Y142" s="73" t="s">
        <v>3088</v>
      </c>
      <c r="Z142" s="73" t="s">
        <v>3088</v>
      </c>
      <c r="AA142" s="73" t="s">
        <v>3088</v>
      </c>
      <c r="AB142" s="73" t="s">
        <v>3088</v>
      </c>
      <c r="AC142" s="73" t="s">
        <v>3088</v>
      </c>
      <c r="AD142" s="73" t="s">
        <v>3088</v>
      </c>
      <c r="AE142" s="73" t="s">
        <v>3088</v>
      </c>
      <c r="AF142" s="73" t="s">
        <v>3088</v>
      </c>
      <c r="AG142" s="73" t="s">
        <v>3088</v>
      </c>
      <c r="AH142" s="73" t="s">
        <v>3088</v>
      </c>
      <c r="AI142" s="73" t="s">
        <v>3088</v>
      </c>
      <c r="AJ142" s="73" t="s">
        <v>3088</v>
      </c>
      <c r="AK142" s="73" t="s">
        <v>3088</v>
      </c>
      <c r="AL142" s="73" t="s">
        <v>3088</v>
      </c>
      <c r="AM142" s="73" t="s">
        <v>3088</v>
      </c>
      <c r="AN142" s="73" t="s">
        <v>3088</v>
      </c>
      <c r="AO142" s="73" t="s">
        <v>3088</v>
      </c>
      <c r="AP142" s="73" t="s">
        <v>3088</v>
      </c>
      <c r="AQ142" s="73" t="s">
        <v>3088</v>
      </c>
      <c r="AR142" s="73" t="s">
        <v>3088</v>
      </c>
      <c r="AS142" s="73" t="s">
        <v>3088</v>
      </c>
      <c r="AT142" s="73" t="s">
        <v>3088</v>
      </c>
      <c r="AU142" s="73" t="s">
        <v>3088</v>
      </c>
      <c r="AV142" s="73" t="s">
        <v>3088</v>
      </c>
      <c r="AW142" s="73" t="s">
        <v>3088</v>
      </c>
      <c r="AX142" s="73" t="s">
        <v>3088</v>
      </c>
      <c r="AY142" s="73" t="s">
        <v>3088</v>
      </c>
      <c r="AZ142" s="73" t="s">
        <v>3088</v>
      </c>
      <c r="BA142" s="73" t="s">
        <v>3088</v>
      </c>
      <c r="BB142" s="73" t="s">
        <v>3088</v>
      </c>
      <c r="BC142" s="73" t="s">
        <v>3088</v>
      </c>
      <c r="BD142" s="73" t="s">
        <v>3088</v>
      </c>
      <c r="BE142" s="73" t="s">
        <v>3088</v>
      </c>
      <c r="BF142" s="73" t="s">
        <v>3088</v>
      </c>
      <c r="BG142" s="73" t="s">
        <v>3088</v>
      </c>
      <c r="BH142" s="73" t="s">
        <v>3088</v>
      </c>
      <c r="BI142" s="73" t="s">
        <v>3088</v>
      </c>
      <c r="BJ142" s="73" t="s">
        <v>3088</v>
      </c>
      <c r="BK142" s="73" t="s">
        <v>3088</v>
      </c>
      <c r="BL142" s="73" t="s">
        <v>3088</v>
      </c>
      <c r="BM142" s="73" t="s">
        <v>3088</v>
      </c>
      <c r="BN142" s="73" t="s">
        <v>3088</v>
      </c>
      <c r="BO142" s="73" t="s">
        <v>3088</v>
      </c>
      <c r="BP142" s="73" t="s">
        <v>3088</v>
      </c>
      <c r="BQ142" s="73" t="s">
        <v>3390</v>
      </c>
      <c r="BR142" s="73" t="s">
        <v>3088</v>
      </c>
    </row>
    <row r="143" spans="1:70">
      <c r="A143" s="73" t="s">
        <v>1866</v>
      </c>
      <c r="B143" s="73" t="s">
        <v>2650</v>
      </c>
      <c r="C143" s="73" t="s">
        <v>2571</v>
      </c>
      <c r="D143" s="73" t="s">
        <v>3088</v>
      </c>
      <c r="E143" s="73" t="s">
        <v>3088</v>
      </c>
      <c r="F143" s="73" t="s">
        <v>3088</v>
      </c>
      <c r="G143" s="73" t="s">
        <v>3089</v>
      </c>
      <c r="H143" s="73" t="s">
        <v>3088</v>
      </c>
      <c r="I143" s="73" t="s">
        <v>108</v>
      </c>
      <c r="J143" s="73" t="s">
        <v>3391</v>
      </c>
      <c r="K143" s="73" t="s">
        <v>3089</v>
      </c>
      <c r="L143" s="73" t="s">
        <v>2193</v>
      </c>
      <c r="M143" s="73" t="s">
        <v>3391</v>
      </c>
      <c r="N143" s="73" t="s">
        <v>3089</v>
      </c>
      <c r="O143" s="73" t="s">
        <v>3241</v>
      </c>
      <c r="P143" s="73" t="s">
        <v>3392</v>
      </c>
      <c r="Q143" s="73" t="s">
        <v>3095</v>
      </c>
      <c r="R143" s="73" t="s">
        <v>3243</v>
      </c>
      <c r="S143" s="73" t="s">
        <v>3393</v>
      </c>
      <c r="T143" s="73" t="s">
        <v>3095</v>
      </c>
      <c r="U143" s="73" t="s">
        <v>3088</v>
      </c>
      <c r="V143" s="73" t="s">
        <v>3088</v>
      </c>
      <c r="W143" s="73" t="s">
        <v>3088</v>
      </c>
      <c r="X143" s="73" t="s">
        <v>3088</v>
      </c>
      <c r="Y143" s="73" t="s">
        <v>3088</v>
      </c>
      <c r="Z143" s="73" t="s">
        <v>3088</v>
      </c>
      <c r="AA143" s="73" t="s">
        <v>3088</v>
      </c>
      <c r="AB143" s="73" t="s">
        <v>3088</v>
      </c>
      <c r="AC143" s="73" t="s">
        <v>3088</v>
      </c>
      <c r="AD143" s="73" t="s">
        <v>3088</v>
      </c>
      <c r="AE143" s="73" t="s">
        <v>3088</v>
      </c>
      <c r="AF143" s="73" t="s">
        <v>3088</v>
      </c>
      <c r="AG143" s="73" t="s">
        <v>3088</v>
      </c>
      <c r="AH143" s="73" t="s">
        <v>3088</v>
      </c>
      <c r="AI143" s="73" t="s">
        <v>3088</v>
      </c>
      <c r="AJ143" s="73" t="s">
        <v>3088</v>
      </c>
      <c r="AK143" s="73" t="s">
        <v>3088</v>
      </c>
      <c r="AL143" s="73" t="s">
        <v>3088</v>
      </c>
      <c r="AM143" s="73" t="s">
        <v>3088</v>
      </c>
      <c r="AN143" s="73" t="s">
        <v>3088</v>
      </c>
      <c r="AO143" s="73" t="s">
        <v>3088</v>
      </c>
      <c r="AP143" s="73" t="s">
        <v>3088</v>
      </c>
      <c r="AQ143" s="73" t="s">
        <v>3088</v>
      </c>
      <c r="AR143" s="73" t="s">
        <v>3088</v>
      </c>
      <c r="AS143" s="73" t="s">
        <v>3088</v>
      </c>
      <c r="AT143" s="73" t="s">
        <v>3088</v>
      </c>
      <c r="AU143" s="73" t="s">
        <v>3088</v>
      </c>
      <c r="AV143" s="73" t="s">
        <v>3088</v>
      </c>
      <c r="AW143" s="73" t="s">
        <v>3088</v>
      </c>
      <c r="AX143" s="73" t="s">
        <v>3088</v>
      </c>
      <c r="AY143" s="73" t="s">
        <v>3088</v>
      </c>
      <c r="AZ143" s="73" t="s">
        <v>3088</v>
      </c>
      <c r="BA143" s="73" t="s">
        <v>3088</v>
      </c>
      <c r="BB143" s="73" t="s">
        <v>3088</v>
      </c>
      <c r="BC143" s="73" t="s">
        <v>3088</v>
      </c>
      <c r="BD143" s="73" t="s">
        <v>3088</v>
      </c>
      <c r="BE143" s="73" t="s">
        <v>3088</v>
      </c>
      <c r="BF143" s="73" t="s">
        <v>3088</v>
      </c>
      <c r="BG143" s="73" t="s">
        <v>3088</v>
      </c>
      <c r="BH143" s="73" t="s">
        <v>3088</v>
      </c>
      <c r="BI143" s="73" t="s">
        <v>3088</v>
      </c>
      <c r="BJ143" s="73" t="s">
        <v>3088</v>
      </c>
      <c r="BK143" s="73" t="s">
        <v>3088</v>
      </c>
      <c r="BL143" s="73" t="s">
        <v>3088</v>
      </c>
      <c r="BM143" s="73" t="s">
        <v>3088</v>
      </c>
      <c r="BN143" s="73" t="s">
        <v>3088</v>
      </c>
      <c r="BO143" s="73" t="s">
        <v>3088</v>
      </c>
      <c r="BP143" s="73" t="s">
        <v>3088</v>
      </c>
      <c r="BQ143" s="73" t="s">
        <v>3394</v>
      </c>
      <c r="BR143" s="73" t="s">
        <v>3097</v>
      </c>
    </row>
    <row r="144" spans="1:70">
      <c r="A144" s="73" t="s">
        <v>1866</v>
      </c>
      <c r="B144" s="73" t="s">
        <v>2866</v>
      </c>
      <c r="C144" s="73" t="s">
        <v>2591</v>
      </c>
      <c r="D144" s="73" t="s">
        <v>3088</v>
      </c>
      <c r="E144" s="73" t="s">
        <v>3088</v>
      </c>
      <c r="F144" s="73" t="s">
        <v>3088</v>
      </c>
      <c r="G144" s="73" t="s">
        <v>3089</v>
      </c>
      <c r="H144" s="73" t="s">
        <v>3088</v>
      </c>
      <c r="I144" s="73" t="s">
        <v>543</v>
      </c>
      <c r="J144" s="73" t="s">
        <v>2867</v>
      </c>
      <c r="K144" s="73" t="s">
        <v>3089</v>
      </c>
      <c r="L144" s="73" t="s">
        <v>3088</v>
      </c>
      <c r="M144" s="73" t="s">
        <v>3088</v>
      </c>
      <c r="N144" s="73" t="s">
        <v>3088</v>
      </c>
      <c r="O144" s="73" t="s">
        <v>3088</v>
      </c>
      <c r="P144" s="73" t="s">
        <v>3088</v>
      </c>
      <c r="Q144" s="73" t="s">
        <v>3088</v>
      </c>
      <c r="R144" s="73" t="s">
        <v>3088</v>
      </c>
      <c r="S144" s="73" t="s">
        <v>3088</v>
      </c>
      <c r="T144" s="73" t="s">
        <v>3088</v>
      </c>
      <c r="U144" s="73" t="s">
        <v>3088</v>
      </c>
      <c r="V144" s="73" t="s">
        <v>3088</v>
      </c>
      <c r="W144" s="73" t="s">
        <v>3088</v>
      </c>
      <c r="X144" s="73" t="s">
        <v>3088</v>
      </c>
      <c r="Y144" s="73" t="s">
        <v>3088</v>
      </c>
      <c r="Z144" s="73" t="s">
        <v>3088</v>
      </c>
      <c r="AA144" s="73" t="s">
        <v>3088</v>
      </c>
      <c r="AB144" s="73" t="s">
        <v>3088</v>
      </c>
      <c r="AC144" s="73" t="s">
        <v>3088</v>
      </c>
      <c r="AD144" s="73" t="s">
        <v>3088</v>
      </c>
      <c r="AE144" s="73" t="s">
        <v>3088</v>
      </c>
      <c r="AF144" s="73" t="s">
        <v>3088</v>
      </c>
      <c r="AG144" s="73" t="s">
        <v>3088</v>
      </c>
      <c r="AH144" s="73" t="s">
        <v>3088</v>
      </c>
      <c r="AI144" s="73" t="s">
        <v>3088</v>
      </c>
      <c r="AJ144" s="73" t="s">
        <v>3088</v>
      </c>
      <c r="AK144" s="73" t="s">
        <v>3088</v>
      </c>
      <c r="AL144" s="73" t="s">
        <v>3088</v>
      </c>
      <c r="AM144" s="73" t="s">
        <v>3088</v>
      </c>
      <c r="AN144" s="73" t="s">
        <v>3088</v>
      </c>
      <c r="AO144" s="73" t="s">
        <v>3088</v>
      </c>
      <c r="AP144" s="73" t="s">
        <v>3088</v>
      </c>
      <c r="AQ144" s="73" t="s">
        <v>3088</v>
      </c>
      <c r="AR144" s="73" t="s">
        <v>3088</v>
      </c>
      <c r="AS144" s="73" t="s">
        <v>3088</v>
      </c>
      <c r="AT144" s="73" t="s">
        <v>3088</v>
      </c>
      <c r="AU144" s="73" t="s">
        <v>3088</v>
      </c>
      <c r="AV144" s="73" t="s">
        <v>3088</v>
      </c>
      <c r="AW144" s="73" t="s">
        <v>3088</v>
      </c>
      <c r="AX144" s="73" t="s">
        <v>3088</v>
      </c>
      <c r="AY144" s="73" t="s">
        <v>3088</v>
      </c>
      <c r="AZ144" s="73" t="s">
        <v>3088</v>
      </c>
      <c r="BA144" s="73" t="s">
        <v>3088</v>
      </c>
      <c r="BB144" s="73" t="s">
        <v>3088</v>
      </c>
      <c r="BC144" s="73" t="s">
        <v>3088</v>
      </c>
      <c r="BD144" s="73" t="s">
        <v>3088</v>
      </c>
      <c r="BE144" s="73" t="s">
        <v>3088</v>
      </c>
      <c r="BF144" s="73" t="s">
        <v>3088</v>
      </c>
      <c r="BG144" s="73" t="s">
        <v>3088</v>
      </c>
      <c r="BH144" s="73" t="s">
        <v>3088</v>
      </c>
      <c r="BI144" s="73" t="s">
        <v>3088</v>
      </c>
      <c r="BJ144" s="73" t="s">
        <v>3088</v>
      </c>
      <c r="BK144" s="73" t="s">
        <v>3088</v>
      </c>
      <c r="BL144" s="73" t="s">
        <v>3088</v>
      </c>
      <c r="BM144" s="73" t="s">
        <v>3088</v>
      </c>
      <c r="BN144" s="73" t="s">
        <v>3088</v>
      </c>
      <c r="BO144" s="73" t="s">
        <v>3088</v>
      </c>
      <c r="BP144" s="73" t="s">
        <v>3088</v>
      </c>
      <c r="BQ144" s="73" t="s">
        <v>3395</v>
      </c>
      <c r="BR144" s="73" t="s">
        <v>3088</v>
      </c>
    </row>
    <row r="145" spans="1:70">
      <c r="A145" s="73" t="s">
        <v>1866</v>
      </c>
      <c r="B145" s="73" t="s">
        <v>2653</v>
      </c>
      <c r="C145" s="73" t="s">
        <v>2533</v>
      </c>
      <c r="D145" s="73" t="s">
        <v>3088</v>
      </c>
      <c r="E145" s="73" t="s">
        <v>3088</v>
      </c>
      <c r="F145" s="73" t="s">
        <v>3088</v>
      </c>
      <c r="G145" s="73" t="s">
        <v>3089</v>
      </c>
      <c r="H145" s="73" t="s">
        <v>3088</v>
      </c>
      <c r="I145" s="73" t="s">
        <v>108</v>
      </c>
      <c r="J145" s="73" t="s">
        <v>3396</v>
      </c>
      <c r="K145" s="73" t="s">
        <v>3095</v>
      </c>
      <c r="L145" s="73" t="s">
        <v>2193</v>
      </c>
      <c r="M145" s="73" t="s">
        <v>3396</v>
      </c>
      <c r="N145" s="73" t="s">
        <v>3095</v>
      </c>
      <c r="O145" s="73" t="s">
        <v>3088</v>
      </c>
      <c r="P145" s="73" t="s">
        <v>3088</v>
      </c>
      <c r="Q145" s="73" t="s">
        <v>3088</v>
      </c>
      <c r="R145" s="73" t="s">
        <v>3088</v>
      </c>
      <c r="S145" s="73" t="s">
        <v>3088</v>
      </c>
      <c r="T145" s="73" t="s">
        <v>3088</v>
      </c>
      <c r="U145" s="73" t="s">
        <v>3088</v>
      </c>
      <c r="V145" s="73" t="s">
        <v>3088</v>
      </c>
      <c r="W145" s="73" t="s">
        <v>3088</v>
      </c>
      <c r="X145" s="73" t="s">
        <v>3088</v>
      </c>
      <c r="Y145" s="73" t="s">
        <v>3088</v>
      </c>
      <c r="Z145" s="73" t="s">
        <v>3088</v>
      </c>
      <c r="AA145" s="73" t="s">
        <v>3088</v>
      </c>
      <c r="AB145" s="73" t="s">
        <v>3088</v>
      </c>
      <c r="AC145" s="73" t="s">
        <v>3088</v>
      </c>
      <c r="AD145" s="73" t="s">
        <v>3088</v>
      </c>
      <c r="AE145" s="73" t="s">
        <v>3088</v>
      </c>
      <c r="AF145" s="73" t="s">
        <v>3088</v>
      </c>
      <c r="AG145" s="73" t="s">
        <v>3088</v>
      </c>
      <c r="AH145" s="73" t="s">
        <v>3088</v>
      </c>
      <c r="AI145" s="73" t="s">
        <v>3088</v>
      </c>
      <c r="AJ145" s="73" t="s">
        <v>3088</v>
      </c>
      <c r="AK145" s="73" t="s">
        <v>3088</v>
      </c>
      <c r="AL145" s="73" t="s">
        <v>3088</v>
      </c>
      <c r="AM145" s="73" t="s">
        <v>3088</v>
      </c>
      <c r="AN145" s="73" t="s">
        <v>3088</v>
      </c>
      <c r="AO145" s="73" t="s">
        <v>3088</v>
      </c>
      <c r="AP145" s="73" t="s">
        <v>3088</v>
      </c>
      <c r="AQ145" s="73" t="s">
        <v>3088</v>
      </c>
      <c r="AR145" s="73" t="s">
        <v>3088</v>
      </c>
      <c r="AS145" s="73" t="s">
        <v>3088</v>
      </c>
      <c r="AT145" s="73" t="s">
        <v>3088</v>
      </c>
      <c r="AU145" s="73" t="s">
        <v>3088</v>
      </c>
      <c r="AV145" s="73" t="s">
        <v>3088</v>
      </c>
      <c r="AW145" s="73" t="s">
        <v>3088</v>
      </c>
      <c r="AX145" s="73" t="s">
        <v>3088</v>
      </c>
      <c r="AY145" s="73" t="s">
        <v>3088</v>
      </c>
      <c r="AZ145" s="73" t="s">
        <v>3088</v>
      </c>
      <c r="BA145" s="73" t="s">
        <v>3088</v>
      </c>
      <c r="BB145" s="73" t="s">
        <v>3088</v>
      </c>
      <c r="BC145" s="73" t="s">
        <v>3088</v>
      </c>
      <c r="BD145" s="73" t="s">
        <v>3088</v>
      </c>
      <c r="BE145" s="73" t="s">
        <v>3088</v>
      </c>
      <c r="BF145" s="73" t="s">
        <v>3088</v>
      </c>
      <c r="BG145" s="73" t="s">
        <v>3088</v>
      </c>
      <c r="BH145" s="73" t="s">
        <v>3088</v>
      </c>
      <c r="BI145" s="73" t="s">
        <v>3088</v>
      </c>
      <c r="BJ145" s="73" t="s">
        <v>3088</v>
      </c>
      <c r="BK145" s="73" t="s">
        <v>3088</v>
      </c>
      <c r="BL145" s="73" t="s">
        <v>3088</v>
      </c>
      <c r="BM145" s="73" t="s">
        <v>3088</v>
      </c>
      <c r="BN145" s="73" t="s">
        <v>3088</v>
      </c>
      <c r="BO145" s="73" t="s">
        <v>3088</v>
      </c>
      <c r="BP145" s="73" t="s">
        <v>3088</v>
      </c>
      <c r="BQ145" s="73" t="s">
        <v>3397</v>
      </c>
      <c r="BR145" s="73" t="s">
        <v>3097</v>
      </c>
    </row>
    <row r="146" spans="1:70">
      <c r="A146" s="73" t="s">
        <v>1866</v>
      </c>
      <c r="B146" s="73" t="s">
        <v>3398</v>
      </c>
      <c r="C146" s="73" t="s">
        <v>2533</v>
      </c>
      <c r="D146" s="73" t="s">
        <v>3088</v>
      </c>
      <c r="E146" s="73" t="s">
        <v>3088</v>
      </c>
      <c r="F146" s="73" t="s">
        <v>3088</v>
      </c>
      <c r="G146" s="73" t="s">
        <v>3089</v>
      </c>
      <c r="H146" s="73" t="s">
        <v>3088</v>
      </c>
      <c r="I146" s="73" t="s">
        <v>3122</v>
      </c>
      <c r="J146" s="73" t="s">
        <v>3399</v>
      </c>
      <c r="K146" s="73" t="s">
        <v>3089</v>
      </c>
      <c r="L146" s="73" t="s">
        <v>3088</v>
      </c>
      <c r="M146" s="73" t="s">
        <v>3088</v>
      </c>
      <c r="N146" s="73" t="s">
        <v>3088</v>
      </c>
      <c r="O146" s="73" t="s">
        <v>3088</v>
      </c>
      <c r="P146" s="73" t="s">
        <v>3088</v>
      </c>
      <c r="Q146" s="73" t="s">
        <v>3088</v>
      </c>
      <c r="R146" s="73" t="s">
        <v>3088</v>
      </c>
      <c r="S146" s="73" t="s">
        <v>3088</v>
      </c>
      <c r="T146" s="73" t="s">
        <v>3088</v>
      </c>
      <c r="U146" s="73" t="s">
        <v>3088</v>
      </c>
      <c r="V146" s="73" t="s">
        <v>3088</v>
      </c>
      <c r="W146" s="73" t="s">
        <v>3088</v>
      </c>
      <c r="X146" s="73" t="s">
        <v>3088</v>
      </c>
      <c r="Y146" s="73" t="s">
        <v>3088</v>
      </c>
      <c r="Z146" s="73" t="s">
        <v>3088</v>
      </c>
      <c r="AA146" s="73" t="s">
        <v>3088</v>
      </c>
      <c r="AB146" s="73" t="s">
        <v>3088</v>
      </c>
      <c r="AC146" s="73" t="s">
        <v>3088</v>
      </c>
      <c r="AD146" s="73" t="s">
        <v>3088</v>
      </c>
      <c r="AE146" s="73" t="s">
        <v>3088</v>
      </c>
      <c r="AF146" s="73" t="s">
        <v>3088</v>
      </c>
      <c r="AG146" s="73" t="s">
        <v>3088</v>
      </c>
      <c r="AH146" s="73" t="s">
        <v>3088</v>
      </c>
      <c r="AI146" s="73" t="s">
        <v>3088</v>
      </c>
      <c r="AJ146" s="73" t="s">
        <v>3088</v>
      </c>
      <c r="AK146" s="73" t="s">
        <v>3088</v>
      </c>
      <c r="AL146" s="73" t="s">
        <v>3088</v>
      </c>
      <c r="AM146" s="73" t="s">
        <v>3088</v>
      </c>
      <c r="AN146" s="73" t="s">
        <v>3088</v>
      </c>
      <c r="AO146" s="73" t="s">
        <v>3088</v>
      </c>
      <c r="AP146" s="73" t="s">
        <v>3088</v>
      </c>
      <c r="AQ146" s="73" t="s">
        <v>3088</v>
      </c>
      <c r="AR146" s="73" t="s">
        <v>3088</v>
      </c>
      <c r="AS146" s="73" t="s">
        <v>3088</v>
      </c>
      <c r="AT146" s="73" t="s">
        <v>3088</v>
      </c>
      <c r="AU146" s="73" t="s">
        <v>3088</v>
      </c>
      <c r="AV146" s="73" t="s">
        <v>3088</v>
      </c>
      <c r="AW146" s="73" t="s">
        <v>3088</v>
      </c>
      <c r="AX146" s="73" t="s">
        <v>3088</v>
      </c>
      <c r="AY146" s="73" t="s">
        <v>3088</v>
      </c>
      <c r="AZ146" s="73" t="s">
        <v>3088</v>
      </c>
      <c r="BA146" s="73" t="s">
        <v>3088</v>
      </c>
      <c r="BB146" s="73" t="s">
        <v>3088</v>
      </c>
      <c r="BC146" s="73" t="s">
        <v>3088</v>
      </c>
      <c r="BD146" s="73" t="s">
        <v>3088</v>
      </c>
      <c r="BE146" s="73" t="s">
        <v>3088</v>
      </c>
      <c r="BF146" s="73" t="s">
        <v>3088</v>
      </c>
      <c r="BG146" s="73" t="s">
        <v>3088</v>
      </c>
      <c r="BH146" s="73" t="s">
        <v>3088</v>
      </c>
      <c r="BI146" s="73" t="s">
        <v>3088</v>
      </c>
      <c r="BJ146" s="73" t="s">
        <v>3088</v>
      </c>
      <c r="BK146" s="73" t="s">
        <v>3088</v>
      </c>
      <c r="BL146" s="73" t="s">
        <v>3088</v>
      </c>
      <c r="BM146" s="73" t="s">
        <v>3088</v>
      </c>
      <c r="BN146" s="73" t="s">
        <v>3088</v>
      </c>
      <c r="BO146" s="73" t="s">
        <v>3088</v>
      </c>
      <c r="BP146" s="73" t="s">
        <v>3088</v>
      </c>
      <c r="BQ146" s="73" t="s">
        <v>3400</v>
      </c>
      <c r="BR146" s="73" t="s">
        <v>3088</v>
      </c>
    </row>
    <row r="147" spans="1:70">
      <c r="A147" s="73" t="s">
        <v>1866</v>
      </c>
      <c r="B147" s="73" t="s">
        <v>3401</v>
      </c>
      <c r="C147" s="73" t="s">
        <v>2545</v>
      </c>
      <c r="D147" s="73" t="s">
        <v>3088</v>
      </c>
      <c r="E147" s="73" t="s">
        <v>3088</v>
      </c>
      <c r="F147" s="73" t="s">
        <v>3088</v>
      </c>
      <c r="G147" s="73" t="s">
        <v>3089</v>
      </c>
      <c r="H147" s="73" t="s">
        <v>3088</v>
      </c>
      <c r="I147" s="73" t="s">
        <v>3180</v>
      </c>
      <c r="J147" s="73" t="s">
        <v>3402</v>
      </c>
      <c r="K147" s="73" t="s">
        <v>3089</v>
      </c>
      <c r="L147" s="73" t="s">
        <v>3088</v>
      </c>
      <c r="M147" s="73" t="s">
        <v>3088</v>
      </c>
      <c r="N147" s="73" t="s">
        <v>3088</v>
      </c>
      <c r="O147" s="73" t="s">
        <v>3088</v>
      </c>
      <c r="P147" s="73" t="s">
        <v>3088</v>
      </c>
      <c r="Q147" s="73" t="s">
        <v>3088</v>
      </c>
      <c r="R147" s="73" t="s">
        <v>3088</v>
      </c>
      <c r="S147" s="73" t="s">
        <v>3088</v>
      </c>
      <c r="T147" s="73" t="s">
        <v>3088</v>
      </c>
      <c r="U147" s="73" t="s">
        <v>3088</v>
      </c>
      <c r="V147" s="73" t="s">
        <v>3088</v>
      </c>
      <c r="W147" s="73" t="s">
        <v>3088</v>
      </c>
      <c r="X147" s="73" t="s">
        <v>3088</v>
      </c>
      <c r="Y147" s="73" t="s">
        <v>3088</v>
      </c>
      <c r="Z147" s="73" t="s">
        <v>3088</v>
      </c>
      <c r="AA147" s="73" t="s">
        <v>3088</v>
      </c>
      <c r="AB147" s="73" t="s">
        <v>3088</v>
      </c>
      <c r="AC147" s="73" t="s">
        <v>3088</v>
      </c>
      <c r="AD147" s="73" t="s">
        <v>3088</v>
      </c>
      <c r="AE147" s="73" t="s">
        <v>3088</v>
      </c>
      <c r="AF147" s="73" t="s">
        <v>3088</v>
      </c>
      <c r="AG147" s="73" t="s">
        <v>3088</v>
      </c>
      <c r="AH147" s="73" t="s">
        <v>3088</v>
      </c>
      <c r="AI147" s="73" t="s">
        <v>3088</v>
      </c>
      <c r="AJ147" s="73" t="s">
        <v>3088</v>
      </c>
      <c r="AK147" s="73" t="s">
        <v>3088</v>
      </c>
      <c r="AL147" s="73" t="s">
        <v>3088</v>
      </c>
      <c r="AM147" s="73" t="s">
        <v>3088</v>
      </c>
      <c r="AN147" s="73" t="s">
        <v>3088</v>
      </c>
      <c r="AO147" s="73" t="s">
        <v>3088</v>
      </c>
      <c r="AP147" s="73" t="s">
        <v>3088</v>
      </c>
      <c r="AQ147" s="73" t="s">
        <v>3088</v>
      </c>
      <c r="AR147" s="73" t="s">
        <v>3088</v>
      </c>
      <c r="AS147" s="73" t="s">
        <v>3088</v>
      </c>
      <c r="AT147" s="73" t="s">
        <v>3088</v>
      </c>
      <c r="AU147" s="73" t="s">
        <v>3088</v>
      </c>
      <c r="AV147" s="73" t="s">
        <v>3088</v>
      </c>
      <c r="AW147" s="73" t="s">
        <v>3088</v>
      </c>
      <c r="AX147" s="73" t="s">
        <v>3088</v>
      </c>
      <c r="AY147" s="73" t="s">
        <v>3088</v>
      </c>
      <c r="AZ147" s="73" t="s">
        <v>3088</v>
      </c>
      <c r="BA147" s="73" t="s">
        <v>3088</v>
      </c>
      <c r="BB147" s="73" t="s">
        <v>3088</v>
      </c>
      <c r="BC147" s="73" t="s">
        <v>3088</v>
      </c>
      <c r="BD147" s="73" t="s">
        <v>3088</v>
      </c>
      <c r="BE147" s="73" t="s">
        <v>3088</v>
      </c>
      <c r="BF147" s="73" t="s">
        <v>3088</v>
      </c>
      <c r="BG147" s="73" t="s">
        <v>3088</v>
      </c>
      <c r="BH147" s="73" t="s">
        <v>3088</v>
      </c>
      <c r="BI147" s="73" t="s">
        <v>3088</v>
      </c>
      <c r="BJ147" s="73" t="s">
        <v>3088</v>
      </c>
      <c r="BK147" s="73" t="s">
        <v>3088</v>
      </c>
      <c r="BL147" s="73" t="s">
        <v>3088</v>
      </c>
      <c r="BM147" s="73" t="s">
        <v>3088</v>
      </c>
      <c r="BN147" s="73" t="s">
        <v>3088</v>
      </c>
      <c r="BO147" s="73" t="s">
        <v>3088</v>
      </c>
      <c r="BP147" s="73" t="s">
        <v>3088</v>
      </c>
      <c r="BQ147" s="73" t="s">
        <v>3403</v>
      </c>
      <c r="BR147" s="73" t="s">
        <v>3088</v>
      </c>
    </row>
    <row r="148" spans="1:70">
      <c r="A148" s="73" t="s">
        <v>1866</v>
      </c>
      <c r="B148" s="73" t="s">
        <v>2655</v>
      </c>
      <c r="C148" s="73" t="s">
        <v>2571</v>
      </c>
      <c r="D148" s="73" t="s">
        <v>3088</v>
      </c>
      <c r="E148" s="73" t="s">
        <v>3088</v>
      </c>
      <c r="F148" s="73" t="s">
        <v>3088</v>
      </c>
      <c r="G148" s="73" t="s">
        <v>3089</v>
      </c>
      <c r="H148" s="73" t="s">
        <v>3088</v>
      </c>
      <c r="I148" s="73" t="s">
        <v>108</v>
      </c>
      <c r="J148" s="73" t="s">
        <v>3404</v>
      </c>
      <c r="K148" s="73" t="s">
        <v>3095</v>
      </c>
      <c r="L148" s="73" t="s">
        <v>2193</v>
      </c>
      <c r="M148" s="73" t="s">
        <v>3404</v>
      </c>
      <c r="N148" s="73" t="s">
        <v>3095</v>
      </c>
      <c r="O148" s="73" t="s">
        <v>3088</v>
      </c>
      <c r="P148" s="73" t="s">
        <v>3088</v>
      </c>
      <c r="Q148" s="73" t="s">
        <v>3088</v>
      </c>
      <c r="R148" s="73" t="s">
        <v>3088</v>
      </c>
      <c r="S148" s="73" t="s">
        <v>3088</v>
      </c>
      <c r="T148" s="73" t="s">
        <v>3088</v>
      </c>
      <c r="U148" s="73" t="s">
        <v>3088</v>
      </c>
      <c r="V148" s="73" t="s">
        <v>3088</v>
      </c>
      <c r="W148" s="73" t="s">
        <v>3088</v>
      </c>
      <c r="X148" s="73" t="s">
        <v>3088</v>
      </c>
      <c r="Y148" s="73" t="s">
        <v>3088</v>
      </c>
      <c r="Z148" s="73" t="s">
        <v>3088</v>
      </c>
      <c r="AA148" s="73" t="s">
        <v>3088</v>
      </c>
      <c r="AB148" s="73" t="s">
        <v>3088</v>
      </c>
      <c r="AC148" s="73" t="s">
        <v>3088</v>
      </c>
      <c r="AD148" s="73" t="s">
        <v>3088</v>
      </c>
      <c r="AE148" s="73" t="s">
        <v>3088</v>
      </c>
      <c r="AF148" s="73" t="s">
        <v>3088</v>
      </c>
      <c r="AG148" s="73" t="s">
        <v>3088</v>
      </c>
      <c r="AH148" s="73" t="s">
        <v>3088</v>
      </c>
      <c r="AI148" s="73" t="s">
        <v>3088</v>
      </c>
      <c r="AJ148" s="73" t="s">
        <v>3088</v>
      </c>
      <c r="AK148" s="73" t="s">
        <v>3088</v>
      </c>
      <c r="AL148" s="73" t="s">
        <v>3088</v>
      </c>
      <c r="AM148" s="73" t="s">
        <v>3088</v>
      </c>
      <c r="AN148" s="73" t="s">
        <v>3088</v>
      </c>
      <c r="AO148" s="73" t="s">
        <v>3088</v>
      </c>
      <c r="AP148" s="73" t="s">
        <v>3088</v>
      </c>
      <c r="AQ148" s="73" t="s">
        <v>3088</v>
      </c>
      <c r="AR148" s="73" t="s">
        <v>3088</v>
      </c>
      <c r="AS148" s="73" t="s">
        <v>3088</v>
      </c>
      <c r="AT148" s="73" t="s">
        <v>3088</v>
      </c>
      <c r="AU148" s="73" t="s">
        <v>3088</v>
      </c>
      <c r="AV148" s="73" t="s">
        <v>3088</v>
      </c>
      <c r="AW148" s="73" t="s">
        <v>3088</v>
      </c>
      <c r="AX148" s="73" t="s">
        <v>3088</v>
      </c>
      <c r="AY148" s="73" t="s">
        <v>3088</v>
      </c>
      <c r="AZ148" s="73" t="s">
        <v>3088</v>
      </c>
      <c r="BA148" s="73" t="s">
        <v>3088</v>
      </c>
      <c r="BB148" s="73" t="s">
        <v>3088</v>
      </c>
      <c r="BC148" s="73" t="s">
        <v>3088</v>
      </c>
      <c r="BD148" s="73" t="s">
        <v>3088</v>
      </c>
      <c r="BE148" s="73" t="s">
        <v>3088</v>
      </c>
      <c r="BF148" s="73" t="s">
        <v>3088</v>
      </c>
      <c r="BG148" s="73" t="s">
        <v>3088</v>
      </c>
      <c r="BH148" s="73" t="s">
        <v>3088</v>
      </c>
      <c r="BI148" s="73" t="s">
        <v>3088</v>
      </c>
      <c r="BJ148" s="73" t="s">
        <v>3088</v>
      </c>
      <c r="BK148" s="73" t="s">
        <v>3088</v>
      </c>
      <c r="BL148" s="73" t="s">
        <v>3088</v>
      </c>
      <c r="BM148" s="73" t="s">
        <v>3088</v>
      </c>
      <c r="BN148" s="73" t="s">
        <v>3088</v>
      </c>
      <c r="BO148" s="73" t="s">
        <v>3088</v>
      </c>
      <c r="BP148" s="73" t="s">
        <v>3088</v>
      </c>
      <c r="BQ148" s="73" t="s">
        <v>3405</v>
      </c>
      <c r="BR148" s="73" t="s">
        <v>3097</v>
      </c>
    </row>
    <row r="149" spans="1:70">
      <c r="A149" s="73" t="s">
        <v>1866</v>
      </c>
      <c r="B149" s="73" t="s">
        <v>3406</v>
      </c>
      <c r="C149" s="73" t="s">
        <v>2545</v>
      </c>
      <c r="D149" s="73" t="s">
        <v>3088</v>
      </c>
      <c r="E149" s="73" t="s">
        <v>3088</v>
      </c>
      <c r="F149" s="73" t="s">
        <v>3088</v>
      </c>
      <c r="G149" s="73" t="s">
        <v>3089</v>
      </c>
      <c r="H149" s="73" t="s">
        <v>3088</v>
      </c>
      <c r="I149" s="73" t="s">
        <v>3180</v>
      </c>
      <c r="J149" s="73" t="s">
        <v>3294</v>
      </c>
      <c r="K149" s="73" t="s">
        <v>3089</v>
      </c>
      <c r="L149" s="73" t="s">
        <v>3088</v>
      </c>
      <c r="M149" s="73" t="s">
        <v>3088</v>
      </c>
      <c r="N149" s="73" t="s">
        <v>3088</v>
      </c>
      <c r="O149" s="73" t="s">
        <v>3088</v>
      </c>
      <c r="P149" s="73" t="s">
        <v>3088</v>
      </c>
      <c r="Q149" s="73" t="s">
        <v>3088</v>
      </c>
      <c r="R149" s="73" t="s">
        <v>3088</v>
      </c>
      <c r="S149" s="73" t="s">
        <v>3088</v>
      </c>
      <c r="T149" s="73" t="s">
        <v>3088</v>
      </c>
      <c r="U149" s="73" t="s">
        <v>3088</v>
      </c>
      <c r="V149" s="73" t="s">
        <v>3088</v>
      </c>
      <c r="W149" s="73" t="s">
        <v>3088</v>
      </c>
      <c r="X149" s="73" t="s">
        <v>3088</v>
      </c>
      <c r="Y149" s="73" t="s">
        <v>3088</v>
      </c>
      <c r="Z149" s="73" t="s">
        <v>3088</v>
      </c>
      <c r="AA149" s="73" t="s">
        <v>3088</v>
      </c>
      <c r="AB149" s="73" t="s">
        <v>3088</v>
      </c>
      <c r="AC149" s="73" t="s">
        <v>3088</v>
      </c>
      <c r="AD149" s="73" t="s">
        <v>3088</v>
      </c>
      <c r="AE149" s="73" t="s">
        <v>3088</v>
      </c>
      <c r="AF149" s="73" t="s">
        <v>3088</v>
      </c>
      <c r="AG149" s="73" t="s">
        <v>3088</v>
      </c>
      <c r="AH149" s="73" t="s">
        <v>3088</v>
      </c>
      <c r="AI149" s="73" t="s">
        <v>3088</v>
      </c>
      <c r="AJ149" s="73" t="s">
        <v>3088</v>
      </c>
      <c r="AK149" s="73" t="s">
        <v>3088</v>
      </c>
      <c r="AL149" s="73" t="s">
        <v>3088</v>
      </c>
      <c r="AM149" s="73" t="s">
        <v>3088</v>
      </c>
      <c r="AN149" s="73" t="s">
        <v>3088</v>
      </c>
      <c r="AO149" s="73" t="s">
        <v>3088</v>
      </c>
      <c r="AP149" s="73" t="s">
        <v>3088</v>
      </c>
      <c r="AQ149" s="73" t="s">
        <v>3088</v>
      </c>
      <c r="AR149" s="73" t="s">
        <v>3088</v>
      </c>
      <c r="AS149" s="73" t="s">
        <v>3088</v>
      </c>
      <c r="AT149" s="73" t="s">
        <v>3088</v>
      </c>
      <c r="AU149" s="73" t="s">
        <v>3088</v>
      </c>
      <c r="AV149" s="73" t="s">
        <v>3088</v>
      </c>
      <c r="AW149" s="73" t="s">
        <v>3088</v>
      </c>
      <c r="AX149" s="73" t="s">
        <v>3088</v>
      </c>
      <c r="AY149" s="73" t="s">
        <v>3088</v>
      </c>
      <c r="AZ149" s="73" t="s">
        <v>3088</v>
      </c>
      <c r="BA149" s="73" t="s">
        <v>3088</v>
      </c>
      <c r="BB149" s="73" t="s">
        <v>3088</v>
      </c>
      <c r="BC149" s="73" t="s">
        <v>3088</v>
      </c>
      <c r="BD149" s="73" t="s">
        <v>3088</v>
      </c>
      <c r="BE149" s="73" t="s">
        <v>3088</v>
      </c>
      <c r="BF149" s="73" t="s">
        <v>3088</v>
      </c>
      <c r="BG149" s="73" t="s">
        <v>3088</v>
      </c>
      <c r="BH149" s="73" t="s">
        <v>3088</v>
      </c>
      <c r="BI149" s="73" t="s">
        <v>3088</v>
      </c>
      <c r="BJ149" s="73" t="s">
        <v>3088</v>
      </c>
      <c r="BK149" s="73" t="s">
        <v>3088</v>
      </c>
      <c r="BL149" s="73" t="s">
        <v>3088</v>
      </c>
      <c r="BM149" s="73" t="s">
        <v>3088</v>
      </c>
      <c r="BN149" s="73" t="s">
        <v>3088</v>
      </c>
      <c r="BO149" s="73" t="s">
        <v>3088</v>
      </c>
      <c r="BP149" s="73" t="s">
        <v>3088</v>
      </c>
      <c r="BQ149" s="73" t="s">
        <v>3407</v>
      </c>
      <c r="BR149" s="73" t="s">
        <v>3088</v>
      </c>
    </row>
    <row r="150" spans="1:70">
      <c r="A150" s="73" t="s">
        <v>1866</v>
      </c>
      <c r="B150" s="73" t="s">
        <v>2657</v>
      </c>
      <c r="C150" s="73" t="s">
        <v>2533</v>
      </c>
      <c r="D150" s="73" t="s">
        <v>3088</v>
      </c>
      <c r="E150" s="73" t="s">
        <v>3088</v>
      </c>
      <c r="F150" s="73" t="s">
        <v>3088</v>
      </c>
      <c r="G150" s="73" t="s">
        <v>3089</v>
      </c>
      <c r="H150" s="73" t="s">
        <v>3088</v>
      </c>
      <c r="I150" s="73" t="s">
        <v>108</v>
      </c>
      <c r="J150" s="73" t="s">
        <v>3408</v>
      </c>
      <c r="K150" s="73" t="s">
        <v>3089</v>
      </c>
      <c r="L150" s="73" t="s">
        <v>2193</v>
      </c>
      <c r="M150" s="73" t="s">
        <v>3408</v>
      </c>
      <c r="N150" s="73" t="s">
        <v>3089</v>
      </c>
      <c r="O150" s="73" t="s">
        <v>3088</v>
      </c>
      <c r="P150" s="73" t="s">
        <v>3088</v>
      </c>
      <c r="Q150" s="73" t="s">
        <v>3088</v>
      </c>
      <c r="R150" s="73" t="s">
        <v>3088</v>
      </c>
      <c r="S150" s="73" t="s">
        <v>3088</v>
      </c>
      <c r="T150" s="73" t="s">
        <v>3088</v>
      </c>
      <c r="U150" s="73" t="s">
        <v>3088</v>
      </c>
      <c r="V150" s="73" t="s">
        <v>3088</v>
      </c>
      <c r="W150" s="73" t="s">
        <v>3088</v>
      </c>
      <c r="X150" s="73" t="s">
        <v>3088</v>
      </c>
      <c r="Y150" s="73" t="s">
        <v>3088</v>
      </c>
      <c r="Z150" s="73" t="s">
        <v>3088</v>
      </c>
      <c r="AA150" s="73" t="s">
        <v>3088</v>
      </c>
      <c r="AB150" s="73" t="s">
        <v>3088</v>
      </c>
      <c r="AC150" s="73" t="s">
        <v>3088</v>
      </c>
      <c r="AD150" s="73" t="s">
        <v>3088</v>
      </c>
      <c r="AE150" s="73" t="s">
        <v>3088</v>
      </c>
      <c r="AF150" s="73" t="s">
        <v>3088</v>
      </c>
      <c r="AG150" s="73" t="s">
        <v>3088</v>
      </c>
      <c r="AH150" s="73" t="s">
        <v>3088</v>
      </c>
      <c r="AI150" s="73" t="s">
        <v>3088</v>
      </c>
      <c r="AJ150" s="73" t="s">
        <v>3088</v>
      </c>
      <c r="AK150" s="73" t="s">
        <v>3088</v>
      </c>
      <c r="AL150" s="73" t="s">
        <v>3088</v>
      </c>
      <c r="AM150" s="73" t="s">
        <v>3088</v>
      </c>
      <c r="AN150" s="73" t="s">
        <v>3088</v>
      </c>
      <c r="AO150" s="73" t="s">
        <v>3088</v>
      </c>
      <c r="AP150" s="73" t="s">
        <v>3088</v>
      </c>
      <c r="AQ150" s="73" t="s">
        <v>3088</v>
      </c>
      <c r="AR150" s="73" t="s">
        <v>3088</v>
      </c>
      <c r="AS150" s="73" t="s">
        <v>3088</v>
      </c>
      <c r="AT150" s="73" t="s">
        <v>3088</v>
      </c>
      <c r="AU150" s="73" t="s">
        <v>3088</v>
      </c>
      <c r="AV150" s="73" t="s">
        <v>3088</v>
      </c>
      <c r="AW150" s="73" t="s">
        <v>3088</v>
      </c>
      <c r="AX150" s="73" t="s">
        <v>3088</v>
      </c>
      <c r="AY150" s="73" t="s">
        <v>3088</v>
      </c>
      <c r="AZ150" s="73" t="s">
        <v>3088</v>
      </c>
      <c r="BA150" s="73" t="s">
        <v>3088</v>
      </c>
      <c r="BB150" s="73" t="s">
        <v>3088</v>
      </c>
      <c r="BC150" s="73" t="s">
        <v>3088</v>
      </c>
      <c r="BD150" s="73" t="s">
        <v>3088</v>
      </c>
      <c r="BE150" s="73" t="s">
        <v>3088</v>
      </c>
      <c r="BF150" s="73" t="s">
        <v>3088</v>
      </c>
      <c r="BG150" s="73" t="s">
        <v>3088</v>
      </c>
      <c r="BH150" s="73" t="s">
        <v>3088</v>
      </c>
      <c r="BI150" s="73" t="s">
        <v>3088</v>
      </c>
      <c r="BJ150" s="73" t="s">
        <v>3088</v>
      </c>
      <c r="BK150" s="73" t="s">
        <v>3088</v>
      </c>
      <c r="BL150" s="73" t="s">
        <v>3088</v>
      </c>
      <c r="BM150" s="73" t="s">
        <v>3088</v>
      </c>
      <c r="BN150" s="73" t="s">
        <v>3088</v>
      </c>
      <c r="BO150" s="73" t="s">
        <v>3088</v>
      </c>
      <c r="BP150" s="73" t="s">
        <v>3088</v>
      </c>
      <c r="BQ150" s="73" t="s">
        <v>3409</v>
      </c>
      <c r="BR150" s="73" t="s">
        <v>3088</v>
      </c>
    </row>
    <row r="151" spans="1:70">
      <c r="A151" s="73" t="s">
        <v>1866</v>
      </c>
      <c r="B151" s="73" t="s">
        <v>2659</v>
      </c>
      <c r="C151" s="73" t="s">
        <v>2559</v>
      </c>
      <c r="D151" s="73" t="s">
        <v>3088</v>
      </c>
      <c r="E151" s="73" t="s">
        <v>3088</v>
      </c>
      <c r="F151" s="73" t="s">
        <v>3088</v>
      </c>
      <c r="G151" s="73" t="s">
        <v>3089</v>
      </c>
      <c r="H151" s="73" t="s">
        <v>3088</v>
      </c>
      <c r="I151" s="73" t="s">
        <v>108</v>
      </c>
      <c r="J151" s="73" t="s">
        <v>3410</v>
      </c>
      <c r="K151" s="73" t="s">
        <v>3089</v>
      </c>
      <c r="L151" s="73" t="s">
        <v>2193</v>
      </c>
      <c r="M151" s="73" t="s">
        <v>3410</v>
      </c>
      <c r="N151" s="73" t="s">
        <v>3089</v>
      </c>
      <c r="O151" s="73" t="s">
        <v>3088</v>
      </c>
      <c r="P151" s="73" t="s">
        <v>3088</v>
      </c>
      <c r="Q151" s="73" t="s">
        <v>3088</v>
      </c>
      <c r="R151" s="73" t="s">
        <v>3088</v>
      </c>
      <c r="S151" s="73" t="s">
        <v>3088</v>
      </c>
      <c r="T151" s="73" t="s">
        <v>3088</v>
      </c>
      <c r="U151" s="73" t="s">
        <v>3088</v>
      </c>
      <c r="V151" s="73" t="s">
        <v>3088</v>
      </c>
      <c r="W151" s="73" t="s">
        <v>3088</v>
      </c>
      <c r="X151" s="73" t="s">
        <v>3088</v>
      </c>
      <c r="Y151" s="73" t="s">
        <v>3088</v>
      </c>
      <c r="Z151" s="73" t="s">
        <v>3088</v>
      </c>
      <c r="AA151" s="73" t="s">
        <v>3088</v>
      </c>
      <c r="AB151" s="73" t="s">
        <v>3088</v>
      </c>
      <c r="AC151" s="73" t="s">
        <v>3088</v>
      </c>
      <c r="AD151" s="73" t="s">
        <v>3088</v>
      </c>
      <c r="AE151" s="73" t="s">
        <v>3088</v>
      </c>
      <c r="AF151" s="73" t="s">
        <v>3088</v>
      </c>
      <c r="AG151" s="73" t="s">
        <v>3088</v>
      </c>
      <c r="AH151" s="73" t="s">
        <v>3088</v>
      </c>
      <c r="AI151" s="73" t="s">
        <v>3088</v>
      </c>
      <c r="AJ151" s="73" t="s">
        <v>3088</v>
      </c>
      <c r="AK151" s="73" t="s">
        <v>3088</v>
      </c>
      <c r="AL151" s="73" t="s">
        <v>3088</v>
      </c>
      <c r="AM151" s="73" t="s">
        <v>3088</v>
      </c>
      <c r="AN151" s="73" t="s">
        <v>3088</v>
      </c>
      <c r="AO151" s="73" t="s">
        <v>3088</v>
      </c>
      <c r="AP151" s="73" t="s">
        <v>3088</v>
      </c>
      <c r="AQ151" s="73" t="s">
        <v>3088</v>
      </c>
      <c r="AR151" s="73" t="s">
        <v>3088</v>
      </c>
      <c r="AS151" s="73" t="s">
        <v>3088</v>
      </c>
      <c r="AT151" s="73" t="s">
        <v>3088</v>
      </c>
      <c r="AU151" s="73" t="s">
        <v>3088</v>
      </c>
      <c r="AV151" s="73" t="s">
        <v>3088</v>
      </c>
      <c r="AW151" s="73" t="s">
        <v>3088</v>
      </c>
      <c r="AX151" s="73" t="s">
        <v>3088</v>
      </c>
      <c r="AY151" s="73" t="s">
        <v>3088</v>
      </c>
      <c r="AZ151" s="73" t="s">
        <v>3088</v>
      </c>
      <c r="BA151" s="73" t="s">
        <v>3088</v>
      </c>
      <c r="BB151" s="73" t="s">
        <v>3088</v>
      </c>
      <c r="BC151" s="73" t="s">
        <v>3088</v>
      </c>
      <c r="BD151" s="73" t="s">
        <v>3088</v>
      </c>
      <c r="BE151" s="73" t="s">
        <v>3088</v>
      </c>
      <c r="BF151" s="73" t="s">
        <v>3088</v>
      </c>
      <c r="BG151" s="73" t="s">
        <v>3088</v>
      </c>
      <c r="BH151" s="73" t="s">
        <v>3088</v>
      </c>
      <c r="BI151" s="73" t="s">
        <v>3088</v>
      </c>
      <c r="BJ151" s="73" t="s">
        <v>3088</v>
      </c>
      <c r="BK151" s="73" t="s">
        <v>3088</v>
      </c>
      <c r="BL151" s="73" t="s">
        <v>3088</v>
      </c>
      <c r="BM151" s="73" t="s">
        <v>3088</v>
      </c>
      <c r="BN151" s="73" t="s">
        <v>3088</v>
      </c>
      <c r="BO151" s="73" t="s">
        <v>3088</v>
      </c>
      <c r="BP151" s="73" t="s">
        <v>3088</v>
      </c>
      <c r="BQ151" s="73" t="s">
        <v>3411</v>
      </c>
      <c r="BR151" s="73" t="s">
        <v>3088</v>
      </c>
    </row>
    <row r="152" spans="1:70">
      <c r="A152" s="73" t="s">
        <v>1866</v>
      </c>
      <c r="B152" s="73" t="s">
        <v>2661</v>
      </c>
      <c r="C152" s="73" t="s">
        <v>2559</v>
      </c>
      <c r="D152" s="73" t="s">
        <v>3088</v>
      </c>
      <c r="E152" s="73" t="s">
        <v>3088</v>
      </c>
      <c r="F152" s="73" t="s">
        <v>3088</v>
      </c>
      <c r="G152" s="73" t="s">
        <v>3089</v>
      </c>
      <c r="H152" s="73" t="s">
        <v>3088</v>
      </c>
      <c r="I152" s="73" t="s">
        <v>2135</v>
      </c>
      <c r="J152" s="73" t="s">
        <v>2662</v>
      </c>
      <c r="K152" s="73" t="s">
        <v>3089</v>
      </c>
      <c r="L152" s="73" t="s">
        <v>3088</v>
      </c>
      <c r="M152" s="73" t="s">
        <v>3088</v>
      </c>
      <c r="N152" s="73" t="s">
        <v>3088</v>
      </c>
      <c r="O152" s="73" t="s">
        <v>3088</v>
      </c>
      <c r="P152" s="73" t="s">
        <v>3088</v>
      </c>
      <c r="Q152" s="73" t="s">
        <v>3088</v>
      </c>
      <c r="R152" s="73" t="s">
        <v>3088</v>
      </c>
      <c r="S152" s="73" t="s">
        <v>3088</v>
      </c>
      <c r="T152" s="73" t="s">
        <v>3088</v>
      </c>
      <c r="U152" s="73" t="s">
        <v>3088</v>
      </c>
      <c r="V152" s="73" t="s">
        <v>3088</v>
      </c>
      <c r="W152" s="73" t="s">
        <v>3088</v>
      </c>
      <c r="X152" s="73" t="s">
        <v>3088</v>
      </c>
      <c r="Y152" s="73" t="s">
        <v>3088</v>
      </c>
      <c r="Z152" s="73" t="s">
        <v>3088</v>
      </c>
      <c r="AA152" s="73" t="s">
        <v>3088</v>
      </c>
      <c r="AB152" s="73" t="s">
        <v>3088</v>
      </c>
      <c r="AC152" s="73" t="s">
        <v>3088</v>
      </c>
      <c r="AD152" s="73" t="s">
        <v>3088</v>
      </c>
      <c r="AE152" s="73" t="s">
        <v>3088</v>
      </c>
      <c r="AF152" s="73" t="s">
        <v>3088</v>
      </c>
      <c r="AG152" s="73" t="s">
        <v>3088</v>
      </c>
      <c r="AH152" s="73" t="s">
        <v>3088</v>
      </c>
      <c r="AI152" s="73" t="s">
        <v>3088</v>
      </c>
      <c r="AJ152" s="73" t="s">
        <v>3088</v>
      </c>
      <c r="AK152" s="73" t="s">
        <v>3088</v>
      </c>
      <c r="AL152" s="73" t="s">
        <v>3088</v>
      </c>
      <c r="AM152" s="73" t="s">
        <v>3088</v>
      </c>
      <c r="AN152" s="73" t="s">
        <v>3088</v>
      </c>
      <c r="AO152" s="73" t="s">
        <v>3088</v>
      </c>
      <c r="AP152" s="73" t="s">
        <v>3088</v>
      </c>
      <c r="AQ152" s="73" t="s">
        <v>3088</v>
      </c>
      <c r="AR152" s="73" t="s">
        <v>3088</v>
      </c>
      <c r="AS152" s="73" t="s">
        <v>3088</v>
      </c>
      <c r="AT152" s="73" t="s">
        <v>3088</v>
      </c>
      <c r="AU152" s="73" t="s">
        <v>3088</v>
      </c>
      <c r="AV152" s="73" t="s">
        <v>3088</v>
      </c>
      <c r="AW152" s="73" t="s">
        <v>3088</v>
      </c>
      <c r="AX152" s="73" t="s">
        <v>3088</v>
      </c>
      <c r="AY152" s="73" t="s">
        <v>3088</v>
      </c>
      <c r="AZ152" s="73" t="s">
        <v>3088</v>
      </c>
      <c r="BA152" s="73" t="s">
        <v>3088</v>
      </c>
      <c r="BB152" s="73" t="s">
        <v>3088</v>
      </c>
      <c r="BC152" s="73" t="s">
        <v>3088</v>
      </c>
      <c r="BD152" s="73" t="s">
        <v>3088</v>
      </c>
      <c r="BE152" s="73" t="s">
        <v>3088</v>
      </c>
      <c r="BF152" s="73" t="s">
        <v>3088</v>
      </c>
      <c r="BG152" s="73" t="s">
        <v>3088</v>
      </c>
      <c r="BH152" s="73" t="s">
        <v>3088</v>
      </c>
      <c r="BI152" s="73" t="s">
        <v>3088</v>
      </c>
      <c r="BJ152" s="73" t="s">
        <v>3088</v>
      </c>
      <c r="BK152" s="73" t="s">
        <v>3088</v>
      </c>
      <c r="BL152" s="73" t="s">
        <v>3088</v>
      </c>
      <c r="BM152" s="73" t="s">
        <v>3088</v>
      </c>
      <c r="BN152" s="73" t="s">
        <v>3088</v>
      </c>
      <c r="BO152" s="73" t="s">
        <v>3088</v>
      </c>
      <c r="BP152" s="73" t="s">
        <v>3088</v>
      </c>
      <c r="BQ152" s="73" t="s">
        <v>3412</v>
      </c>
      <c r="BR152" s="73" t="s">
        <v>3088</v>
      </c>
    </row>
    <row r="153" spans="1:70">
      <c r="A153" s="73" t="s">
        <v>1866</v>
      </c>
      <c r="B153" s="73" t="s">
        <v>2663</v>
      </c>
      <c r="C153" s="73" t="s">
        <v>2559</v>
      </c>
      <c r="D153" s="73" t="s">
        <v>3088</v>
      </c>
      <c r="E153" s="73" t="s">
        <v>3088</v>
      </c>
      <c r="F153" s="73" t="s">
        <v>3088</v>
      </c>
      <c r="G153" s="73" t="s">
        <v>3089</v>
      </c>
      <c r="H153" s="73" t="s">
        <v>3088</v>
      </c>
      <c r="I153" s="73" t="s">
        <v>108</v>
      </c>
      <c r="J153" s="73" t="s">
        <v>3413</v>
      </c>
      <c r="K153" s="73" t="s">
        <v>3089</v>
      </c>
      <c r="L153" s="73" t="s">
        <v>2193</v>
      </c>
      <c r="M153" s="73" t="s">
        <v>3413</v>
      </c>
      <c r="N153" s="73" t="s">
        <v>3089</v>
      </c>
      <c r="O153" s="73" t="s">
        <v>3088</v>
      </c>
      <c r="P153" s="73" t="s">
        <v>3088</v>
      </c>
      <c r="Q153" s="73" t="s">
        <v>3088</v>
      </c>
      <c r="R153" s="73" t="s">
        <v>3088</v>
      </c>
      <c r="S153" s="73" t="s">
        <v>3088</v>
      </c>
      <c r="T153" s="73" t="s">
        <v>3088</v>
      </c>
      <c r="U153" s="73" t="s">
        <v>3088</v>
      </c>
      <c r="V153" s="73" t="s">
        <v>3088</v>
      </c>
      <c r="W153" s="73" t="s">
        <v>3088</v>
      </c>
      <c r="X153" s="73" t="s">
        <v>3088</v>
      </c>
      <c r="Y153" s="73" t="s">
        <v>3088</v>
      </c>
      <c r="Z153" s="73" t="s">
        <v>3088</v>
      </c>
      <c r="AA153" s="73" t="s">
        <v>3088</v>
      </c>
      <c r="AB153" s="73" t="s">
        <v>3088</v>
      </c>
      <c r="AC153" s="73" t="s">
        <v>3088</v>
      </c>
      <c r="AD153" s="73" t="s">
        <v>3088</v>
      </c>
      <c r="AE153" s="73" t="s">
        <v>3088</v>
      </c>
      <c r="AF153" s="73" t="s">
        <v>3088</v>
      </c>
      <c r="AG153" s="73" t="s">
        <v>3088</v>
      </c>
      <c r="AH153" s="73" t="s">
        <v>3088</v>
      </c>
      <c r="AI153" s="73" t="s">
        <v>3088</v>
      </c>
      <c r="AJ153" s="73" t="s">
        <v>3088</v>
      </c>
      <c r="AK153" s="73" t="s">
        <v>3088</v>
      </c>
      <c r="AL153" s="73" t="s">
        <v>3088</v>
      </c>
      <c r="AM153" s="73" t="s">
        <v>3088</v>
      </c>
      <c r="AN153" s="73" t="s">
        <v>3088</v>
      </c>
      <c r="AO153" s="73" t="s">
        <v>3088</v>
      </c>
      <c r="AP153" s="73" t="s">
        <v>3088</v>
      </c>
      <c r="AQ153" s="73" t="s">
        <v>3088</v>
      </c>
      <c r="AR153" s="73" t="s">
        <v>3088</v>
      </c>
      <c r="AS153" s="73" t="s">
        <v>3088</v>
      </c>
      <c r="AT153" s="73" t="s">
        <v>3088</v>
      </c>
      <c r="AU153" s="73" t="s">
        <v>3088</v>
      </c>
      <c r="AV153" s="73" t="s">
        <v>3088</v>
      </c>
      <c r="AW153" s="73" t="s">
        <v>3088</v>
      </c>
      <c r="AX153" s="73" t="s">
        <v>3088</v>
      </c>
      <c r="AY153" s="73" t="s">
        <v>3088</v>
      </c>
      <c r="AZ153" s="73" t="s">
        <v>3088</v>
      </c>
      <c r="BA153" s="73" t="s">
        <v>3088</v>
      </c>
      <c r="BB153" s="73" t="s">
        <v>3088</v>
      </c>
      <c r="BC153" s="73" t="s">
        <v>3088</v>
      </c>
      <c r="BD153" s="73" t="s">
        <v>3088</v>
      </c>
      <c r="BE153" s="73" t="s">
        <v>3088</v>
      </c>
      <c r="BF153" s="73" t="s">
        <v>3088</v>
      </c>
      <c r="BG153" s="73" t="s">
        <v>3088</v>
      </c>
      <c r="BH153" s="73" t="s">
        <v>3088</v>
      </c>
      <c r="BI153" s="73" t="s">
        <v>3088</v>
      </c>
      <c r="BJ153" s="73" t="s">
        <v>3088</v>
      </c>
      <c r="BK153" s="73" t="s">
        <v>3088</v>
      </c>
      <c r="BL153" s="73" t="s">
        <v>3088</v>
      </c>
      <c r="BM153" s="73" t="s">
        <v>3088</v>
      </c>
      <c r="BN153" s="73" t="s">
        <v>3088</v>
      </c>
      <c r="BO153" s="73" t="s">
        <v>3088</v>
      </c>
      <c r="BP153" s="73" t="s">
        <v>3088</v>
      </c>
      <c r="BQ153" s="73" t="s">
        <v>3414</v>
      </c>
      <c r="BR153" s="73" t="s">
        <v>3088</v>
      </c>
    </row>
    <row r="154" spans="1:70">
      <c r="A154" s="73" t="s">
        <v>1866</v>
      </c>
      <c r="B154" s="73" t="s">
        <v>2665</v>
      </c>
      <c r="C154" s="73" t="s">
        <v>2563</v>
      </c>
      <c r="D154" s="73" t="s">
        <v>3088</v>
      </c>
      <c r="E154" s="73" t="s">
        <v>3088</v>
      </c>
      <c r="F154" s="73" t="s">
        <v>3088</v>
      </c>
      <c r="G154" s="73" t="s">
        <v>3089</v>
      </c>
      <c r="H154" s="73" t="s">
        <v>3088</v>
      </c>
      <c r="I154" s="73" t="s">
        <v>108</v>
      </c>
      <c r="J154" s="73" t="s">
        <v>3415</v>
      </c>
      <c r="K154" s="73" t="s">
        <v>3089</v>
      </c>
      <c r="L154" s="73" t="s">
        <v>2193</v>
      </c>
      <c r="M154" s="73" t="s">
        <v>3415</v>
      </c>
      <c r="N154" s="73" t="s">
        <v>3089</v>
      </c>
      <c r="O154" s="73" t="s">
        <v>3088</v>
      </c>
      <c r="P154" s="73" t="s">
        <v>3088</v>
      </c>
      <c r="Q154" s="73" t="s">
        <v>3088</v>
      </c>
      <c r="R154" s="73" t="s">
        <v>3088</v>
      </c>
      <c r="S154" s="73" t="s">
        <v>3088</v>
      </c>
      <c r="T154" s="73" t="s">
        <v>3088</v>
      </c>
      <c r="U154" s="73" t="s">
        <v>3088</v>
      </c>
      <c r="V154" s="73" t="s">
        <v>3088</v>
      </c>
      <c r="W154" s="73" t="s">
        <v>3088</v>
      </c>
      <c r="X154" s="73" t="s">
        <v>3088</v>
      </c>
      <c r="Y154" s="73" t="s">
        <v>3088</v>
      </c>
      <c r="Z154" s="73" t="s">
        <v>3088</v>
      </c>
      <c r="AA154" s="73" t="s">
        <v>3088</v>
      </c>
      <c r="AB154" s="73" t="s">
        <v>3088</v>
      </c>
      <c r="AC154" s="73" t="s">
        <v>3088</v>
      </c>
      <c r="AD154" s="73" t="s">
        <v>3088</v>
      </c>
      <c r="AE154" s="73" t="s">
        <v>3088</v>
      </c>
      <c r="AF154" s="73" t="s">
        <v>3088</v>
      </c>
      <c r="AG154" s="73" t="s">
        <v>3088</v>
      </c>
      <c r="AH154" s="73" t="s">
        <v>3088</v>
      </c>
      <c r="AI154" s="73" t="s">
        <v>3088</v>
      </c>
      <c r="AJ154" s="73" t="s">
        <v>3088</v>
      </c>
      <c r="AK154" s="73" t="s">
        <v>3088</v>
      </c>
      <c r="AL154" s="73" t="s">
        <v>3088</v>
      </c>
      <c r="AM154" s="73" t="s">
        <v>3088</v>
      </c>
      <c r="AN154" s="73" t="s">
        <v>3088</v>
      </c>
      <c r="AO154" s="73" t="s">
        <v>3088</v>
      </c>
      <c r="AP154" s="73" t="s">
        <v>3088</v>
      </c>
      <c r="AQ154" s="73" t="s">
        <v>3088</v>
      </c>
      <c r="AR154" s="73" t="s">
        <v>3088</v>
      </c>
      <c r="AS154" s="73" t="s">
        <v>3088</v>
      </c>
      <c r="AT154" s="73" t="s">
        <v>3088</v>
      </c>
      <c r="AU154" s="73" t="s">
        <v>3088</v>
      </c>
      <c r="AV154" s="73" t="s">
        <v>3088</v>
      </c>
      <c r="AW154" s="73" t="s">
        <v>3088</v>
      </c>
      <c r="AX154" s="73" t="s">
        <v>3088</v>
      </c>
      <c r="AY154" s="73" t="s">
        <v>3088</v>
      </c>
      <c r="AZ154" s="73" t="s">
        <v>3088</v>
      </c>
      <c r="BA154" s="73" t="s">
        <v>3088</v>
      </c>
      <c r="BB154" s="73" t="s">
        <v>3088</v>
      </c>
      <c r="BC154" s="73" t="s">
        <v>3088</v>
      </c>
      <c r="BD154" s="73" t="s">
        <v>3088</v>
      </c>
      <c r="BE154" s="73" t="s">
        <v>3088</v>
      </c>
      <c r="BF154" s="73" t="s">
        <v>3088</v>
      </c>
      <c r="BG154" s="73" t="s">
        <v>3088</v>
      </c>
      <c r="BH154" s="73" t="s">
        <v>3088</v>
      </c>
      <c r="BI154" s="73" t="s">
        <v>3088</v>
      </c>
      <c r="BJ154" s="73" t="s">
        <v>3088</v>
      </c>
      <c r="BK154" s="73" t="s">
        <v>3088</v>
      </c>
      <c r="BL154" s="73" t="s">
        <v>3088</v>
      </c>
      <c r="BM154" s="73" t="s">
        <v>3088</v>
      </c>
      <c r="BN154" s="73" t="s">
        <v>3088</v>
      </c>
      <c r="BO154" s="73" t="s">
        <v>3088</v>
      </c>
      <c r="BP154" s="73" t="s">
        <v>3088</v>
      </c>
      <c r="BQ154" s="73" t="s">
        <v>3416</v>
      </c>
      <c r="BR154" s="73" t="s">
        <v>3088</v>
      </c>
    </row>
    <row r="155" spans="1:70">
      <c r="A155" s="73" t="s">
        <v>1866</v>
      </c>
      <c r="B155" s="73" t="s">
        <v>2667</v>
      </c>
      <c r="C155" s="73" t="s">
        <v>2571</v>
      </c>
      <c r="D155" s="73" t="s">
        <v>3088</v>
      </c>
      <c r="E155" s="73" t="s">
        <v>3088</v>
      </c>
      <c r="F155" s="73" t="s">
        <v>3088</v>
      </c>
      <c r="G155" s="73" t="s">
        <v>3089</v>
      </c>
      <c r="H155" s="73" t="s">
        <v>3088</v>
      </c>
      <c r="I155" s="73" t="s">
        <v>3113</v>
      </c>
      <c r="J155" s="73" t="s">
        <v>3417</v>
      </c>
      <c r="K155" s="73" t="s">
        <v>3095</v>
      </c>
      <c r="L155" s="73" t="s">
        <v>2193</v>
      </c>
      <c r="M155" s="73" t="s">
        <v>3418</v>
      </c>
      <c r="N155" s="73" t="s">
        <v>3095</v>
      </c>
      <c r="O155" s="73" t="s">
        <v>108</v>
      </c>
      <c r="P155" s="73" t="s">
        <v>3418</v>
      </c>
      <c r="Q155" s="73" t="s">
        <v>3095</v>
      </c>
      <c r="R155" s="73" t="s">
        <v>3088</v>
      </c>
      <c r="S155" s="73" t="s">
        <v>3088</v>
      </c>
      <c r="T155" s="73" t="s">
        <v>3088</v>
      </c>
      <c r="U155" s="73" t="s">
        <v>3088</v>
      </c>
      <c r="V155" s="73" t="s">
        <v>3088</v>
      </c>
      <c r="W155" s="73" t="s">
        <v>3088</v>
      </c>
      <c r="X155" s="73" t="s">
        <v>3088</v>
      </c>
      <c r="Y155" s="73" t="s">
        <v>3088</v>
      </c>
      <c r="Z155" s="73" t="s">
        <v>3088</v>
      </c>
      <c r="AA155" s="73" t="s">
        <v>3088</v>
      </c>
      <c r="AB155" s="73" t="s">
        <v>3088</v>
      </c>
      <c r="AC155" s="73" t="s">
        <v>3088</v>
      </c>
      <c r="AD155" s="73" t="s">
        <v>3088</v>
      </c>
      <c r="AE155" s="73" t="s">
        <v>3088</v>
      </c>
      <c r="AF155" s="73" t="s">
        <v>3088</v>
      </c>
      <c r="AG155" s="73" t="s">
        <v>3088</v>
      </c>
      <c r="AH155" s="73" t="s">
        <v>3088</v>
      </c>
      <c r="AI155" s="73" t="s">
        <v>3088</v>
      </c>
      <c r="AJ155" s="73" t="s">
        <v>3088</v>
      </c>
      <c r="AK155" s="73" t="s">
        <v>3088</v>
      </c>
      <c r="AL155" s="73" t="s">
        <v>3088</v>
      </c>
      <c r="AM155" s="73" t="s">
        <v>3088</v>
      </c>
      <c r="AN155" s="73" t="s">
        <v>3088</v>
      </c>
      <c r="AO155" s="73" t="s">
        <v>3088</v>
      </c>
      <c r="AP155" s="73" t="s">
        <v>3088</v>
      </c>
      <c r="AQ155" s="73" t="s">
        <v>3088</v>
      </c>
      <c r="AR155" s="73" t="s">
        <v>3088</v>
      </c>
      <c r="AS155" s="73" t="s">
        <v>3088</v>
      </c>
      <c r="AT155" s="73" t="s">
        <v>3088</v>
      </c>
      <c r="AU155" s="73" t="s">
        <v>3088</v>
      </c>
      <c r="AV155" s="73" t="s">
        <v>3088</v>
      </c>
      <c r="AW155" s="73" t="s">
        <v>3088</v>
      </c>
      <c r="AX155" s="73" t="s">
        <v>3088</v>
      </c>
      <c r="AY155" s="73" t="s">
        <v>3088</v>
      </c>
      <c r="AZ155" s="73" t="s">
        <v>3088</v>
      </c>
      <c r="BA155" s="73" t="s">
        <v>3088</v>
      </c>
      <c r="BB155" s="73" t="s">
        <v>3088</v>
      </c>
      <c r="BC155" s="73" t="s">
        <v>3088</v>
      </c>
      <c r="BD155" s="73" t="s">
        <v>3088</v>
      </c>
      <c r="BE155" s="73" t="s">
        <v>3088</v>
      </c>
      <c r="BF155" s="73" t="s">
        <v>3088</v>
      </c>
      <c r="BG155" s="73" t="s">
        <v>3088</v>
      </c>
      <c r="BH155" s="73" t="s">
        <v>3088</v>
      </c>
      <c r="BI155" s="73" t="s">
        <v>3088</v>
      </c>
      <c r="BJ155" s="73" t="s">
        <v>3088</v>
      </c>
      <c r="BK155" s="73" t="s">
        <v>3088</v>
      </c>
      <c r="BL155" s="73" t="s">
        <v>3088</v>
      </c>
      <c r="BM155" s="73" t="s">
        <v>3088</v>
      </c>
      <c r="BN155" s="73" t="s">
        <v>3088</v>
      </c>
      <c r="BO155" s="73" t="s">
        <v>3088</v>
      </c>
      <c r="BP155" s="73" t="s">
        <v>3088</v>
      </c>
      <c r="BQ155" s="73" t="s">
        <v>3419</v>
      </c>
      <c r="BR155" s="73" t="s">
        <v>3097</v>
      </c>
    </row>
    <row r="156" spans="1:70">
      <c r="A156" s="73" t="s">
        <v>1866</v>
      </c>
      <c r="B156" s="73" t="s">
        <v>2671</v>
      </c>
      <c r="C156" s="73" t="s">
        <v>2591</v>
      </c>
      <c r="D156" s="73" t="s">
        <v>3088</v>
      </c>
      <c r="E156" s="73" t="s">
        <v>3088</v>
      </c>
      <c r="F156" s="73" t="s">
        <v>3088</v>
      </c>
      <c r="G156" s="73" t="s">
        <v>3089</v>
      </c>
      <c r="H156" s="73" t="s">
        <v>3088</v>
      </c>
      <c r="I156" s="73" t="s">
        <v>108</v>
      </c>
      <c r="J156" s="73" t="s">
        <v>3420</v>
      </c>
      <c r="K156" s="73" t="s">
        <v>3089</v>
      </c>
      <c r="L156" s="73" t="s">
        <v>2193</v>
      </c>
      <c r="M156" s="73" t="s">
        <v>3420</v>
      </c>
      <c r="N156" s="73" t="s">
        <v>3089</v>
      </c>
      <c r="O156" s="73" t="s">
        <v>3088</v>
      </c>
      <c r="P156" s="73" t="s">
        <v>3088</v>
      </c>
      <c r="Q156" s="73" t="s">
        <v>3088</v>
      </c>
      <c r="R156" s="73" t="s">
        <v>3088</v>
      </c>
      <c r="S156" s="73" t="s">
        <v>3088</v>
      </c>
      <c r="T156" s="73" t="s">
        <v>3088</v>
      </c>
      <c r="U156" s="73" t="s">
        <v>3088</v>
      </c>
      <c r="V156" s="73" t="s">
        <v>3088</v>
      </c>
      <c r="W156" s="73" t="s">
        <v>3088</v>
      </c>
      <c r="X156" s="73" t="s">
        <v>3088</v>
      </c>
      <c r="Y156" s="73" t="s">
        <v>3088</v>
      </c>
      <c r="Z156" s="73" t="s">
        <v>3088</v>
      </c>
      <c r="AA156" s="73" t="s">
        <v>3088</v>
      </c>
      <c r="AB156" s="73" t="s">
        <v>3088</v>
      </c>
      <c r="AC156" s="73" t="s">
        <v>3088</v>
      </c>
      <c r="AD156" s="73" t="s">
        <v>3088</v>
      </c>
      <c r="AE156" s="73" t="s">
        <v>3088</v>
      </c>
      <c r="AF156" s="73" t="s">
        <v>3088</v>
      </c>
      <c r="AG156" s="73" t="s">
        <v>3088</v>
      </c>
      <c r="AH156" s="73" t="s">
        <v>3088</v>
      </c>
      <c r="AI156" s="73" t="s">
        <v>3088</v>
      </c>
      <c r="AJ156" s="73" t="s">
        <v>3088</v>
      </c>
      <c r="AK156" s="73" t="s">
        <v>3088</v>
      </c>
      <c r="AL156" s="73" t="s">
        <v>3088</v>
      </c>
      <c r="AM156" s="73" t="s">
        <v>3088</v>
      </c>
      <c r="AN156" s="73" t="s">
        <v>3088</v>
      </c>
      <c r="AO156" s="73" t="s">
        <v>3088</v>
      </c>
      <c r="AP156" s="73" t="s">
        <v>3088</v>
      </c>
      <c r="AQ156" s="73" t="s">
        <v>3088</v>
      </c>
      <c r="AR156" s="73" t="s">
        <v>3088</v>
      </c>
      <c r="AS156" s="73" t="s">
        <v>3088</v>
      </c>
      <c r="AT156" s="73" t="s">
        <v>3088</v>
      </c>
      <c r="AU156" s="73" t="s">
        <v>3088</v>
      </c>
      <c r="AV156" s="73" t="s">
        <v>3088</v>
      </c>
      <c r="AW156" s="73" t="s">
        <v>3088</v>
      </c>
      <c r="AX156" s="73" t="s">
        <v>3088</v>
      </c>
      <c r="AY156" s="73" t="s">
        <v>3088</v>
      </c>
      <c r="AZ156" s="73" t="s">
        <v>3088</v>
      </c>
      <c r="BA156" s="73" t="s">
        <v>3088</v>
      </c>
      <c r="BB156" s="73" t="s">
        <v>3088</v>
      </c>
      <c r="BC156" s="73" t="s">
        <v>3088</v>
      </c>
      <c r="BD156" s="73" t="s">
        <v>3088</v>
      </c>
      <c r="BE156" s="73" t="s">
        <v>3088</v>
      </c>
      <c r="BF156" s="73" t="s">
        <v>3088</v>
      </c>
      <c r="BG156" s="73" t="s">
        <v>3088</v>
      </c>
      <c r="BH156" s="73" t="s">
        <v>3088</v>
      </c>
      <c r="BI156" s="73" t="s">
        <v>3088</v>
      </c>
      <c r="BJ156" s="73" t="s">
        <v>3088</v>
      </c>
      <c r="BK156" s="73" t="s">
        <v>3088</v>
      </c>
      <c r="BL156" s="73" t="s">
        <v>3088</v>
      </c>
      <c r="BM156" s="73" t="s">
        <v>3088</v>
      </c>
      <c r="BN156" s="73" t="s">
        <v>3088</v>
      </c>
      <c r="BO156" s="73" t="s">
        <v>3088</v>
      </c>
      <c r="BP156" s="73" t="s">
        <v>3088</v>
      </c>
      <c r="BQ156" s="73" t="s">
        <v>3421</v>
      </c>
      <c r="BR156" s="73" t="s">
        <v>3088</v>
      </c>
    </row>
    <row r="157" spans="1:70">
      <c r="A157" s="73" t="s">
        <v>1866</v>
      </c>
      <c r="B157" s="73" t="s">
        <v>2868</v>
      </c>
      <c r="C157" s="73" t="s">
        <v>2563</v>
      </c>
      <c r="D157" s="73" t="s">
        <v>3088</v>
      </c>
      <c r="E157" s="73" t="s">
        <v>3088</v>
      </c>
      <c r="F157" s="73" t="s">
        <v>3088</v>
      </c>
      <c r="G157" s="73" t="s">
        <v>3089</v>
      </c>
      <c r="H157" s="73" t="s">
        <v>3088</v>
      </c>
      <c r="I157" s="73" t="s">
        <v>543</v>
      </c>
      <c r="J157" s="73" t="s">
        <v>2869</v>
      </c>
      <c r="K157" s="73" t="s">
        <v>3089</v>
      </c>
      <c r="L157" s="73" t="s">
        <v>3088</v>
      </c>
      <c r="M157" s="73" t="s">
        <v>3088</v>
      </c>
      <c r="N157" s="73" t="s">
        <v>3088</v>
      </c>
      <c r="O157" s="73" t="s">
        <v>3088</v>
      </c>
      <c r="P157" s="73" t="s">
        <v>3088</v>
      </c>
      <c r="Q157" s="73" t="s">
        <v>3088</v>
      </c>
      <c r="R157" s="73" t="s">
        <v>3088</v>
      </c>
      <c r="S157" s="73" t="s">
        <v>3088</v>
      </c>
      <c r="T157" s="73" t="s">
        <v>3088</v>
      </c>
      <c r="U157" s="73" t="s">
        <v>3088</v>
      </c>
      <c r="V157" s="73" t="s">
        <v>3088</v>
      </c>
      <c r="W157" s="73" t="s">
        <v>3088</v>
      </c>
      <c r="X157" s="73" t="s">
        <v>3088</v>
      </c>
      <c r="Y157" s="73" t="s">
        <v>3088</v>
      </c>
      <c r="Z157" s="73" t="s">
        <v>3088</v>
      </c>
      <c r="AA157" s="73" t="s">
        <v>3088</v>
      </c>
      <c r="AB157" s="73" t="s">
        <v>3088</v>
      </c>
      <c r="AC157" s="73" t="s">
        <v>3088</v>
      </c>
      <c r="AD157" s="73" t="s">
        <v>3088</v>
      </c>
      <c r="AE157" s="73" t="s">
        <v>3088</v>
      </c>
      <c r="AF157" s="73" t="s">
        <v>3088</v>
      </c>
      <c r="AG157" s="73" t="s">
        <v>3088</v>
      </c>
      <c r="AH157" s="73" t="s">
        <v>3088</v>
      </c>
      <c r="AI157" s="73" t="s">
        <v>3088</v>
      </c>
      <c r="AJ157" s="73" t="s">
        <v>3088</v>
      </c>
      <c r="AK157" s="73" t="s">
        <v>3088</v>
      </c>
      <c r="AL157" s="73" t="s">
        <v>3088</v>
      </c>
      <c r="AM157" s="73" t="s">
        <v>3088</v>
      </c>
      <c r="AN157" s="73" t="s">
        <v>3088</v>
      </c>
      <c r="AO157" s="73" t="s">
        <v>3088</v>
      </c>
      <c r="AP157" s="73" t="s">
        <v>3088</v>
      </c>
      <c r="AQ157" s="73" t="s">
        <v>3088</v>
      </c>
      <c r="AR157" s="73" t="s">
        <v>3088</v>
      </c>
      <c r="AS157" s="73" t="s">
        <v>3088</v>
      </c>
      <c r="AT157" s="73" t="s">
        <v>3088</v>
      </c>
      <c r="AU157" s="73" t="s">
        <v>3088</v>
      </c>
      <c r="AV157" s="73" t="s">
        <v>3088</v>
      </c>
      <c r="AW157" s="73" t="s">
        <v>3088</v>
      </c>
      <c r="AX157" s="73" t="s">
        <v>3088</v>
      </c>
      <c r="AY157" s="73" t="s">
        <v>3088</v>
      </c>
      <c r="AZ157" s="73" t="s">
        <v>3088</v>
      </c>
      <c r="BA157" s="73" t="s">
        <v>3088</v>
      </c>
      <c r="BB157" s="73" t="s">
        <v>3088</v>
      </c>
      <c r="BC157" s="73" t="s">
        <v>3088</v>
      </c>
      <c r="BD157" s="73" t="s">
        <v>3088</v>
      </c>
      <c r="BE157" s="73" t="s">
        <v>3088</v>
      </c>
      <c r="BF157" s="73" t="s">
        <v>3088</v>
      </c>
      <c r="BG157" s="73" t="s">
        <v>3088</v>
      </c>
      <c r="BH157" s="73" t="s">
        <v>3088</v>
      </c>
      <c r="BI157" s="73" t="s">
        <v>3088</v>
      </c>
      <c r="BJ157" s="73" t="s">
        <v>3088</v>
      </c>
      <c r="BK157" s="73" t="s">
        <v>3088</v>
      </c>
      <c r="BL157" s="73" t="s">
        <v>3088</v>
      </c>
      <c r="BM157" s="73" t="s">
        <v>3088</v>
      </c>
      <c r="BN157" s="73" t="s">
        <v>3088</v>
      </c>
      <c r="BO157" s="73" t="s">
        <v>3088</v>
      </c>
      <c r="BP157" s="73" t="s">
        <v>3088</v>
      </c>
      <c r="BQ157" s="73" t="s">
        <v>3422</v>
      </c>
      <c r="BR157" s="73" t="s">
        <v>3088</v>
      </c>
    </row>
    <row r="158" spans="1:70">
      <c r="A158" s="73" t="s">
        <v>1866</v>
      </c>
      <c r="B158" s="73" t="s">
        <v>2673</v>
      </c>
      <c r="C158" s="73" t="s">
        <v>2537</v>
      </c>
      <c r="D158" s="73" t="s">
        <v>3088</v>
      </c>
      <c r="E158" s="73" t="s">
        <v>3088</v>
      </c>
      <c r="F158" s="73" t="s">
        <v>3088</v>
      </c>
      <c r="G158" s="73" t="s">
        <v>3089</v>
      </c>
      <c r="H158" s="73" t="s">
        <v>3088</v>
      </c>
      <c r="I158" s="73" t="s">
        <v>2338</v>
      </c>
      <c r="J158" s="73" t="s">
        <v>3088</v>
      </c>
      <c r="K158" s="73" t="s">
        <v>3088</v>
      </c>
      <c r="L158" s="73" t="s">
        <v>3088</v>
      </c>
      <c r="M158" s="73" t="s">
        <v>3088</v>
      </c>
      <c r="N158" s="73" t="s">
        <v>3088</v>
      </c>
      <c r="O158" s="73" t="s">
        <v>3088</v>
      </c>
      <c r="P158" s="73" t="s">
        <v>3088</v>
      </c>
      <c r="Q158" s="73" t="s">
        <v>3088</v>
      </c>
      <c r="R158" s="73" t="s">
        <v>3088</v>
      </c>
      <c r="S158" s="73" t="s">
        <v>3088</v>
      </c>
      <c r="T158" s="73" t="s">
        <v>3088</v>
      </c>
      <c r="U158" s="73" t="s">
        <v>3088</v>
      </c>
      <c r="V158" s="73" t="s">
        <v>3088</v>
      </c>
      <c r="W158" s="73" t="s">
        <v>3088</v>
      </c>
      <c r="X158" s="73" t="s">
        <v>3088</v>
      </c>
      <c r="Y158" s="73" t="s">
        <v>3088</v>
      </c>
      <c r="Z158" s="73" t="s">
        <v>3088</v>
      </c>
      <c r="AA158" s="73" t="s">
        <v>3088</v>
      </c>
      <c r="AB158" s="73" t="s">
        <v>3088</v>
      </c>
      <c r="AC158" s="73" t="s">
        <v>3088</v>
      </c>
      <c r="AD158" s="73" t="s">
        <v>3088</v>
      </c>
      <c r="AE158" s="73" t="s">
        <v>3088</v>
      </c>
      <c r="AF158" s="73" t="s">
        <v>3088</v>
      </c>
      <c r="AG158" s="73" t="s">
        <v>3088</v>
      </c>
      <c r="AH158" s="73" t="s">
        <v>3088</v>
      </c>
      <c r="AI158" s="73" t="s">
        <v>3088</v>
      </c>
      <c r="AJ158" s="73" t="s">
        <v>3088</v>
      </c>
      <c r="AK158" s="73" t="s">
        <v>3088</v>
      </c>
      <c r="AL158" s="73" t="s">
        <v>3088</v>
      </c>
      <c r="AM158" s="73" t="s">
        <v>3088</v>
      </c>
      <c r="AN158" s="73" t="s">
        <v>3088</v>
      </c>
      <c r="AO158" s="73" t="s">
        <v>3088</v>
      </c>
      <c r="AP158" s="73" t="s">
        <v>3088</v>
      </c>
      <c r="AQ158" s="73" t="s">
        <v>3088</v>
      </c>
      <c r="AR158" s="73" t="s">
        <v>3088</v>
      </c>
      <c r="AS158" s="73" t="s">
        <v>3088</v>
      </c>
      <c r="AT158" s="73" t="s">
        <v>3088</v>
      </c>
      <c r="AU158" s="73" t="s">
        <v>3088</v>
      </c>
      <c r="AV158" s="73" t="s">
        <v>3088</v>
      </c>
      <c r="AW158" s="73" t="s">
        <v>3088</v>
      </c>
      <c r="AX158" s="73" t="s">
        <v>3088</v>
      </c>
      <c r="AY158" s="73" t="s">
        <v>3088</v>
      </c>
      <c r="AZ158" s="73" t="s">
        <v>3088</v>
      </c>
      <c r="BA158" s="73" t="s">
        <v>3088</v>
      </c>
      <c r="BB158" s="73" t="s">
        <v>3088</v>
      </c>
      <c r="BC158" s="73" t="s">
        <v>3088</v>
      </c>
      <c r="BD158" s="73" t="s">
        <v>3088</v>
      </c>
      <c r="BE158" s="73" t="s">
        <v>3088</v>
      </c>
      <c r="BF158" s="73" t="s">
        <v>3088</v>
      </c>
      <c r="BG158" s="73" t="s">
        <v>3088</v>
      </c>
      <c r="BH158" s="73" t="s">
        <v>3088</v>
      </c>
      <c r="BI158" s="73" t="s">
        <v>3088</v>
      </c>
      <c r="BJ158" s="73" t="s">
        <v>3088</v>
      </c>
      <c r="BK158" s="73" t="s">
        <v>3088</v>
      </c>
      <c r="BL158" s="73" t="s">
        <v>3088</v>
      </c>
      <c r="BM158" s="73" t="s">
        <v>3088</v>
      </c>
      <c r="BN158" s="73" t="s">
        <v>3088</v>
      </c>
      <c r="BO158" s="73" t="s">
        <v>3088</v>
      </c>
      <c r="BP158" s="73" t="s">
        <v>3088</v>
      </c>
      <c r="BQ158" s="73" t="s">
        <v>3423</v>
      </c>
      <c r="BR158" s="73" t="s">
        <v>3088</v>
      </c>
    </row>
    <row r="159" spans="1:70">
      <c r="A159" s="73" t="s">
        <v>1866</v>
      </c>
      <c r="B159" s="73" t="s">
        <v>2674</v>
      </c>
      <c r="C159" s="73" t="s">
        <v>2533</v>
      </c>
      <c r="D159" s="73" t="s">
        <v>3088</v>
      </c>
      <c r="E159" s="73" t="s">
        <v>3088</v>
      </c>
      <c r="F159" s="73" t="s">
        <v>3088</v>
      </c>
      <c r="G159" s="73" t="s">
        <v>3089</v>
      </c>
      <c r="H159" s="73" t="s">
        <v>3088</v>
      </c>
      <c r="I159" s="73" t="s">
        <v>1201</v>
      </c>
      <c r="J159" s="73" t="s">
        <v>2675</v>
      </c>
      <c r="K159" s="73" t="s">
        <v>3089</v>
      </c>
      <c r="L159" s="73" t="s">
        <v>3088</v>
      </c>
      <c r="M159" s="73" t="s">
        <v>3088</v>
      </c>
      <c r="N159" s="73" t="s">
        <v>3088</v>
      </c>
      <c r="O159" s="73" t="s">
        <v>3088</v>
      </c>
      <c r="P159" s="73" t="s">
        <v>3088</v>
      </c>
      <c r="Q159" s="73" t="s">
        <v>3088</v>
      </c>
      <c r="R159" s="73" t="s">
        <v>3088</v>
      </c>
      <c r="S159" s="73" t="s">
        <v>3088</v>
      </c>
      <c r="T159" s="73" t="s">
        <v>3088</v>
      </c>
      <c r="U159" s="73" t="s">
        <v>3088</v>
      </c>
      <c r="V159" s="73" t="s">
        <v>3088</v>
      </c>
      <c r="W159" s="73" t="s">
        <v>3088</v>
      </c>
      <c r="X159" s="73" t="s">
        <v>3088</v>
      </c>
      <c r="Y159" s="73" t="s">
        <v>3088</v>
      </c>
      <c r="Z159" s="73" t="s">
        <v>3088</v>
      </c>
      <c r="AA159" s="73" t="s">
        <v>3088</v>
      </c>
      <c r="AB159" s="73" t="s">
        <v>3088</v>
      </c>
      <c r="AC159" s="73" t="s">
        <v>3088</v>
      </c>
      <c r="AD159" s="73" t="s">
        <v>3088</v>
      </c>
      <c r="AE159" s="73" t="s">
        <v>3088</v>
      </c>
      <c r="AF159" s="73" t="s">
        <v>3088</v>
      </c>
      <c r="AG159" s="73" t="s">
        <v>3088</v>
      </c>
      <c r="AH159" s="73" t="s">
        <v>3088</v>
      </c>
      <c r="AI159" s="73" t="s">
        <v>3088</v>
      </c>
      <c r="AJ159" s="73" t="s">
        <v>3088</v>
      </c>
      <c r="AK159" s="73" t="s">
        <v>3088</v>
      </c>
      <c r="AL159" s="73" t="s">
        <v>3088</v>
      </c>
      <c r="AM159" s="73" t="s">
        <v>3088</v>
      </c>
      <c r="AN159" s="73" t="s">
        <v>3088</v>
      </c>
      <c r="AO159" s="73" t="s">
        <v>3088</v>
      </c>
      <c r="AP159" s="73" t="s">
        <v>3088</v>
      </c>
      <c r="AQ159" s="73" t="s">
        <v>3088</v>
      </c>
      <c r="AR159" s="73" t="s">
        <v>3088</v>
      </c>
      <c r="AS159" s="73" t="s">
        <v>3088</v>
      </c>
      <c r="AT159" s="73" t="s">
        <v>3088</v>
      </c>
      <c r="AU159" s="73" t="s">
        <v>3088</v>
      </c>
      <c r="AV159" s="73" t="s">
        <v>3088</v>
      </c>
      <c r="AW159" s="73" t="s">
        <v>3088</v>
      </c>
      <c r="AX159" s="73" t="s">
        <v>3088</v>
      </c>
      <c r="AY159" s="73" t="s">
        <v>3088</v>
      </c>
      <c r="AZ159" s="73" t="s">
        <v>3088</v>
      </c>
      <c r="BA159" s="73" t="s">
        <v>3088</v>
      </c>
      <c r="BB159" s="73" t="s">
        <v>3088</v>
      </c>
      <c r="BC159" s="73" t="s">
        <v>3088</v>
      </c>
      <c r="BD159" s="73" t="s">
        <v>3088</v>
      </c>
      <c r="BE159" s="73" t="s">
        <v>3088</v>
      </c>
      <c r="BF159" s="73" t="s">
        <v>3088</v>
      </c>
      <c r="BG159" s="73" t="s">
        <v>3088</v>
      </c>
      <c r="BH159" s="73" t="s">
        <v>3088</v>
      </c>
      <c r="BI159" s="73" t="s">
        <v>3088</v>
      </c>
      <c r="BJ159" s="73" t="s">
        <v>3088</v>
      </c>
      <c r="BK159" s="73" t="s">
        <v>3088</v>
      </c>
      <c r="BL159" s="73" t="s">
        <v>3088</v>
      </c>
      <c r="BM159" s="73" t="s">
        <v>3088</v>
      </c>
      <c r="BN159" s="73" t="s">
        <v>3088</v>
      </c>
      <c r="BO159" s="73" t="s">
        <v>3088</v>
      </c>
      <c r="BP159" s="73" t="s">
        <v>3088</v>
      </c>
      <c r="BQ159" s="73" t="s">
        <v>3424</v>
      </c>
      <c r="BR159" s="73" t="s">
        <v>3088</v>
      </c>
    </row>
    <row r="160" spans="1:70">
      <c r="A160" s="73" t="s">
        <v>1870</v>
      </c>
      <c r="B160" s="73" t="s">
        <v>2546</v>
      </c>
      <c r="C160" s="73" t="s">
        <v>2546</v>
      </c>
      <c r="D160" s="73" t="s">
        <v>3088</v>
      </c>
      <c r="E160" s="73" t="s">
        <v>3088</v>
      </c>
      <c r="F160" s="73" t="s">
        <v>3088</v>
      </c>
      <c r="G160" s="73" t="s">
        <v>3089</v>
      </c>
      <c r="H160" s="73" t="s">
        <v>3088</v>
      </c>
      <c r="I160" s="73" t="s">
        <v>2135</v>
      </c>
      <c r="J160" s="73" t="s">
        <v>2580</v>
      </c>
      <c r="K160" s="73" t="s">
        <v>3089</v>
      </c>
      <c r="L160" s="73" t="s">
        <v>3088</v>
      </c>
      <c r="M160" s="73" t="s">
        <v>3088</v>
      </c>
      <c r="N160" s="73" t="s">
        <v>3088</v>
      </c>
      <c r="O160" s="73" t="s">
        <v>3088</v>
      </c>
      <c r="P160" s="73" t="s">
        <v>3088</v>
      </c>
      <c r="Q160" s="73" t="s">
        <v>3088</v>
      </c>
      <c r="R160" s="73" t="s">
        <v>3088</v>
      </c>
      <c r="S160" s="73" t="s">
        <v>3088</v>
      </c>
      <c r="T160" s="73" t="s">
        <v>3088</v>
      </c>
      <c r="U160" s="73" t="s">
        <v>3088</v>
      </c>
      <c r="V160" s="73" t="s">
        <v>3088</v>
      </c>
      <c r="W160" s="73" t="s">
        <v>3088</v>
      </c>
      <c r="X160" s="73" t="s">
        <v>3088</v>
      </c>
      <c r="Y160" s="73" t="s">
        <v>3088</v>
      </c>
      <c r="Z160" s="73" t="s">
        <v>3088</v>
      </c>
      <c r="AA160" s="73" t="s">
        <v>3088</v>
      </c>
      <c r="AB160" s="73" t="s">
        <v>3088</v>
      </c>
      <c r="AC160" s="73" t="s">
        <v>3088</v>
      </c>
      <c r="AD160" s="73" t="s">
        <v>3088</v>
      </c>
      <c r="AE160" s="73" t="s">
        <v>3088</v>
      </c>
      <c r="AF160" s="73" t="s">
        <v>3088</v>
      </c>
      <c r="AG160" s="73" t="s">
        <v>3088</v>
      </c>
      <c r="AH160" s="73" t="s">
        <v>3088</v>
      </c>
      <c r="AI160" s="73" t="s">
        <v>3088</v>
      </c>
      <c r="AJ160" s="73" t="s">
        <v>3088</v>
      </c>
      <c r="AK160" s="73" t="s">
        <v>3088</v>
      </c>
      <c r="AL160" s="73" t="s">
        <v>3088</v>
      </c>
      <c r="AM160" s="73" t="s">
        <v>3088</v>
      </c>
      <c r="AN160" s="73" t="s">
        <v>3088</v>
      </c>
      <c r="AO160" s="73" t="s">
        <v>3088</v>
      </c>
      <c r="AP160" s="73" t="s">
        <v>3088</v>
      </c>
      <c r="AQ160" s="73" t="s">
        <v>3088</v>
      </c>
      <c r="AR160" s="73" t="s">
        <v>3088</v>
      </c>
      <c r="AS160" s="73" t="s">
        <v>3088</v>
      </c>
      <c r="AT160" s="73" t="s">
        <v>3088</v>
      </c>
      <c r="AU160" s="73" t="s">
        <v>3088</v>
      </c>
      <c r="AV160" s="73" t="s">
        <v>3088</v>
      </c>
      <c r="AW160" s="73" t="s">
        <v>3088</v>
      </c>
      <c r="AX160" s="73" t="s">
        <v>3088</v>
      </c>
      <c r="AY160" s="73" t="s">
        <v>3088</v>
      </c>
      <c r="AZ160" s="73" t="s">
        <v>3088</v>
      </c>
      <c r="BA160" s="73" t="s">
        <v>3088</v>
      </c>
      <c r="BB160" s="73" t="s">
        <v>3088</v>
      </c>
      <c r="BC160" s="73" t="s">
        <v>3088</v>
      </c>
      <c r="BD160" s="73" t="s">
        <v>3088</v>
      </c>
      <c r="BE160" s="73" t="s">
        <v>3088</v>
      </c>
      <c r="BF160" s="73" t="s">
        <v>3088</v>
      </c>
      <c r="BG160" s="73" t="s">
        <v>3088</v>
      </c>
      <c r="BH160" s="73" t="s">
        <v>3088</v>
      </c>
      <c r="BI160" s="73" t="s">
        <v>3088</v>
      </c>
      <c r="BJ160" s="73" t="s">
        <v>3088</v>
      </c>
      <c r="BK160" s="73" t="s">
        <v>3088</v>
      </c>
      <c r="BL160" s="73" t="s">
        <v>3088</v>
      </c>
      <c r="BM160" s="73" t="s">
        <v>3088</v>
      </c>
      <c r="BN160" s="73" t="s">
        <v>3088</v>
      </c>
      <c r="BO160" s="73" t="s">
        <v>3088</v>
      </c>
      <c r="BP160" s="73" t="s">
        <v>3088</v>
      </c>
      <c r="BQ160" s="73" t="s">
        <v>3425</v>
      </c>
      <c r="BR160" s="73" t="s">
        <v>3097</v>
      </c>
    </row>
    <row r="161" spans="1:70">
      <c r="A161" s="73" t="s">
        <v>1870</v>
      </c>
      <c r="B161" s="73" t="s">
        <v>3426</v>
      </c>
      <c r="C161" s="73" t="s">
        <v>2619</v>
      </c>
      <c r="D161" s="73" t="s">
        <v>3088</v>
      </c>
      <c r="E161" s="73" t="s">
        <v>3088</v>
      </c>
      <c r="F161" s="73" t="s">
        <v>3088</v>
      </c>
      <c r="G161" s="73" t="s">
        <v>3089</v>
      </c>
      <c r="H161" s="73" t="s">
        <v>3088</v>
      </c>
      <c r="I161" s="73" t="s">
        <v>2463</v>
      </c>
      <c r="J161" s="73" t="s">
        <v>3427</v>
      </c>
      <c r="K161" s="73" t="s">
        <v>3089</v>
      </c>
      <c r="L161" s="73" t="s">
        <v>3088</v>
      </c>
      <c r="M161" s="73" t="s">
        <v>3088</v>
      </c>
      <c r="N161" s="73" t="s">
        <v>3088</v>
      </c>
      <c r="O161" s="73" t="s">
        <v>3088</v>
      </c>
      <c r="P161" s="73" t="s">
        <v>3088</v>
      </c>
      <c r="Q161" s="73" t="s">
        <v>3088</v>
      </c>
      <c r="R161" s="73" t="s">
        <v>3088</v>
      </c>
      <c r="S161" s="73" t="s">
        <v>3088</v>
      </c>
      <c r="T161" s="73" t="s">
        <v>3088</v>
      </c>
      <c r="U161" s="73" t="s">
        <v>3088</v>
      </c>
      <c r="V161" s="73" t="s">
        <v>3088</v>
      </c>
      <c r="W161" s="73" t="s">
        <v>3088</v>
      </c>
      <c r="X161" s="73" t="s">
        <v>3088</v>
      </c>
      <c r="Y161" s="73" t="s">
        <v>3088</v>
      </c>
      <c r="Z161" s="73" t="s">
        <v>3088</v>
      </c>
      <c r="AA161" s="73" t="s">
        <v>3088</v>
      </c>
      <c r="AB161" s="73" t="s">
        <v>3088</v>
      </c>
      <c r="AC161" s="73" t="s">
        <v>3088</v>
      </c>
      <c r="AD161" s="73" t="s">
        <v>3088</v>
      </c>
      <c r="AE161" s="73" t="s">
        <v>3088</v>
      </c>
      <c r="AF161" s="73" t="s">
        <v>3088</v>
      </c>
      <c r="AG161" s="73" t="s">
        <v>3088</v>
      </c>
      <c r="AH161" s="73" t="s">
        <v>3088</v>
      </c>
      <c r="AI161" s="73" t="s">
        <v>3088</v>
      </c>
      <c r="AJ161" s="73" t="s">
        <v>3088</v>
      </c>
      <c r="AK161" s="73" t="s">
        <v>3088</v>
      </c>
      <c r="AL161" s="73" t="s">
        <v>3088</v>
      </c>
      <c r="AM161" s="73" t="s">
        <v>3088</v>
      </c>
      <c r="AN161" s="73" t="s">
        <v>3088</v>
      </c>
      <c r="AO161" s="73" t="s">
        <v>3088</v>
      </c>
      <c r="AP161" s="73" t="s">
        <v>3088</v>
      </c>
      <c r="AQ161" s="73" t="s">
        <v>3088</v>
      </c>
      <c r="AR161" s="73" t="s">
        <v>3088</v>
      </c>
      <c r="AS161" s="73" t="s">
        <v>3088</v>
      </c>
      <c r="AT161" s="73" t="s">
        <v>3088</v>
      </c>
      <c r="AU161" s="73" t="s">
        <v>3088</v>
      </c>
      <c r="AV161" s="73" t="s">
        <v>3088</v>
      </c>
      <c r="AW161" s="73" t="s">
        <v>3088</v>
      </c>
      <c r="AX161" s="73" t="s">
        <v>3088</v>
      </c>
      <c r="AY161" s="73" t="s">
        <v>3088</v>
      </c>
      <c r="AZ161" s="73" t="s">
        <v>3088</v>
      </c>
      <c r="BA161" s="73" t="s">
        <v>3088</v>
      </c>
      <c r="BB161" s="73" t="s">
        <v>3088</v>
      </c>
      <c r="BC161" s="73" t="s">
        <v>3088</v>
      </c>
      <c r="BD161" s="73" t="s">
        <v>3088</v>
      </c>
      <c r="BE161" s="73" t="s">
        <v>3088</v>
      </c>
      <c r="BF161" s="73" t="s">
        <v>3088</v>
      </c>
      <c r="BG161" s="73" t="s">
        <v>3088</v>
      </c>
      <c r="BH161" s="73" t="s">
        <v>3088</v>
      </c>
      <c r="BI161" s="73" t="s">
        <v>3088</v>
      </c>
      <c r="BJ161" s="73" t="s">
        <v>3088</v>
      </c>
      <c r="BK161" s="73" t="s">
        <v>3088</v>
      </c>
      <c r="BL161" s="73" t="s">
        <v>3088</v>
      </c>
      <c r="BM161" s="73" t="s">
        <v>3088</v>
      </c>
      <c r="BN161" s="73" t="s">
        <v>3088</v>
      </c>
      <c r="BO161" s="73" t="s">
        <v>3088</v>
      </c>
      <c r="BP161" s="73" t="s">
        <v>3088</v>
      </c>
      <c r="BQ161" s="73" t="s">
        <v>3428</v>
      </c>
      <c r="BR161" s="73" t="s">
        <v>3088</v>
      </c>
    </row>
    <row r="162" spans="1:70">
      <c r="A162" s="73" t="s">
        <v>1870</v>
      </c>
      <c r="B162" s="73" t="s">
        <v>2677</v>
      </c>
      <c r="C162" s="73" t="s">
        <v>2533</v>
      </c>
      <c r="D162" s="73" t="s">
        <v>3088</v>
      </c>
      <c r="E162" s="73" t="s">
        <v>3088</v>
      </c>
      <c r="F162" s="73" t="s">
        <v>3088</v>
      </c>
      <c r="G162" s="73" t="s">
        <v>3089</v>
      </c>
      <c r="H162" s="73" t="s">
        <v>3088</v>
      </c>
      <c r="I162" s="73" t="s">
        <v>108</v>
      </c>
      <c r="J162" s="73" t="s">
        <v>3429</v>
      </c>
      <c r="K162" s="73" t="s">
        <v>3089</v>
      </c>
      <c r="L162" s="73" t="s">
        <v>2193</v>
      </c>
      <c r="M162" s="73" t="s">
        <v>3429</v>
      </c>
      <c r="N162" s="73" t="s">
        <v>3089</v>
      </c>
      <c r="O162" s="73" t="s">
        <v>3088</v>
      </c>
      <c r="P162" s="73" t="s">
        <v>3088</v>
      </c>
      <c r="Q162" s="73" t="s">
        <v>3088</v>
      </c>
      <c r="R162" s="73" t="s">
        <v>3088</v>
      </c>
      <c r="S162" s="73" t="s">
        <v>3088</v>
      </c>
      <c r="T162" s="73" t="s">
        <v>3088</v>
      </c>
      <c r="U162" s="73" t="s">
        <v>3088</v>
      </c>
      <c r="V162" s="73" t="s">
        <v>3088</v>
      </c>
      <c r="W162" s="73" t="s">
        <v>3088</v>
      </c>
      <c r="X162" s="73" t="s">
        <v>3088</v>
      </c>
      <c r="Y162" s="73" t="s">
        <v>3088</v>
      </c>
      <c r="Z162" s="73" t="s">
        <v>3088</v>
      </c>
      <c r="AA162" s="73" t="s">
        <v>3088</v>
      </c>
      <c r="AB162" s="73" t="s">
        <v>3088</v>
      </c>
      <c r="AC162" s="73" t="s">
        <v>3088</v>
      </c>
      <c r="AD162" s="73" t="s">
        <v>3088</v>
      </c>
      <c r="AE162" s="73" t="s">
        <v>3088</v>
      </c>
      <c r="AF162" s="73" t="s">
        <v>3088</v>
      </c>
      <c r="AG162" s="73" t="s">
        <v>3088</v>
      </c>
      <c r="AH162" s="73" t="s">
        <v>3088</v>
      </c>
      <c r="AI162" s="73" t="s">
        <v>3088</v>
      </c>
      <c r="AJ162" s="73" t="s">
        <v>3088</v>
      </c>
      <c r="AK162" s="73" t="s">
        <v>3088</v>
      </c>
      <c r="AL162" s="73" t="s">
        <v>3088</v>
      </c>
      <c r="AM162" s="73" t="s">
        <v>3088</v>
      </c>
      <c r="AN162" s="73" t="s">
        <v>3088</v>
      </c>
      <c r="AO162" s="73" t="s">
        <v>3088</v>
      </c>
      <c r="AP162" s="73" t="s">
        <v>3088</v>
      </c>
      <c r="AQ162" s="73" t="s">
        <v>3088</v>
      </c>
      <c r="AR162" s="73" t="s">
        <v>3088</v>
      </c>
      <c r="AS162" s="73" t="s">
        <v>3088</v>
      </c>
      <c r="AT162" s="73" t="s">
        <v>3088</v>
      </c>
      <c r="AU162" s="73" t="s">
        <v>3088</v>
      </c>
      <c r="AV162" s="73" t="s">
        <v>3088</v>
      </c>
      <c r="AW162" s="73" t="s">
        <v>3088</v>
      </c>
      <c r="AX162" s="73" t="s">
        <v>3088</v>
      </c>
      <c r="AY162" s="73" t="s">
        <v>3088</v>
      </c>
      <c r="AZ162" s="73" t="s">
        <v>3088</v>
      </c>
      <c r="BA162" s="73" t="s">
        <v>3088</v>
      </c>
      <c r="BB162" s="73" t="s">
        <v>3088</v>
      </c>
      <c r="BC162" s="73" t="s">
        <v>3088</v>
      </c>
      <c r="BD162" s="73" t="s">
        <v>3088</v>
      </c>
      <c r="BE162" s="73" t="s">
        <v>3088</v>
      </c>
      <c r="BF162" s="73" t="s">
        <v>3088</v>
      </c>
      <c r="BG162" s="73" t="s">
        <v>3088</v>
      </c>
      <c r="BH162" s="73" t="s">
        <v>3088</v>
      </c>
      <c r="BI162" s="73" t="s">
        <v>3088</v>
      </c>
      <c r="BJ162" s="73" t="s">
        <v>3088</v>
      </c>
      <c r="BK162" s="73" t="s">
        <v>3088</v>
      </c>
      <c r="BL162" s="73" t="s">
        <v>3088</v>
      </c>
      <c r="BM162" s="73" t="s">
        <v>3088</v>
      </c>
      <c r="BN162" s="73" t="s">
        <v>3088</v>
      </c>
      <c r="BO162" s="73" t="s">
        <v>3088</v>
      </c>
      <c r="BP162" s="73" t="s">
        <v>3088</v>
      </c>
      <c r="BQ162" s="73" t="s">
        <v>3430</v>
      </c>
      <c r="BR162" s="73" t="s">
        <v>3088</v>
      </c>
    </row>
    <row r="163" spans="1:70">
      <c r="A163" s="73" t="s">
        <v>1870</v>
      </c>
      <c r="B163" s="73" t="s">
        <v>2871</v>
      </c>
      <c r="C163" s="73" t="s">
        <v>2537</v>
      </c>
      <c r="D163" s="73" t="s">
        <v>3088</v>
      </c>
      <c r="E163" s="73" t="s">
        <v>3088</v>
      </c>
      <c r="F163" s="73" t="s">
        <v>3088</v>
      </c>
      <c r="G163" s="73" t="s">
        <v>3089</v>
      </c>
      <c r="H163" s="73" t="s">
        <v>3088</v>
      </c>
      <c r="I163" s="73" t="s">
        <v>543</v>
      </c>
      <c r="J163" s="73" t="s">
        <v>3431</v>
      </c>
      <c r="K163" s="73" t="s">
        <v>3089</v>
      </c>
      <c r="L163" s="73" t="s">
        <v>3093</v>
      </c>
      <c r="M163" s="73" t="s">
        <v>3431</v>
      </c>
      <c r="N163" s="73" t="s">
        <v>3089</v>
      </c>
      <c r="O163" s="73" t="s">
        <v>3088</v>
      </c>
      <c r="P163" s="73" t="s">
        <v>3088</v>
      </c>
      <c r="Q163" s="73" t="s">
        <v>3088</v>
      </c>
      <c r="R163" s="73" t="s">
        <v>3088</v>
      </c>
      <c r="S163" s="73" t="s">
        <v>3088</v>
      </c>
      <c r="T163" s="73" t="s">
        <v>3088</v>
      </c>
      <c r="U163" s="73" t="s">
        <v>3088</v>
      </c>
      <c r="V163" s="73" t="s">
        <v>3088</v>
      </c>
      <c r="W163" s="73" t="s">
        <v>3088</v>
      </c>
      <c r="X163" s="73" t="s">
        <v>3088</v>
      </c>
      <c r="Y163" s="73" t="s">
        <v>3088</v>
      </c>
      <c r="Z163" s="73" t="s">
        <v>3088</v>
      </c>
      <c r="AA163" s="73" t="s">
        <v>3088</v>
      </c>
      <c r="AB163" s="73" t="s">
        <v>3088</v>
      </c>
      <c r="AC163" s="73" t="s">
        <v>3088</v>
      </c>
      <c r="AD163" s="73" t="s">
        <v>3088</v>
      </c>
      <c r="AE163" s="73" t="s">
        <v>3088</v>
      </c>
      <c r="AF163" s="73" t="s">
        <v>3088</v>
      </c>
      <c r="AG163" s="73" t="s">
        <v>3088</v>
      </c>
      <c r="AH163" s="73" t="s">
        <v>3088</v>
      </c>
      <c r="AI163" s="73" t="s">
        <v>3088</v>
      </c>
      <c r="AJ163" s="73" t="s">
        <v>3088</v>
      </c>
      <c r="AK163" s="73" t="s">
        <v>3088</v>
      </c>
      <c r="AL163" s="73" t="s">
        <v>3088</v>
      </c>
      <c r="AM163" s="73" t="s">
        <v>3088</v>
      </c>
      <c r="AN163" s="73" t="s">
        <v>3088</v>
      </c>
      <c r="AO163" s="73" t="s">
        <v>3088</v>
      </c>
      <c r="AP163" s="73" t="s">
        <v>3088</v>
      </c>
      <c r="AQ163" s="73" t="s">
        <v>3088</v>
      </c>
      <c r="AR163" s="73" t="s">
        <v>3088</v>
      </c>
      <c r="AS163" s="73" t="s">
        <v>3088</v>
      </c>
      <c r="AT163" s="73" t="s">
        <v>3088</v>
      </c>
      <c r="AU163" s="73" t="s">
        <v>3088</v>
      </c>
      <c r="AV163" s="73" t="s">
        <v>3088</v>
      </c>
      <c r="AW163" s="73" t="s">
        <v>3088</v>
      </c>
      <c r="AX163" s="73" t="s">
        <v>3088</v>
      </c>
      <c r="AY163" s="73" t="s">
        <v>3088</v>
      </c>
      <c r="AZ163" s="73" t="s">
        <v>3088</v>
      </c>
      <c r="BA163" s="73" t="s">
        <v>3088</v>
      </c>
      <c r="BB163" s="73" t="s">
        <v>3088</v>
      </c>
      <c r="BC163" s="73" t="s">
        <v>3088</v>
      </c>
      <c r="BD163" s="73" t="s">
        <v>3088</v>
      </c>
      <c r="BE163" s="73" t="s">
        <v>3088</v>
      </c>
      <c r="BF163" s="73" t="s">
        <v>3088</v>
      </c>
      <c r="BG163" s="73" t="s">
        <v>3088</v>
      </c>
      <c r="BH163" s="73" t="s">
        <v>3088</v>
      </c>
      <c r="BI163" s="73" t="s">
        <v>3088</v>
      </c>
      <c r="BJ163" s="73" t="s">
        <v>3088</v>
      </c>
      <c r="BK163" s="73" t="s">
        <v>3088</v>
      </c>
      <c r="BL163" s="73" t="s">
        <v>3088</v>
      </c>
      <c r="BM163" s="73" t="s">
        <v>3088</v>
      </c>
      <c r="BN163" s="73" t="s">
        <v>3088</v>
      </c>
      <c r="BO163" s="73" t="s">
        <v>3088</v>
      </c>
      <c r="BP163" s="73" t="s">
        <v>3088</v>
      </c>
      <c r="BQ163" s="73" t="s">
        <v>3432</v>
      </c>
      <c r="BR163" s="73" t="s">
        <v>3088</v>
      </c>
    </row>
    <row r="164" spans="1:70">
      <c r="A164" s="73" t="s">
        <v>1870</v>
      </c>
      <c r="B164" s="73" t="s">
        <v>2874</v>
      </c>
      <c r="C164" s="73" t="s">
        <v>2554</v>
      </c>
      <c r="D164" s="73" t="s">
        <v>3088</v>
      </c>
      <c r="E164" s="73" t="s">
        <v>3088</v>
      </c>
      <c r="F164" s="73" t="s">
        <v>3088</v>
      </c>
      <c r="G164" s="73" t="s">
        <v>3089</v>
      </c>
      <c r="H164" s="73" t="s">
        <v>3088</v>
      </c>
      <c r="I164" s="73" t="s">
        <v>543</v>
      </c>
      <c r="J164" s="73" t="s">
        <v>3088</v>
      </c>
      <c r="K164" s="73" t="s">
        <v>3088</v>
      </c>
      <c r="L164" s="73" t="s">
        <v>3088</v>
      </c>
      <c r="M164" s="73" t="s">
        <v>3088</v>
      </c>
      <c r="N164" s="73" t="s">
        <v>3088</v>
      </c>
      <c r="O164" s="73" t="s">
        <v>3088</v>
      </c>
      <c r="P164" s="73" t="s">
        <v>3088</v>
      </c>
      <c r="Q164" s="73" t="s">
        <v>3088</v>
      </c>
      <c r="R164" s="73" t="s">
        <v>3088</v>
      </c>
      <c r="S164" s="73" t="s">
        <v>3088</v>
      </c>
      <c r="T164" s="73" t="s">
        <v>3088</v>
      </c>
      <c r="U164" s="73" t="s">
        <v>3088</v>
      </c>
      <c r="V164" s="73" t="s">
        <v>3088</v>
      </c>
      <c r="W164" s="73" t="s">
        <v>3088</v>
      </c>
      <c r="X164" s="73" t="s">
        <v>3088</v>
      </c>
      <c r="Y164" s="73" t="s">
        <v>3088</v>
      </c>
      <c r="Z164" s="73" t="s">
        <v>3088</v>
      </c>
      <c r="AA164" s="73" t="s">
        <v>3088</v>
      </c>
      <c r="AB164" s="73" t="s">
        <v>3088</v>
      </c>
      <c r="AC164" s="73" t="s">
        <v>3088</v>
      </c>
      <c r="AD164" s="73" t="s">
        <v>3088</v>
      </c>
      <c r="AE164" s="73" t="s">
        <v>3088</v>
      </c>
      <c r="AF164" s="73" t="s">
        <v>3088</v>
      </c>
      <c r="AG164" s="73" t="s">
        <v>3088</v>
      </c>
      <c r="AH164" s="73" t="s">
        <v>3088</v>
      </c>
      <c r="AI164" s="73" t="s">
        <v>3088</v>
      </c>
      <c r="AJ164" s="73" t="s">
        <v>3088</v>
      </c>
      <c r="AK164" s="73" t="s">
        <v>3088</v>
      </c>
      <c r="AL164" s="73" t="s">
        <v>3088</v>
      </c>
      <c r="AM164" s="73" t="s">
        <v>3088</v>
      </c>
      <c r="AN164" s="73" t="s">
        <v>3088</v>
      </c>
      <c r="AO164" s="73" t="s">
        <v>3088</v>
      </c>
      <c r="AP164" s="73" t="s">
        <v>3088</v>
      </c>
      <c r="AQ164" s="73" t="s">
        <v>3088</v>
      </c>
      <c r="AR164" s="73" t="s">
        <v>3088</v>
      </c>
      <c r="AS164" s="73" t="s">
        <v>3088</v>
      </c>
      <c r="AT164" s="73" t="s">
        <v>3088</v>
      </c>
      <c r="AU164" s="73" t="s">
        <v>3088</v>
      </c>
      <c r="AV164" s="73" t="s">
        <v>3088</v>
      </c>
      <c r="AW164" s="73" t="s">
        <v>3088</v>
      </c>
      <c r="AX164" s="73" t="s">
        <v>3088</v>
      </c>
      <c r="AY164" s="73" t="s">
        <v>3088</v>
      </c>
      <c r="AZ164" s="73" t="s">
        <v>3088</v>
      </c>
      <c r="BA164" s="73" t="s">
        <v>3088</v>
      </c>
      <c r="BB164" s="73" t="s">
        <v>3088</v>
      </c>
      <c r="BC164" s="73" t="s">
        <v>3088</v>
      </c>
      <c r="BD164" s="73" t="s">
        <v>3088</v>
      </c>
      <c r="BE164" s="73" t="s">
        <v>3088</v>
      </c>
      <c r="BF164" s="73" t="s">
        <v>3088</v>
      </c>
      <c r="BG164" s="73" t="s">
        <v>3088</v>
      </c>
      <c r="BH164" s="73" t="s">
        <v>3088</v>
      </c>
      <c r="BI164" s="73" t="s">
        <v>3088</v>
      </c>
      <c r="BJ164" s="73" t="s">
        <v>3088</v>
      </c>
      <c r="BK164" s="73" t="s">
        <v>3088</v>
      </c>
      <c r="BL164" s="73" t="s">
        <v>3088</v>
      </c>
      <c r="BM164" s="73" t="s">
        <v>3088</v>
      </c>
      <c r="BN164" s="73" t="s">
        <v>3088</v>
      </c>
      <c r="BO164" s="73" t="s">
        <v>3088</v>
      </c>
      <c r="BP164" s="73" t="s">
        <v>3088</v>
      </c>
      <c r="BQ164" s="73" t="s">
        <v>3433</v>
      </c>
      <c r="BR164" s="73" t="s">
        <v>3088</v>
      </c>
    </row>
    <row r="165" spans="1:70">
      <c r="A165" s="73" t="s">
        <v>1870</v>
      </c>
      <c r="B165" s="73" t="s">
        <v>2679</v>
      </c>
      <c r="C165" s="73" t="s">
        <v>2537</v>
      </c>
      <c r="D165" s="73" t="s">
        <v>3088</v>
      </c>
      <c r="E165" s="73" t="s">
        <v>3088</v>
      </c>
      <c r="F165" s="73" t="s">
        <v>3088</v>
      </c>
      <c r="G165" s="73" t="s">
        <v>3089</v>
      </c>
      <c r="H165" s="73" t="s">
        <v>3088</v>
      </c>
      <c r="I165" s="73" t="s">
        <v>108</v>
      </c>
      <c r="J165" s="73" t="s">
        <v>3434</v>
      </c>
      <c r="K165" s="73" t="s">
        <v>3089</v>
      </c>
      <c r="L165" s="73" t="s">
        <v>2193</v>
      </c>
      <c r="M165" s="73" t="s">
        <v>3434</v>
      </c>
      <c r="N165" s="73" t="s">
        <v>3089</v>
      </c>
      <c r="O165" s="73" t="s">
        <v>3088</v>
      </c>
      <c r="P165" s="73" t="s">
        <v>3088</v>
      </c>
      <c r="Q165" s="73" t="s">
        <v>3088</v>
      </c>
      <c r="R165" s="73" t="s">
        <v>3088</v>
      </c>
      <c r="S165" s="73" t="s">
        <v>3088</v>
      </c>
      <c r="T165" s="73" t="s">
        <v>3088</v>
      </c>
      <c r="U165" s="73" t="s">
        <v>3088</v>
      </c>
      <c r="V165" s="73" t="s">
        <v>3088</v>
      </c>
      <c r="W165" s="73" t="s">
        <v>3088</v>
      </c>
      <c r="X165" s="73" t="s">
        <v>3088</v>
      </c>
      <c r="Y165" s="73" t="s">
        <v>3088</v>
      </c>
      <c r="Z165" s="73" t="s">
        <v>3088</v>
      </c>
      <c r="AA165" s="73" t="s">
        <v>3088</v>
      </c>
      <c r="AB165" s="73" t="s">
        <v>3088</v>
      </c>
      <c r="AC165" s="73" t="s">
        <v>3088</v>
      </c>
      <c r="AD165" s="73" t="s">
        <v>3088</v>
      </c>
      <c r="AE165" s="73" t="s">
        <v>3088</v>
      </c>
      <c r="AF165" s="73" t="s">
        <v>3088</v>
      </c>
      <c r="AG165" s="73" t="s">
        <v>3088</v>
      </c>
      <c r="AH165" s="73" t="s">
        <v>3088</v>
      </c>
      <c r="AI165" s="73" t="s">
        <v>3088</v>
      </c>
      <c r="AJ165" s="73" t="s">
        <v>3088</v>
      </c>
      <c r="AK165" s="73" t="s">
        <v>3088</v>
      </c>
      <c r="AL165" s="73" t="s">
        <v>3088</v>
      </c>
      <c r="AM165" s="73" t="s">
        <v>3088</v>
      </c>
      <c r="AN165" s="73" t="s">
        <v>3088</v>
      </c>
      <c r="AO165" s="73" t="s">
        <v>3088</v>
      </c>
      <c r="AP165" s="73" t="s">
        <v>3088</v>
      </c>
      <c r="AQ165" s="73" t="s">
        <v>3088</v>
      </c>
      <c r="AR165" s="73" t="s">
        <v>3088</v>
      </c>
      <c r="AS165" s="73" t="s">
        <v>3088</v>
      </c>
      <c r="AT165" s="73" t="s">
        <v>3088</v>
      </c>
      <c r="AU165" s="73" t="s">
        <v>3088</v>
      </c>
      <c r="AV165" s="73" t="s">
        <v>3088</v>
      </c>
      <c r="AW165" s="73" t="s">
        <v>3088</v>
      </c>
      <c r="AX165" s="73" t="s">
        <v>3088</v>
      </c>
      <c r="AY165" s="73" t="s">
        <v>3088</v>
      </c>
      <c r="AZ165" s="73" t="s">
        <v>3088</v>
      </c>
      <c r="BA165" s="73" t="s">
        <v>3088</v>
      </c>
      <c r="BB165" s="73" t="s">
        <v>3088</v>
      </c>
      <c r="BC165" s="73" t="s">
        <v>3088</v>
      </c>
      <c r="BD165" s="73" t="s">
        <v>3088</v>
      </c>
      <c r="BE165" s="73" t="s">
        <v>3088</v>
      </c>
      <c r="BF165" s="73" t="s">
        <v>3088</v>
      </c>
      <c r="BG165" s="73" t="s">
        <v>3088</v>
      </c>
      <c r="BH165" s="73" t="s">
        <v>3088</v>
      </c>
      <c r="BI165" s="73" t="s">
        <v>3088</v>
      </c>
      <c r="BJ165" s="73" t="s">
        <v>3088</v>
      </c>
      <c r="BK165" s="73" t="s">
        <v>3088</v>
      </c>
      <c r="BL165" s="73" t="s">
        <v>3088</v>
      </c>
      <c r="BM165" s="73" t="s">
        <v>3088</v>
      </c>
      <c r="BN165" s="73" t="s">
        <v>3088</v>
      </c>
      <c r="BO165" s="73" t="s">
        <v>3088</v>
      </c>
      <c r="BP165" s="73" t="s">
        <v>3088</v>
      </c>
      <c r="BQ165" s="73" t="s">
        <v>3435</v>
      </c>
      <c r="BR165" s="73" t="s">
        <v>3088</v>
      </c>
    </row>
    <row r="166" spans="1:70">
      <c r="A166" s="73" t="s">
        <v>1870</v>
      </c>
      <c r="B166" s="73" t="s">
        <v>2681</v>
      </c>
      <c r="C166" s="73" t="s">
        <v>2563</v>
      </c>
      <c r="D166" s="73" t="s">
        <v>3088</v>
      </c>
      <c r="E166" s="73" t="s">
        <v>3088</v>
      </c>
      <c r="F166" s="73" t="s">
        <v>3088</v>
      </c>
      <c r="G166" s="73" t="s">
        <v>3089</v>
      </c>
      <c r="H166" s="73" t="s">
        <v>3088</v>
      </c>
      <c r="I166" s="73" t="s">
        <v>108</v>
      </c>
      <c r="J166" s="73" t="s">
        <v>2682</v>
      </c>
      <c r="K166" s="73" t="s">
        <v>3089</v>
      </c>
      <c r="L166" s="73" t="s">
        <v>3088</v>
      </c>
      <c r="M166" s="73" t="s">
        <v>3088</v>
      </c>
      <c r="N166" s="73" t="s">
        <v>3088</v>
      </c>
      <c r="O166" s="73" t="s">
        <v>3088</v>
      </c>
      <c r="P166" s="73" t="s">
        <v>3088</v>
      </c>
      <c r="Q166" s="73" t="s">
        <v>3088</v>
      </c>
      <c r="R166" s="73" t="s">
        <v>3088</v>
      </c>
      <c r="S166" s="73" t="s">
        <v>3088</v>
      </c>
      <c r="T166" s="73" t="s">
        <v>3088</v>
      </c>
      <c r="U166" s="73" t="s">
        <v>3088</v>
      </c>
      <c r="V166" s="73" t="s">
        <v>3088</v>
      </c>
      <c r="W166" s="73" t="s">
        <v>3088</v>
      </c>
      <c r="X166" s="73" t="s">
        <v>3088</v>
      </c>
      <c r="Y166" s="73" t="s">
        <v>3088</v>
      </c>
      <c r="Z166" s="73" t="s">
        <v>3088</v>
      </c>
      <c r="AA166" s="73" t="s">
        <v>3088</v>
      </c>
      <c r="AB166" s="73" t="s">
        <v>3088</v>
      </c>
      <c r="AC166" s="73" t="s">
        <v>3088</v>
      </c>
      <c r="AD166" s="73" t="s">
        <v>3088</v>
      </c>
      <c r="AE166" s="73" t="s">
        <v>3088</v>
      </c>
      <c r="AF166" s="73" t="s">
        <v>3088</v>
      </c>
      <c r="AG166" s="73" t="s">
        <v>3088</v>
      </c>
      <c r="AH166" s="73" t="s">
        <v>3088</v>
      </c>
      <c r="AI166" s="73" t="s">
        <v>3088</v>
      </c>
      <c r="AJ166" s="73" t="s">
        <v>3088</v>
      </c>
      <c r="AK166" s="73" t="s">
        <v>3088</v>
      </c>
      <c r="AL166" s="73" t="s">
        <v>3088</v>
      </c>
      <c r="AM166" s="73" t="s">
        <v>3088</v>
      </c>
      <c r="AN166" s="73" t="s">
        <v>3088</v>
      </c>
      <c r="AO166" s="73" t="s">
        <v>3088</v>
      </c>
      <c r="AP166" s="73" t="s">
        <v>3088</v>
      </c>
      <c r="AQ166" s="73" t="s">
        <v>3088</v>
      </c>
      <c r="AR166" s="73" t="s">
        <v>3088</v>
      </c>
      <c r="AS166" s="73" t="s">
        <v>3088</v>
      </c>
      <c r="AT166" s="73" t="s">
        <v>3088</v>
      </c>
      <c r="AU166" s="73" t="s">
        <v>3088</v>
      </c>
      <c r="AV166" s="73" t="s">
        <v>3088</v>
      </c>
      <c r="AW166" s="73" t="s">
        <v>3088</v>
      </c>
      <c r="AX166" s="73" t="s">
        <v>3088</v>
      </c>
      <c r="AY166" s="73" t="s">
        <v>3088</v>
      </c>
      <c r="AZ166" s="73" t="s">
        <v>3088</v>
      </c>
      <c r="BA166" s="73" t="s">
        <v>3088</v>
      </c>
      <c r="BB166" s="73" t="s">
        <v>3088</v>
      </c>
      <c r="BC166" s="73" t="s">
        <v>3088</v>
      </c>
      <c r="BD166" s="73" t="s">
        <v>3088</v>
      </c>
      <c r="BE166" s="73" t="s">
        <v>3088</v>
      </c>
      <c r="BF166" s="73" t="s">
        <v>3088</v>
      </c>
      <c r="BG166" s="73" t="s">
        <v>3088</v>
      </c>
      <c r="BH166" s="73" t="s">
        <v>3088</v>
      </c>
      <c r="BI166" s="73" t="s">
        <v>3088</v>
      </c>
      <c r="BJ166" s="73" t="s">
        <v>3088</v>
      </c>
      <c r="BK166" s="73" t="s">
        <v>3088</v>
      </c>
      <c r="BL166" s="73" t="s">
        <v>3088</v>
      </c>
      <c r="BM166" s="73" t="s">
        <v>3088</v>
      </c>
      <c r="BN166" s="73" t="s">
        <v>3088</v>
      </c>
      <c r="BO166" s="73" t="s">
        <v>3088</v>
      </c>
      <c r="BP166" s="73" t="s">
        <v>3088</v>
      </c>
      <c r="BQ166" s="73" t="s">
        <v>3436</v>
      </c>
      <c r="BR166" s="73" t="s">
        <v>3088</v>
      </c>
    </row>
    <row r="167" spans="1:70">
      <c r="A167" s="73" t="s">
        <v>1870</v>
      </c>
      <c r="B167" s="73" t="s">
        <v>3437</v>
      </c>
      <c r="C167" s="73" t="s">
        <v>2563</v>
      </c>
      <c r="D167" s="73" t="s">
        <v>3088</v>
      </c>
      <c r="E167" s="73" t="s">
        <v>3088</v>
      </c>
      <c r="F167" s="73" t="s">
        <v>3088</v>
      </c>
      <c r="G167" s="73" t="s">
        <v>3089</v>
      </c>
      <c r="H167" s="73" t="s">
        <v>3088</v>
      </c>
      <c r="I167" s="73" t="s">
        <v>3113</v>
      </c>
      <c r="J167" s="73" t="s">
        <v>3438</v>
      </c>
      <c r="K167" s="73" t="s">
        <v>3089</v>
      </c>
      <c r="L167" s="73" t="s">
        <v>3088</v>
      </c>
      <c r="M167" s="73" t="s">
        <v>3088</v>
      </c>
      <c r="N167" s="73" t="s">
        <v>3088</v>
      </c>
      <c r="O167" s="73" t="s">
        <v>3088</v>
      </c>
      <c r="P167" s="73" t="s">
        <v>3088</v>
      </c>
      <c r="Q167" s="73" t="s">
        <v>3088</v>
      </c>
      <c r="R167" s="73" t="s">
        <v>3088</v>
      </c>
      <c r="S167" s="73" t="s">
        <v>3088</v>
      </c>
      <c r="T167" s="73" t="s">
        <v>3088</v>
      </c>
      <c r="U167" s="73" t="s">
        <v>3088</v>
      </c>
      <c r="V167" s="73" t="s">
        <v>3088</v>
      </c>
      <c r="W167" s="73" t="s">
        <v>3088</v>
      </c>
      <c r="X167" s="73" t="s">
        <v>3088</v>
      </c>
      <c r="Y167" s="73" t="s">
        <v>3088</v>
      </c>
      <c r="Z167" s="73" t="s">
        <v>3088</v>
      </c>
      <c r="AA167" s="73" t="s">
        <v>3088</v>
      </c>
      <c r="AB167" s="73" t="s">
        <v>3088</v>
      </c>
      <c r="AC167" s="73" t="s">
        <v>3088</v>
      </c>
      <c r="AD167" s="73" t="s">
        <v>3088</v>
      </c>
      <c r="AE167" s="73" t="s">
        <v>3088</v>
      </c>
      <c r="AF167" s="73" t="s">
        <v>3088</v>
      </c>
      <c r="AG167" s="73" t="s">
        <v>3088</v>
      </c>
      <c r="AH167" s="73" t="s">
        <v>3088</v>
      </c>
      <c r="AI167" s="73" t="s">
        <v>3088</v>
      </c>
      <c r="AJ167" s="73" t="s">
        <v>3088</v>
      </c>
      <c r="AK167" s="73" t="s">
        <v>3088</v>
      </c>
      <c r="AL167" s="73" t="s">
        <v>3088</v>
      </c>
      <c r="AM167" s="73" t="s">
        <v>3088</v>
      </c>
      <c r="AN167" s="73" t="s">
        <v>3088</v>
      </c>
      <c r="AO167" s="73" t="s">
        <v>3088</v>
      </c>
      <c r="AP167" s="73" t="s">
        <v>3088</v>
      </c>
      <c r="AQ167" s="73" t="s">
        <v>3088</v>
      </c>
      <c r="AR167" s="73" t="s">
        <v>3088</v>
      </c>
      <c r="AS167" s="73" t="s">
        <v>3088</v>
      </c>
      <c r="AT167" s="73" t="s">
        <v>3088</v>
      </c>
      <c r="AU167" s="73" t="s">
        <v>3088</v>
      </c>
      <c r="AV167" s="73" t="s">
        <v>3088</v>
      </c>
      <c r="AW167" s="73" t="s">
        <v>3088</v>
      </c>
      <c r="AX167" s="73" t="s">
        <v>3088</v>
      </c>
      <c r="AY167" s="73" t="s">
        <v>3088</v>
      </c>
      <c r="AZ167" s="73" t="s">
        <v>3088</v>
      </c>
      <c r="BA167" s="73" t="s">
        <v>3088</v>
      </c>
      <c r="BB167" s="73" t="s">
        <v>3088</v>
      </c>
      <c r="BC167" s="73" t="s">
        <v>3088</v>
      </c>
      <c r="BD167" s="73" t="s">
        <v>3088</v>
      </c>
      <c r="BE167" s="73" t="s">
        <v>3088</v>
      </c>
      <c r="BF167" s="73" t="s">
        <v>3088</v>
      </c>
      <c r="BG167" s="73" t="s">
        <v>3088</v>
      </c>
      <c r="BH167" s="73" t="s">
        <v>3088</v>
      </c>
      <c r="BI167" s="73" t="s">
        <v>3088</v>
      </c>
      <c r="BJ167" s="73" t="s">
        <v>3088</v>
      </c>
      <c r="BK167" s="73" t="s">
        <v>3088</v>
      </c>
      <c r="BL167" s="73" t="s">
        <v>3088</v>
      </c>
      <c r="BM167" s="73" t="s">
        <v>3088</v>
      </c>
      <c r="BN167" s="73" t="s">
        <v>3088</v>
      </c>
      <c r="BO167" s="73" t="s">
        <v>3088</v>
      </c>
      <c r="BP167" s="73" t="s">
        <v>3088</v>
      </c>
      <c r="BQ167" s="73" t="s">
        <v>3439</v>
      </c>
      <c r="BR167" s="73" t="s">
        <v>3088</v>
      </c>
    </row>
    <row r="168" spans="1:70">
      <c r="A168" s="73" t="s">
        <v>1870</v>
      </c>
      <c r="B168" s="73" t="s">
        <v>3440</v>
      </c>
      <c r="C168" s="73" t="s">
        <v>2554</v>
      </c>
      <c r="D168" s="73" t="s">
        <v>3088</v>
      </c>
      <c r="E168" s="73" t="s">
        <v>3088</v>
      </c>
      <c r="F168" s="73" t="s">
        <v>3088</v>
      </c>
      <c r="G168" s="73" t="s">
        <v>3089</v>
      </c>
      <c r="H168" s="73" t="s">
        <v>3088</v>
      </c>
      <c r="I168" s="73" t="s">
        <v>3441</v>
      </c>
      <c r="J168" s="73" t="s">
        <v>3442</v>
      </c>
      <c r="K168" s="73" t="s">
        <v>3095</v>
      </c>
      <c r="L168" s="73" t="s">
        <v>3088</v>
      </c>
      <c r="M168" s="73" t="s">
        <v>3088</v>
      </c>
      <c r="N168" s="73" t="s">
        <v>3088</v>
      </c>
      <c r="O168" s="73" t="s">
        <v>3088</v>
      </c>
      <c r="P168" s="73" t="s">
        <v>3088</v>
      </c>
      <c r="Q168" s="73" t="s">
        <v>3088</v>
      </c>
      <c r="R168" s="73" t="s">
        <v>3088</v>
      </c>
      <c r="S168" s="73" t="s">
        <v>3088</v>
      </c>
      <c r="T168" s="73" t="s">
        <v>3088</v>
      </c>
      <c r="U168" s="73" t="s">
        <v>3088</v>
      </c>
      <c r="V168" s="73" t="s">
        <v>3088</v>
      </c>
      <c r="W168" s="73" t="s">
        <v>3088</v>
      </c>
      <c r="X168" s="73" t="s">
        <v>3088</v>
      </c>
      <c r="Y168" s="73" t="s">
        <v>3088</v>
      </c>
      <c r="Z168" s="73" t="s">
        <v>3088</v>
      </c>
      <c r="AA168" s="73" t="s">
        <v>3088</v>
      </c>
      <c r="AB168" s="73" t="s">
        <v>3088</v>
      </c>
      <c r="AC168" s="73" t="s">
        <v>3088</v>
      </c>
      <c r="AD168" s="73" t="s">
        <v>3088</v>
      </c>
      <c r="AE168" s="73" t="s">
        <v>3088</v>
      </c>
      <c r="AF168" s="73" t="s">
        <v>3088</v>
      </c>
      <c r="AG168" s="73" t="s">
        <v>3088</v>
      </c>
      <c r="AH168" s="73" t="s">
        <v>3088</v>
      </c>
      <c r="AI168" s="73" t="s">
        <v>3088</v>
      </c>
      <c r="AJ168" s="73" t="s">
        <v>3088</v>
      </c>
      <c r="AK168" s="73" t="s">
        <v>3088</v>
      </c>
      <c r="AL168" s="73" t="s">
        <v>3088</v>
      </c>
      <c r="AM168" s="73" t="s">
        <v>3088</v>
      </c>
      <c r="AN168" s="73" t="s">
        <v>3088</v>
      </c>
      <c r="AO168" s="73" t="s">
        <v>3088</v>
      </c>
      <c r="AP168" s="73" t="s">
        <v>3088</v>
      </c>
      <c r="AQ168" s="73" t="s">
        <v>3088</v>
      </c>
      <c r="AR168" s="73" t="s">
        <v>3088</v>
      </c>
      <c r="AS168" s="73" t="s">
        <v>3088</v>
      </c>
      <c r="AT168" s="73" t="s">
        <v>3088</v>
      </c>
      <c r="AU168" s="73" t="s">
        <v>3088</v>
      </c>
      <c r="AV168" s="73" t="s">
        <v>3088</v>
      </c>
      <c r="AW168" s="73" t="s">
        <v>3088</v>
      </c>
      <c r="AX168" s="73" t="s">
        <v>3088</v>
      </c>
      <c r="AY168" s="73" t="s">
        <v>3088</v>
      </c>
      <c r="AZ168" s="73" t="s">
        <v>3088</v>
      </c>
      <c r="BA168" s="73" t="s">
        <v>3088</v>
      </c>
      <c r="BB168" s="73" t="s">
        <v>3088</v>
      </c>
      <c r="BC168" s="73" t="s">
        <v>3088</v>
      </c>
      <c r="BD168" s="73" t="s">
        <v>3088</v>
      </c>
      <c r="BE168" s="73" t="s">
        <v>3088</v>
      </c>
      <c r="BF168" s="73" t="s">
        <v>3088</v>
      </c>
      <c r="BG168" s="73" t="s">
        <v>3088</v>
      </c>
      <c r="BH168" s="73" t="s">
        <v>3088</v>
      </c>
      <c r="BI168" s="73" t="s">
        <v>3088</v>
      </c>
      <c r="BJ168" s="73" t="s">
        <v>3088</v>
      </c>
      <c r="BK168" s="73" t="s">
        <v>3088</v>
      </c>
      <c r="BL168" s="73" t="s">
        <v>3088</v>
      </c>
      <c r="BM168" s="73" t="s">
        <v>3088</v>
      </c>
      <c r="BN168" s="73" t="s">
        <v>3088</v>
      </c>
      <c r="BO168" s="73" t="s">
        <v>3088</v>
      </c>
      <c r="BP168" s="73" t="s">
        <v>3088</v>
      </c>
      <c r="BQ168" s="73" t="s">
        <v>3443</v>
      </c>
      <c r="BR168" s="73" t="s">
        <v>3097</v>
      </c>
    </row>
    <row r="169" spans="1:70">
      <c r="A169" s="73" t="s">
        <v>1870</v>
      </c>
      <c r="B169" s="73" t="s">
        <v>2683</v>
      </c>
      <c r="C169" s="73" t="s">
        <v>2537</v>
      </c>
      <c r="D169" s="73" t="s">
        <v>3088</v>
      </c>
      <c r="E169" s="73" t="s">
        <v>3088</v>
      </c>
      <c r="F169" s="73" t="s">
        <v>3088</v>
      </c>
      <c r="G169" s="73" t="s">
        <v>3089</v>
      </c>
      <c r="H169" s="73" t="s">
        <v>3088</v>
      </c>
      <c r="I169" s="73" t="s">
        <v>2135</v>
      </c>
      <c r="J169" s="73" t="s">
        <v>3444</v>
      </c>
      <c r="K169" s="73" t="s">
        <v>3095</v>
      </c>
      <c r="L169" s="73" t="s">
        <v>108</v>
      </c>
      <c r="M169" s="73" t="s">
        <v>3444</v>
      </c>
      <c r="N169" s="73" t="s">
        <v>3095</v>
      </c>
      <c r="O169" s="73" t="s">
        <v>3088</v>
      </c>
      <c r="P169" s="73" t="s">
        <v>3088</v>
      </c>
      <c r="Q169" s="73" t="s">
        <v>3088</v>
      </c>
      <c r="R169" s="73" t="s">
        <v>3088</v>
      </c>
      <c r="S169" s="73" t="s">
        <v>3088</v>
      </c>
      <c r="T169" s="73" t="s">
        <v>3088</v>
      </c>
      <c r="U169" s="73" t="s">
        <v>3088</v>
      </c>
      <c r="V169" s="73" t="s">
        <v>3088</v>
      </c>
      <c r="W169" s="73" t="s">
        <v>3088</v>
      </c>
      <c r="X169" s="73" t="s">
        <v>3088</v>
      </c>
      <c r="Y169" s="73" t="s">
        <v>3088</v>
      </c>
      <c r="Z169" s="73" t="s">
        <v>3088</v>
      </c>
      <c r="AA169" s="73" t="s">
        <v>3088</v>
      </c>
      <c r="AB169" s="73" t="s">
        <v>3088</v>
      </c>
      <c r="AC169" s="73" t="s">
        <v>3088</v>
      </c>
      <c r="AD169" s="73" t="s">
        <v>3088</v>
      </c>
      <c r="AE169" s="73" t="s">
        <v>3088</v>
      </c>
      <c r="AF169" s="73" t="s">
        <v>3088</v>
      </c>
      <c r="AG169" s="73" t="s">
        <v>3088</v>
      </c>
      <c r="AH169" s="73" t="s">
        <v>3088</v>
      </c>
      <c r="AI169" s="73" t="s">
        <v>3088</v>
      </c>
      <c r="AJ169" s="73" t="s">
        <v>3088</v>
      </c>
      <c r="AK169" s="73" t="s">
        <v>3088</v>
      </c>
      <c r="AL169" s="73" t="s">
        <v>3088</v>
      </c>
      <c r="AM169" s="73" t="s">
        <v>3088</v>
      </c>
      <c r="AN169" s="73" t="s">
        <v>3088</v>
      </c>
      <c r="AO169" s="73" t="s">
        <v>3088</v>
      </c>
      <c r="AP169" s="73" t="s">
        <v>3088</v>
      </c>
      <c r="AQ169" s="73" t="s">
        <v>3088</v>
      </c>
      <c r="AR169" s="73" t="s">
        <v>3088</v>
      </c>
      <c r="AS169" s="73" t="s">
        <v>3088</v>
      </c>
      <c r="AT169" s="73" t="s">
        <v>3088</v>
      </c>
      <c r="AU169" s="73" t="s">
        <v>3088</v>
      </c>
      <c r="AV169" s="73" t="s">
        <v>3088</v>
      </c>
      <c r="AW169" s="73" t="s">
        <v>3088</v>
      </c>
      <c r="AX169" s="73" t="s">
        <v>3088</v>
      </c>
      <c r="AY169" s="73" t="s">
        <v>3088</v>
      </c>
      <c r="AZ169" s="73" t="s">
        <v>3088</v>
      </c>
      <c r="BA169" s="73" t="s">
        <v>3088</v>
      </c>
      <c r="BB169" s="73" t="s">
        <v>3088</v>
      </c>
      <c r="BC169" s="73" t="s">
        <v>3088</v>
      </c>
      <c r="BD169" s="73" t="s">
        <v>3088</v>
      </c>
      <c r="BE169" s="73" t="s">
        <v>3088</v>
      </c>
      <c r="BF169" s="73" t="s">
        <v>3088</v>
      </c>
      <c r="BG169" s="73" t="s">
        <v>3088</v>
      </c>
      <c r="BH169" s="73" t="s">
        <v>3088</v>
      </c>
      <c r="BI169" s="73" t="s">
        <v>3088</v>
      </c>
      <c r="BJ169" s="73" t="s">
        <v>3088</v>
      </c>
      <c r="BK169" s="73" t="s">
        <v>3088</v>
      </c>
      <c r="BL169" s="73" t="s">
        <v>3088</v>
      </c>
      <c r="BM169" s="73" t="s">
        <v>3088</v>
      </c>
      <c r="BN169" s="73" t="s">
        <v>3088</v>
      </c>
      <c r="BO169" s="73" t="s">
        <v>3088</v>
      </c>
      <c r="BP169" s="73" t="s">
        <v>3088</v>
      </c>
      <c r="BQ169" s="73" t="s">
        <v>3445</v>
      </c>
      <c r="BR169" s="73" t="s">
        <v>3097</v>
      </c>
    </row>
    <row r="170" spans="1:70">
      <c r="A170" s="73" t="s">
        <v>1870</v>
      </c>
      <c r="B170" s="73" t="s">
        <v>2687</v>
      </c>
      <c r="C170" s="73" t="s">
        <v>2554</v>
      </c>
      <c r="D170" s="73" t="s">
        <v>3088</v>
      </c>
      <c r="E170" s="73" t="s">
        <v>3088</v>
      </c>
      <c r="F170" s="73" t="s">
        <v>3088</v>
      </c>
      <c r="G170" s="73" t="s">
        <v>3089</v>
      </c>
      <c r="H170" s="73" t="s">
        <v>3088</v>
      </c>
      <c r="I170" s="73" t="s">
        <v>108</v>
      </c>
      <c r="J170" s="73" t="s">
        <v>3446</v>
      </c>
      <c r="K170" s="73" t="s">
        <v>3089</v>
      </c>
      <c r="L170" s="73" t="s">
        <v>2193</v>
      </c>
      <c r="M170" s="73" t="s">
        <v>3446</v>
      </c>
      <c r="N170" s="73" t="s">
        <v>3089</v>
      </c>
      <c r="O170" s="73" t="s">
        <v>3088</v>
      </c>
      <c r="P170" s="73" t="s">
        <v>3088</v>
      </c>
      <c r="Q170" s="73" t="s">
        <v>3088</v>
      </c>
      <c r="R170" s="73" t="s">
        <v>3088</v>
      </c>
      <c r="S170" s="73" t="s">
        <v>3088</v>
      </c>
      <c r="T170" s="73" t="s">
        <v>3088</v>
      </c>
      <c r="U170" s="73" t="s">
        <v>3088</v>
      </c>
      <c r="V170" s="73" t="s">
        <v>3088</v>
      </c>
      <c r="W170" s="73" t="s">
        <v>3088</v>
      </c>
      <c r="X170" s="73" t="s">
        <v>3088</v>
      </c>
      <c r="Y170" s="73" t="s">
        <v>3088</v>
      </c>
      <c r="Z170" s="73" t="s">
        <v>3088</v>
      </c>
      <c r="AA170" s="73" t="s">
        <v>3088</v>
      </c>
      <c r="AB170" s="73" t="s">
        <v>3088</v>
      </c>
      <c r="AC170" s="73" t="s">
        <v>3088</v>
      </c>
      <c r="AD170" s="73" t="s">
        <v>3088</v>
      </c>
      <c r="AE170" s="73" t="s">
        <v>3088</v>
      </c>
      <c r="AF170" s="73" t="s">
        <v>3088</v>
      </c>
      <c r="AG170" s="73" t="s">
        <v>3088</v>
      </c>
      <c r="AH170" s="73" t="s">
        <v>3088</v>
      </c>
      <c r="AI170" s="73" t="s">
        <v>3088</v>
      </c>
      <c r="AJ170" s="73" t="s">
        <v>3088</v>
      </c>
      <c r="AK170" s="73" t="s">
        <v>3088</v>
      </c>
      <c r="AL170" s="73" t="s">
        <v>3088</v>
      </c>
      <c r="AM170" s="73" t="s">
        <v>3088</v>
      </c>
      <c r="AN170" s="73" t="s">
        <v>3088</v>
      </c>
      <c r="AO170" s="73" t="s">
        <v>3088</v>
      </c>
      <c r="AP170" s="73" t="s">
        <v>3088</v>
      </c>
      <c r="AQ170" s="73" t="s">
        <v>3088</v>
      </c>
      <c r="AR170" s="73" t="s">
        <v>3088</v>
      </c>
      <c r="AS170" s="73" t="s">
        <v>3088</v>
      </c>
      <c r="AT170" s="73" t="s">
        <v>3088</v>
      </c>
      <c r="AU170" s="73" t="s">
        <v>3088</v>
      </c>
      <c r="AV170" s="73" t="s">
        <v>3088</v>
      </c>
      <c r="AW170" s="73" t="s">
        <v>3088</v>
      </c>
      <c r="AX170" s="73" t="s">
        <v>3088</v>
      </c>
      <c r="AY170" s="73" t="s">
        <v>3088</v>
      </c>
      <c r="AZ170" s="73" t="s">
        <v>3088</v>
      </c>
      <c r="BA170" s="73" t="s">
        <v>3088</v>
      </c>
      <c r="BB170" s="73" t="s">
        <v>3088</v>
      </c>
      <c r="BC170" s="73" t="s">
        <v>3088</v>
      </c>
      <c r="BD170" s="73" t="s">
        <v>3088</v>
      </c>
      <c r="BE170" s="73" t="s">
        <v>3088</v>
      </c>
      <c r="BF170" s="73" t="s">
        <v>3088</v>
      </c>
      <c r="BG170" s="73" t="s">
        <v>3088</v>
      </c>
      <c r="BH170" s="73" t="s">
        <v>3088</v>
      </c>
      <c r="BI170" s="73" t="s">
        <v>3088</v>
      </c>
      <c r="BJ170" s="73" t="s">
        <v>3088</v>
      </c>
      <c r="BK170" s="73" t="s">
        <v>3088</v>
      </c>
      <c r="BL170" s="73" t="s">
        <v>3088</v>
      </c>
      <c r="BM170" s="73" t="s">
        <v>3088</v>
      </c>
      <c r="BN170" s="73" t="s">
        <v>3088</v>
      </c>
      <c r="BO170" s="73" t="s">
        <v>3088</v>
      </c>
      <c r="BP170" s="73" t="s">
        <v>3088</v>
      </c>
      <c r="BQ170" s="73" t="s">
        <v>3447</v>
      </c>
      <c r="BR170" s="73" t="s">
        <v>3088</v>
      </c>
    </row>
    <row r="171" spans="1:70">
      <c r="A171" s="73" t="s">
        <v>1870</v>
      </c>
      <c r="B171" s="73" t="s">
        <v>2876</v>
      </c>
      <c r="C171" s="73" t="s">
        <v>2554</v>
      </c>
      <c r="D171" s="73" t="s">
        <v>3088</v>
      </c>
      <c r="E171" s="73" t="s">
        <v>3088</v>
      </c>
      <c r="F171" s="73" t="s">
        <v>3088</v>
      </c>
      <c r="G171" s="73" t="s">
        <v>3089</v>
      </c>
      <c r="H171" s="73" t="s">
        <v>3088</v>
      </c>
      <c r="I171" s="73" t="s">
        <v>543</v>
      </c>
      <c r="J171" s="73" t="s">
        <v>3448</v>
      </c>
      <c r="K171" s="73" t="s">
        <v>3089</v>
      </c>
      <c r="L171" s="73" t="s">
        <v>3241</v>
      </c>
      <c r="M171" s="73" t="s">
        <v>3448</v>
      </c>
      <c r="N171" s="73" t="s">
        <v>3089</v>
      </c>
      <c r="O171" s="73" t="s">
        <v>3088</v>
      </c>
      <c r="P171" s="73" t="s">
        <v>3088</v>
      </c>
      <c r="Q171" s="73" t="s">
        <v>3088</v>
      </c>
      <c r="R171" s="73" t="s">
        <v>3088</v>
      </c>
      <c r="S171" s="73" t="s">
        <v>3088</v>
      </c>
      <c r="T171" s="73" t="s">
        <v>3088</v>
      </c>
      <c r="U171" s="73" t="s">
        <v>3088</v>
      </c>
      <c r="V171" s="73" t="s">
        <v>3088</v>
      </c>
      <c r="W171" s="73" t="s">
        <v>3088</v>
      </c>
      <c r="X171" s="73" t="s">
        <v>3088</v>
      </c>
      <c r="Y171" s="73" t="s">
        <v>3088</v>
      </c>
      <c r="Z171" s="73" t="s">
        <v>3088</v>
      </c>
      <c r="AA171" s="73" t="s">
        <v>3088</v>
      </c>
      <c r="AB171" s="73" t="s">
        <v>3088</v>
      </c>
      <c r="AC171" s="73" t="s">
        <v>3088</v>
      </c>
      <c r="AD171" s="73" t="s">
        <v>3088</v>
      </c>
      <c r="AE171" s="73" t="s">
        <v>3088</v>
      </c>
      <c r="AF171" s="73" t="s">
        <v>3088</v>
      </c>
      <c r="AG171" s="73" t="s">
        <v>3088</v>
      </c>
      <c r="AH171" s="73" t="s">
        <v>3088</v>
      </c>
      <c r="AI171" s="73" t="s">
        <v>3088</v>
      </c>
      <c r="AJ171" s="73" t="s">
        <v>3088</v>
      </c>
      <c r="AK171" s="73" t="s">
        <v>3088</v>
      </c>
      <c r="AL171" s="73" t="s">
        <v>3088</v>
      </c>
      <c r="AM171" s="73" t="s">
        <v>3088</v>
      </c>
      <c r="AN171" s="73" t="s">
        <v>3088</v>
      </c>
      <c r="AO171" s="73" t="s">
        <v>3088</v>
      </c>
      <c r="AP171" s="73" t="s">
        <v>3088</v>
      </c>
      <c r="AQ171" s="73" t="s">
        <v>3088</v>
      </c>
      <c r="AR171" s="73" t="s">
        <v>3088</v>
      </c>
      <c r="AS171" s="73" t="s">
        <v>3088</v>
      </c>
      <c r="AT171" s="73" t="s">
        <v>3088</v>
      </c>
      <c r="AU171" s="73" t="s">
        <v>3088</v>
      </c>
      <c r="AV171" s="73" t="s">
        <v>3088</v>
      </c>
      <c r="AW171" s="73" t="s">
        <v>3088</v>
      </c>
      <c r="AX171" s="73" t="s">
        <v>3088</v>
      </c>
      <c r="AY171" s="73" t="s">
        <v>3088</v>
      </c>
      <c r="AZ171" s="73" t="s">
        <v>3088</v>
      </c>
      <c r="BA171" s="73" t="s">
        <v>3088</v>
      </c>
      <c r="BB171" s="73" t="s">
        <v>3088</v>
      </c>
      <c r="BC171" s="73" t="s">
        <v>3088</v>
      </c>
      <c r="BD171" s="73" t="s">
        <v>3088</v>
      </c>
      <c r="BE171" s="73" t="s">
        <v>3088</v>
      </c>
      <c r="BF171" s="73" t="s">
        <v>3088</v>
      </c>
      <c r="BG171" s="73" t="s">
        <v>3088</v>
      </c>
      <c r="BH171" s="73" t="s">
        <v>3088</v>
      </c>
      <c r="BI171" s="73" t="s">
        <v>3088</v>
      </c>
      <c r="BJ171" s="73" t="s">
        <v>3088</v>
      </c>
      <c r="BK171" s="73" t="s">
        <v>3088</v>
      </c>
      <c r="BL171" s="73" t="s">
        <v>3088</v>
      </c>
      <c r="BM171" s="73" t="s">
        <v>3088</v>
      </c>
      <c r="BN171" s="73" t="s">
        <v>3088</v>
      </c>
      <c r="BO171" s="73" t="s">
        <v>3088</v>
      </c>
      <c r="BP171" s="73" t="s">
        <v>3088</v>
      </c>
      <c r="BQ171" s="73" t="s">
        <v>3449</v>
      </c>
      <c r="BR171" s="73" t="s">
        <v>3088</v>
      </c>
    </row>
    <row r="172" spans="1:70">
      <c r="A172" s="73" t="s">
        <v>1870</v>
      </c>
      <c r="B172" s="73" t="s">
        <v>2689</v>
      </c>
      <c r="C172" s="73" t="s">
        <v>2554</v>
      </c>
      <c r="D172" s="73" t="s">
        <v>3088</v>
      </c>
      <c r="E172" s="73" t="s">
        <v>3088</v>
      </c>
      <c r="F172" s="73" t="s">
        <v>3088</v>
      </c>
      <c r="G172" s="73" t="s">
        <v>3089</v>
      </c>
      <c r="H172" s="73" t="s">
        <v>3088</v>
      </c>
      <c r="I172" s="73" t="s">
        <v>108</v>
      </c>
      <c r="J172" s="73" t="s">
        <v>3450</v>
      </c>
      <c r="K172" s="73" t="s">
        <v>3095</v>
      </c>
      <c r="L172" s="73" t="s">
        <v>2193</v>
      </c>
      <c r="M172" s="73" t="s">
        <v>3450</v>
      </c>
      <c r="N172" s="73" t="s">
        <v>3095</v>
      </c>
      <c r="O172" s="73" t="s">
        <v>3088</v>
      </c>
      <c r="P172" s="73" t="s">
        <v>3088</v>
      </c>
      <c r="Q172" s="73" t="s">
        <v>3088</v>
      </c>
      <c r="R172" s="73" t="s">
        <v>3088</v>
      </c>
      <c r="S172" s="73" t="s">
        <v>3088</v>
      </c>
      <c r="T172" s="73" t="s">
        <v>3088</v>
      </c>
      <c r="U172" s="73" t="s">
        <v>3088</v>
      </c>
      <c r="V172" s="73" t="s">
        <v>3088</v>
      </c>
      <c r="W172" s="73" t="s">
        <v>3088</v>
      </c>
      <c r="X172" s="73" t="s">
        <v>3088</v>
      </c>
      <c r="Y172" s="73" t="s">
        <v>3088</v>
      </c>
      <c r="Z172" s="73" t="s">
        <v>3088</v>
      </c>
      <c r="AA172" s="73" t="s">
        <v>3088</v>
      </c>
      <c r="AB172" s="73" t="s">
        <v>3088</v>
      </c>
      <c r="AC172" s="73" t="s">
        <v>3088</v>
      </c>
      <c r="AD172" s="73" t="s">
        <v>3088</v>
      </c>
      <c r="AE172" s="73" t="s">
        <v>3088</v>
      </c>
      <c r="AF172" s="73" t="s">
        <v>3088</v>
      </c>
      <c r="AG172" s="73" t="s">
        <v>3088</v>
      </c>
      <c r="AH172" s="73" t="s">
        <v>3088</v>
      </c>
      <c r="AI172" s="73" t="s">
        <v>3088</v>
      </c>
      <c r="AJ172" s="73" t="s">
        <v>3088</v>
      </c>
      <c r="AK172" s="73" t="s">
        <v>3088</v>
      </c>
      <c r="AL172" s="73" t="s">
        <v>3088</v>
      </c>
      <c r="AM172" s="73" t="s">
        <v>3088</v>
      </c>
      <c r="AN172" s="73" t="s">
        <v>3088</v>
      </c>
      <c r="AO172" s="73" t="s">
        <v>3088</v>
      </c>
      <c r="AP172" s="73" t="s">
        <v>3088</v>
      </c>
      <c r="AQ172" s="73" t="s">
        <v>3088</v>
      </c>
      <c r="AR172" s="73" t="s">
        <v>3088</v>
      </c>
      <c r="AS172" s="73" t="s">
        <v>3088</v>
      </c>
      <c r="AT172" s="73" t="s">
        <v>3088</v>
      </c>
      <c r="AU172" s="73" t="s">
        <v>3088</v>
      </c>
      <c r="AV172" s="73" t="s">
        <v>3088</v>
      </c>
      <c r="AW172" s="73" t="s">
        <v>3088</v>
      </c>
      <c r="AX172" s="73" t="s">
        <v>3088</v>
      </c>
      <c r="AY172" s="73" t="s">
        <v>3088</v>
      </c>
      <c r="AZ172" s="73" t="s">
        <v>3088</v>
      </c>
      <c r="BA172" s="73" t="s">
        <v>3088</v>
      </c>
      <c r="BB172" s="73" t="s">
        <v>3088</v>
      </c>
      <c r="BC172" s="73" t="s">
        <v>3088</v>
      </c>
      <c r="BD172" s="73" t="s">
        <v>3088</v>
      </c>
      <c r="BE172" s="73" t="s">
        <v>3088</v>
      </c>
      <c r="BF172" s="73" t="s">
        <v>3088</v>
      </c>
      <c r="BG172" s="73" t="s">
        <v>3088</v>
      </c>
      <c r="BH172" s="73" t="s">
        <v>3088</v>
      </c>
      <c r="BI172" s="73" t="s">
        <v>3088</v>
      </c>
      <c r="BJ172" s="73" t="s">
        <v>3088</v>
      </c>
      <c r="BK172" s="73" t="s">
        <v>3088</v>
      </c>
      <c r="BL172" s="73" t="s">
        <v>3088</v>
      </c>
      <c r="BM172" s="73" t="s">
        <v>3088</v>
      </c>
      <c r="BN172" s="73" t="s">
        <v>3088</v>
      </c>
      <c r="BO172" s="73" t="s">
        <v>3088</v>
      </c>
      <c r="BP172" s="73" t="s">
        <v>3088</v>
      </c>
      <c r="BQ172" s="73" t="s">
        <v>3451</v>
      </c>
      <c r="BR172" s="73" t="s">
        <v>3097</v>
      </c>
    </row>
    <row r="173" spans="1:70">
      <c r="A173" s="73" t="s">
        <v>1870</v>
      </c>
      <c r="B173" s="73" t="s">
        <v>2879</v>
      </c>
      <c r="C173" s="73" t="s">
        <v>2537</v>
      </c>
      <c r="D173" s="73" t="s">
        <v>3088</v>
      </c>
      <c r="E173" s="73" t="s">
        <v>3088</v>
      </c>
      <c r="F173" s="73" t="s">
        <v>3088</v>
      </c>
      <c r="G173" s="73" t="s">
        <v>3089</v>
      </c>
      <c r="H173" s="73" t="s">
        <v>3088</v>
      </c>
      <c r="I173" s="73" t="s">
        <v>543</v>
      </c>
      <c r="J173" s="73" t="s">
        <v>2880</v>
      </c>
      <c r="K173" s="73" t="s">
        <v>3089</v>
      </c>
      <c r="L173" s="73" t="s">
        <v>3088</v>
      </c>
      <c r="M173" s="73" t="s">
        <v>3088</v>
      </c>
      <c r="N173" s="73" t="s">
        <v>3088</v>
      </c>
      <c r="O173" s="73" t="s">
        <v>3088</v>
      </c>
      <c r="P173" s="73" t="s">
        <v>3088</v>
      </c>
      <c r="Q173" s="73" t="s">
        <v>3088</v>
      </c>
      <c r="R173" s="73" t="s">
        <v>3088</v>
      </c>
      <c r="S173" s="73" t="s">
        <v>3088</v>
      </c>
      <c r="T173" s="73" t="s">
        <v>3088</v>
      </c>
      <c r="U173" s="73" t="s">
        <v>3088</v>
      </c>
      <c r="V173" s="73" t="s">
        <v>3088</v>
      </c>
      <c r="W173" s="73" t="s">
        <v>3088</v>
      </c>
      <c r="X173" s="73" t="s">
        <v>3088</v>
      </c>
      <c r="Y173" s="73" t="s">
        <v>3088</v>
      </c>
      <c r="Z173" s="73" t="s">
        <v>3088</v>
      </c>
      <c r="AA173" s="73" t="s">
        <v>3088</v>
      </c>
      <c r="AB173" s="73" t="s">
        <v>3088</v>
      </c>
      <c r="AC173" s="73" t="s">
        <v>3088</v>
      </c>
      <c r="AD173" s="73" t="s">
        <v>3088</v>
      </c>
      <c r="AE173" s="73" t="s">
        <v>3088</v>
      </c>
      <c r="AF173" s="73" t="s">
        <v>3088</v>
      </c>
      <c r="AG173" s="73" t="s">
        <v>3088</v>
      </c>
      <c r="AH173" s="73" t="s">
        <v>3088</v>
      </c>
      <c r="AI173" s="73" t="s">
        <v>3088</v>
      </c>
      <c r="AJ173" s="73" t="s">
        <v>3088</v>
      </c>
      <c r="AK173" s="73" t="s">
        <v>3088</v>
      </c>
      <c r="AL173" s="73" t="s">
        <v>3088</v>
      </c>
      <c r="AM173" s="73" t="s">
        <v>3088</v>
      </c>
      <c r="AN173" s="73" t="s">
        <v>3088</v>
      </c>
      <c r="AO173" s="73" t="s">
        <v>3088</v>
      </c>
      <c r="AP173" s="73" t="s">
        <v>3088</v>
      </c>
      <c r="AQ173" s="73" t="s">
        <v>3088</v>
      </c>
      <c r="AR173" s="73" t="s">
        <v>3088</v>
      </c>
      <c r="AS173" s="73" t="s">
        <v>3088</v>
      </c>
      <c r="AT173" s="73" t="s">
        <v>3088</v>
      </c>
      <c r="AU173" s="73" t="s">
        <v>3088</v>
      </c>
      <c r="AV173" s="73" t="s">
        <v>3088</v>
      </c>
      <c r="AW173" s="73" t="s">
        <v>3088</v>
      </c>
      <c r="AX173" s="73" t="s">
        <v>3088</v>
      </c>
      <c r="AY173" s="73" t="s">
        <v>3088</v>
      </c>
      <c r="AZ173" s="73" t="s">
        <v>3088</v>
      </c>
      <c r="BA173" s="73" t="s">
        <v>3088</v>
      </c>
      <c r="BB173" s="73" t="s">
        <v>3088</v>
      </c>
      <c r="BC173" s="73" t="s">
        <v>3088</v>
      </c>
      <c r="BD173" s="73" t="s">
        <v>3088</v>
      </c>
      <c r="BE173" s="73" t="s">
        <v>3088</v>
      </c>
      <c r="BF173" s="73" t="s">
        <v>3088</v>
      </c>
      <c r="BG173" s="73" t="s">
        <v>3088</v>
      </c>
      <c r="BH173" s="73" t="s">
        <v>3088</v>
      </c>
      <c r="BI173" s="73" t="s">
        <v>3088</v>
      </c>
      <c r="BJ173" s="73" t="s">
        <v>3088</v>
      </c>
      <c r="BK173" s="73" t="s">
        <v>3088</v>
      </c>
      <c r="BL173" s="73" t="s">
        <v>3088</v>
      </c>
      <c r="BM173" s="73" t="s">
        <v>3088</v>
      </c>
      <c r="BN173" s="73" t="s">
        <v>3088</v>
      </c>
      <c r="BO173" s="73" t="s">
        <v>3088</v>
      </c>
      <c r="BP173" s="73" t="s">
        <v>3088</v>
      </c>
      <c r="BQ173" s="73" t="s">
        <v>3452</v>
      </c>
      <c r="BR173" s="73" t="s">
        <v>3088</v>
      </c>
    </row>
    <row r="174" spans="1:70">
      <c r="A174" s="73" t="s">
        <v>1870</v>
      </c>
      <c r="B174" s="73" t="s">
        <v>2691</v>
      </c>
      <c r="C174" s="73" t="s">
        <v>2533</v>
      </c>
      <c r="D174" s="73" t="s">
        <v>3088</v>
      </c>
      <c r="E174" s="73" t="s">
        <v>3088</v>
      </c>
      <c r="F174" s="73" t="s">
        <v>3088</v>
      </c>
      <c r="G174" s="73" t="s">
        <v>3089</v>
      </c>
      <c r="H174" s="73" t="s">
        <v>3088</v>
      </c>
      <c r="I174" s="73" t="s">
        <v>2135</v>
      </c>
      <c r="J174" s="73" t="s">
        <v>2692</v>
      </c>
      <c r="K174" s="73" t="s">
        <v>3089</v>
      </c>
      <c r="L174" s="73" t="s">
        <v>3088</v>
      </c>
      <c r="M174" s="73" t="s">
        <v>3088</v>
      </c>
      <c r="N174" s="73" t="s">
        <v>3088</v>
      </c>
      <c r="O174" s="73" t="s">
        <v>3088</v>
      </c>
      <c r="P174" s="73" t="s">
        <v>3088</v>
      </c>
      <c r="Q174" s="73" t="s">
        <v>3088</v>
      </c>
      <c r="R174" s="73" t="s">
        <v>3088</v>
      </c>
      <c r="S174" s="73" t="s">
        <v>3088</v>
      </c>
      <c r="T174" s="73" t="s">
        <v>3088</v>
      </c>
      <c r="U174" s="73" t="s">
        <v>3088</v>
      </c>
      <c r="V174" s="73" t="s">
        <v>3088</v>
      </c>
      <c r="W174" s="73" t="s">
        <v>3088</v>
      </c>
      <c r="X174" s="73" t="s">
        <v>3088</v>
      </c>
      <c r="Y174" s="73" t="s">
        <v>3088</v>
      </c>
      <c r="Z174" s="73" t="s">
        <v>3088</v>
      </c>
      <c r="AA174" s="73" t="s">
        <v>3088</v>
      </c>
      <c r="AB174" s="73" t="s">
        <v>3088</v>
      </c>
      <c r="AC174" s="73" t="s">
        <v>3088</v>
      </c>
      <c r="AD174" s="73" t="s">
        <v>3088</v>
      </c>
      <c r="AE174" s="73" t="s">
        <v>3088</v>
      </c>
      <c r="AF174" s="73" t="s">
        <v>3088</v>
      </c>
      <c r="AG174" s="73" t="s">
        <v>3088</v>
      </c>
      <c r="AH174" s="73" t="s">
        <v>3088</v>
      </c>
      <c r="AI174" s="73" t="s">
        <v>3088</v>
      </c>
      <c r="AJ174" s="73" t="s">
        <v>3088</v>
      </c>
      <c r="AK174" s="73" t="s">
        <v>3088</v>
      </c>
      <c r="AL174" s="73" t="s">
        <v>3088</v>
      </c>
      <c r="AM174" s="73" t="s">
        <v>3088</v>
      </c>
      <c r="AN174" s="73" t="s">
        <v>3088</v>
      </c>
      <c r="AO174" s="73" t="s">
        <v>3088</v>
      </c>
      <c r="AP174" s="73" t="s">
        <v>3088</v>
      </c>
      <c r="AQ174" s="73" t="s">
        <v>3088</v>
      </c>
      <c r="AR174" s="73" t="s">
        <v>3088</v>
      </c>
      <c r="AS174" s="73" t="s">
        <v>3088</v>
      </c>
      <c r="AT174" s="73" t="s">
        <v>3088</v>
      </c>
      <c r="AU174" s="73" t="s">
        <v>3088</v>
      </c>
      <c r="AV174" s="73" t="s">
        <v>3088</v>
      </c>
      <c r="AW174" s="73" t="s">
        <v>3088</v>
      </c>
      <c r="AX174" s="73" t="s">
        <v>3088</v>
      </c>
      <c r="AY174" s="73" t="s">
        <v>3088</v>
      </c>
      <c r="AZ174" s="73" t="s">
        <v>3088</v>
      </c>
      <c r="BA174" s="73" t="s">
        <v>3088</v>
      </c>
      <c r="BB174" s="73" t="s">
        <v>3088</v>
      </c>
      <c r="BC174" s="73" t="s">
        <v>3088</v>
      </c>
      <c r="BD174" s="73" t="s">
        <v>3088</v>
      </c>
      <c r="BE174" s="73" t="s">
        <v>3088</v>
      </c>
      <c r="BF174" s="73" t="s">
        <v>3088</v>
      </c>
      <c r="BG174" s="73" t="s">
        <v>3088</v>
      </c>
      <c r="BH174" s="73" t="s">
        <v>3088</v>
      </c>
      <c r="BI174" s="73" t="s">
        <v>3088</v>
      </c>
      <c r="BJ174" s="73" t="s">
        <v>3088</v>
      </c>
      <c r="BK174" s="73" t="s">
        <v>3088</v>
      </c>
      <c r="BL174" s="73" t="s">
        <v>3088</v>
      </c>
      <c r="BM174" s="73" t="s">
        <v>3088</v>
      </c>
      <c r="BN174" s="73" t="s">
        <v>3088</v>
      </c>
      <c r="BO174" s="73" t="s">
        <v>3088</v>
      </c>
      <c r="BP174" s="73" t="s">
        <v>3088</v>
      </c>
      <c r="BQ174" s="73" t="s">
        <v>3453</v>
      </c>
      <c r="BR174" s="73" t="s">
        <v>3088</v>
      </c>
    </row>
    <row r="175" spans="1:70">
      <c r="A175" s="73" t="s">
        <v>1870</v>
      </c>
      <c r="B175" s="73" t="s">
        <v>2881</v>
      </c>
      <c r="C175" s="73" t="s">
        <v>2591</v>
      </c>
      <c r="D175" s="73" t="s">
        <v>3088</v>
      </c>
      <c r="E175" s="73" t="s">
        <v>3088</v>
      </c>
      <c r="F175" s="73" t="s">
        <v>3088</v>
      </c>
      <c r="G175" s="73" t="s">
        <v>3089</v>
      </c>
      <c r="H175" s="73" t="s">
        <v>3088</v>
      </c>
      <c r="I175" s="73" t="s">
        <v>3093</v>
      </c>
      <c r="J175" s="73" t="s">
        <v>3454</v>
      </c>
      <c r="K175" s="73" t="s">
        <v>3089</v>
      </c>
      <c r="L175" s="73" t="s">
        <v>543</v>
      </c>
      <c r="M175" s="73" t="s">
        <v>3454</v>
      </c>
      <c r="N175" s="73" t="s">
        <v>3089</v>
      </c>
      <c r="O175" s="73" t="s">
        <v>3088</v>
      </c>
      <c r="P175" s="73" t="s">
        <v>3088</v>
      </c>
      <c r="Q175" s="73" t="s">
        <v>3088</v>
      </c>
      <c r="R175" s="73" t="s">
        <v>3088</v>
      </c>
      <c r="S175" s="73" t="s">
        <v>3088</v>
      </c>
      <c r="T175" s="73" t="s">
        <v>3088</v>
      </c>
      <c r="U175" s="73" t="s">
        <v>3088</v>
      </c>
      <c r="V175" s="73" t="s">
        <v>3088</v>
      </c>
      <c r="W175" s="73" t="s">
        <v>3088</v>
      </c>
      <c r="X175" s="73" t="s">
        <v>3088</v>
      </c>
      <c r="Y175" s="73" t="s">
        <v>3088</v>
      </c>
      <c r="Z175" s="73" t="s">
        <v>3088</v>
      </c>
      <c r="AA175" s="73" t="s">
        <v>3088</v>
      </c>
      <c r="AB175" s="73" t="s">
        <v>3088</v>
      </c>
      <c r="AC175" s="73" t="s">
        <v>3088</v>
      </c>
      <c r="AD175" s="73" t="s">
        <v>3088</v>
      </c>
      <c r="AE175" s="73" t="s">
        <v>3088</v>
      </c>
      <c r="AF175" s="73" t="s">
        <v>3088</v>
      </c>
      <c r="AG175" s="73" t="s">
        <v>3088</v>
      </c>
      <c r="AH175" s="73" t="s">
        <v>3088</v>
      </c>
      <c r="AI175" s="73" t="s">
        <v>3088</v>
      </c>
      <c r="AJ175" s="73" t="s">
        <v>3088</v>
      </c>
      <c r="AK175" s="73" t="s">
        <v>3088</v>
      </c>
      <c r="AL175" s="73" t="s">
        <v>3088</v>
      </c>
      <c r="AM175" s="73" t="s">
        <v>3088</v>
      </c>
      <c r="AN175" s="73" t="s">
        <v>3088</v>
      </c>
      <c r="AO175" s="73" t="s">
        <v>3088</v>
      </c>
      <c r="AP175" s="73" t="s">
        <v>3088</v>
      </c>
      <c r="AQ175" s="73" t="s">
        <v>3088</v>
      </c>
      <c r="AR175" s="73" t="s">
        <v>3088</v>
      </c>
      <c r="AS175" s="73" t="s">
        <v>3088</v>
      </c>
      <c r="AT175" s="73" t="s">
        <v>3088</v>
      </c>
      <c r="AU175" s="73" t="s">
        <v>3088</v>
      </c>
      <c r="AV175" s="73" t="s">
        <v>3088</v>
      </c>
      <c r="AW175" s="73" t="s">
        <v>3088</v>
      </c>
      <c r="AX175" s="73" t="s">
        <v>3088</v>
      </c>
      <c r="AY175" s="73" t="s">
        <v>3088</v>
      </c>
      <c r="AZ175" s="73" t="s">
        <v>3088</v>
      </c>
      <c r="BA175" s="73" t="s">
        <v>3088</v>
      </c>
      <c r="BB175" s="73" t="s">
        <v>3088</v>
      </c>
      <c r="BC175" s="73" t="s">
        <v>3088</v>
      </c>
      <c r="BD175" s="73" t="s">
        <v>3088</v>
      </c>
      <c r="BE175" s="73" t="s">
        <v>3088</v>
      </c>
      <c r="BF175" s="73" t="s">
        <v>3088</v>
      </c>
      <c r="BG175" s="73" t="s">
        <v>3088</v>
      </c>
      <c r="BH175" s="73" t="s">
        <v>3088</v>
      </c>
      <c r="BI175" s="73" t="s">
        <v>3088</v>
      </c>
      <c r="BJ175" s="73" t="s">
        <v>3088</v>
      </c>
      <c r="BK175" s="73" t="s">
        <v>3088</v>
      </c>
      <c r="BL175" s="73" t="s">
        <v>3088</v>
      </c>
      <c r="BM175" s="73" t="s">
        <v>3088</v>
      </c>
      <c r="BN175" s="73" t="s">
        <v>3088</v>
      </c>
      <c r="BO175" s="73" t="s">
        <v>3088</v>
      </c>
      <c r="BP175" s="73" t="s">
        <v>3088</v>
      </c>
      <c r="BQ175" s="73" t="s">
        <v>3455</v>
      </c>
      <c r="BR175" s="73" t="s">
        <v>3088</v>
      </c>
    </row>
    <row r="176" spans="1:70">
      <c r="A176" s="73" t="s">
        <v>1870</v>
      </c>
      <c r="B176" s="73" t="s">
        <v>3456</v>
      </c>
      <c r="C176" s="73" t="s">
        <v>2582</v>
      </c>
      <c r="D176" s="73" t="s">
        <v>3088</v>
      </c>
      <c r="E176" s="73" t="s">
        <v>3088</v>
      </c>
      <c r="F176" s="73" t="s">
        <v>3088</v>
      </c>
      <c r="G176" s="73" t="s">
        <v>3089</v>
      </c>
      <c r="H176" s="73" t="s">
        <v>3088</v>
      </c>
      <c r="I176" s="73" t="s">
        <v>3122</v>
      </c>
      <c r="J176" s="73" t="s">
        <v>3088</v>
      </c>
      <c r="K176" s="73" t="s">
        <v>3088</v>
      </c>
      <c r="L176" s="73" t="s">
        <v>3088</v>
      </c>
      <c r="M176" s="73" t="s">
        <v>3088</v>
      </c>
      <c r="N176" s="73" t="s">
        <v>3088</v>
      </c>
      <c r="O176" s="73" t="s">
        <v>3088</v>
      </c>
      <c r="P176" s="73" t="s">
        <v>3088</v>
      </c>
      <c r="Q176" s="73" t="s">
        <v>3088</v>
      </c>
      <c r="R176" s="73" t="s">
        <v>3088</v>
      </c>
      <c r="S176" s="73" t="s">
        <v>3088</v>
      </c>
      <c r="T176" s="73" t="s">
        <v>3088</v>
      </c>
      <c r="U176" s="73" t="s">
        <v>3088</v>
      </c>
      <c r="V176" s="73" t="s">
        <v>3088</v>
      </c>
      <c r="W176" s="73" t="s">
        <v>3088</v>
      </c>
      <c r="X176" s="73" t="s">
        <v>3088</v>
      </c>
      <c r="Y176" s="73" t="s">
        <v>3088</v>
      </c>
      <c r="Z176" s="73" t="s">
        <v>3088</v>
      </c>
      <c r="AA176" s="73" t="s">
        <v>3088</v>
      </c>
      <c r="AB176" s="73" t="s">
        <v>3088</v>
      </c>
      <c r="AC176" s="73" t="s">
        <v>3088</v>
      </c>
      <c r="AD176" s="73" t="s">
        <v>3088</v>
      </c>
      <c r="AE176" s="73" t="s">
        <v>3088</v>
      </c>
      <c r="AF176" s="73" t="s">
        <v>3088</v>
      </c>
      <c r="AG176" s="73" t="s">
        <v>3088</v>
      </c>
      <c r="AH176" s="73" t="s">
        <v>3088</v>
      </c>
      <c r="AI176" s="73" t="s">
        <v>3088</v>
      </c>
      <c r="AJ176" s="73" t="s">
        <v>3088</v>
      </c>
      <c r="AK176" s="73" t="s">
        <v>3088</v>
      </c>
      <c r="AL176" s="73" t="s">
        <v>3088</v>
      </c>
      <c r="AM176" s="73" t="s">
        <v>3088</v>
      </c>
      <c r="AN176" s="73" t="s">
        <v>3088</v>
      </c>
      <c r="AO176" s="73" t="s">
        <v>3088</v>
      </c>
      <c r="AP176" s="73" t="s">
        <v>3088</v>
      </c>
      <c r="AQ176" s="73" t="s">
        <v>3088</v>
      </c>
      <c r="AR176" s="73" t="s">
        <v>3088</v>
      </c>
      <c r="AS176" s="73" t="s">
        <v>3088</v>
      </c>
      <c r="AT176" s="73" t="s">
        <v>3088</v>
      </c>
      <c r="AU176" s="73" t="s">
        <v>3088</v>
      </c>
      <c r="AV176" s="73" t="s">
        <v>3088</v>
      </c>
      <c r="AW176" s="73" t="s">
        <v>3088</v>
      </c>
      <c r="AX176" s="73" t="s">
        <v>3088</v>
      </c>
      <c r="AY176" s="73" t="s">
        <v>3088</v>
      </c>
      <c r="AZ176" s="73" t="s">
        <v>3088</v>
      </c>
      <c r="BA176" s="73" t="s">
        <v>3088</v>
      </c>
      <c r="BB176" s="73" t="s">
        <v>3088</v>
      </c>
      <c r="BC176" s="73" t="s">
        <v>3088</v>
      </c>
      <c r="BD176" s="73" t="s">
        <v>3088</v>
      </c>
      <c r="BE176" s="73" t="s">
        <v>3088</v>
      </c>
      <c r="BF176" s="73" t="s">
        <v>3088</v>
      </c>
      <c r="BG176" s="73" t="s">
        <v>3088</v>
      </c>
      <c r="BH176" s="73" t="s">
        <v>3088</v>
      </c>
      <c r="BI176" s="73" t="s">
        <v>3088</v>
      </c>
      <c r="BJ176" s="73" t="s">
        <v>3088</v>
      </c>
      <c r="BK176" s="73" t="s">
        <v>3088</v>
      </c>
      <c r="BL176" s="73" t="s">
        <v>3088</v>
      </c>
      <c r="BM176" s="73" t="s">
        <v>3088</v>
      </c>
      <c r="BN176" s="73" t="s">
        <v>3088</v>
      </c>
      <c r="BO176" s="73" t="s">
        <v>3088</v>
      </c>
      <c r="BP176" s="73" t="s">
        <v>3088</v>
      </c>
      <c r="BQ176" s="73" t="s">
        <v>3457</v>
      </c>
      <c r="BR176" s="73" t="s">
        <v>3088</v>
      </c>
    </row>
    <row r="177" spans="1:70">
      <c r="A177" s="73" t="s">
        <v>1870</v>
      </c>
      <c r="B177" s="73" t="s">
        <v>2693</v>
      </c>
      <c r="C177" s="73" t="s">
        <v>2533</v>
      </c>
      <c r="D177" s="73" t="s">
        <v>3088</v>
      </c>
      <c r="E177" s="73" t="s">
        <v>3088</v>
      </c>
      <c r="F177" s="73" t="s">
        <v>3088</v>
      </c>
      <c r="G177" s="73" t="s">
        <v>3089</v>
      </c>
      <c r="H177" s="73" t="s">
        <v>3088</v>
      </c>
      <c r="I177" s="73" t="s">
        <v>108</v>
      </c>
      <c r="J177" s="73" t="s">
        <v>3458</v>
      </c>
      <c r="K177" s="73" t="s">
        <v>3095</v>
      </c>
      <c r="L177" s="73" t="s">
        <v>2193</v>
      </c>
      <c r="M177" s="73" t="s">
        <v>3458</v>
      </c>
      <c r="N177" s="73" t="s">
        <v>3095</v>
      </c>
      <c r="O177" s="73" t="s">
        <v>3088</v>
      </c>
      <c r="P177" s="73" t="s">
        <v>3088</v>
      </c>
      <c r="Q177" s="73" t="s">
        <v>3088</v>
      </c>
      <c r="R177" s="73" t="s">
        <v>3088</v>
      </c>
      <c r="S177" s="73" t="s">
        <v>3088</v>
      </c>
      <c r="T177" s="73" t="s">
        <v>3088</v>
      </c>
      <c r="U177" s="73" t="s">
        <v>3088</v>
      </c>
      <c r="V177" s="73" t="s">
        <v>3088</v>
      </c>
      <c r="W177" s="73" t="s">
        <v>3088</v>
      </c>
      <c r="X177" s="73" t="s">
        <v>3088</v>
      </c>
      <c r="Y177" s="73" t="s">
        <v>3088</v>
      </c>
      <c r="Z177" s="73" t="s">
        <v>3088</v>
      </c>
      <c r="AA177" s="73" t="s">
        <v>3088</v>
      </c>
      <c r="AB177" s="73" t="s">
        <v>3088</v>
      </c>
      <c r="AC177" s="73" t="s">
        <v>3088</v>
      </c>
      <c r="AD177" s="73" t="s">
        <v>3088</v>
      </c>
      <c r="AE177" s="73" t="s">
        <v>3088</v>
      </c>
      <c r="AF177" s="73" t="s">
        <v>3088</v>
      </c>
      <c r="AG177" s="73" t="s">
        <v>3088</v>
      </c>
      <c r="AH177" s="73" t="s">
        <v>3088</v>
      </c>
      <c r="AI177" s="73" t="s">
        <v>3088</v>
      </c>
      <c r="AJ177" s="73" t="s">
        <v>3088</v>
      </c>
      <c r="AK177" s="73" t="s">
        <v>3088</v>
      </c>
      <c r="AL177" s="73" t="s">
        <v>3088</v>
      </c>
      <c r="AM177" s="73" t="s">
        <v>3088</v>
      </c>
      <c r="AN177" s="73" t="s">
        <v>3088</v>
      </c>
      <c r="AO177" s="73" t="s">
        <v>3088</v>
      </c>
      <c r="AP177" s="73" t="s">
        <v>3088</v>
      </c>
      <c r="AQ177" s="73" t="s">
        <v>3088</v>
      </c>
      <c r="AR177" s="73" t="s">
        <v>3088</v>
      </c>
      <c r="AS177" s="73" t="s">
        <v>3088</v>
      </c>
      <c r="AT177" s="73" t="s">
        <v>3088</v>
      </c>
      <c r="AU177" s="73" t="s">
        <v>3088</v>
      </c>
      <c r="AV177" s="73" t="s">
        <v>3088</v>
      </c>
      <c r="AW177" s="73" t="s">
        <v>3088</v>
      </c>
      <c r="AX177" s="73" t="s">
        <v>3088</v>
      </c>
      <c r="AY177" s="73" t="s">
        <v>3088</v>
      </c>
      <c r="AZ177" s="73" t="s">
        <v>3088</v>
      </c>
      <c r="BA177" s="73" t="s">
        <v>3088</v>
      </c>
      <c r="BB177" s="73" t="s">
        <v>3088</v>
      </c>
      <c r="BC177" s="73" t="s">
        <v>3088</v>
      </c>
      <c r="BD177" s="73" t="s">
        <v>3088</v>
      </c>
      <c r="BE177" s="73" t="s">
        <v>3088</v>
      </c>
      <c r="BF177" s="73" t="s">
        <v>3088</v>
      </c>
      <c r="BG177" s="73" t="s">
        <v>3088</v>
      </c>
      <c r="BH177" s="73" t="s">
        <v>3088</v>
      </c>
      <c r="BI177" s="73" t="s">
        <v>3088</v>
      </c>
      <c r="BJ177" s="73" t="s">
        <v>3088</v>
      </c>
      <c r="BK177" s="73" t="s">
        <v>3088</v>
      </c>
      <c r="BL177" s="73" t="s">
        <v>3088</v>
      </c>
      <c r="BM177" s="73" t="s">
        <v>3088</v>
      </c>
      <c r="BN177" s="73" t="s">
        <v>3088</v>
      </c>
      <c r="BO177" s="73" t="s">
        <v>3088</v>
      </c>
      <c r="BP177" s="73" t="s">
        <v>3088</v>
      </c>
      <c r="BQ177" s="73" t="s">
        <v>3459</v>
      </c>
      <c r="BR177" s="73" t="s">
        <v>3097</v>
      </c>
    </row>
    <row r="178" spans="1:70">
      <c r="A178" s="73" t="s">
        <v>1870</v>
      </c>
      <c r="B178" s="73" t="s">
        <v>3460</v>
      </c>
      <c r="C178" s="73" t="s">
        <v>2533</v>
      </c>
      <c r="D178" s="73" t="s">
        <v>3088</v>
      </c>
      <c r="E178" s="73" t="s">
        <v>3088</v>
      </c>
      <c r="F178" s="73" t="s">
        <v>3088</v>
      </c>
      <c r="G178" s="73" t="s">
        <v>3089</v>
      </c>
      <c r="H178" s="73" t="s">
        <v>3088</v>
      </c>
      <c r="I178" s="73" t="s">
        <v>3180</v>
      </c>
      <c r="J178" s="73" t="s">
        <v>3461</v>
      </c>
      <c r="K178" s="73" t="s">
        <v>3089</v>
      </c>
      <c r="L178" s="73" t="s">
        <v>3113</v>
      </c>
      <c r="M178" s="73" t="s">
        <v>3462</v>
      </c>
      <c r="N178" s="73" t="s">
        <v>3089</v>
      </c>
      <c r="O178" s="73" t="s">
        <v>3088</v>
      </c>
      <c r="P178" s="73" t="s">
        <v>3088</v>
      </c>
      <c r="Q178" s="73" t="s">
        <v>3088</v>
      </c>
      <c r="R178" s="73" t="s">
        <v>3088</v>
      </c>
      <c r="S178" s="73" t="s">
        <v>3088</v>
      </c>
      <c r="T178" s="73" t="s">
        <v>3088</v>
      </c>
      <c r="U178" s="73" t="s">
        <v>3088</v>
      </c>
      <c r="V178" s="73" t="s">
        <v>3088</v>
      </c>
      <c r="W178" s="73" t="s">
        <v>3088</v>
      </c>
      <c r="X178" s="73" t="s">
        <v>3088</v>
      </c>
      <c r="Y178" s="73" t="s">
        <v>3088</v>
      </c>
      <c r="Z178" s="73" t="s">
        <v>3088</v>
      </c>
      <c r="AA178" s="73" t="s">
        <v>3088</v>
      </c>
      <c r="AB178" s="73" t="s">
        <v>3088</v>
      </c>
      <c r="AC178" s="73" t="s">
        <v>3088</v>
      </c>
      <c r="AD178" s="73" t="s">
        <v>3088</v>
      </c>
      <c r="AE178" s="73" t="s">
        <v>3088</v>
      </c>
      <c r="AF178" s="73" t="s">
        <v>3088</v>
      </c>
      <c r="AG178" s="73" t="s">
        <v>3088</v>
      </c>
      <c r="AH178" s="73" t="s">
        <v>3088</v>
      </c>
      <c r="AI178" s="73" t="s">
        <v>3088</v>
      </c>
      <c r="AJ178" s="73" t="s">
        <v>3088</v>
      </c>
      <c r="AK178" s="73" t="s">
        <v>3088</v>
      </c>
      <c r="AL178" s="73" t="s">
        <v>3088</v>
      </c>
      <c r="AM178" s="73" t="s">
        <v>3088</v>
      </c>
      <c r="AN178" s="73" t="s">
        <v>3088</v>
      </c>
      <c r="AO178" s="73" t="s">
        <v>3088</v>
      </c>
      <c r="AP178" s="73" t="s">
        <v>3088</v>
      </c>
      <c r="AQ178" s="73" t="s">
        <v>3088</v>
      </c>
      <c r="AR178" s="73" t="s">
        <v>3088</v>
      </c>
      <c r="AS178" s="73" t="s">
        <v>3088</v>
      </c>
      <c r="AT178" s="73" t="s">
        <v>3088</v>
      </c>
      <c r="AU178" s="73" t="s">
        <v>3088</v>
      </c>
      <c r="AV178" s="73" t="s">
        <v>3088</v>
      </c>
      <c r="AW178" s="73" t="s">
        <v>3088</v>
      </c>
      <c r="AX178" s="73" t="s">
        <v>3088</v>
      </c>
      <c r="AY178" s="73" t="s">
        <v>3088</v>
      </c>
      <c r="AZ178" s="73" t="s">
        <v>3088</v>
      </c>
      <c r="BA178" s="73" t="s">
        <v>3088</v>
      </c>
      <c r="BB178" s="73" t="s">
        <v>3088</v>
      </c>
      <c r="BC178" s="73" t="s">
        <v>3088</v>
      </c>
      <c r="BD178" s="73" t="s">
        <v>3088</v>
      </c>
      <c r="BE178" s="73" t="s">
        <v>3088</v>
      </c>
      <c r="BF178" s="73" t="s">
        <v>3088</v>
      </c>
      <c r="BG178" s="73" t="s">
        <v>3088</v>
      </c>
      <c r="BH178" s="73" t="s">
        <v>3088</v>
      </c>
      <c r="BI178" s="73" t="s">
        <v>3088</v>
      </c>
      <c r="BJ178" s="73" t="s">
        <v>3088</v>
      </c>
      <c r="BK178" s="73" t="s">
        <v>3088</v>
      </c>
      <c r="BL178" s="73" t="s">
        <v>3088</v>
      </c>
      <c r="BM178" s="73" t="s">
        <v>3088</v>
      </c>
      <c r="BN178" s="73" t="s">
        <v>3088</v>
      </c>
      <c r="BO178" s="73" t="s">
        <v>3088</v>
      </c>
      <c r="BP178" s="73" t="s">
        <v>3088</v>
      </c>
      <c r="BQ178" s="73" t="s">
        <v>3463</v>
      </c>
      <c r="BR178" s="73" t="s">
        <v>3088</v>
      </c>
    </row>
    <row r="179" spans="1:70">
      <c r="A179" s="73" t="s">
        <v>1870</v>
      </c>
      <c r="B179" s="73" t="s">
        <v>2695</v>
      </c>
      <c r="C179" s="73" t="s">
        <v>2591</v>
      </c>
      <c r="D179" s="73" t="s">
        <v>3088</v>
      </c>
      <c r="E179" s="73" t="s">
        <v>3088</v>
      </c>
      <c r="F179" s="73" t="s">
        <v>3088</v>
      </c>
      <c r="G179" s="73" t="s">
        <v>3089</v>
      </c>
      <c r="H179" s="73" t="s">
        <v>3088</v>
      </c>
      <c r="I179" s="73" t="s">
        <v>108</v>
      </c>
      <c r="J179" s="73" t="s">
        <v>3464</v>
      </c>
      <c r="K179" s="73" t="s">
        <v>3095</v>
      </c>
      <c r="L179" s="73" t="s">
        <v>2193</v>
      </c>
      <c r="M179" s="73" t="s">
        <v>3464</v>
      </c>
      <c r="N179" s="73" t="s">
        <v>3095</v>
      </c>
      <c r="O179" s="73" t="s">
        <v>3088</v>
      </c>
      <c r="P179" s="73" t="s">
        <v>3088</v>
      </c>
      <c r="Q179" s="73" t="s">
        <v>3088</v>
      </c>
      <c r="R179" s="73" t="s">
        <v>3088</v>
      </c>
      <c r="S179" s="73" t="s">
        <v>3088</v>
      </c>
      <c r="T179" s="73" t="s">
        <v>3088</v>
      </c>
      <c r="U179" s="73" t="s">
        <v>3088</v>
      </c>
      <c r="V179" s="73" t="s">
        <v>3088</v>
      </c>
      <c r="W179" s="73" t="s">
        <v>3088</v>
      </c>
      <c r="X179" s="73" t="s">
        <v>3088</v>
      </c>
      <c r="Y179" s="73" t="s">
        <v>3088</v>
      </c>
      <c r="Z179" s="73" t="s">
        <v>3088</v>
      </c>
      <c r="AA179" s="73" t="s">
        <v>3088</v>
      </c>
      <c r="AB179" s="73" t="s">
        <v>3088</v>
      </c>
      <c r="AC179" s="73" t="s">
        <v>3088</v>
      </c>
      <c r="AD179" s="73" t="s">
        <v>3088</v>
      </c>
      <c r="AE179" s="73" t="s">
        <v>3088</v>
      </c>
      <c r="AF179" s="73" t="s">
        <v>3088</v>
      </c>
      <c r="AG179" s="73" t="s">
        <v>3088</v>
      </c>
      <c r="AH179" s="73" t="s">
        <v>3088</v>
      </c>
      <c r="AI179" s="73" t="s">
        <v>3088</v>
      </c>
      <c r="AJ179" s="73" t="s">
        <v>3088</v>
      </c>
      <c r="AK179" s="73" t="s">
        <v>3088</v>
      </c>
      <c r="AL179" s="73" t="s">
        <v>3088</v>
      </c>
      <c r="AM179" s="73" t="s">
        <v>3088</v>
      </c>
      <c r="AN179" s="73" t="s">
        <v>3088</v>
      </c>
      <c r="AO179" s="73" t="s">
        <v>3088</v>
      </c>
      <c r="AP179" s="73" t="s">
        <v>3088</v>
      </c>
      <c r="AQ179" s="73" t="s">
        <v>3088</v>
      </c>
      <c r="AR179" s="73" t="s">
        <v>3088</v>
      </c>
      <c r="AS179" s="73" t="s">
        <v>3088</v>
      </c>
      <c r="AT179" s="73" t="s">
        <v>3088</v>
      </c>
      <c r="AU179" s="73" t="s">
        <v>3088</v>
      </c>
      <c r="AV179" s="73" t="s">
        <v>3088</v>
      </c>
      <c r="AW179" s="73" t="s">
        <v>3088</v>
      </c>
      <c r="AX179" s="73" t="s">
        <v>3088</v>
      </c>
      <c r="AY179" s="73" t="s">
        <v>3088</v>
      </c>
      <c r="AZ179" s="73" t="s">
        <v>3088</v>
      </c>
      <c r="BA179" s="73" t="s">
        <v>3088</v>
      </c>
      <c r="BB179" s="73" t="s">
        <v>3088</v>
      </c>
      <c r="BC179" s="73" t="s">
        <v>3088</v>
      </c>
      <c r="BD179" s="73" t="s">
        <v>3088</v>
      </c>
      <c r="BE179" s="73" t="s">
        <v>3088</v>
      </c>
      <c r="BF179" s="73" t="s">
        <v>3088</v>
      </c>
      <c r="BG179" s="73" t="s">
        <v>3088</v>
      </c>
      <c r="BH179" s="73" t="s">
        <v>3088</v>
      </c>
      <c r="BI179" s="73" t="s">
        <v>3088</v>
      </c>
      <c r="BJ179" s="73" t="s">
        <v>3088</v>
      </c>
      <c r="BK179" s="73" t="s">
        <v>3088</v>
      </c>
      <c r="BL179" s="73" t="s">
        <v>3088</v>
      </c>
      <c r="BM179" s="73" t="s">
        <v>3088</v>
      </c>
      <c r="BN179" s="73" t="s">
        <v>3088</v>
      </c>
      <c r="BO179" s="73" t="s">
        <v>3088</v>
      </c>
      <c r="BP179" s="73" t="s">
        <v>3088</v>
      </c>
      <c r="BQ179" s="73" t="s">
        <v>3465</v>
      </c>
      <c r="BR179" s="73" t="s">
        <v>3097</v>
      </c>
    </row>
    <row r="180" spans="1:70">
      <c r="A180" s="73" t="s">
        <v>1870</v>
      </c>
      <c r="B180" s="73" t="s">
        <v>2697</v>
      </c>
      <c r="C180" s="73" t="s">
        <v>2582</v>
      </c>
      <c r="D180" s="73" t="s">
        <v>3088</v>
      </c>
      <c r="E180" s="73" t="s">
        <v>3088</v>
      </c>
      <c r="F180" s="73" t="s">
        <v>3088</v>
      </c>
      <c r="G180" s="73" t="s">
        <v>3089</v>
      </c>
      <c r="H180" s="73" t="s">
        <v>3088</v>
      </c>
      <c r="I180" s="73" t="s">
        <v>543</v>
      </c>
      <c r="J180" s="73" t="s">
        <v>3466</v>
      </c>
      <c r="K180" s="73" t="s">
        <v>3089</v>
      </c>
      <c r="L180" s="73" t="s">
        <v>2193</v>
      </c>
      <c r="M180" s="73" t="s">
        <v>3466</v>
      </c>
      <c r="N180" s="73" t="s">
        <v>3089</v>
      </c>
      <c r="O180" s="73" t="s">
        <v>3088</v>
      </c>
      <c r="P180" s="73" t="s">
        <v>3088</v>
      </c>
      <c r="Q180" s="73" t="s">
        <v>3088</v>
      </c>
      <c r="R180" s="73" t="s">
        <v>3088</v>
      </c>
      <c r="S180" s="73" t="s">
        <v>3088</v>
      </c>
      <c r="T180" s="73" t="s">
        <v>3088</v>
      </c>
      <c r="U180" s="73" t="s">
        <v>3088</v>
      </c>
      <c r="V180" s="73" t="s">
        <v>3088</v>
      </c>
      <c r="W180" s="73" t="s">
        <v>3088</v>
      </c>
      <c r="X180" s="73" t="s">
        <v>3088</v>
      </c>
      <c r="Y180" s="73" t="s">
        <v>3088</v>
      </c>
      <c r="Z180" s="73" t="s">
        <v>3088</v>
      </c>
      <c r="AA180" s="73" t="s">
        <v>3088</v>
      </c>
      <c r="AB180" s="73" t="s">
        <v>3088</v>
      </c>
      <c r="AC180" s="73" t="s">
        <v>3088</v>
      </c>
      <c r="AD180" s="73" t="s">
        <v>3088</v>
      </c>
      <c r="AE180" s="73" t="s">
        <v>3088</v>
      </c>
      <c r="AF180" s="73" t="s">
        <v>3088</v>
      </c>
      <c r="AG180" s="73" t="s">
        <v>3088</v>
      </c>
      <c r="AH180" s="73" t="s">
        <v>3088</v>
      </c>
      <c r="AI180" s="73" t="s">
        <v>3088</v>
      </c>
      <c r="AJ180" s="73" t="s">
        <v>3088</v>
      </c>
      <c r="AK180" s="73" t="s">
        <v>3088</v>
      </c>
      <c r="AL180" s="73" t="s">
        <v>3088</v>
      </c>
      <c r="AM180" s="73" t="s">
        <v>3088</v>
      </c>
      <c r="AN180" s="73" t="s">
        <v>3088</v>
      </c>
      <c r="AO180" s="73" t="s">
        <v>3088</v>
      </c>
      <c r="AP180" s="73" t="s">
        <v>3088</v>
      </c>
      <c r="AQ180" s="73" t="s">
        <v>3088</v>
      </c>
      <c r="AR180" s="73" t="s">
        <v>3088</v>
      </c>
      <c r="AS180" s="73" t="s">
        <v>3088</v>
      </c>
      <c r="AT180" s="73" t="s">
        <v>3088</v>
      </c>
      <c r="AU180" s="73" t="s">
        <v>3088</v>
      </c>
      <c r="AV180" s="73" t="s">
        <v>3088</v>
      </c>
      <c r="AW180" s="73" t="s">
        <v>3088</v>
      </c>
      <c r="AX180" s="73" t="s">
        <v>3088</v>
      </c>
      <c r="AY180" s="73" t="s">
        <v>3088</v>
      </c>
      <c r="AZ180" s="73" t="s">
        <v>3088</v>
      </c>
      <c r="BA180" s="73" t="s">
        <v>3088</v>
      </c>
      <c r="BB180" s="73" t="s">
        <v>3088</v>
      </c>
      <c r="BC180" s="73" t="s">
        <v>3088</v>
      </c>
      <c r="BD180" s="73" t="s">
        <v>3088</v>
      </c>
      <c r="BE180" s="73" t="s">
        <v>3088</v>
      </c>
      <c r="BF180" s="73" t="s">
        <v>3088</v>
      </c>
      <c r="BG180" s="73" t="s">
        <v>3088</v>
      </c>
      <c r="BH180" s="73" t="s">
        <v>3088</v>
      </c>
      <c r="BI180" s="73" t="s">
        <v>3088</v>
      </c>
      <c r="BJ180" s="73" t="s">
        <v>3088</v>
      </c>
      <c r="BK180" s="73" t="s">
        <v>3088</v>
      </c>
      <c r="BL180" s="73" t="s">
        <v>3088</v>
      </c>
      <c r="BM180" s="73" t="s">
        <v>3088</v>
      </c>
      <c r="BN180" s="73" t="s">
        <v>3088</v>
      </c>
      <c r="BO180" s="73" t="s">
        <v>3088</v>
      </c>
      <c r="BP180" s="73" t="s">
        <v>3088</v>
      </c>
      <c r="BQ180" s="73" t="s">
        <v>3467</v>
      </c>
      <c r="BR180" s="73" t="s">
        <v>3088</v>
      </c>
    </row>
    <row r="181" spans="1:70">
      <c r="A181" s="73" t="s">
        <v>1870</v>
      </c>
      <c r="B181" s="73" t="s">
        <v>3468</v>
      </c>
      <c r="C181" s="73" t="s">
        <v>2619</v>
      </c>
      <c r="D181" s="73" t="s">
        <v>3088</v>
      </c>
      <c r="E181" s="73" t="s">
        <v>3088</v>
      </c>
      <c r="F181" s="73" t="s">
        <v>3088</v>
      </c>
      <c r="G181" s="73" t="s">
        <v>3089</v>
      </c>
      <c r="H181" s="73" t="s">
        <v>3088</v>
      </c>
      <c r="I181" s="73" t="s">
        <v>3122</v>
      </c>
      <c r="J181" s="73" t="s">
        <v>3469</v>
      </c>
      <c r="K181" s="73" t="s">
        <v>3089</v>
      </c>
      <c r="L181" s="73" t="s">
        <v>3113</v>
      </c>
      <c r="M181" s="73" t="s">
        <v>3469</v>
      </c>
      <c r="N181" s="73" t="s">
        <v>3089</v>
      </c>
      <c r="O181" s="73" t="s">
        <v>3088</v>
      </c>
      <c r="P181" s="73" t="s">
        <v>3088</v>
      </c>
      <c r="Q181" s="73" t="s">
        <v>3088</v>
      </c>
      <c r="R181" s="73" t="s">
        <v>3088</v>
      </c>
      <c r="S181" s="73" t="s">
        <v>3088</v>
      </c>
      <c r="T181" s="73" t="s">
        <v>3088</v>
      </c>
      <c r="U181" s="73" t="s">
        <v>3088</v>
      </c>
      <c r="V181" s="73" t="s">
        <v>3088</v>
      </c>
      <c r="W181" s="73" t="s">
        <v>3088</v>
      </c>
      <c r="X181" s="73" t="s">
        <v>3088</v>
      </c>
      <c r="Y181" s="73" t="s">
        <v>3088</v>
      </c>
      <c r="Z181" s="73" t="s">
        <v>3088</v>
      </c>
      <c r="AA181" s="73" t="s">
        <v>3088</v>
      </c>
      <c r="AB181" s="73" t="s">
        <v>3088</v>
      </c>
      <c r="AC181" s="73" t="s">
        <v>3088</v>
      </c>
      <c r="AD181" s="73" t="s">
        <v>3088</v>
      </c>
      <c r="AE181" s="73" t="s">
        <v>3088</v>
      </c>
      <c r="AF181" s="73" t="s">
        <v>3088</v>
      </c>
      <c r="AG181" s="73" t="s">
        <v>3088</v>
      </c>
      <c r="AH181" s="73" t="s">
        <v>3088</v>
      </c>
      <c r="AI181" s="73" t="s">
        <v>3088</v>
      </c>
      <c r="AJ181" s="73" t="s">
        <v>3088</v>
      </c>
      <c r="AK181" s="73" t="s">
        <v>3088</v>
      </c>
      <c r="AL181" s="73" t="s">
        <v>3088</v>
      </c>
      <c r="AM181" s="73" t="s">
        <v>3088</v>
      </c>
      <c r="AN181" s="73" t="s">
        <v>3088</v>
      </c>
      <c r="AO181" s="73" t="s">
        <v>3088</v>
      </c>
      <c r="AP181" s="73" t="s">
        <v>3088</v>
      </c>
      <c r="AQ181" s="73" t="s">
        <v>3088</v>
      </c>
      <c r="AR181" s="73" t="s">
        <v>3088</v>
      </c>
      <c r="AS181" s="73" t="s">
        <v>3088</v>
      </c>
      <c r="AT181" s="73" t="s">
        <v>3088</v>
      </c>
      <c r="AU181" s="73" t="s">
        <v>3088</v>
      </c>
      <c r="AV181" s="73" t="s">
        <v>3088</v>
      </c>
      <c r="AW181" s="73" t="s">
        <v>3088</v>
      </c>
      <c r="AX181" s="73" t="s">
        <v>3088</v>
      </c>
      <c r="AY181" s="73" t="s">
        <v>3088</v>
      </c>
      <c r="AZ181" s="73" t="s">
        <v>3088</v>
      </c>
      <c r="BA181" s="73" t="s">
        <v>3088</v>
      </c>
      <c r="BB181" s="73" t="s">
        <v>3088</v>
      </c>
      <c r="BC181" s="73" t="s">
        <v>3088</v>
      </c>
      <c r="BD181" s="73" t="s">
        <v>3088</v>
      </c>
      <c r="BE181" s="73" t="s">
        <v>3088</v>
      </c>
      <c r="BF181" s="73" t="s">
        <v>3088</v>
      </c>
      <c r="BG181" s="73" t="s">
        <v>3088</v>
      </c>
      <c r="BH181" s="73" t="s">
        <v>3088</v>
      </c>
      <c r="BI181" s="73" t="s">
        <v>3088</v>
      </c>
      <c r="BJ181" s="73" t="s">
        <v>3088</v>
      </c>
      <c r="BK181" s="73" t="s">
        <v>3088</v>
      </c>
      <c r="BL181" s="73" t="s">
        <v>3088</v>
      </c>
      <c r="BM181" s="73" t="s">
        <v>3088</v>
      </c>
      <c r="BN181" s="73" t="s">
        <v>3088</v>
      </c>
      <c r="BO181" s="73" t="s">
        <v>3088</v>
      </c>
      <c r="BP181" s="73" t="s">
        <v>3088</v>
      </c>
      <c r="BQ181" s="73" t="s">
        <v>3470</v>
      </c>
      <c r="BR181" s="73" t="s">
        <v>3088</v>
      </c>
    </row>
    <row r="182" spans="1:70">
      <c r="A182" s="73" t="s">
        <v>1870</v>
      </c>
      <c r="B182" s="73" t="s">
        <v>2699</v>
      </c>
      <c r="C182" s="73" t="s">
        <v>2571</v>
      </c>
      <c r="D182" s="73" t="s">
        <v>3088</v>
      </c>
      <c r="E182" s="73" t="s">
        <v>3088</v>
      </c>
      <c r="F182" s="73" t="s">
        <v>3088</v>
      </c>
      <c r="G182" s="73" t="s">
        <v>3089</v>
      </c>
      <c r="H182" s="73" t="s">
        <v>3088</v>
      </c>
      <c r="I182" s="73" t="s">
        <v>108</v>
      </c>
      <c r="J182" s="73" t="s">
        <v>3471</v>
      </c>
      <c r="K182" s="73" t="s">
        <v>3089</v>
      </c>
      <c r="L182" s="73" t="s">
        <v>2193</v>
      </c>
      <c r="M182" s="73" t="s">
        <v>3471</v>
      </c>
      <c r="N182" s="73" t="s">
        <v>3089</v>
      </c>
      <c r="O182" s="73" t="s">
        <v>3088</v>
      </c>
      <c r="P182" s="73" t="s">
        <v>3088</v>
      </c>
      <c r="Q182" s="73" t="s">
        <v>3088</v>
      </c>
      <c r="R182" s="73" t="s">
        <v>3088</v>
      </c>
      <c r="S182" s="73" t="s">
        <v>3088</v>
      </c>
      <c r="T182" s="73" t="s">
        <v>3088</v>
      </c>
      <c r="U182" s="73" t="s">
        <v>3088</v>
      </c>
      <c r="V182" s="73" t="s">
        <v>3088</v>
      </c>
      <c r="W182" s="73" t="s">
        <v>3088</v>
      </c>
      <c r="X182" s="73" t="s">
        <v>3088</v>
      </c>
      <c r="Y182" s="73" t="s">
        <v>3088</v>
      </c>
      <c r="Z182" s="73" t="s">
        <v>3088</v>
      </c>
      <c r="AA182" s="73" t="s">
        <v>3088</v>
      </c>
      <c r="AB182" s="73" t="s">
        <v>3088</v>
      </c>
      <c r="AC182" s="73" t="s">
        <v>3088</v>
      </c>
      <c r="AD182" s="73" t="s">
        <v>3088</v>
      </c>
      <c r="AE182" s="73" t="s">
        <v>3088</v>
      </c>
      <c r="AF182" s="73" t="s">
        <v>3088</v>
      </c>
      <c r="AG182" s="73" t="s">
        <v>3088</v>
      </c>
      <c r="AH182" s="73" t="s">
        <v>3088</v>
      </c>
      <c r="AI182" s="73" t="s">
        <v>3088</v>
      </c>
      <c r="AJ182" s="73" t="s">
        <v>3088</v>
      </c>
      <c r="AK182" s="73" t="s">
        <v>3088</v>
      </c>
      <c r="AL182" s="73" t="s">
        <v>3088</v>
      </c>
      <c r="AM182" s="73" t="s">
        <v>3088</v>
      </c>
      <c r="AN182" s="73" t="s">
        <v>3088</v>
      </c>
      <c r="AO182" s="73" t="s">
        <v>3088</v>
      </c>
      <c r="AP182" s="73" t="s">
        <v>3088</v>
      </c>
      <c r="AQ182" s="73" t="s">
        <v>3088</v>
      </c>
      <c r="AR182" s="73" t="s">
        <v>3088</v>
      </c>
      <c r="AS182" s="73" t="s">
        <v>3088</v>
      </c>
      <c r="AT182" s="73" t="s">
        <v>3088</v>
      </c>
      <c r="AU182" s="73" t="s">
        <v>3088</v>
      </c>
      <c r="AV182" s="73" t="s">
        <v>3088</v>
      </c>
      <c r="AW182" s="73" t="s">
        <v>3088</v>
      </c>
      <c r="AX182" s="73" t="s">
        <v>3088</v>
      </c>
      <c r="AY182" s="73" t="s">
        <v>3088</v>
      </c>
      <c r="AZ182" s="73" t="s">
        <v>3088</v>
      </c>
      <c r="BA182" s="73" t="s">
        <v>3088</v>
      </c>
      <c r="BB182" s="73" t="s">
        <v>3088</v>
      </c>
      <c r="BC182" s="73" t="s">
        <v>3088</v>
      </c>
      <c r="BD182" s="73" t="s">
        <v>3088</v>
      </c>
      <c r="BE182" s="73" t="s">
        <v>3088</v>
      </c>
      <c r="BF182" s="73" t="s">
        <v>3088</v>
      </c>
      <c r="BG182" s="73" t="s">
        <v>3088</v>
      </c>
      <c r="BH182" s="73" t="s">
        <v>3088</v>
      </c>
      <c r="BI182" s="73" t="s">
        <v>3088</v>
      </c>
      <c r="BJ182" s="73" t="s">
        <v>3088</v>
      </c>
      <c r="BK182" s="73" t="s">
        <v>3088</v>
      </c>
      <c r="BL182" s="73" t="s">
        <v>3088</v>
      </c>
      <c r="BM182" s="73" t="s">
        <v>3088</v>
      </c>
      <c r="BN182" s="73" t="s">
        <v>3088</v>
      </c>
      <c r="BO182" s="73" t="s">
        <v>3088</v>
      </c>
      <c r="BP182" s="73" t="s">
        <v>3088</v>
      </c>
      <c r="BQ182" s="73" t="s">
        <v>3472</v>
      </c>
      <c r="BR182" s="73" t="s">
        <v>3088</v>
      </c>
    </row>
    <row r="183" spans="1:70">
      <c r="A183" s="73" t="s">
        <v>1870</v>
      </c>
      <c r="B183" s="73" t="s">
        <v>3473</v>
      </c>
      <c r="C183" s="73" t="s">
        <v>2591</v>
      </c>
      <c r="D183" s="73" t="s">
        <v>3088</v>
      </c>
      <c r="E183" s="73" t="s">
        <v>3088</v>
      </c>
      <c r="F183" s="73" t="s">
        <v>3088</v>
      </c>
      <c r="G183" s="73" t="s">
        <v>3089</v>
      </c>
      <c r="H183" s="73" t="s">
        <v>3088</v>
      </c>
      <c r="I183" s="73" t="s">
        <v>3093</v>
      </c>
      <c r="J183" s="73" t="s">
        <v>3088</v>
      </c>
      <c r="K183" s="73" t="s">
        <v>3088</v>
      </c>
      <c r="L183" s="73" t="s">
        <v>3088</v>
      </c>
      <c r="M183" s="73" t="s">
        <v>3088</v>
      </c>
      <c r="N183" s="73" t="s">
        <v>3088</v>
      </c>
      <c r="O183" s="73" t="s">
        <v>3088</v>
      </c>
      <c r="P183" s="73" t="s">
        <v>3088</v>
      </c>
      <c r="Q183" s="73" t="s">
        <v>3088</v>
      </c>
      <c r="R183" s="73" t="s">
        <v>3088</v>
      </c>
      <c r="S183" s="73" t="s">
        <v>3088</v>
      </c>
      <c r="T183" s="73" t="s">
        <v>3088</v>
      </c>
      <c r="U183" s="73" t="s">
        <v>3088</v>
      </c>
      <c r="V183" s="73" t="s">
        <v>3088</v>
      </c>
      <c r="W183" s="73" t="s">
        <v>3088</v>
      </c>
      <c r="X183" s="73" t="s">
        <v>3088</v>
      </c>
      <c r="Y183" s="73" t="s">
        <v>3088</v>
      </c>
      <c r="Z183" s="73" t="s">
        <v>3088</v>
      </c>
      <c r="AA183" s="73" t="s">
        <v>3088</v>
      </c>
      <c r="AB183" s="73" t="s">
        <v>3088</v>
      </c>
      <c r="AC183" s="73" t="s">
        <v>3088</v>
      </c>
      <c r="AD183" s="73" t="s">
        <v>3088</v>
      </c>
      <c r="AE183" s="73" t="s">
        <v>3088</v>
      </c>
      <c r="AF183" s="73" t="s">
        <v>3088</v>
      </c>
      <c r="AG183" s="73" t="s">
        <v>3088</v>
      </c>
      <c r="AH183" s="73" t="s">
        <v>3088</v>
      </c>
      <c r="AI183" s="73" t="s">
        <v>3088</v>
      </c>
      <c r="AJ183" s="73" t="s">
        <v>3088</v>
      </c>
      <c r="AK183" s="73" t="s">
        <v>3088</v>
      </c>
      <c r="AL183" s="73" t="s">
        <v>3088</v>
      </c>
      <c r="AM183" s="73" t="s">
        <v>3088</v>
      </c>
      <c r="AN183" s="73" t="s">
        <v>3088</v>
      </c>
      <c r="AO183" s="73" t="s">
        <v>3088</v>
      </c>
      <c r="AP183" s="73" t="s">
        <v>3088</v>
      </c>
      <c r="AQ183" s="73" t="s">
        <v>3088</v>
      </c>
      <c r="AR183" s="73" t="s">
        <v>3088</v>
      </c>
      <c r="AS183" s="73" t="s">
        <v>3088</v>
      </c>
      <c r="AT183" s="73" t="s">
        <v>3088</v>
      </c>
      <c r="AU183" s="73" t="s">
        <v>3088</v>
      </c>
      <c r="AV183" s="73" t="s">
        <v>3088</v>
      </c>
      <c r="AW183" s="73" t="s">
        <v>3088</v>
      </c>
      <c r="AX183" s="73" t="s">
        <v>3088</v>
      </c>
      <c r="AY183" s="73" t="s">
        <v>3088</v>
      </c>
      <c r="AZ183" s="73" t="s">
        <v>3088</v>
      </c>
      <c r="BA183" s="73" t="s">
        <v>3088</v>
      </c>
      <c r="BB183" s="73" t="s">
        <v>3088</v>
      </c>
      <c r="BC183" s="73" t="s">
        <v>3088</v>
      </c>
      <c r="BD183" s="73" t="s">
        <v>3088</v>
      </c>
      <c r="BE183" s="73" t="s">
        <v>3088</v>
      </c>
      <c r="BF183" s="73" t="s">
        <v>3088</v>
      </c>
      <c r="BG183" s="73" t="s">
        <v>3088</v>
      </c>
      <c r="BH183" s="73" t="s">
        <v>3088</v>
      </c>
      <c r="BI183" s="73" t="s">
        <v>3088</v>
      </c>
      <c r="BJ183" s="73" t="s">
        <v>3088</v>
      </c>
      <c r="BK183" s="73" t="s">
        <v>3088</v>
      </c>
      <c r="BL183" s="73" t="s">
        <v>3088</v>
      </c>
      <c r="BM183" s="73" t="s">
        <v>3088</v>
      </c>
      <c r="BN183" s="73" t="s">
        <v>3088</v>
      </c>
      <c r="BO183" s="73" t="s">
        <v>3088</v>
      </c>
      <c r="BP183" s="73" t="s">
        <v>3088</v>
      </c>
      <c r="BQ183" s="73" t="s">
        <v>3474</v>
      </c>
      <c r="BR183" s="73" t="s">
        <v>3088</v>
      </c>
    </row>
    <row r="184" spans="1:70">
      <c r="A184" s="73" t="s">
        <v>1870</v>
      </c>
      <c r="B184" s="73" t="s">
        <v>3475</v>
      </c>
      <c r="C184" s="73" t="s">
        <v>2559</v>
      </c>
      <c r="D184" s="73" t="s">
        <v>3088</v>
      </c>
      <c r="E184" s="73" t="s">
        <v>3088</v>
      </c>
      <c r="F184" s="73" t="s">
        <v>3088</v>
      </c>
      <c r="G184" s="73" t="s">
        <v>3089</v>
      </c>
      <c r="H184" s="73" t="s">
        <v>3088</v>
      </c>
      <c r="I184" s="73" t="s">
        <v>3093</v>
      </c>
      <c r="J184" s="73" t="s">
        <v>3088</v>
      </c>
      <c r="K184" s="73" t="s">
        <v>3088</v>
      </c>
      <c r="L184" s="73" t="s">
        <v>3088</v>
      </c>
      <c r="M184" s="73" t="s">
        <v>3088</v>
      </c>
      <c r="N184" s="73" t="s">
        <v>3088</v>
      </c>
      <c r="O184" s="73" t="s">
        <v>3088</v>
      </c>
      <c r="P184" s="73" t="s">
        <v>3088</v>
      </c>
      <c r="Q184" s="73" t="s">
        <v>3088</v>
      </c>
      <c r="R184" s="73" t="s">
        <v>3088</v>
      </c>
      <c r="S184" s="73" t="s">
        <v>3088</v>
      </c>
      <c r="T184" s="73" t="s">
        <v>3088</v>
      </c>
      <c r="U184" s="73" t="s">
        <v>3088</v>
      </c>
      <c r="V184" s="73" t="s">
        <v>3088</v>
      </c>
      <c r="W184" s="73" t="s">
        <v>3088</v>
      </c>
      <c r="X184" s="73" t="s">
        <v>3088</v>
      </c>
      <c r="Y184" s="73" t="s">
        <v>3088</v>
      </c>
      <c r="Z184" s="73" t="s">
        <v>3088</v>
      </c>
      <c r="AA184" s="73" t="s">
        <v>3088</v>
      </c>
      <c r="AB184" s="73" t="s">
        <v>3088</v>
      </c>
      <c r="AC184" s="73" t="s">
        <v>3088</v>
      </c>
      <c r="AD184" s="73" t="s">
        <v>3088</v>
      </c>
      <c r="AE184" s="73" t="s">
        <v>3088</v>
      </c>
      <c r="AF184" s="73" t="s">
        <v>3088</v>
      </c>
      <c r="AG184" s="73" t="s">
        <v>3088</v>
      </c>
      <c r="AH184" s="73" t="s">
        <v>3088</v>
      </c>
      <c r="AI184" s="73" t="s">
        <v>3088</v>
      </c>
      <c r="AJ184" s="73" t="s">
        <v>3088</v>
      </c>
      <c r="AK184" s="73" t="s">
        <v>3088</v>
      </c>
      <c r="AL184" s="73" t="s">
        <v>3088</v>
      </c>
      <c r="AM184" s="73" t="s">
        <v>3088</v>
      </c>
      <c r="AN184" s="73" t="s">
        <v>3088</v>
      </c>
      <c r="AO184" s="73" t="s">
        <v>3088</v>
      </c>
      <c r="AP184" s="73" t="s">
        <v>3088</v>
      </c>
      <c r="AQ184" s="73" t="s">
        <v>3088</v>
      </c>
      <c r="AR184" s="73" t="s">
        <v>3088</v>
      </c>
      <c r="AS184" s="73" t="s">
        <v>3088</v>
      </c>
      <c r="AT184" s="73" t="s">
        <v>3088</v>
      </c>
      <c r="AU184" s="73" t="s">
        <v>3088</v>
      </c>
      <c r="AV184" s="73" t="s">
        <v>3088</v>
      </c>
      <c r="AW184" s="73" t="s">
        <v>3088</v>
      </c>
      <c r="AX184" s="73" t="s">
        <v>3088</v>
      </c>
      <c r="AY184" s="73" t="s">
        <v>3088</v>
      </c>
      <c r="AZ184" s="73" t="s">
        <v>3088</v>
      </c>
      <c r="BA184" s="73" t="s">
        <v>3088</v>
      </c>
      <c r="BB184" s="73" t="s">
        <v>3088</v>
      </c>
      <c r="BC184" s="73" t="s">
        <v>3088</v>
      </c>
      <c r="BD184" s="73" t="s">
        <v>3088</v>
      </c>
      <c r="BE184" s="73" t="s">
        <v>3088</v>
      </c>
      <c r="BF184" s="73" t="s">
        <v>3088</v>
      </c>
      <c r="BG184" s="73" t="s">
        <v>3088</v>
      </c>
      <c r="BH184" s="73" t="s">
        <v>3088</v>
      </c>
      <c r="BI184" s="73" t="s">
        <v>3088</v>
      </c>
      <c r="BJ184" s="73" t="s">
        <v>3088</v>
      </c>
      <c r="BK184" s="73" t="s">
        <v>3088</v>
      </c>
      <c r="BL184" s="73" t="s">
        <v>3088</v>
      </c>
      <c r="BM184" s="73" t="s">
        <v>3088</v>
      </c>
      <c r="BN184" s="73" t="s">
        <v>3088</v>
      </c>
      <c r="BO184" s="73" t="s">
        <v>3088</v>
      </c>
      <c r="BP184" s="73" t="s">
        <v>3088</v>
      </c>
      <c r="BQ184" s="73" t="s">
        <v>3476</v>
      </c>
      <c r="BR184" s="73" t="s">
        <v>3088</v>
      </c>
    </row>
    <row r="185" spans="1:70">
      <c r="A185" s="73" t="s">
        <v>1870</v>
      </c>
      <c r="B185" s="73" t="s">
        <v>3477</v>
      </c>
      <c r="C185" s="73" t="s">
        <v>2571</v>
      </c>
      <c r="D185" s="73" t="s">
        <v>3088</v>
      </c>
      <c r="E185" s="73" t="s">
        <v>3088</v>
      </c>
      <c r="F185" s="73" t="s">
        <v>3088</v>
      </c>
      <c r="G185" s="73" t="s">
        <v>3089</v>
      </c>
      <c r="H185" s="73" t="s">
        <v>3088</v>
      </c>
      <c r="I185" s="73" t="s">
        <v>3093</v>
      </c>
      <c r="J185" s="73" t="s">
        <v>3088</v>
      </c>
      <c r="K185" s="73" t="s">
        <v>3088</v>
      </c>
      <c r="L185" s="73" t="s">
        <v>3088</v>
      </c>
      <c r="M185" s="73" t="s">
        <v>3088</v>
      </c>
      <c r="N185" s="73" t="s">
        <v>3088</v>
      </c>
      <c r="O185" s="73" t="s">
        <v>3088</v>
      </c>
      <c r="P185" s="73" t="s">
        <v>3088</v>
      </c>
      <c r="Q185" s="73" t="s">
        <v>3088</v>
      </c>
      <c r="R185" s="73" t="s">
        <v>3088</v>
      </c>
      <c r="S185" s="73" t="s">
        <v>3088</v>
      </c>
      <c r="T185" s="73" t="s">
        <v>3088</v>
      </c>
      <c r="U185" s="73" t="s">
        <v>3088</v>
      </c>
      <c r="V185" s="73" t="s">
        <v>3088</v>
      </c>
      <c r="W185" s="73" t="s">
        <v>3088</v>
      </c>
      <c r="X185" s="73" t="s">
        <v>3088</v>
      </c>
      <c r="Y185" s="73" t="s">
        <v>3088</v>
      </c>
      <c r="Z185" s="73" t="s">
        <v>3088</v>
      </c>
      <c r="AA185" s="73" t="s">
        <v>3088</v>
      </c>
      <c r="AB185" s="73" t="s">
        <v>3088</v>
      </c>
      <c r="AC185" s="73" t="s">
        <v>3088</v>
      </c>
      <c r="AD185" s="73" t="s">
        <v>3088</v>
      </c>
      <c r="AE185" s="73" t="s">
        <v>3088</v>
      </c>
      <c r="AF185" s="73" t="s">
        <v>3088</v>
      </c>
      <c r="AG185" s="73" t="s">
        <v>3088</v>
      </c>
      <c r="AH185" s="73" t="s">
        <v>3088</v>
      </c>
      <c r="AI185" s="73" t="s">
        <v>3088</v>
      </c>
      <c r="AJ185" s="73" t="s">
        <v>3088</v>
      </c>
      <c r="AK185" s="73" t="s">
        <v>3088</v>
      </c>
      <c r="AL185" s="73" t="s">
        <v>3088</v>
      </c>
      <c r="AM185" s="73" t="s">
        <v>3088</v>
      </c>
      <c r="AN185" s="73" t="s">
        <v>3088</v>
      </c>
      <c r="AO185" s="73" t="s">
        <v>3088</v>
      </c>
      <c r="AP185" s="73" t="s">
        <v>3088</v>
      </c>
      <c r="AQ185" s="73" t="s">
        <v>3088</v>
      </c>
      <c r="AR185" s="73" t="s">
        <v>3088</v>
      </c>
      <c r="AS185" s="73" t="s">
        <v>3088</v>
      </c>
      <c r="AT185" s="73" t="s">
        <v>3088</v>
      </c>
      <c r="AU185" s="73" t="s">
        <v>3088</v>
      </c>
      <c r="AV185" s="73" t="s">
        <v>3088</v>
      </c>
      <c r="AW185" s="73" t="s">
        <v>3088</v>
      </c>
      <c r="AX185" s="73" t="s">
        <v>3088</v>
      </c>
      <c r="AY185" s="73" t="s">
        <v>3088</v>
      </c>
      <c r="AZ185" s="73" t="s">
        <v>3088</v>
      </c>
      <c r="BA185" s="73" t="s">
        <v>3088</v>
      </c>
      <c r="BB185" s="73" t="s">
        <v>3088</v>
      </c>
      <c r="BC185" s="73" t="s">
        <v>3088</v>
      </c>
      <c r="BD185" s="73" t="s">
        <v>3088</v>
      </c>
      <c r="BE185" s="73" t="s">
        <v>3088</v>
      </c>
      <c r="BF185" s="73" t="s">
        <v>3088</v>
      </c>
      <c r="BG185" s="73" t="s">
        <v>3088</v>
      </c>
      <c r="BH185" s="73" t="s">
        <v>3088</v>
      </c>
      <c r="BI185" s="73" t="s">
        <v>3088</v>
      </c>
      <c r="BJ185" s="73" t="s">
        <v>3088</v>
      </c>
      <c r="BK185" s="73" t="s">
        <v>3088</v>
      </c>
      <c r="BL185" s="73" t="s">
        <v>3088</v>
      </c>
      <c r="BM185" s="73" t="s">
        <v>3088</v>
      </c>
      <c r="BN185" s="73" t="s">
        <v>3088</v>
      </c>
      <c r="BO185" s="73" t="s">
        <v>3088</v>
      </c>
      <c r="BP185" s="73" t="s">
        <v>3088</v>
      </c>
      <c r="BQ185" s="73" t="s">
        <v>3478</v>
      </c>
      <c r="BR185" s="73" t="s">
        <v>3088</v>
      </c>
    </row>
    <row r="186" spans="1:70">
      <c r="A186" s="73" t="s">
        <v>1870</v>
      </c>
      <c r="B186" s="73" t="s">
        <v>3479</v>
      </c>
      <c r="C186" s="73" t="s">
        <v>2563</v>
      </c>
      <c r="D186" s="73" t="s">
        <v>3088</v>
      </c>
      <c r="E186" s="73" t="s">
        <v>3088</v>
      </c>
      <c r="F186" s="73" t="s">
        <v>3088</v>
      </c>
      <c r="G186" s="73" t="s">
        <v>3089</v>
      </c>
      <c r="H186" s="73" t="s">
        <v>3088</v>
      </c>
      <c r="I186" s="73" t="s">
        <v>3093</v>
      </c>
      <c r="J186" s="73" t="s">
        <v>3088</v>
      </c>
      <c r="K186" s="73" t="s">
        <v>3088</v>
      </c>
      <c r="L186" s="73" t="s">
        <v>3088</v>
      </c>
      <c r="M186" s="73" t="s">
        <v>3088</v>
      </c>
      <c r="N186" s="73" t="s">
        <v>3088</v>
      </c>
      <c r="O186" s="73" t="s">
        <v>3088</v>
      </c>
      <c r="P186" s="73" t="s">
        <v>3088</v>
      </c>
      <c r="Q186" s="73" t="s">
        <v>3088</v>
      </c>
      <c r="R186" s="73" t="s">
        <v>3088</v>
      </c>
      <c r="S186" s="73" t="s">
        <v>3088</v>
      </c>
      <c r="T186" s="73" t="s">
        <v>3088</v>
      </c>
      <c r="U186" s="73" t="s">
        <v>3088</v>
      </c>
      <c r="V186" s="73" t="s">
        <v>3088</v>
      </c>
      <c r="W186" s="73" t="s">
        <v>3088</v>
      </c>
      <c r="X186" s="73" t="s">
        <v>3088</v>
      </c>
      <c r="Y186" s="73" t="s">
        <v>3088</v>
      </c>
      <c r="Z186" s="73" t="s">
        <v>3088</v>
      </c>
      <c r="AA186" s="73" t="s">
        <v>3088</v>
      </c>
      <c r="AB186" s="73" t="s">
        <v>3088</v>
      </c>
      <c r="AC186" s="73" t="s">
        <v>3088</v>
      </c>
      <c r="AD186" s="73" t="s">
        <v>3088</v>
      </c>
      <c r="AE186" s="73" t="s">
        <v>3088</v>
      </c>
      <c r="AF186" s="73" t="s">
        <v>3088</v>
      </c>
      <c r="AG186" s="73" t="s">
        <v>3088</v>
      </c>
      <c r="AH186" s="73" t="s">
        <v>3088</v>
      </c>
      <c r="AI186" s="73" t="s">
        <v>3088</v>
      </c>
      <c r="AJ186" s="73" t="s">
        <v>3088</v>
      </c>
      <c r="AK186" s="73" t="s">
        <v>3088</v>
      </c>
      <c r="AL186" s="73" t="s">
        <v>3088</v>
      </c>
      <c r="AM186" s="73" t="s">
        <v>3088</v>
      </c>
      <c r="AN186" s="73" t="s">
        <v>3088</v>
      </c>
      <c r="AO186" s="73" t="s">
        <v>3088</v>
      </c>
      <c r="AP186" s="73" t="s">
        <v>3088</v>
      </c>
      <c r="AQ186" s="73" t="s">
        <v>3088</v>
      </c>
      <c r="AR186" s="73" t="s">
        <v>3088</v>
      </c>
      <c r="AS186" s="73" t="s">
        <v>3088</v>
      </c>
      <c r="AT186" s="73" t="s">
        <v>3088</v>
      </c>
      <c r="AU186" s="73" t="s">
        <v>3088</v>
      </c>
      <c r="AV186" s="73" t="s">
        <v>3088</v>
      </c>
      <c r="AW186" s="73" t="s">
        <v>3088</v>
      </c>
      <c r="AX186" s="73" t="s">
        <v>3088</v>
      </c>
      <c r="AY186" s="73" t="s">
        <v>3088</v>
      </c>
      <c r="AZ186" s="73" t="s">
        <v>3088</v>
      </c>
      <c r="BA186" s="73" t="s">
        <v>3088</v>
      </c>
      <c r="BB186" s="73" t="s">
        <v>3088</v>
      </c>
      <c r="BC186" s="73" t="s">
        <v>3088</v>
      </c>
      <c r="BD186" s="73" t="s">
        <v>3088</v>
      </c>
      <c r="BE186" s="73" t="s">
        <v>3088</v>
      </c>
      <c r="BF186" s="73" t="s">
        <v>3088</v>
      </c>
      <c r="BG186" s="73" t="s">
        <v>3088</v>
      </c>
      <c r="BH186" s="73" t="s">
        <v>3088</v>
      </c>
      <c r="BI186" s="73" t="s">
        <v>3088</v>
      </c>
      <c r="BJ186" s="73" t="s">
        <v>3088</v>
      </c>
      <c r="BK186" s="73" t="s">
        <v>3088</v>
      </c>
      <c r="BL186" s="73" t="s">
        <v>3088</v>
      </c>
      <c r="BM186" s="73" t="s">
        <v>3088</v>
      </c>
      <c r="BN186" s="73" t="s">
        <v>3088</v>
      </c>
      <c r="BO186" s="73" t="s">
        <v>3088</v>
      </c>
      <c r="BP186" s="73" t="s">
        <v>3088</v>
      </c>
      <c r="BQ186" s="73" t="s">
        <v>3480</v>
      </c>
      <c r="BR186" s="73" t="s">
        <v>3088</v>
      </c>
    </row>
    <row r="187" spans="1:70">
      <c r="A187" s="73" t="s">
        <v>1870</v>
      </c>
      <c r="B187" s="73" t="s">
        <v>3481</v>
      </c>
      <c r="C187" s="73" t="s">
        <v>2619</v>
      </c>
      <c r="D187" s="73" t="s">
        <v>3088</v>
      </c>
      <c r="E187" s="73" t="s">
        <v>3088</v>
      </c>
      <c r="F187" s="73" t="s">
        <v>3088</v>
      </c>
      <c r="G187" s="73" t="s">
        <v>3089</v>
      </c>
      <c r="H187" s="73" t="s">
        <v>3088</v>
      </c>
      <c r="I187" s="73" t="s">
        <v>3093</v>
      </c>
      <c r="J187" s="73" t="s">
        <v>3088</v>
      </c>
      <c r="K187" s="73" t="s">
        <v>3088</v>
      </c>
      <c r="L187" s="73" t="s">
        <v>3088</v>
      </c>
      <c r="M187" s="73" t="s">
        <v>3088</v>
      </c>
      <c r="N187" s="73" t="s">
        <v>3088</v>
      </c>
      <c r="O187" s="73" t="s">
        <v>3088</v>
      </c>
      <c r="P187" s="73" t="s">
        <v>3088</v>
      </c>
      <c r="Q187" s="73" t="s">
        <v>3088</v>
      </c>
      <c r="R187" s="73" t="s">
        <v>3088</v>
      </c>
      <c r="S187" s="73" t="s">
        <v>3088</v>
      </c>
      <c r="T187" s="73" t="s">
        <v>3088</v>
      </c>
      <c r="U187" s="73" t="s">
        <v>3088</v>
      </c>
      <c r="V187" s="73" t="s">
        <v>3088</v>
      </c>
      <c r="W187" s="73" t="s">
        <v>3088</v>
      </c>
      <c r="X187" s="73" t="s">
        <v>3088</v>
      </c>
      <c r="Y187" s="73" t="s">
        <v>3088</v>
      </c>
      <c r="Z187" s="73" t="s">
        <v>3088</v>
      </c>
      <c r="AA187" s="73" t="s">
        <v>3088</v>
      </c>
      <c r="AB187" s="73" t="s">
        <v>3088</v>
      </c>
      <c r="AC187" s="73" t="s">
        <v>3088</v>
      </c>
      <c r="AD187" s="73" t="s">
        <v>3088</v>
      </c>
      <c r="AE187" s="73" t="s">
        <v>3088</v>
      </c>
      <c r="AF187" s="73" t="s">
        <v>3088</v>
      </c>
      <c r="AG187" s="73" t="s">
        <v>3088</v>
      </c>
      <c r="AH187" s="73" t="s">
        <v>3088</v>
      </c>
      <c r="AI187" s="73" t="s">
        <v>3088</v>
      </c>
      <c r="AJ187" s="73" t="s">
        <v>3088</v>
      </c>
      <c r="AK187" s="73" t="s">
        <v>3088</v>
      </c>
      <c r="AL187" s="73" t="s">
        <v>3088</v>
      </c>
      <c r="AM187" s="73" t="s">
        <v>3088</v>
      </c>
      <c r="AN187" s="73" t="s">
        <v>3088</v>
      </c>
      <c r="AO187" s="73" t="s">
        <v>3088</v>
      </c>
      <c r="AP187" s="73" t="s">
        <v>3088</v>
      </c>
      <c r="AQ187" s="73" t="s">
        <v>3088</v>
      </c>
      <c r="AR187" s="73" t="s">
        <v>3088</v>
      </c>
      <c r="AS187" s="73" t="s">
        <v>3088</v>
      </c>
      <c r="AT187" s="73" t="s">
        <v>3088</v>
      </c>
      <c r="AU187" s="73" t="s">
        <v>3088</v>
      </c>
      <c r="AV187" s="73" t="s">
        <v>3088</v>
      </c>
      <c r="AW187" s="73" t="s">
        <v>3088</v>
      </c>
      <c r="AX187" s="73" t="s">
        <v>3088</v>
      </c>
      <c r="AY187" s="73" t="s">
        <v>3088</v>
      </c>
      <c r="AZ187" s="73" t="s">
        <v>3088</v>
      </c>
      <c r="BA187" s="73" t="s">
        <v>3088</v>
      </c>
      <c r="BB187" s="73" t="s">
        <v>3088</v>
      </c>
      <c r="BC187" s="73" t="s">
        <v>3088</v>
      </c>
      <c r="BD187" s="73" t="s">
        <v>3088</v>
      </c>
      <c r="BE187" s="73" t="s">
        <v>3088</v>
      </c>
      <c r="BF187" s="73" t="s">
        <v>3088</v>
      </c>
      <c r="BG187" s="73" t="s">
        <v>3088</v>
      </c>
      <c r="BH187" s="73" t="s">
        <v>3088</v>
      </c>
      <c r="BI187" s="73" t="s">
        <v>3088</v>
      </c>
      <c r="BJ187" s="73" t="s">
        <v>3088</v>
      </c>
      <c r="BK187" s="73" t="s">
        <v>3088</v>
      </c>
      <c r="BL187" s="73" t="s">
        <v>3088</v>
      </c>
      <c r="BM187" s="73" t="s">
        <v>3088</v>
      </c>
      <c r="BN187" s="73" t="s">
        <v>3088</v>
      </c>
      <c r="BO187" s="73" t="s">
        <v>3088</v>
      </c>
      <c r="BP187" s="73" t="s">
        <v>3088</v>
      </c>
      <c r="BQ187" s="73" t="s">
        <v>3482</v>
      </c>
      <c r="BR187" s="73" t="s">
        <v>3088</v>
      </c>
    </row>
    <row r="188" spans="1:70">
      <c r="A188" s="73" t="s">
        <v>1870</v>
      </c>
      <c r="B188" s="73" t="s">
        <v>3483</v>
      </c>
      <c r="C188" s="73" t="s">
        <v>2537</v>
      </c>
      <c r="D188" s="73" t="s">
        <v>3088</v>
      </c>
      <c r="E188" s="73" t="s">
        <v>3088</v>
      </c>
      <c r="F188" s="73" t="s">
        <v>3088</v>
      </c>
      <c r="G188" s="73" t="s">
        <v>3089</v>
      </c>
      <c r="H188" s="73" t="s">
        <v>3088</v>
      </c>
      <c r="I188" s="73" t="s">
        <v>3093</v>
      </c>
      <c r="J188" s="73" t="s">
        <v>3088</v>
      </c>
      <c r="K188" s="73" t="s">
        <v>3088</v>
      </c>
      <c r="L188" s="73" t="s">
        <v>3088</v>
      </c>
      <c r="M188" s="73" t="s">
        <v>3088</v>
      </c>
      <c r="N188" s="73" t="s">
        <v>3088</v>
      </c>
      <c r="O188" s="73" t="s">
        <v>3088</v>
      </c>
      <c r="P188" s="73" t="s">
        <v>3088</v>
      </c>
      <c r="Q188" s="73" t="s">
        <v>3088</v>
      </c>
      <c r="R188" s="73" t="s">
        <v>3088</v>
      </c>
      <c r="S188" s="73" t="s">
        <v>3088</v>
      </c>
      <c r="T188" s="73" t="s">
        <v>3088</v>
      </c>
      <c r="U188" s="73" t="s">
        <v>3088</v>
      </c>
      <c r="V188" s="73" t="s">
        <v>3088</v>
      </c>
      <c r="W188" s="73" t="s">
        <v>3088</v>
      </c>
      <c r="X188" s="73" t="s">
        <v>3088</v>
      </c>
      <c r="Y188" s="73" t="s">
        <v>3088</v>
      </c>
      <c r="Z188" s="73" t="s">
        <v>3088</v>
      </c>
      <c r="AA188" s="73" t="s">
        <v>3088</v>
      </c>
      <c r="AB188" s="73" t="s">
        <v>3088</v>
      </c>
      <c r="AC188" s="73" t="s">
        <v>3088</v>
      </c>
      <c r="AD188" s="73" t="s">
        <v>3088</v>
      </c>
      <c r="AE188" s="73" t="s">
        <v>3088</v>
      </c>
      <c r="AF188" s="73" t="s">
        <v>3088</v>
      </c>
      <c r="AG188" s="73" t="s">
        <v>3088</v>
      </c>
      <c r="AH188" s="73" t="s">
        <v>3088</v>
      </c>
      <c r="AI188" s="73" t="s">
        <v>3088</v>
      </c>
      <c r="AJ188" s="73" t="s">
        <v>3088</v>
      </c>
      <c r="AK188" s="73" t="s">
        <v>3088</v>
      </c>
      <c r="AL188" s="73" t="s">
        <v>3088</v>
      </c>
      <c r="AM188" s="73" t="s">
        <v>3088</v>
      </c>
      <c r="AN188" s="73" t="s">
        <v>3088</v>
      </c>
      <c r="AO188" s="73" t="s">
        <v>3088</v>
      </c>
      <c r="AP188" s="73" t="s">
        <v>3088</v>
      </c>
      <c r="AQ188" s="73" t="s">
        <v>3088</v>
      </c>
      <c r="AR188" s="73" t="s">
        <v>3088</v>
      </c>
      <c r="AS188" s="73" t="s">
        <v>3088</v>
      </c>
      <c r="AT188" s="73" t="s">
        <v>3088</v>
      </c>
      <c r="AU188" s="73" t="s">
        <v>3088</v>
      </c>
      <c r="AV188" s="73" t="s">
        <v>3088</v>
      </c>
      <c r="AW188" s="73" t="s">
        <v>3088</v>
      </c>
      <c r="AX188" s="73" t="s">
        <v>3088</v>
      </c>
      <c r="AY188" s="73" t="s">
        <v>3088</v>
      </c>
      <c r="AZ188" s="73" t="s">
        <v>3088</v>
      </c>
      <c r="BA188" s="73" t="s">
        <v>3088</v>
      </c>
      <c r="BB188" s="73" t="s">
        <v>3088</v>
      </c>
      <c r="BC188" s="73" t="s">
        <v>3088</v>
      </c>
      <c r="BD188" s="73" t="s">
        <v>3088</v>
      </c>
      <c r="BE188" s="73" t="s">
        <v>3088</v>
      </c>
      <c r="BF188" s="73" t="s">
        <v>3088</v>
      </c>
      <c r="BG188" s="73" t="s">
        <v>3088</v>
      </c>
      <c r="BH188" s="73" t="s">
        <v>3088</v>
      </c>
      <c r="BI188" s="73" t="s">
        <v>3088</v>
      </c>
      <c r="BJ188" s="73" t="s">
        <v>3088</v>
      </c>
      <c r="BK188" s="73" t="s">
        <v>3088</v>
      </c>
      <c r="BL188" s="73" t="s">
        <v>3088</v>
      </c>
      <c r="BM188" s="73" t="s">
        <v>3088</v>
      </c>
      <c r="BN188" s="73" t="s">
        <v>3088</v>
      </c>
      <c r="BO188" s="73" t="s">
        <v>3088</v>
      </c>
      <c r="BP188" s="73" t="s">
        <v>3088</v>
      </c>
      <c r="BQ188" s="73" t="s">
        <v>3484</v>
      </c>
      <c r="BR188" s="73" t="s">
        <v>3088</v>
      </c>
    </row>
    <row r="189" spans="1:70">
      <c r="A189" s="73" t="s">
        <v>1870</v>
      </c>
      <c r="B189" s="73" t="s">
        <v>3485</v>
      </c>
      <c r="C189" s="73" t="s">
        <v>2582</v>
      </c>
      <c r="D189" s="73" t="s">
        <v>3088</v>
      </c>
      <c r="E189" s="73" t="s">
        <v>3088</v>
      </c>
      <c r="F189" s="73" t="s">
        <v>3088</v>
      </c>
      <c r="G189" s="73" t="s">
        <v>3089</v>
      </c>
      <c r="H189" s="73" t="s">
        <v>3130</v>
      </c>
      <c r="I189" s="73" t="s">
        <v>3088</v>
      </c>
      <c r="J189" s="73" t="s">
        <v>3088</v>
      </c>
      <c r="K189" s="73" t="s">
        <v>3088</v>
      </c>
      <c r="L189" s="73" t="s">
        <v>3088</v>
      </c>
      <c r="M189" s="73" t="s">
        <v>3088</v>
      </c>
      <c r="N189" s="73" t="s">
        <v>3088</v>
      </c>
      <c r="O189" s="73" t="s">
        <v>3088</v>
      </c>
      <c r="P189" s="73" t="s">
        <v>3088</v>
      </c>
      <c r="Q189" s="73" t="s">
        <v>3088</v>
      </c>
      <c r="R189" s="73" t="s">
        <v>3088</v>
      </c>
      <c r="S189" s="73" t="s">
        <v>3088</v>
      </c>
      <c r="T189" s="73" t="s">
        <v>3088</v>
      </c>
      <c r="U189" s="73" t="s">
        <v>3088</v>
      </c>
      <c r="V189" s="73" t="s">
        <v>3088</v>
      </c>
      <c r="W189" s="73" t="s">
        <v>3088</v>
      </c>
      <c r="X189" s="73" t="s">
        <v>3088</v>
      </c>
      <c r="Y189" s="73" t="s">
        <v>3088</v>
      </c>
      <c r="Z189" s="73" t="s">
        <v>3088</v>
      </c>
      <c r="AA189" s="73" t="s">
        <v>3088</v>
      </c>
      <c r="AB189" s="73" t="s">
        <v>3088</v>
      </c>
      <c r="AC189" s="73" t="s">
        <v>3088</v>
      </c>
      <c r="AD189" s="73" t="s">
        <v>3088</v>
      </c>
      <c r="AE189" s="73" t="s">
        <v>3088</v>
      </c>
      <c r="AF189" s="73" t="s">
        <v>3088</v>
      </c>
      <c r="AG189" s="73" t="s">
        <v>3088</v>
      </c>
      <c r="AH189" s="73" t="s">
        <v>3088</v>
      </c>
      <c r="AI189" s="73" t="s">
        <v>3088</v>
      </c>
      <c r="AJ189" s="73" t="s">
        <v>3088</v>
      </c>
      <c r="AK189" s="73" t="s">
        <v>3088</v>
      </c>
      <c r="AL189" s="73" t="s">
        <v>3088</v>
      </c>
      <c r="AM189" s="73" t="s">
        <v>3088</v>
      </c>
      <c r="AN189" s="73" t="s">
        <v>3088</v>
      </c>
      <c r="AO189" s="73" t="s">
        <v>3088</v>
      </c>
      <c r="AP189" s="73" t="s">
        <v>3088</v>
      </c>
      <c r="AQ189" s="73" t="s">
        <v>3088</v>
      </c>
      <c r="AR189" s="73" t="s">
        <v>3088</v>
      </c>
      <c r="AS189" s="73" t="s">
        <v>3088</v>
      </c>
      <c r="AT189" s="73" t="s">
        <v>3088</v>
      </c>
      <c r="AU189" s="73" t="s">
        <v>3088</v>
      </c>
      <c r="AV189" s="73" t="s">
        <v>3088</v>
      </c>
      <c r="AW189" s="73" t="s">
        <v>3088</v>
      </c>
      <c r="AX189" s="73" t="s">
        <v>3088</v>
      </c>
      <c r="AY189" s="73" t="s">
        <v>3088</v>
      </c>
      <c r="AZ189" s="73" t="s">
        <v>3088</v>
      </c>
      <c r="BA189" s="73" t="s">
        <v>3088</v>
      </c>
      <c r="BB189" s="73" t="s">
        <v>3088</v>
      </c>
      <c r="BC189" s="73" t="s">
        <v>3088</v>
      </c>
      <c r="BD189" s="73" t="s">
        <v>3088</v>
      </c>
      <c r="BE189" s="73" t="s">
        <v>3088</v>
      </c>
      <c r="BF189" s="73" t="s">
        <v>3088</v>
      </c>
      <c r="BG189" s="73" t="s">
        <v>3088</v>
      </c>
      <c r="BH189" s="73" t="s">
        <v>3088</v>
      </c>
      <c r="BI189" s="73" t="s">
        <v>3088</v>
      </c>
      <c r="BJ189" s="73" t="s">
        <v>3088</v>
      </c>
      <c r="BK189" s="73" t="s">
        <v>3088</v>
      </c>
      <c r="BL189" s="73" t="s">
        <v>3088</v>
      </c>
      <c r="BM189" s="73" t="s">
        <v>3088</v>
      </c>
      <c r="BN189" s="73" t="s">
        <v>3088</v>
      </c>
      <c r="BO189" s="73" t="s">
        <v>3088</v>
      </c>
      <c r="BP189" s="73" t="s">
        <v>3088</v>
      </c>
      <c r="BQ189" s="73" t="s">
        <v>3486</v>
      </c>
      <c r="BR189" s="73" t="s">
        <v>3097</v>
      </c>
    </row>
    <row r="190" spans="1:70">
      <c r="A190" s="73" t="s">
        <v>1870</v>
      </c>
      <c r="B190" s="73" t="s">
        <v>3487</v>
      </c>
      <c r="C190" s="73" t="s">
        <v>2582</v>
      </c>
      <c r="D190" s="73" t="s">
        <v>3088</v>
      </c>
      <c r="E190" s="73" t="s">
        <v>3088</v>
      </c>
      <c r="F190" s="73" t="s">
        <v>3088</v>
      </c>
      <c r="G190" s="73" t="s">
        <v>3089</v>
      </c>
      <c r="H190" s="73" t="s">
        <v>3130</v>
      </c>
      <c r="I190" s="73" t="s">
        <v>3088</v>
      </c>
      <c r="J190" s="73" t="s">
        <v>3088</v>
      </c>
      <c r="K190" s="73" t="s">
        <v>3088</v>
      </c>
      <c r="L190" s="73" t="s">
        <v>3088</v>
      </c>
      <c r="M190" s="73" t="s">
        <v>3088</v>
      </c>
      <c r="N190" s="73" t="s">
        <v>3088</v>
      </c>
      <c r="O190" s="73" t="s">
        <v>3088</v>
      </c>
      <c r="P190" s="73" t="s">
        <v>3088</v>
      </c>
      <c r="Q190" s="73" t="s">
        <v>3088</v>
      </c>
      <c r="R190" s="73" t="s">
        <v>3088</v>
      </c>
      <c r="S190" s="73" t="s">
        <v>3088</v>
      </c>
      <c r="T190" s="73" t="s">
        <v>3088</v>
      </c>
      <c r="U190" s="73" t="s">
        <v>3088</v>
      </c>
      <c r="V190" s="73" t="s">
        <v>3088</v>
      </c>
      <c r="W190" s="73" t="s">
        <v>3088</v>
      </c>
      <c r="X190" s="73" t="s">
        <v>3088</v>
      </c>
      <c r="Y190" s="73" t="s">
        <v>3088</v>
      </c>
      <c r="Z190" s="73" t="s">
        <v>3088</v>
      </c>
      <c r="AA190" s="73" t="s">
        <v>3088</v>
      </c>
      <c r="AB190" s="73" t="s">
        <v>3088</v>
      </c>
      <c r="AC190" s="73" t="s">
        <v>3088</v>
      </c>
      <c r="AD190" s="73" t="s">
        <v>3088</v>
      </c>
      <c r="AE190" s="73" t="s">
        <v>3088</v>
      </c>
      <c r="AF190" s="73" t="s">
        <v>3088</v>
      </c>
      <c r="AG190" s="73" t="s">
        <v>3088</v>
      </c>
      <c r="AH190" s="73" t="s">
        <v>3088</v>
      </c>
      <c r="AI190" s="73" t="s">
        <v>3088</v>
      </c>
      <c r="AJ190" s="73" t="s">
        <v>3088</v>
      </c>
      <c r="AK190" s="73" t="s">
        <v>3088</v>
      </c>
      <c r="AL190" s="73" t="s">
        <v>3088</v>
      </c>
      <c r="AM190" s="73" t="s">
        <v>3088</v>
      </c>
      <c r="AN190" s="73" t="s">
        <v>3088</v>
      </c>
      <c r="AO190" s="73" t="s">
        <v>3088</v>
      </c>
      <c r="AP190" s="73" t="s">
        <v>3088</v>
      </c>
      <c r="AQ190" s="73" t="s">
        <v>3088</v>
      </c>
      <c r="AR190" s="73" t="s">
        <v>3088</v>
      </c>
      <c r="AS190" s="73" t="s">
        <v>3088</v>
      </c>
      <c r="AT190" s="73" t="s">
        <v>3088</v>
      </c>
      <c r="AU190" s="73" t="s">
        <v>3088</v>
      </c>
      <c r="AV190" s="73" t="s">
        <v>3088</v>
      </c>
      <c r="AW190" s="73" t="s">
        <v>3088</v>
      </c>
      <c r="AX190" s="73" t="s">
        <v>3088</v>
      </c>
      <c r="AY190" s="73" t="s">
        <v>3088</v>
      </c>
      <c r="AZ190" s="73" t="s">
        <v>3088</v>
      </c>
      <c r="BA190" s="73" t="s">
        <v>3088</v>
      </c>
      <c r="BB190" s="73" t="s">
        <v>3088</v>
      </c>
      <c r="BC190" s="73" t="s">
        <v>3088</v>
      </c>
      <c r="BD190" s="73" t="s">
        <v>3088</v>
      </c>
      <c r="BE190" s="73" t="s">
        <v>3088</v>
      </c>
      <c r="BF190" s="73" t="s">
        <v>3088</v>
      </c>
      <c r="BG190" s="73" t="s">
        <v>3088</v>
      </c>
      <c r="BH190" s="73" t="s">
        <v>3088</v>
      </c>
      <c r="BI190" s="73" t="s">
        <v>3088</v>
      </c>
      <c r="BJ190" s="73" t="s">
        <v>3088</v>
      </c>
      <c r="BK190" s="73" t="s">
        <v>3088</v>
      </c>
      <c r="BL190" s="73" t="s">
        <v>3088</v>
      </c>
      <c r="BM190" s="73" t="s">
        <v>3088</v>
      </c>
      <c r="BN190" s="73" t="s">
        <v>3088</v>
      </c>
      <c r="BO190" s="73" t="s">
        <v>3088</v>
      </c>
      <c r="BP190" s="73" t="s">
        <v>3088</v>
      </c>
      <c r="BQ190" s="73" t="s">
        <v>3488</v>
      </c>
      <c r="BR190" s="73" t="s">
        <v>3097</v>
      </c>
    </row>
    <row r="191" spans="1:70">
      <c r="A191" s="73" t="s">
        <v>1870</v>
      </c>
      <c r="B191" s="73" t="s">
        <v>3489</v>
      </c>
      <c r="C191" s="73" t="s">
        <v>2582</v>
      </c>
      <c r="D191" s="73" t="s">
        <v>3088</v>
      </c>
      <c r="E191" s="73" t="s">
        <v>3088</v>
      </c>
      <c r="F191" s="73" t="s">
        <v>3088</v>
      </c>
      <c r="G191" s="73" t="s">
        <v>3089</v>
      </c>
      <c r="H191" s="73" t="s">
        <v>3130</v>
      </c>
      <c r="I191" s="73" t="s">
        <v>3088</v>
      </c>
      <c r="J191" s="73" t="s">
        <v>3088</v>
      </c>
      <c r="K191" s="73" t="s">
        <v>3088</v>
      </c>
      <c r="L191" s="73" t="s">
        <v>3088</v>
      </c>
      <c r="M191" s="73" t="s">
        <v>3088</v>
      </c>
      <c r="N191" s="73" t="s">
        <v>3088</v>
      </c>
      <c r="O191" s="73" t="s">
        <v>3088</v>
      </c>
      <c r="P191" s="73" t="s">
        <v>3088</v>
      </c>
      <c r="Q191" s="73" t="s">
        <v>3088</v>
      </c>
      <c r="R191" s="73" t="s">
        <v>3088</v>
      </c>
      <c r="S191" s="73" t="s">
        <v>3088</v>
      </c>
      <c r="T191" s="73" t="s">
        <v>3088</v>
      </c>
      <c r="U191" s="73" t="s">
        <v>3088</v>
      </c>
      <c r="V191" s="73" t="s">
        <v>3088</v>
      </c>
      <c r="W191" s="73" t="s">
        <v>3088</v>
      </c>
      <c r="X191" s="73" t="s">
        <v>3088</v>
      </c>
      <c r="Y191" s="73" t="s">
        <v>3088</v>
      </c>
      <c r="Z191" s="73" t="s">
        <v>3088</v>
      </c>
      <c r="AA191" s="73" t="s">
        <v>3088</v>
      </c>
      <c r="AB191" s="73" t="s">
        <v>3088</v>
      </c>
      <c r="AC191" s="73" t="s">
        <v>3088</v>
      </c>
      <c r="AD191" s="73" t="s">
        <v>3088</v>
      </c>
      <c r="AE191" s="73" t="s">
        <v>3088</v>
      </c>
      <c r="AF191" s="73" t="s">
        <v>3088</v>
      </c>
      <c r="AG191" s="73" t="s">
        <v>3088</v>
      </c>
      <c r="AH191" s="73" t="s">
        <v>3088</v>
      </c>
      <c r="AI191" s="73" t="s">
        <v>3088</v>
      </c>
      <c r="AJ191" s="73" t="s">
        <v>3088</v>
      </c>
      <c r="AK191" s="73" t="s">
        <v>3088</v>
      </c>
      <c r="AL191" s="73" t="s">
        <v>3088</v>
      </c>
      <c r="AM191" s="73" t="s">
        <v>3088</v>
      </c>
      <c r="AN191" s="73" t="s">
        <v>3088</v>
      </c>
      <c r="AO191" s="73" t="s">
        <v>3088</v>
      </c>
      <c r="AP191" s="73" t="s">
        <v>3088</v>
      </c>
      <c r="AQ191" s="73" t="s">
        <v>3088</v>
      </c>
      <c r="AR191" s="73" t="s">
        <v>3088</v>
      </c>
      <c r="AS191" s="73" t="s">
        <v>3088</v>
      </c>
      <c r="AT191" s="73" t="s">
        <v>3088</v>
      </c>
      <c r="AU191" s="73" t="s">
        <v>3088</v>
      </c>
      <c r="AV191" s="73" t="s">
        <v>3088</v>
      </c>
      <c r="AW191" s="73" t="s">
        <v>3088</v>
      </c>
      <c r="AX191" s="73" t="s">
        <v>3088</v>
      </c>
      <c r="AY191" s="73" t="s">
        <v>3088</v>
      </c>
      <c r="AZ191" s="73" t="s">
        <v>3088</v>
      </c>
      <c r="BA191" s="73" t="s">
        <v>3088</v>
      </c>
      <c r="BB191" s="73" t="s">
        <v>3088</v>
      </c>
      <c r="BC191" s="73" t="s">
        <v>3088</v>
      </c>
      <c r="BD191" s="73" t="s">
        <v>3088</v>
      </c>
      <c r="BE191" s="73" t="s">
        <v>3088</v>
      </c>
      <c r="BF191" s="73" t="s">
        <v>3088</v>
      </c>
      <c r="BG191" s="73" t="s">
        <v>3088</v>
      </c>
      <c r="BH191" s="73" t="s">
        <v>3088</v>
      </c>
      <c r="BI191" s="73" t="s">
        <v>3088</v>
      </c>
      <c r="BJ191" s="73" t="s">
        <v>3088</v>
      </c>
      <c r="BK191" s="73" t="s">
        <v>3088</v>
      </c>
      <c r="BL191" s="73" t="s">
        <v>3088</v>
      </c>
      <c r="BM191" s="73" t="s">
        <v>3088</v>
      </c>
      <c r="BN191" s="73" t="s">
        <v>3088</v>
      </c>
      <c r="BO191" s="73" t="s">
        <v>3088</v>
      </c>
      <c r="BP191" s="73" t="s">
        <v>3088</v>
      </c>
      <c r="BQ191" s="73" t="s">
        <v>3490</v>
      </c>
      <c r="BR191" s="73" t="s">
        <v>3097</v>
      </c>
    </row>
    <row r="192" spans="1:70">
      <c r="A192" s="73" t="s">
        <v>1870</v>
      </c>
      <c r="B192" s="73" t="s">
        <v>3491</v>
      </c>
      <c r="C192" s="73" t="s">
        <v>2582</v>
      </c>
      <c r="D192" s="73" t="s">
        <v>3088</v>
      </c>
      <c r="E192" s="73" t="s">
        <v>3088</v>
      </c>
      <c r="F192" s="73" t="s">
        <v>3088</v>
      </c>
      <c r="G192" s="73" t="s">
        <v>3089</v>
      </c>
      <c r="H192" s="73" t="s">
        <v>3130</v>
      </c>
      <c r="I192" s="73" t="s">
        <v>3088</v>
      </c>
      <c r="J192" s="73" t="s">
        <v>3088</v>
      </c>
      <c r="K192" s="73" t="s">
        <v>3088</v>
      </c>
      <c r="L192" s="73" t="s">
        <v>3088</v>
      </c>
      <c r="M192" s="73" t="s">
        <v>3088</v>
      </c>
      <c r="N192" s="73" t="s">
        <v>3088</v>
      </c>
      <c r="O192" s="73" t="s">
        <v>3088</v>
      </c>
      <c r="P192" s="73" t="s">
        <v>3088</v>
      </c>
      <c r="Q192" s="73" t="s">
        <v>3088</v>
      </c>
      <c r="R192" s="73" t="s">
        <v>3088</v>
      </c>
      <c r="S192" s="73" t="s">
        <v>3088</v>
      </c>
      <c r="T192" s="73" t="s">
        <v>3088</v>
      </c>
      <c r="U192" s="73" t="s">
        <v>3088</v>
      </c>
      <c r="V192" s="73" t="s">
        <v>3088</v>
      </c>
      <c r="W192" s="73" t="s">
        <v>3088</v>
      </c>
      <c r="X192" s="73" t="s">
        <v>3088</v>
      </c>
      <c r="Y192" s="73" t="s">
        <v>3088</v>
      </c>
      <c r="Z192" s="73" t="s">
        <v>3088</v>
      </c>
      <c r="AA192" s="73" t="s">
        <v>3088</v>
      </c>
      <c r="AB192" s="73" t="s">
        <v>3088</v>
      </c>
      <c r="AC192" s="73" t="s">
        <v>3088</v>
      </c>
      <c r="AD192" s="73" t="s">
        <v>3088</v>
      </c>
      <c r="AE192" s="73" t="s">
        <v>3088</v>
      </c>
      <c r="AF192" s="73" t="s">
        <v>3088</v>
      </c>
      <c r="AG192" s="73" t="s">
        <v>3088</v>
      </c>
      <c r="AH192" s="73" t="s">
        <v>3088</v>
      </c>
      <c r="AI192" s="73" t="s">
        <v>3088</v>
      </c>
      <c r="AJ192" s="73" t="s">
        <v>3088</v>
      </c>
      <c r="AK192" s="73" t="s">
        <v>3088</v>
      </c>
      <c r="AL192" s="73" t="s">
        <v>3088</v>
      </c>
      <c r="AM192" s="73" t="s">
        <v>3088</v>
      </c>
      <c r="AN192" s="73" t="s">
        <v>3088</v>
      </c>
      <c r="AO192" s="73" t="s">
        <v>3088</v>
      </c>
      <c r="AP192" s="73" t="s">
        <v>3088</v>
      </c>
      <c r="AQ192" s="73" t="s">
        <v>3088</v>
      </c>
      <c r="AR192" s="73" t="s">
        <v>3088</v>
      </c>
      <c r="AS192" s="73" t="s">
        <v>3088</v>
      </c>
      <c r="AT192" s="73" t="s">
        <v>3088</v>
      </c>
      <c r="AU192" s="73" t="s">
        <v>3088</v>
      </c>
      <c r="AV192" s="73" t="s">
        <v>3088</v>
      </c>
      <c r="AW192" s="73" t="s">
        <v>3088</v>
      </c>
      <c r="AX192" s="73" t="s">
        <v>3088</v>
      </c>
      <c r="AY192" s="73" t="s">
        <v>3088</v>
      </c>
      <c r="AZ192" s="73" t="s">
        <v>3088</v>
      </c>
      <c r="BA192" s="73" t="s">
        <v>3088</v>
      </c>
      <c r="BB192" s="73" t="s">
        <v>3088</v>
      </c>
      <c r="BC192" s="73" t="s">
        <v>3088</v>
      </c>
      <c r="BD192" s="73" t="s">
        <v>3088</v>
      </c>
      <c r="BE192" s="73" t="s">
        <v>3088</v>
      </c>
      <c r="BF192" s="73" t="s">
        <v>3088</v>
      </c>
      <c r="BG192" s="73" t="s">
        <v>3088</v>
      </c>
      <c r="BH192" s="73" t="s">
        <v>3088</v>
      </c>
      <c r="BI192" s="73" t="s">
        <v>3088</v>
      </c>
      <c r="BJ192" s="73" t="s">
        <v>3088</v>
      </c>
      <c r="BK192" s="73" t="s">
        <v>3088</v>
      </c>
      <c r="BL192" s="73" t="s">
        <v>3088</v>
      </c>
      <c r="BM192" s="73" t="s">
        <v>3088</v>
      </c>
      <c r="BN192" s="73" t="s">
        <v>3088</v>
      </c>
      <c r="BO192" s="73" t="s">
        <v>3088</v>
      </c>
      <c r="BP192" s="73" t="s">
        <v>3088</v>
      </c>
      <c r="BQ192" s="73" t="s">
        <v>3492</v>
      </c>
      <c r="BR192" s="73" t="s">
        <v>3097</v>
      </c>
    </row>
    <row r="193" spans="1:70">
      <c r="A193" s="73" t="s">
        <v>1870</v>
      </c>
      <c r="B193" s="73" t="s">
        <v>3493</v>
      </c>
      <c r="C193" s="73" t="s">
        <v>2582</v>
      </c>
      <c r="D193" s="73" t="s">
        <v>3088</v>
      </c>
      <c r="E193" s="73" t="s">
        <v>3088</v>
      </c>
      <c r="F193" s="73" t="s">
        <v>3088</v>
      </c>
      <c r="G193" s="73" t="s">
        <v>3089</v>
      </c>
      <c r="H193" s="73" t="s">
        <v>3130</v>
      </c>
      <c r="I193" s="73" t="s">
        <v>3088</v>
      </c>
      <c r="J193" s="73" t="s">
        <v>3088</v>
      </c>
      <c r="K193" s="73" t="s">
        <v>3088</v>
      </c>
      <c r="L193" s="73" t="s">
        <v>3088</v>
      </c>
      <c r="M193" s="73" t="s">
        <v>3088</v>
      </c>
      <c r="N193" s="73" t="s">
        <v>3088</v>
      </c>
      <c r="O193" s="73" t="s">
        <v>3088</v>
      </c>
      <c r="P193" s="73" t="s">
        <v>3088</v>
      </c>
      <c r="Q193" s="73" t="s">
        <v>3088</v>
      </c>
      <c r="R193" s="73" t="s">
        <v>3088</v>
      </c>
      <c r="S193" s="73" t="s">
        <v>3088</v>
      </c>
      <c r="T193" s="73" t="s">
        <v>3088</v>
      </c>
      <c r="U193" s="73" t="s">
        <v>3088</v>
      </c>
      <c r="V193" s="73" t="s">
        <v>3088</v>
      </c>
      <c r="W193" s="73" t="s">
        <v>3088</v>
      </c>
      <c r="X193" s="73" t="s">
        <v>3088</v>
      </c>
      <c r="Y193" s="73" t="s">
        <v>3088</v>
      </c>
      <c r="Z193" s="73" t="s">
        <v>3088</v>
      </c>
      <c r="AA193" s="73" t="s">
        <v>3088</v>
      </c>
      <c r="AB193" s="73" t="s">
        <v>3088</v>
      </c>
      <c r="AC193" s="73" t="s">
        <v>3088</v>
      </c>
      <c r="AD193" s="73" t="s">
        <v>3088</v>
      </c>
      <c r="AE193" s="73" t="s">
        <v>3088</v>
      </c>
      <c r="AF193" s="73" t="s">
        <v>3088</v>
      </c>
      <c r="AG193" s="73" t="s">
        <v>3088</v>
      </c>
      <c r="AH193" s="73" t="s">
        <v>3088</v>
      </c>
      <c r="AI193" s="73" t="s">
        <v>3088</v>
      </c>
      <c r="AJ193" s="73" t="s">
        <v>3088</v>
      </c>
      <c r="AK193" s="73" t="s">
        <v>3088</v>
      </c>
      <c r="AL193" s="73" t="s">
        <v>3088</v>
      </c>
      <c r="AM193" s="73" t="s">
        <v>3088</v>
      </c>
      <c r="AN193" s="73" t="s">
        <v>3088</v>
      </c>
      <c r="AO193" s="73" t="s">
        <v>3088</v>
      </c>
      <c r="AP193" s="73" t="s">
        <v>3088</v>
      </c>
      <c r="AQ193" s="73" t="s">
        <v>3088</v>
      </c>
      <c r="AR193" s="73" t="s">
        <v>3088</v>
      </c>
      <c r="AS193" s="73" t="s">
        <v>3088</v>
      </c>
      <c r="AT193" s="73" t="s">
        <v>3088</v>
      </c>
      <c r="AU193" s="73" t="s">
        <v>3088</v>
      </c>
      <c r="AV193" s="73" t="s">
        <v>3088</v>
      </c>
      <c r="AW193" s="73" t="s">
        <v>3088</v>
      </c>
      <c r="AX193" s="73" t="s">
        <v>3088</v>
      </c>
      <c r="AY193" s="73" t="s">
        <v>3088</v>
      </c>
      <c r="AZ193" s="73" t="s">
        <v>3088</v>
      </c>
      <c r="BA193" s="73" t="s">
        <v>3088</v>
      </c>
      <c r="BB193" s="73" t="s">
        <v>3088</v>
      </c>
      <c r="BC193" s="73" t="s">
        <v>3088</v>
      </c>
      <c r="BD193" s="73" t="s">
        <v>3088</v>
      </c>
      <c r="BE193" s="73" t="s">
        <v>3088</v>
      </c>
      <c r="BF193" s="73" t="s">
        <v>3088</v>
      </c>
      <c r="BG193" s="73" t="s">
        <v>3088</v>
      </c>
      <c r="BH193" s="73" t="s">
        <v>3088</v>
      </c>
      <c r="BI193" s="73" t="s">
        <v>3088</v>
      </c>
      <c r="BJ193" s="73" t="s">
        <v>3088</v>
      </c>
      <c r="BK193" s="73" t="s">
        <v>3088</v>
      </c>
      <c r="BL193" s="73" t="s">
        <v>3088</v>
      </c>
      <c r="BM193" s="73" t="s">
        <v>3088</v>
      </c>
      <c r="BN193" s="73" t="s">
        <v>3088</v>
      </c>
      <c r="BO193" s="73" t="s">
        <v>3088</v>
      </c>
      <c r="BP193" s="73" t="s">
        <v>3088</v>
      </c>
      <c r="BQ193" s="73" t="s">
        <v>3494</v>
      </c>
      <c r="BR193" s="73" t="s">
        <v>3097</v>
      </c>
    </row>
    <row r="194" spans="1:70">
      <c r="A194" s="73" t="s">
        <v>1870</v>
      </c>
      <c r="B194" s="73" t="s">
        <v>3495</v>
      </c>
      <c r="C194" s="73" t="s">
        <v>2582</v>
      </c>
      <c r="D194" s="73" t="s">
        <v>3088</v>
      </c>
      <c r="E194" s="73" t="s">
        <v>3088</v>
      </c>
      <c r="F194" s="73" t="s">
        <v>3088</v>
      </c>
      <c r="G194" s="73" t="s">
        <v>3089</v>
      </c>
      <c r="H194" s="73" t="s">
        <v>3130</v>
      </c>
      <c r="I194" s="73" t="s">
        <v>3088</v>
      </c>
      <c r="J194" s="73" t="s">
        <v>3088</v>
      </c>
      <c r="K194" s="73" t="s">
        <v>3088</v>
      </c>
      <c r="L194" s="73" t="s">
        <v>3088</v>
      </c>
      <c r="M194" s="73" t="s">
        <v>3088</v>
      </c>
      <c r="N194" s="73" t="s">
        <v>3088</v>
      </c>
      <c r="O194" s="73" t="s">
        <v>3088</v>
      </c>
      <c r="P194" s="73" t="s">
        <v>3088</v>
      </c>
      <c r="Q194" s="73" t="s">
        <v>3088</v>
      </c>
      <c r="R194" s="73" t="s">
        <v>3088</v>
      </c>
      <c r="S194" s="73" t="s">
        <v>3088</v>
      </c>
      <c r="T194" s="73" t="s">
        <v>3088</v>
      </c>
      <c r="U194" s="73" t="s">
        <v>3088</v>
      </c>
      <c r="V194" s="73" t="s">
        <v>3088</v>
      </c>
      <c r="W194" s="73" t="s">
        <v>3088</v>
      </c>
      <c r="X194" s="73" t="s">
        <v>3088</v>
      </c>
      <c r="Y194" s="73" t="s">
        <v>3088</v>
      </c>
      <c r="Z194" s="73" t="s">
        <v>3088</v>
      </c>
      <c r="AA194" s="73" t="s">
        <v>3088</v>
      </c>
      <c r="AB194" s="73" t="s">
        <v>3088</v>
      </c>
      <c r="AC194" s="73" t="s">
        <v>3088</v>
      </c>
      <c r="AD194" s="73" t="s">
        <v>3088</v>
      </c>
      <c r="AE194" s="73" t="s">
        <v>3088</v>
      </c>
      <c r="AF194" s="73" t="s">
        <v>3088</v>
      </c>
      <c r="AG194" s="73" t="s">
        <v>3088</v>
      </c>
      <c r="AH194" s="73" t="s">
        <v>3088</v>
      </c>
      <c r="AI194" s="73" t="s">
        <v>3088</v>
      </c>
      <c r="AJ194" s="73" t="s">
        <v>3088</v>
      </c>
      <c r="AK194" s="73" t="s">
        <v>3088</v>
      </c>
      <c r="AL194" s="73" t="s">
        <v>3088</v>
      </c>
      <c r="AM194" s="73" t="s">
        <v>3088</v>
      </c>
      <c r="AN194" s="73" t="s">
        <v>3088</v>
      </c>
      <c r="AO194" s="73" t="s">
        <v>3088</v>
      </c>
      <c r="AP194" s="73" t="s">
        <v>3088</v>
      </c>
      <c r="AQ194" s="73" t="s">
        <v>3088</v>
      </c>
      <c r="AR194" s="73" t="s">
        <v>3088</v>
      </c>
      <c r="AS194" s="73" t="s">
        <v>3088</v>
      </c>
      <c r="AT194" s="73" t="s">
        <v>3088</v>
      </c>
      <c r="AU194" s="73" t="s">
        <v>3088</v>
      </c>
      <c r="AV194" s="73" t="s">
        <v>3088</v>
      </c>
      <c r="AW194" s="73" t="s">
        <v>3088</v>
      </c>
      <c r="AX194" s="73" t="s">
        <v>3088</v>
      </c>
      <c r="AY194" s="73" t="s">
        <v>3088</v>
      </c>
      <c r="AZ194" s="73" t="s">
        <v>3088</v>
      </c>
      <c r="BA194" s="73" t="s">
        <v>3088</v>
      </c>
      <c r="BB194" s="73" t="s">
        <v>3088</v>
      </c>
      <c r="BC194" s="73" t="s">
        <v>3088</v>
      </c>
      <c r="BD194" s="73" t="s">
        <v>3088</v>
      </c>
      <c r="BE194" s="73" t="s">
        <v>3088</v>
      </c>
      <c r="BF194" s="73" t="s">
        <v>3088</v>
      </c>
      <c r="BG194" s="73" t="s">
        <v>3088</v>
      </c>
      <c r="BH194" s="73" t="s">
        <v>3088</v>
      </c>
      <c r="BI194" s="73" t="s">
        <v>3088</v>
      </c>
      <c r="BJ194" s="73" t="s">
        <v>3088</v>
      </c>
      <c r="BK194" s="73" t="s">
        <v>3088</v>
      </c>
      <c r="BL194" s="73" t="s">
        <v>3088</v>
      </c>
      <c r="BM194" s="73" t="s">
        <v>3088</v>
      </c>
      <c r="BN194" s="73" t="s">
        <v>3088</v>
      </c>
      <c r="BO194" s="73" t="s">
        <v>3088</v>
      </c>
      <c r="BP194" s="73" t="s">
        <v>3088</v>
      </c>
      <c r="BQ194" s="73" t="s">
        <v>3496</v>
      </c>
      <c r="BR194" s="73" t="s">
        <v>3097</v>
      </c>
    </row>
    <row r="195" spans="1:70">
      <c r="A195" s="73" t="s">
        <v>1870</v>
      </c>
      <c r="B195" s="73" t="s">
        <v>3497</v>
      </c>
      <c r="C195" s="73" t="s">
        <v>2582</v>
      </c>
      <c r="D195" s="73" t="s">
        <v>3088</v>
      </c>
      <c r="E195" s="73" t="s">
        <v>3088</v>
      </c>
      <c r="F195" s="73" t="s">
        <v>3088</v>
      </c>
      <c r="G195" s="73" t="s">
        <v>3089</v>
      </c>
      <c r="H195" s="73" t="s">
        <v>3130</v>
      </c>
      <c r="I195" s="73" t="s">
        <v>3088</v>
      </c>
      <c r="J195" s="73" t="s">
        <v>3088</v>
      </c>
      <c r="K195" s="73" t="s">
        <v>3088</v>
      </c>
      <c r="L195" s="73" t="s">
        <v>3088</v>
      </c>
      <c r="M195" s="73" t="s">
        <v>3088</v>
      </c>
      <c r="N195" s="73" t="s">
        <v>3088</v>
      </c>
      <c r="O195" s="73" t="s">
        <v>3088</v>
      </c>
      <c r="P195" s="73" t="s">
        <v>3088</v>
      </c>
      <c r="Q195" s="73" t="s">
        <v>3088</v>
      </c>
      <c r="R195" s="73" t="s">
        <v>3088</v>
      </c>
      <c r="S195" s="73" t="s">
        <v>3088</v>
      </c>
      <c r="T195" s="73" t="s">
        <v>3088</v>
      </c>
      <c r="U195" s="73" t="s">
        <v>3088</v>
      </c>
      <c r="V195" s="73" t="s">
        <v>3088</v>
      </c>
      <c r="W195" s="73" t="s">
        <v>3088</v>
      </c>
      <c r="X195" s="73" t="s">
        <v>3088</v>
      </c>
      <c r="Y195" s="73" t="s">
        <v>3088</v>
      </c>
      <c r="Z195" s="73" t="s">
        <v>3088</v>
      </c>
      <c r="AA195" s="73" t="s">
        <v>3088</v>
      </c>
      <c r="AB195" s="73" t="s">
        <v>3088</v>
      </c>
      <c r="AC195" s="73" t="s">
        <v>3088</v>
      </c>
      <c r="AD195" s="73" t="s">
        <v>3088</v>
      </c>
      <c r="AE195" s="73" t="s">
        <v>3088</v>
      </c>
      <c r="AF195" s="73" t="s">
        <v>3088</v>
      </c>
      <c r="AG195" s="73" t="s">
        <v>3088</v>
      </c>
      <c r="AH195" s="73" t="s">
        <v>3088</v>
      </c>
      <c r="AI195" s="73" t="s">
        <v>3088</v>
      </c>
      <c r="AJ195" s="73" t="s">
        <v>3088</v>
      </c>
      <c r="AK195" s="73" t="s">
        <v>3088</v>
      </c>
      <c r="AL195" s="73" t="s">
        <v>3088</v>
      </c>
      <c r="AM195" s="73" t="s">
        <v>3088</v>
      </c>
      <c r="AN195" s="73" t="s">
        <v>3088</v>
      </c>
      <c r="AO195" s="73" t="s">
        <v>3088</v>
      </c>
      <c r="AP195" s="73" t="s">
        <v>3088</v>
      </c>
      <c r="AQ195" s="73" t="s">
        <v>3088</v>
      </c>
      <c r="AR195" s="73" t="s">
        <v>3088</v>
      </c>
      <c r="AS195" s="73" t="s">
        <v>3088</v>
      </c>
      <c r="AT195" s="73" t="s">
        <v>3088</v>
      </c>
      <c r="AU195" s="73" t="s">
        <v>3088</v>
      </c>
      <c r="AV195" s="73" t="s">
        <v>3088</v>
      </c>
      <c r="AW195" s="73" t="s">
        <v>3088</v>
      </c>
      <c r="AX195" s="73" t="s">
        <v>3088</v>
      </c>
      <c r="AY195" s="73" t="s">
        <v>3088</v>
      </c>
      <c r="AZ195" s="73" t="s">
        <v>3088</v>
      </c>
      <c r="BA195" s="73" t="s">
        <v>3088</v>
      </c>
      <c r="BB195" s="73" t="s">
        <v>3088</v>
      </c>
      <c r="BC195" s="73" t="s">
        <v>3088</v>
      </c>
      <c r="BD195" s="73" t="s">
        <v>3088</v>
      </c>
      <c r="BE195" s="73" t="s">
        <v>3088</v>
      </c>
      <c r="BF195" s="73" t="s">
        <v>3088</v>
      </c>
      <c r="BG195" s="73" t="s">
        <v>3088</v>
      </c>
      <c r="BH195" s="73" t="s">
        <v>3088</v>
      </c>
      <c r="BI195" s="73" t="s">
        <v>3088</v>
      </c>
      <c r="BJ195" s="73" t="s">
        <v>3088</v>
      </c>
      <c r="BK195" s="73" t="s">
        <v>3088</v>
      </c>
      <c r="BL195" s="73" t="s">
        <v>3088</v>
      </c>
      <c r="BM195" s="73" t="s">
        <v>3088</v>
      </c>
      <c r="BN195" s="73" t="s">
        <v>3088</v>
      </c>
      <c r="BO195" s="73" t="s">
        <v>3088</v>
      </c>
      <c r="BP195" s="73" t="s">
        <v>3088</v>
      </c>
      <c r="BQ195" s="73" t="s">
        <v>3498</v>
      </c>
      <c r="BR195" s="73" t="s">
        <v>3097</v>
      </c>
    </row>
    <row r="196" spans="1:70">
      <c r="A196" s="73" t="s">
        <v>1870</v>
      </c>
      <c r="B196" s="73" t="s">
        <v>3499</v>
      </c>
      <c r="C196" s="73" t="s">
        <v>2582</v>
      </c>
      <c r="D196" s="73" t="s">
        <v>3088</v>
      </c>
      <c r="E196" s="73" t="s">
        <v>3088</v>
      </c>
      <c r="F196" s="73" t="s">
        <v>3088</v>
      </c>
      <c r="G196" s="73" t="s">
        <v>3089</v>
      </c>
      <c r="H196" s="73" t="s">
        <v>3130</v>
      </c>
      <c r="I196" s="73" t="s">
        <v>3088</v>
      </c>
      <c r="J196" s="73" t="s">
        <v>3088</v>
      </c>
      <c r="K196" s="73" t="s">
        <v>3088</v>
      </c>
      <c r="L196" s="73" t="s">
        <v>3088</v>
      </c>
      <c r="M196" s="73" t="s">
        <v>3088</v>
      </c>
      <c r="N196" s="73" t="s">
        <v>3088</v>
      </c>
      <c r="O196" s="73" t="s">
        <v>3088</v>
      </c>
      <c r="P196" s="73" t="s">
        <v>3088</v>
      </c>
      <c r="Q196" s="73" t="s">
        <v>3088</v>
      </c>
      <c r="R196" s="73" t="s">
        <v>3088</v>
      </c>
      <c r="S196" s="73" t="s">
        <v>3088</v>
      </c>
      <c r="T196" s="73" t="s">
        <v>3088</v>
      </c>
      <c r="U196" s="73" t="s">
        <v>3088</v>
      </c>
      <c r="V196" s="73" t="s">
        <v>3088</v>
      </c>
      <c r="W196" s="73" t="s">
        <v>3088</v>
      </c>
      <c r="X196" s="73" t="s">
        <v>3088</v>
      </c>
      <c r="Y196" s="73" t="s">
        <v>3088</v>
      </c>
      <c r="Z196" s="73" t="s">
        <v>3088</v>
      </c>
      <c r="AA196" s="73" t="s">
        <v>3088</v>
      </c>
      <c r="AB196" s="73" t="s">
        <v>3088</v>
      </c>
      <c r="AC196" s="73" t="s">
        <v>3088</v>
      </c>
      <c r="AD196" s="73" t="s">
        <v>3088</v>
      </c>
      <c r="AE196" s="73" t="s">
        <v>3088</v>
      </c>
      <c r="AF196" s="73" t="s">
        <v>3088</v>
      </c>
      <c r="AG196" s="73" t="s">
        <v>3088</v>
      </c>
      <c r="AH196" s="73" t="s">
        <v>3088</v>
      </c>
      <c r="AI196" s="73" t="s">
        <v>3088</v>
      </c>
      <c r="AJ196" s="73" t="s">
        <v>3088</v>
      </c>
      <c r="AK196" s="73" t="s">
        <v>3088</v>
      </c>
      <c r="AL196" s="73" t="s">
        <v>3088</v>
      </c>
      <c r="AM196" s="73" t="s">
        <v>3088</v>
      </c>
      <c r="AN196" s="73" t="s">
        <v>3088</v>
      </c>
      <c r="AO196" s="73" t="s">
        <v>3088</v>
      </c>
      <c r="AP196" s="73" t="s">
        <v>3088</v>
      </c>
      <c r="AQ196" s="73" t="s">
        <v>3088</v>
      </c>
      <c r="AR196" s="73" t="s">
        <v>3088</v>
      </c>
      <c r="AS196" s="73" t="s">
        <v>3088</v>
      </c>
      <c r="AT196" s="73" t="s">
        <v>3088</v>
      </c>
      <c r="AU196" s="73" t="s">
        <v>3088</v>
      </c>
      <c r="AV196" s="73" t="s">
        <v>3088</v>
      </c>
      <c r="AW196" s="73" t="s">
        <v>3088</v>
      </c>
      <c r="AX196" s="73" t="s">
        <v>3088</v>
      </c>
      <c r="AY196" s="73" t="s">
        <v>3088</v>
      </c>
      <c r="AZ196" s="73" t="s">
        <v>3088</v>
      </c>
      <c r="BA196" s="73" t="s">
        <v>3088</v>
      </c>
      <c r="BB196" s="73" t="s">
        <v>3088</v>
      </c>
      <c r="BC196" s="73" t="s">
        <v>3088</v>
      </c>
      <c r="BD196" s="73" t="s">
        <v>3088</v>
      </c>
      <c r="BE196" s="73" t="s">
        <v>3088</v>
      </c>
      <c r="BF196" s="73" t="s">
        <v>3088</v>
      </c>
      <c r="BG196" s="73" t="s">
        <v>3088</v>
      </c>
      <c r="BH196" s="73" t="s">
        <v>3088</v>
      </c>
      <c r="BI196" s="73" t="s">
        <v>3088</v>
      </c>
      <c r="BJ196" s="73" t="s">
        <v>3088</v>
      </c>
      <c r="BK196" s="73" t="s">
        <v>3088</v>
      </c>
      <c r="BL196" s="73" t="s">
        <v>3088</v>
      </c>
      <c r="BM196" s="73" t="s">
        <v>3088</v>
      </c>
      <c r="BN196" s="73" t="s">
        <v>3088</v>
      </c>
      <c r="BO196" s="73" t="s">
        <v>3088</v>
      </c>
      <c r="BP196" s="73" t="s">
        <v>3088</v>
      </c>
      <c r="BQ196" s="73" t="s">
        <v>3500</v>
      </c>
      <c r="BR196" s="73" t="s">
        <v>3097</v>
      </c>
    </row>
    <row r="197" spans="1:70">
      <c r="A197" s="73" t="s">
        <v>1870</v>
      </c>
      <c r="B197" s="73" t="s">
        <v>2701</v>
      </c>
      <c r="C197" s="73" t="s">
        <v>2559</v>
      </c>
      <c r="D197" s="73" t="s">
        <v>3088</v>
      </c>
      <c r="E197" s="73" t="s">
        <v>3088</v>
      </c>
      <c r="F197" s="73" t="s">
        <v>3088</v>
      </c>
      <c r="G197" s="73" t="s">
        <v>3089</v>
      </c>
      <c r="H197" s="73" t="s">
        <v>3088</v>
      </c>
      <c r="I197" s="73" t="s">
        <v>2193</v>
      </c>
      <c r="J197" s="73" t="s">
        <v>2702</v>
      </c>
      <c r="K197" s="73" t="s">
        <v>3095</v>
      </c>
      <c r="L197" s="73" t="s">
        <v>3088</v>
      </c>
      <c r="M197" s="73" t="s">
        <v>3088</v>
      </c>
      <c r="N197" s="73" t="s">
        <v>3088</v>
      </c>
      <c r="O197" s="73" t="s">
        <v>3088</v>
      </c>
      <c r="P197" s="73" t="s">
        <v>3088</v>
      </c>
      <c r="Q197" s="73" t="s">
        <v>3088</v>
      </c>
      <c r="R197" s="73" t="s">
        <v>3088</v>
      </c>
      <c r="S197" s="73" t="s">
        <v>3088</v>
      </c>
      <c r="T197" s="73" t="s">
        <v>3088</v>
      </c>
      <c r="U197" s="73" t="s">
        <v>3088</v>
      </c>
      <c r="V197" s="73" t="s">
        <v>3088</v>
      </c>
      <c r="W197" s="73" t="s">
        <v>3088</v>
      </c>
      <c r="X197" s="73" t="s">
        <v>3088</v>
      </c>
      <c r="Y197" s="73" t="s">
        <v>3088</v>
      </c>
      <c r="Z197" s="73" t="s">
        <v>3088</v>
      </c>
      <c r="AA197" s="73" t="s">
        <v>3088</v>
      </c>
      <c r="AB197" s="73" t="s">
        <v>3088</v>
      </c>
      <c r="AC197" s="73" t="s">
        <v>3088</v>
      </c>
      <c r="AD197" s="73" t="s">
        <v>3088</v>
      </c>
      <c r="AE197" s="73" t="s">
        <v>3088</v>
      </c>
      <c r="AF197" s="73" t="s">
        <v>3088</v>
      </c>
      <c r="AG197" s="73" t="s">
        <v>3088</v>
      </c>
      <c r="AH197" s="73" t="s">
        <v>3088</v>
      </c>
      <c r="AI197" s="73" t="s">
        <v>3088</v>
      </c>
      <c r="AJ197" s="73" t="s">
        <v>3088</v>
      </c>
      <c r="AK197" s="73" t="s">
        <v>3088</v>
      </c>
      <c r="AL197" s="73" t="s">
        <v>3088</v>
      </c>
      <c r="AM197" s="73" t="s">
        <v>3088</v>
      </c>
      <c r="AN197" s="73" t="s">
        <v>3088</v>
      </c>
      <c r="AO197" s="73" t="s">
        <v>3088</v>
      </c>
      <c r="AP197" s="73" t="s">
        <v>3088</v>
      </c>
      <c r="AQ197" s="73" t="s">
        <v>3088</v>
      </c>
      <c r="AR197" s="73" t="s">
        <v>3088</v>
      </c>
      <c r="AS197" s="73" t="s">
        <v>3088</v>
      </c>
      <c r="AT197" s="73" t="s">
        <v>3088</v>
      </c>
      <c r="AU197" s="73" t="s">
        <v>3088</v>
      </c>
      <c r="AV197" s="73" t="s">
        <v>3088</v>
      </c>
      <c r="AW197" s="73" t="s">
        <v>3088</v>
      </c>
      <c r="AX197" s="73" t="s">
        <v>3088</v>
      </c>
      <c r="AY197" s="73" t="s">
        <v>3088</v>
      </c>
      <c r="AZ197" s="73" t="s">
        <v>3088</v>
      </c>
      <c r="BA197" s="73" t="s">
        <v>3088</v>
      </c>
      <c r="BB197" s="73" t="s">
        <v>3088</v>
      </c>
      <c r="BC197" s="73" t="s">
        <v>3088</v>
      </c>
      <c r="BD197" s="73" t="s">
        <v>3088</v>
      </c>
      <c r="BE197" s="73" t="s">
        <v>3088</v>
      </c>
      <c r="BF197" s="73" t="s">
        <v>3088</v>
      </c>
      <c r="BG197" s="73" t="s">
        <v>3088</v>
      </c>
      <c r="BH197" s="73" t="s">
        <v>3088</v>
      </c>
      <c r="BI197" s="73" t="s">
        <v>3088</v>
      </c>
      <c r="BJ197" s="73" t="s">
        <v>3088</v>
      </c>
      <c r="BK197" s="73" t="s">
        <v>3088</v>
      </c>
      <c r="BL197" s="73" t="s">
        <v>3088</v>
      </c>
      <c r="BM197" s="73" t="s">
        <v>3088</v>
      </c>
      <c r="BN197" s="73" t="s">
        <v>3088</v>
      </c>
      <c r="BO197" s="73" t="s">
        <v>3088</v>
      </c>
      <c r="BP197" s="73" t="s">
        <v>3088</v>
      </c>
      <c r="BQ197" s="73" t="s">
        <v>3501</v>
      </c>
      <c r="BR197" s="73" t="s">
        <v>3097</v>
      </c>
    </row>
    <row r="198" spans="1:70">
      <c r="A198" s="73" t="s">
        <v>1870</v>
      </c>
      <c r="B198" s="73" t="s">
        <v>2703</v>
      </c>
      <c r="C198" s="73" t="s">
        <v>2554</v>
      </c>
      <c r="D198" s="73" t="s">
        <v>3088</v>
      </c>
      <c r="E198" s="73" t="s">
        <v>3088</v>
      </c>
      <c r="F198" s="73" t="s">
        <v>3088</v>
      </c>
      <c r="G198" s="73" t="s">
        <v>3089</v>
      </c>
      <c r="H198" s="73" t="s">
        <v>3088</v>
      </c>
      <c r="I198" s="73" t="s">
        <v>2193</v>
      </c>
      <c r="J198" s="73" t="s">
        <v>2704</v>
      </c>
      <c r="K198" s="73" t="s">
        <v>3089</v>
      </c>
      <c r="L198" s="73" t="s">
        <v>3088</v>
      </c>
      <c r="M198" s="73" t="s">
        <v>3088</v>
      </c>
      <c r="N198" s="73" t="s">
        <v>3088</v>
      </c>
      <c r="O198" s="73" t="s">
        <v>3088</v>
      </c>
      <c r="P198" s="73" t="s">
        <v>3088</v>
      </c>
      <c r="Q198" s="73" t="s">
        <v>3088</v>
      </c>
      <c r="R198" s="73" t="s">
        <v>3088</v>
      </c>
      <c r="S198" s="73" t="s">
        <v>3088</v>
      </c>
      <c r="T198" s="73" t="s">
        <v>3088</v>
      </c>
      <c r="U198" s="73" t="s">
        <v>3088</v>
      </c>
      <c r="V198" s="73" t="s">
        <v>3088</v>
      </c>
      <c r="W198" s="73" t="s">
        <v>3088</v>
      </c>
      <c r="X198" s="73" t="s">
        <v>3088</v>
      </c>
      <c r="Y198" s="73" t="s">
        <v>3088</v>
      </c>
      <c r="Z198" s="73" t="s">
        <v>3088</v>
      </c>
      <c r="AA198" s="73" t="s">
        <v>3088</v>
      </c>
      <c r="AB198" s="73" t="s">
        <v>3088</v>
      </c>
      <c r="AC198" s="73" t="s">
        <v>3088</v>
      </c>
      <c r="AD198" s="73" t="s">
        <v>3088</v>
      </c>
      <c r="AE198" s="73" t="s">
        <v>3088</v>
      </c>
      <c r="AF198" s="73" t="s">
        <v>3088</v>
      </c>
      <c r="AG198" s="73" t="s">
        <v>3088</v>
      </c>
      <c r="AH198" s="73" t="s">
        <v>3088</v>
      </c>
      <c r="AI198" s="73" t="s">
        <v>3088</v>
      </c>
      <c r="AJ198" s="73" t="s">
        <v>3088</v>
      </c>
      <c r="AK198" s="73" t="s">
        <v>3088</v>
      </c>
      <c r="AL198" s="73" t="s">
        <v>3088</v>
      </c>
      <c r="AM198" s="73" t="s">
        <v>3088</v>
      </c>
      <c r="AN198" s="73" t="s">
        <v>3088</v>
      </c>
      <c r="AO198" s="73" t="s">
        <v>3088</v>
      </c>
      <c r="AP198" s="73" t="s">
        <v>3088</v>
      </c>
      <c r="AQ198" s="73" t="s">
        <v>3088</v>
      </c>
      <c r="AR198" s="73" t="s">
        <v>3088</v>
      </c>
      <c r="AS198" s="73" t="s">
        <v>3088</v>
      </c>
      <c r="AT198" s="73" t="s">
        <v>3088</v>
      </c>
      <c r="AU198" s="73" t="s">
        <v>3088</v>
      </c>
      <c r="AV198" s="73" t="s">
        <v>3088</v>
      </c>
      <c r="AW198" s="73" t="s">
        <v>3088</v>
      </c>
      <c r="AX198" s="73" t="s">
        <v>3088</v>
      </c>
      <c r="AY198" s="73" t="s">
        <v>3088</v>
      </c>
      <c r="AZ198" s="73" t="s">
        <v>3088</v>
      </c>
      <c r="BA198" s="73" t="s">
        <v>3088</v>
      </c>
      <c r="BB198" s="73" t="s">
        <v>3088</v>
      </c>
      <c r="BC198" s="73" t="s">
        <v>3088</v>
      </c>
      <c r="BD198" s="73" t="s">
        <v>3088</v>
      </c>
      <c r="BE198" s="73" t="s">
        <v>3088</v>
      </c>
      <c r="BF198" s="73" t="s">
        <v>3088</v>
      </c>
      <c r="BG198" s="73" t="s">
        <v>3088</v>
      </c>
      <c r="BH198" s="73" t="s">
        <v>3088</v>
      </c>
      <c r="BI198" s="73" t="s">
        <v>3088</v>
      </c>
      <c r="BJ198" s="73" t="s">
        <v>3088</v>
      </c>
      <c r="BK198" s="73" t="s">
        <v>3088</v>
      </c>
      <c r="BL198" s="73" t="s">
        <v>3088</v>
      </c>
      <c r="BM198" s="73" t="s">
        <v>3088</v>
      </c>
      <c r="BN198" s="73" t="s">
        <v>3088</v>
      </c>
      <c r="BO198" s="73" t="s">
        <v>3088</v>
      </c>
      <c r="BP198" s="73" t="s">
        <v>3088</v>
      </c>
      <c r="BQ198" s="73" t="s">
        <v>3502</v>
      </c>
      <c r="BR198" s="73" t="s">
        <v>3088</v>
      </c>
    </row>
    <row r="199" spans="1:70">
      <c r="A199" s="73" t="s">
        <v>1870</v>
      </c>
      <c r="B199" s="73" t="s">
        <v>2884</v>
      </c>
      <c r="C199" s="73" t="s">
        <v>2591</v>
      </c>
      <c r="D199" s="73" t="s">
        <v>3088</v>
      </c>
      <c r="E199" s="73" t="s">
        <v>3088</v>
      </c>
      <c r="F199" s="73" t="s">
        <v>3088</v>
      </c>
      <c r="G199" s="73" t="s">
        <v>3089</v>
      </c>
      <c r="H199" s="73" t="s">
        <v>3088</v>
      </c>
      <c r="I199" s="73" t="s">
        <v>543</v>
      </c>
      <c r="J199" s="73" t="s">
        <v>2885</v>
      </c>
      <c r="K199" s="73" t="s">
        <v>3089</v>
      </c>
      <c r="L199" s="73" t="s">
        <v>3088</v>
      </c>
      <c r="M199" s="73" t="s">
        <v>3088</v>
      </c>
      <c r="N199" s="73" t="s">
        <v>3088</v>
      </c>
      <c r="O199" s="73" t="s">
        <v>3088</v>
      </c>
      <c r="P199" s="73" t="s">
        <v>3088</v>
      </c>
      <c r="Q199" s="73" t="s">
        <v>3088</v>
      </c>
      <c r="R199" s="73" t="s">
        <v>3088</v>
      </c>
      <c r="S199" s="73" t="s">
        <v>3088</v>
      </c>
      <c r="T199" s="73" t="s">
        <v>3088</v>
      </c>
      <c r="U199" s="73" t="s">
        <v>3088</v>
      </c>
      <c r="V199" s="73" t="s">
        <v>3088</v>
      </c>
      <c r="W199" s="73" t="s">
        <v>3088</v>
      </c>
      <c r="X199" s="73" t="s">
        <v>3088</v>
      </c>
      <c r="Y199" s="73" t="s">
        <v>3088</v>
      </c>
      <c r="Z199" s="73" t="s">
        <v>3088</v>
      </c>
      <c r="AA199" s="73" t="s">
        <v>3088</v>
      </c>
      <c r="AB199" s="73" t="s">
        <v>3088</v>
      </c>
      <c r="AC199" s="73" t="s">
        <v>3088</v>
      </c>
      <c r="AD199" s="73" t="s">
        <v>3088</v>
      </c>
      <c r="AE199" s="73" t="s">
        <v>3088</v>
      </c>
      <c r="AF199" s="73" t="s">
        <v>3088</v>
      </c>
      <c r="AG199" s="73" t="s">
        <v>3088</v>
      </c>
      <c r="AH199" s="73" t="s">
        <v>3088</v>
      </c>
      <c r="AI199" s="73" t="s">
        <v>3088</v>
      </c>
      <c r="AJ199" s="73" t="s">
        <v>3088</v>
      </c>
      <c r="AK199" s="73" t="s">
        <v>3088</v>
      </c>
      <c r="AL199" s="73" t="s">
        <v>3088</v>
      </c>
      <c r="AM199" s="73" t="s">
        <v>3088</v>
      </c>
      <c r="AN199" s="73" t="s">
        <v>3088</v>
      </c>
      <c r="AO199" s="73" t="s">
        <v>3088</v>
      </c>
      <c r="AP199" s="73" t="s">
        <v>3088</v>
      </c>
      <c r="AQ199" s="73" t="s">
        <v>3088</v>
      </c>
      <c r="AR199" s="73" t="s">
        <v>3088</v>
      </c>
      <c r="AS199" s="73" t="s">
        <v>3088</v>
      </c>
      <c r="AT199" s="73" t="s">
        <v>3088</v>
      </c>
      <c r="AU199" s="73" t="s">
        <v>3088</v>
      </c>
      <c r="AV199" s="73" t="s">
        <v>3088</v>
      </c>
      <c r="AW199" s="73" t="s">
        <v>3088</v>
      </c>
      <c r="AX199" s="73" t="s">
        <v>3088</v>
      </c>
      <c r="AY199" s="73" t="s">
        <v>3088</v>
      </c>
      <c r="AZ199" s="73" t="s">
        <v>3088</v>
      </c>
      <c r="BA199" s="73" t="s">
        <v>3088</v>
      </c>
      <c r="BB199" s="73" t="s">
        <v>3088</v>
      </c>
      <c r="BC199" s="73" t="s">
        <v>3088</v>
      </c>
      <c r="BD199" s="73" t="s">
        <v>3088</v>
      </c>
      <c r="BE199" s="73" t="s">
        <v>3088</v>
      </c>
      <c r="BF199" s="73" t="s">
        <v>3088</v>
      </c>
      <c r="BG199" s="73" t="s">
        <v>3088</v>
      </c>
      <c r="BH199" s="73" t="s">
        <v>3088</v>
      </c>
      <c r="BI199" s="73" t="s">
        <v>3088</v>
      </c>
      <c r="BJ199" s="73" t="s">
        <v>3088</v>
      </c>
      <c r="BK199" s="73" t="s">
        <v>3088</v>
      </c>
      <c r="BL199" s="73" t="s">
        <v>3088</v>
      </c>
      <c r="BM199" s="73" t="s">
        <v>3088</v>
      </c>
      <c r="BN199" s="73" t="s">
        <v>3088</v>
      </c>
      <c r="BO199" s="73" t="s">
        <v>3088</v>
      </c>
      <c r="BP199" s="73" t="s">
        <v>3088</v>
      </c>
      <c r="BQ199" s="73" t="s">
        <v>3503</v>
      </c>
      <c r="BR199" s="73" t="s">
        <v>3088</v>
      </c>
    </row>
    <row r="200" spans="1:70">
      <c r="A200" s="73" t="s">
        <v>1870</v>
      </c>
      <c r="B200" s="73" t="s">
        <v>2705</v>
      </c>
      <c r="C200" s="73" t="s">
        <v>2554</v>
      </c>
      <c r="D200" s="73" t="s">
        <v>3088</v>
      </c>
      <c r="E200" s="73" t="s">
        <v>3088</v>
      </c>
      <c r="F200" s="73" t="s">
        <v>3088</v>
      </c>
      <c r="G200" s="73" t="s">
        <v>3089</v>
      </c>
      <c r="H200" s="73" t="s">
        <v>3088</v>
      </c>
      <c r="I200" s="73" t="s">
        <v>2338</v>
      </c>
      <c r="J200" s="73" t="s">
        <v>3088</v>
      </c>
      <c r="K200" s="73" t="s">
        <v>3088</v>
      </c>
      <c r="L200" s="73" t="s">
        <v>3088</v>
      </c>
      <c r="M200" s="73" t="s">
        <v>3088</v>
      </c>
      <c r="N200" s="73" t="s">
        <v>3088</v>
      </c>
      <c r="O200" s="73" t="s">
        <v>3088</v>
      </c>
      <c r="P200" s="73" t="s">
        <v>3088</v>
      </c>
      <c r="Q200" s="73" t="s">
        <v>3088</v>
      </c>
      <c r="R200" s="73" t="s">
        <v>3088</v>
      </c>
      <c r="S200" s="73" t="s">
        <v>3088</v>
      </c>
      <c r="T200" s="73" t="s">
        <v>3088</v>
      </c>
      <c r="U200" s="73" t="s">
        <v>3088</v>
      </c>
      <c r="V200" s="73" t="s">
        <v>3088</v>
      </c>
      <c r="W200" s="73" t="s">
        <v>3088</v>
      </c>
      <c r="X200" s="73" t="s">
        <v>3088</v>
      </c>
      <c r="Y200" s="73" t="s">
        <v>3088</v>
      </c>
      <c r="Z200" s="73" t="s">
        <v>3088</v>
      </c>
      <c r="AA200" s="73" t="s">
        <v>3088</v>
      </c>
      <c r="AB200" s="73" t="s">
        <v>3088</v>
      </c>
      <c r="AC200" s="73" t="s">
        <v>3088</v>
      </c>
      <c r="AD200" s="73" t="s">
        <v>3088</v>
      </c>
      <c r="AE200" s="73" t="s">
        <v>3088</v>
      </c>
      <c r="AF200" s="73" t="s">
        <v>3088</v>
      </c>
      <c r="AG200" s="73" t="s">
        <v>3088</v>
      </c>
      <c r="AH200" s="73" t="s">
        <v>3088</v>
      </c>
      <c r="AI200" s="73" t="s">
        <v>3088</v>
      </c>
      <c r="AJ200" s="73" t="s">
        <v>3088</v>
      </c>
      <c r="AK200" s="73" t="s">
        <v>3088</v>
      </c>
      <c r="AL200" s="73" t="s">
        <v>3088</v>
      </c>
      <c r="AM200" s="73" t="s">
        <v>3088</v>
      </c>
      <c r="AN200" s="73" t="s">
        <v>3088</v>
      </c>
      <c r="AO200" s="73" t="s">
        <v>3088</v>
      </c>
      <c r="AP200" s="73" t="s">
        <v>3088</v>
      </c>
      <c r="AQ200" s="73" t="s">
        <v>3088</v>
      </c>
      <c r="AR200" s="73" t="s">
        <v>3088</v>
      </c>
      <c r="AS200" s="73" t="s">
        <v>3088</v>
      </c>
      <c r="AT200" s="73" t="s">
        <v>3088</v>
      </c>
      <c r="AU200" s="73" t="s">
        <v>3088</v>
      </c>
      <c r="AV200" s="73" t="s">
        <v>3088</v>
      </c>
      <c r="AW200" s="73" t="s">
        <v>3088</v>
      </c>
      <c r="AX200" s="73" t="s">
        <v>3088</v>
      </c>
      <c r="AY200" s="73" t="s">
        <v>3088</v>
      </c>
      <c r="AZ200" s="73" t="s">
        <v>3088</v>
      </c>
      <c r="BA200" s="73" t="s">
        <v>3088</v>
      </c>
      <c r="BB200" s="73" t="s">
        <v>3088</v>
      </c>
      <c r="BC200" s="73" t="s">
        <v>3088</v>
      </c>
      <c r="BD200" s="73" t="s">
        <v>3088</v>
      </c>
      <c r="BE200" s="73" t="s">
        <v>3088</v>
      </c>
      <c r="BF200" s="73" t="s">
        <v>3088</v>
      </c>
      <c r="BG200" s="73" t="s">
        <v>3088</v>
      </c>
      <c r="BH200" s="73" t="s">
        <v>3088</v>
      </c>
      <c r="BI200" s="73" t="s">
        <v>3088</v>
      </c>
      <c r="BJ200" s="73" t="s">
        <v>3088</v>
      </c>
      <c r="BK200" s="73" t="s">
        <v>3088</v>
      </c>
      <c r="BL200" s="73" t="s">
        <v>3088</v>
      </c>
      <c r="BM200" s="73" t="s">
        <v>3088</v>
      </c>
      <c r="BN200" s="73" t="s">
        <v>3088</v>
      </c>
      <c r="BO200" s="73" t="s">
        <v>3088</v>
      </c>
      <c r="BP200" s="73" t="s">
        <v>3088</v>
      </c>
      <c r="BQ200" s="73" t="s">
        <v>3504</v>
      </c>
      <c r="BR200" s="73" t="s">
        <v>3088</v>
      </c>
    </row>
    <row r="201" spans="1:70">
      <c r="A201" s="73" t="s">
        <v>1870</v>
      </c>
      <c r="B201" s="73" t="s">
        <v>2706</v>
      </c>
      <c r="C201" s="73" t="s">
        <v>2591</v>
      </c>
      <c r="D201" s="73" t="s">
        <v>3088</v>
      </c>
      <c r="E201" s="73" t="s">
        <v>3088</v>
      </c>
      <c r="F201" s="73" t="s">
        <v>3088</v>
      </c>
      <c r="G201" s="73" t="s">
        <v>3089</v>
      </c>
      <c r="H201" s="73" t="s">
        <v>3088</v>
      </c>
      <c r="I201" s="73" t="s">
        <v>108</v>
      </c>
      <c r="J201" s="73" t="s">
        <v>2707</v>
      </c>
      <c r="K201" s="73" t="s">
        <v>3089</v>
      </c>
      <c r="L201" s="73" t="s">
        <v>3088</v>
      </c>
      <c r="M201" s="73" t="s">
        <v>3088</v>
      </c>
      <c r="N201" s="73" t="s">
        <v>3088</v>
      </c>
      <c r="O201" s="73" t="s">
        <v>3088</v>
      </c>
      <c r="P201" s="73" t="s">
        <v>3088</v>
      </c>
      <c r="Q201" s="73" t="s">
        <v>3088</v>
      </c>
      <c r="R201" s="73" t="s">
        <v>3088</v>
      </c>
      <c r="S201" s="73" t="s">
        <v>3088</v>
      </c>
      <c r="T201" s="73" t="s">
        <v>3088</v>
      </c>
      <c r="U201" s="73" t="s">
        <v>3088</v>
      </c>
      <c r="V201" s="73" t="s">
        <v>3088</v>
      </c>
      <c r="W201" s="73" t="s">
        <v>3088</v>
      </c>
      <c r="X201" s="73" t="s">
        <v>3088</v>
      </c>
      <c r="Y201" s="73" t="s">
        <v>3088</v>
      </c>
      <c r="Z201" s="73" t="s">
        <v>3088</v>
      </c>
      <c r="AA201" s="73" t="s">
        <v>3088</v>
      </c>
      <c r="AB201" s="73" t="s">
        <v>3088</v>
      </c>
      <c r="AC201" s="73" t="s">
        <v>3088</v>
      </c>
      <c r="AD201" s="73" t="s">
        <v>3088</v>
      </c>
      <c r="AE201" s="73" t="s">
        <v>3088</v>
      </c>
      <c r="AF201" s="73" t="s">
        <v>3088</v>
      </c>
      <c r="AG201" s="73" t="s">
        <v>3088</v>
      </c>
      <c r="AH201" s="73" t="s">
        <v>3088</v>
      </c>
      <c r="AI201" s="73" t="s">
        <v>3088</v>
      </c>
      <c r="AJ201" s="73" t="s">
        <v>3088</v>
      </c>
      <c r="AK201" s="73" t="s">
        <v>3088</v>
      </c>
      <c r="AL201" s="73" t="s">
        <v>3088</v>
      </c>
      <c r="AM201" s="73" t="s">
        <v>3088</v>
      </c>
      <c r="AN201" s="73" t="s">
        <v>3088</v>
      </c>
      <c r="AO201" s="73" t="s">
        <v>3088</v>
      </c>
      <c r="AP201" s="73" t="s">
        <v>3088</v>
      </c>
      <c r="AQ201" s="73" t="s">
        <v>3088</v>
      </c>
      <c r="AR201" s="73" t="s">
        <v>3088</v>
      </c>
      <c r="AS201" s="73" t="s">
        <v>3088</v>
      </c>
      <c r="AT201" s="73" t="s">
        <v>3088</v>
      </c>
      <c r="AU201" s="73" t="s">
        <v>3088</v>
      </c>
      <c r="AV201" s="73" t="s">
        <v>3088</v>
      </c>
      <c r="AW201" s="73" t="s">
        <v>3088</v>
      </c>
      <c r="AX201" s="73" t="s">
        <v>3088</v>
      </c>
      <c r="AY201" s="73" t="s">
        <v>3088</v>
      </c>
      <c r="AZ201" s="73" t="s">
        <v>3088</v>
      </c>
      <c r="BA201" s="73" t="s">
        <v>3088</v>
      </c>
      <c r="BB201" s="73" t="s">
        <v>3088</v>
      </c>
      <c r="BC201" s="73" t="s">
        <v>3088</v>
      </c>
      <c r="BD201" s="73" t="s">
        <v>3088</v>
      </c>
      <c r="BE201" s="73" t="s">
        <v>3088</v>
      </c>
      <c r="BF201" s="73" t="s">
        <v>3088</v>
      </c>
      <c r="BG201" s="73" t="s">
        <v>3088</v>
      </c>
      <c r="BH201" s="73" t="s">
        <v>3088</v>
      </c>
      <c r="BI201" s="73" t="s">
        <v>3088</v>
      </c>
      <c r="BJ201" s="73" t="s">
        <v>3088</v>
      </c>
      <c r="BK201" s="73" t="s">
        <v>3088</v>
      </c>
      <c r="BL201" s="73" t="s">
        <v>3088</v>
      </c>
      <c r="BM201" s="73" t="s">
        <v>3088</v>
      </c>
      <c r="BN201" s="73" t="s">
        <v>3088</v>
      </c>
      <c r="BO201" s="73" t="s">
        <v>3088</v>
      </c>
      <c r="BP201" s="73" t="s">
        <v>3088</v>
      </c>
      <c r="BQ201" s="73" t="s">
        <v>3505</v>
      </c>
      <c r="BR201" s="73" t="s">
        <v>3088</v>
      </c>
    </row>
    <row r="202" spans="1:70">
      <c r="A202" s="73" t="s">
        <v>1872</v>
      </c>
      <c r="B202" s="73" t="s">
        <v>2546</v>
      </c>
      <c r="C202" s="73" t="s">
        <v>2546</v>
      </c>
      <c r="D202" s="73" t="s">
        <v>3088</v>
      </c>
      <c r="E202" s="73" t="s">
        <v>3088</v>
      </c>
      <c r="F202" s="73" t="s">
        <v>3088</v>
      </c>
      <c r="G202" s="73" t="s">
        <v>3089</v>
      </c>
      <c r="H202" s="73" t="s">
        <v>3088</v>
      </c>
      <c r="I202" s="73" t="s">
        <v>2135</v>
      </c>
      <c r="J202" s="73" t="s">
        <v>2580</v>
      </c>
      <c r="K202" s="73" t="s">
        <v>3089</v>
      </c>
      <c r="L202" s="73" t="s">
        <v>3088</v>
      </c>
      <c r="M202" s="73" t="s">
        <v>3088</v>
      </c>
      <c r="N202" s="73" t="s">
        <v>3088</v>
      </c>
      <c r="O202" s="73" t="s">
        <v>3088</v>
      </c>
      <c r="P202" s="73" t="s">
        <v>3088</v>
      </c>
      <c r="Q202" s="73" t="s">
        <v>3088</v>
      </c>
      <c r="R202" s="73" t="s">
        <v>3088</v>
      </c>
      <c r="S202" s="73" t="s">
        <v>3088</v>
      </c>
      <c r="T202" s="73" t="s">
        <v>3088</v>
      </c>
      <c r="U202" s="73" t="s">
        <v>3088</v>
      </c>
      <c r="V202" s="73" t="s">
        <v>3088</v>
      </c>
      <c r="W202" s="73" t="s">
        <v>3088</v>
      </c>
      <c r="X202" s="73" t="s">
        <v>3088</v>
      </c>
      <c r="Y202" s="73" t="s">
        <v>3088</v>
      </c>
      <c r="Z202" s="73" t="s">
        <v>3088</v>
      </c>
      <c r="AA202" s="73" t="s">
        <v>3088</v>
      </c>
      <c r="AB202" s="73" t="s">
        <v>3088</v>
      </c>
      <c r="AC202" s="73" t="s">
        <v>3088</v>
      </c>
      <c r="AD202" s="73" t="s">
        <v>3088</v>
      </c>
      <c r="AE202" s="73" t="s">
        <v>3088</v>
      </c>
      <c r="AF202" s="73" t="s">
        <v>3088</v>
      </c>
      <c r="AG202" s="73" t="s">
        <v>3088</v>
      </c>
      <c r="AH202" s="73" t="s">
        <v>3088</v>
      </c>
      <c r="AI202" s="73" t="s">
        <v>3088</v>
      </c>
      <c r="AJ202" s="73" t="s">
        <v>3088</v>
      </c>
      <c r="AK202" s="73" t="s">
        <v>3088</v>
      </c>
      <c r="AL202" s="73" t="s">
        <v>3088</v>
      </c>
      <c r="AM202" s="73" t="s">
        <v>3088</v>
      </c>
      <c r="AN202" s="73" t="s">
        <v>3088</v>
      </c>
      <c r="AO202" s="73" t="s">
        <v>3088</v>
      </c>
      <c r="AP202" s="73" t="s">
        <v>3088</v>
      </c>
      <c r="AQ202" s="73" t="s">
        <v>3088</v>
      </c>
      <c r="AR202" s="73" t="s">
        <v>3088</v>
      </c>
      <c r="AS202" s="73" t="s">
        <v>3088</v>
      </c>
      <c r="AT202" s="73" t="s">
        <v>3088</v>
      </c>
      <c r="AU202" s="73" t="s">
        <v>3088</v>
      </c>
      <c r="AV202" s="73" t="s">
        <v>3088</v>
      </c>
      <c r="AW202" s="73" t="s">
        <v>3088</v>
      </c>
      <c r="AX202" s="73" t="s">
        <v>3088</v>
      </c>
      <c r="AY202" s="73" t="s">
        <v>3088</v>
      </c>
      <c r="AZ202" s="73" t="s">
        <v>3088</v>
      </c>
      <c r="BA202" s="73" t="s">
        <v>3088</v>
      </c>
      <c r="BB202" s="73" t="s">
        <v>3088</v>
      </c>
      <c r="BC202" s="73" t="s">
        <v>3088</v>
      </c>
      <c r="BD202" s="73" t="s">
        <v>3088</v>
      </c>
      <c r="BE202" s="73" t="s">
        <v>3088</v>
      </c>
      <c r="BF202" s="73" t="s">
        <v>3088</v>
      </c>
      <c r="BG202" s="73" t="s">
        <v>3088</v>
      </c>
      <c r="BH202" s="73" t="s">
        <v>3088</v>
      </c>
      <c r="BI202" s="73" t="s">
        <v>3088</v>
      </c>
      <c r="BJ202" s="73" t="s">
        <v>3088</v>
      </c>
      <c r="BK202" s="73" t="s">
        <v>3088</v>
      </c>
      <c r="BL202" s="73" t="s">
        <v>3088</v>
      </c>
      <c r="BM202" s="73" t="s">
        <v>3088</v>
      </c>
      <c r="BN202" s="73" t="s">
        <v>3088</v>
      </c>
      <c r="BO202" s="73" t="s">
        <v>3088</v>
      </c>
      <c r="BP202" s="73" t="s">
        <v>3088</v>
      </c>
      <c r="BQ202" s="73" t="s">
        <v>3506</v>
      </c>
      <c r="BR202" s="73" t="s">
        <v>3097</v>
      </c>
    </row>
    <row r="203" spans="1:70">
      <c r="A203" s="73" t="s">
        <v>1872</v>
      </c>
      <c r="B203" s="73" t="s">
        <v>3507</v>
      </c>
      <c r="C203" s="73" t="s">
        <v>2545</v>
      </c>
      <c r="D203" s="73" t="s">
        <v>3088</v>
      </c>
      <c r="E203" s="73" t="s">
        <v>3088</v>
      </c>
      <c r="F203" s="73" t="s">
        <v>3088</v>
      </c>
      <c r="G203" s="73" t="s">
        <v>3089</v>
      </c>
      <c r="H203" s="73" t="s">
        <v>3088</v>
      </c>
      <c r="I203" s="73" t="s">
        <v>3241</v>
      </c>
      <c r="J203" s="73" t="s">
        <v>3508</v>
      </c>
      <c r="K203" s="73" t="s">
        <v>3089</v>
      </c>
      <c r="L203" s="73" t="s">
        <v>3088</v>
      </c>
      <c r="M203" s="73" t="s">
        <v>3088</v>
      </c>
      <c r="N203" s="73" t="s">
        <v>3088</v>
      </c>
      <c r="O203" s="73" t="s">
        <v>3088</v>
      </c>
      <c r="P203" s="73" t="s">
        <v>3088</v>
      </c>
      <c r="Q203" s="73" t="s">
        <v>3088</v>
      </c>
      <c r="R203" s="73" t="s">
        <v>3088</v>
      </c>
      <c r="S203" s="73" t="s">
        <v>3088</v>
      </c>
      <c r="T203" s="73" t="s">
        <v>3088</v>
      </c>
      <c r="U203" s="73" t="s">
        <v>3088</v>
      </c>
      <c r="V203" s="73" t="s">
        <v>3088</v>
      </c>
      <c r="W203" s="73" t="s">
        <v>3088</v>
      </c>
      <c r="X203" s="73" t="s">
        <v>3088</v>
      </c>
      <c r="Y203" s="73" t="s">
        <v>3088</v>
      </c>
      <c r="Z203" s="73" t="s">
        <v>3088</v>
      </c>
      <c r="AA203" s="73" t="s">
        <v>3088</v>
      </c>
      <c r="AB203" s="73" t="s">
        <v>3088</v>
      </c>
      <c r="AC203" s="73" t="s">
        <v>3088</v>
      </c>
      <c r="AD203" s="73" t="s">
        <v>3088</v>
      </c>
      <c r="AE203" s="73" t="s">
        <v>3088</v>
      </c>
      <c r="AF203" s="73" t="s">
        <v>3088</v>
      </c>
      <c r="AG203" s="73" t="s">
        <v>3088</v>
      </c>
      <c r="AH203" s="73" t="s">
        <v>3088</v>
      </c>
      <c r="AI203" s="73" t="s">
        <v>3088</v>
      </c>
      <c r="AJ203" s="73" t="s">
        <v>3088</v>
      </c>
      <c r="AK203" s="73" t="s">
        <v>3088</v>
      </c>
      <c r="AL203" s="73" t="s">
        <v>3088</v>
      </c>
      <c r="AM203" s="73" t="s">
        <v>3088</v>
      </c>
      <c r="AN203" s="73" t="s">
        <v>3088</v>
      </c>
      <c r="AO203" s="73" t="s">
        <v>3088</v>
      </c>
      <c r="AP203" s="73" t="s">
        <v>3088</v>
      </c>
      <c r="AQ203" s="73" t="s">
        <v>3088</v>
      </c>
      <c r="AR203" s="73" t="s">
        <v>3088</v>
      </c>
      <c r="AS203" s="73" t="s">
        <v>3088</v>
      </c>
      <c r="AT203" s="73" t="s">
        <v>3088</v>
      </c>
      <c r="AU203" s="73" t="s">
        <v>3088</v>
      </c>
      <c r="AV203" s="73" t="s">
        <v>3088</v>
      </c>
      <c r="AW203" s="73" t="s">
        <v>3088</v>
      </c>
      <c r="AX203" s="73" t="s">
        <v>3088</v>
      </c>
      <c r="AY203" s="73" t="s">
        <v>3088</v>
      </c>
      <c r="AZ203" s="73" t="s">
        <v>3088</v>
      </c>
      <c r="BA203" s="73" t="s">
        <v>3088</v>
      </c>
      <c r="BB203" s="73" t="s">
        <v>3088</v>
      </c>
      <c r="BC203" s="73" t="s">
        <v>3088</v>
      </c>
      <c r="BD203" s="73" t="s">
        <v>3088</v>
      </c>
      <c r="BE203" s="73" t="s">
        <v>3088</v>
      </c>
      <c r="BF203" s="73" t="s">
        <v>3088</v>
      </c>
      <c r="BG203" s="73" t="s">
        <v>3088</v>
      </c>
      <c r="BH203" s="73" t="s">
        <v>3088</v>
      </c>
      <c r="BI203" s="73" t="s">
        <v>3088</v>
      </c>
      <c r="BJ203" s="73" t="s">
        <v>3088</v>
      </c>
      <c r="BK203" s="73" t="s">
        <v>3088</v>
      </c>
      <c r="BL203" s="73" t="s">
        <v>3088</v>
      </c>
      <c r="BM203" s="73" t="s">
        <v>3088</v>
      </c>
      <c r="BN203" s="73" t="s">
        <v>3088</v>
      </c>
      <c r="BO203" s="73" t="s">
        <v>3088</v>
      </c>
      <c r="BP203" s="73" t="s">
        <v>3088</v>
      </c>
      <c r="BQ203" s="73" t="s">
        <v>3509</v>
      </c>
      <c r="BR203" s="73" t="s">
        <v>3088</v>
      </c>
    </row>
    <row r="204" spans="1:70">
      <c r="A204" s="73" t="s">
        <v>1872</v>
      </c>
      <c r="B204" s="73" t="s">
        <v>2709</v>
      </c>
      <c r="C204" s="73" t="s">
        <v>2582</v>
      </c>
      <c r="D204" s="73" t="s">
        <v>3088</v>
      </c>
      <c r="E204" s="73" t="s">
        <v>3088</v>
      </c>
      <c r="F204" s="73" t="s">
        <v>3088</v>
      </c>
      <c r="G204" s="73" t="s">
        <v>3089</v>
      </c>
      <c r="H204" s="73" t="s">
        <v>3088</v>
      </c>
      <c r="I204" s="73" t="s">
        <v>2193</v>
      </c>
      <c r="J204" s="73" t="s">
        <v>3088</v>
      </c>
      <c r="K204" s="73" t="s">
        <v>3088</v>
      </c>
      <c r="L204" s="73" t="s">
        <v>108</v>
      </c>
      <c r="M204" s="73" t="s">
        <v>3088</v>
      </c>
      <c r="N204" s="73" t="s">
        <v>3088</v>
      </c>
      <c r="O204" s="73" t="s">
        <v>3113</v>
      </c>
      <c r="P204" s="73" t="s">
        <v>3088</v>
      </c>
      <c r="Q204" s="73" t="s">
        <v>3088</v>
      </c>
      <c r="R204" s="73" t="s">
        <v>3088</v>
      </c>
      <c r="S204" s="73" t="s">
        <v>3088</v>
      </c>
      <c r="T204" s="73" t="s">
        <v>3088</v>
      </c>
      <c r="U204" s="73" t="s">
        <v>3088</v>
      </c>
      <c r="V204" s="73" t="s">
        <v>3088</v>
      </c>
      <c r="W204" s="73" t="s">
        <v>3088</v>
      </c>
      <c r="X204" s="73" t="s">
        <v>3088</v>
      </c>
      <c r="Y204" s="73" t="s">
        <v>3088</v>
      </c>
      <c r="Z204" s="73" t="s">
        <v>3088</v>
      </c>
      <c r="AA204" s="73" t="s">
        <v>3088</v>
      </c>
      <c r="AB204" s="73" t="s">
        <v>3088</v>
      </c>
      <c r="AC204" s="73" t="s">
        <v>3088</v>
      </c>
      <c r="AD204" s="73" t="s">
        <v>3088</v>
      </c>
      <c r="AE204" s="73" t="s">
        <v>3088</v>
      </c>
      <c r="AF204" s="73" t="s">
        <v>3088</v>
      </c>
      <c r="AG204" s="73" t="s">
        <v>3088</v>
      </c>
      <c r="AH204" s="73" t="s">
        <v>3088</v>
      </c>
      <c r="AI204" s="73" t="s">
        <v>3088</v>
      </c>
      <c r="AJ204" s="73" t="s">
        <v>3088</v>
      </c>
      <c r="AK204" s="73" t="s">
        <v>3088</v>
      </c>
      <c r="AL204" s="73" t="s">
        <v>3088</v>
      </c>
      <c r="AM204" s="73" t="s">
        <v>3088</v>
      </c>
      <c r="AN204" s="73" t="s">
        <v>3088</v>
      </c>
      <c r="AO204" s="73" t="s">
        <v>3088</v>
      </c>
      <c r="AP204" s="73" t="s">
        <v>3088</v>
      </c>
      <c r="AQ204" s="73" t="s">
        <v>3088</v>
      </c>
      <c r="AR204" s="73" t="s">
        <v>3088</v>
      </c>
      <c r="AS204" s="73" t="s">
        <v>3088</v>
      </c>
      <c r="AT204" s="73" t="s">
        <v>3088</v>
      </c>
      <c r="AU204" s="73" t="s">
        <v>3088</v>
      </c>
      <c r="AV204" s="73" t="s">
        <v>3088</v>
      </c>
      <c r="AW204" s="73" t="s">
        <v>3088</v>
      </c>
      <c r="AX204" s="73" t="s">
        <v>3088</v>
      </c>
      <c r="AY204" s="73" t="s">
        <v>3088</v>
      </c>
      <c r="AZ204" s="73" t="s">
        <v>3088</v>
      </c>
      <c r="BA204" s="73" t="s">
        <v>3088</v>
      </c>
      <c r="BB204" s="73" t="s">
        <v>3088</v>
      </c>
      <c r="BC204" s="73" t="s">
        <v>3088</v>
      </c>
      <c r="BD204" s="73" t="s">
        <v>3088</v>
      </c>
      <c r="BE204" s="73" t="s">
        <v>3088</v>
      </c>
      <c r="BF204" s="73" t="s">
        <v>3088</v>
      </c>
      <c r="BG204" s="73" t="s">
        <v>3088</v>
      </c>
      <c r="BH204" s="73" t="s">
        <v>3088</v>
      </c>
      <c r="BI204" s="73" t="s">
        <v>3088</v>
      </c>
      <c r="BJ204" s="73" t="s">
        <v>3088</v>
      </c>
      <c r="BK204" s="73" t="s">
        <v>3088</v>
      </c>
      <c r="BL204" s="73" t="s">
        <v>3088</v>
      </c>
      <c r="BM204" s="73" t="s">
        <v>3088</v>
      </c>
      <c r="BN204" s="73" t="s">
        <v>3088</v>
      </c>
      <c r="BO204" s="73" t="s">
        <v>3088</v>
      </c>
      <c r="BP204" s="73" t="s">
        <v>3088</v>
      </c>
      <c r="BQ204" s="73" t="s">
        <v>3510</v>
      </c>
      <c r="BR204" s="73" t="s">
        <v>3088</v>
      </c>
    </row>
    <row r="205" spans="1:70">
      <c r="A205" s="73" t="s">
        <v>1872</v>
      </c>
      <c r="B205" s="73" t="s">
        <v>2711</v>
      </c>
      <c r="C205" s="73" t="s">
        <v>2579</v>
      </c>
      <c r="D205" s="73" t="s">
        <v>3088</v>
      </c>
      <c r="E205" s="73" t="s">
        <v>3088</v>
      </c>
      <c r="F205" s="73" t="s">
        <v>3088</v>
      </c>
      <c r="G205" s="73" t="s">
        <v>3089</v>
      </c>
      <c r="H205" s="73" t="s">
        <v>3088</v>
      </c>
      <c r="I205" s="73" t="s">
        <v>108</v>
      </c>
      <c r="J205" s="73" t="s">
        <v>3511</v>
      </c>
      <c r="K205" s="73" t="s">
        <v>3089</v>
      </c>
      <c r="L205" s="73" t="s">
        <v>2193</v>
      </c>
      <c r="M205" s="73" t="s">
        <v>3511</v>
      </c>
      <c r="N205" s="73" t="s">
        <v>3089</v>
      </c>
      <c r="O205" s="73" t="s">
        <v>3088</v>
      </c>
      <c r="P205" s="73" t="s">
        <v>3088</v>
      </c>
      <c r="Q205" s="73" t="s">
        <v>3088</v>
      </c>
      <c r="R205" s="73" t="s">
        <v>3088</v>
      </c>
      <c r="S205" s="73" t="s">
        <v>3088</v>
      </c>
      <c r="T205" s="73" t="s">
        <v>3088</v>
      </c>
      <c r="U205" s="73" t="s">
        <v>3088</v>
      </c>
      <c r="V205" s="73" t="s">
        <v>3088</v>
      </c>
      <c r="W205" s="73" t="s">
        <v>3088</v>
      </c>
      <c r="X205" s="73" t="s">
        <v>3088</v>
      </c>
      <c r="Y205" s="73" t="s">
        <v>3088</v>
      </c>
      <c r="Z205" s="73" t="s">
        <v>3088</v>
      </c>
      <c r="AA205" s="73" t="s">
        <v>3088</v>
      </c>
      <c r="AB205" s="73" t="s">
        <v>3088</v>
      </c>
      <c r="AC205" s="73" t="s">
        <v>3088</v>
      </c>
      <c r="AD205" s="73" t="s">
        <v>3088</v>
      </c>
      <c r="AE205" s="73" t="s">
        <v>3088</v>
      </c>
      <c r="AF205" s="73" t="s">
        <v>3088</v>
      </c>
      <c r="AG205" s="73" t="s">
        <v>3088</v>
      </c>
      <c r="AH205" s="73" t="s">
        <v>3088</v>
      </c>
      <c r="AI205" s="73" t="s">
        <v>3088</v>
      </c>
      <c r="AJ205" s="73" t="s">
        <v>3088</v>
      </c>
      <c r="AK205" s="73" t="s">
        <v>3088</v>
      </c>
      <c r="AL205" s="73" t="s">
        <v>3088</v>
      </c>
      <c r="AM205" s="73" t="s">
        <v>3088</v>
      </c>
      <c r="AN205" s="73" t="s">
        <v>3088</v>
      </c>
      <c r="AO205" s="73" t="s">
        <v>3088</v>
      </c>
      <c r="AP205" s="73" t="s">
        <v>3088</v>
      </c>
      <c r="AQ205" s="73" t="s">
        <v>3088</v>
      </c>
      <c r="AR205" s="73" t="s">
        <v>3088</v>
      </c>
      <c r="AS205" s="73" t="s">
        <v>3088</v>
      </c>
      <c r="AT205" s="73" t="s">
        <v>3088</v>
      </c>
      <c r="AU205" s="73" t="s">
        <v>3088</v>
      </c>
      <c r="AV205" s="73" t="s">
        <v>3088</v>
      </c>
      <c r="AW205" s="73" t="s">
        <v>3088</v>
      </c>
      <c r="AX205" s="73" t="s">
        <v>3088</v>
      </c>
      <c r="AY205" s="73" t="s">
        <v>3088</v>
      </c>
      <c r="AZ205" s="73" t="s">
        <v>3088</v>
      </c>
      <c r="BA205" s="73" t="s">
        <v>3088</v>
      </c>
      <c r="BB205" s="73" t="s">
        <v>3088</v>
      </c>
      <c r="BC205" s="73" t="s">
        <v>3088</v>
      </c>
      <c r="BD205" s="73" t="s">
        <v>3088</v>
      </c>
      <c r="BE205" s="73" t="s">
        <v>3088</v>
      </c>
      <c r="BF205" s="73" t="s">
        <v>3088</v>
      </c>
      <c r="BG205" s="73" t="s">
        <v>3088</v>
      </c>
      <c r="BH205" s="73" t="s">
        <v>3088</v>
      </c>
      <c r="BI205" s="73" t="s">
        <v>3088</v>
      </c>
      <c r="BJ205" s="73" t="s">
        <v>3088</v>
      </c>
      <c r="BK205" s="73" t="s">
        <v>3088</v>
      </c>
      <c r="BL205" s="73" t="s">
        <v>3088</v>
      </c>
      <c r="BM205" s="73" t="s">
        <v>3088</v>
      </c>
      <c r="BN205" s="73" t="s">
        <v>3088</v>
      </c>
      <c r="BO205" s="73" t="s">
        <v>3088</v>
      </c>
      <c r="BP205" s="73" t="s">
        <v>3088</v>
      </c>
      <c r="BQ205" s="73" t="s">
        <v>3512</v>
      </c>
      <c r="BR205" s="73" t="s">
        <v>3088</v>
      </c>
    </row>
    <row r="206" spans="1:70">
      <c r="A206" s="73" t="s">
        <v>1872</v>
      </c>
      <c r="B206" s="73" t="s">
        <v>2788</v>
      </c>
      <c r="C206" s="73" t="s">
        <v>2533</v>
      </c>
      <c r="D206" s="73" t="s">
        <v>3088</v>
      </c>
      <c r="E206" s="73" t="s">
        <v>3088</v>
      </c>
      <c r="F206" s="73" t="s">
        <v>3088</v>
      </c>
      <c r="G206" s="73" t="s">
        <v>3089</v>
      </c>
      <c r="H206" s="73" t="s">
        <v>3088</v>
      </c>
      <c r="I206" s="73" t="s">
        <v>3098</v>
      </c>
      <c r="J206" s="73" t="s">
        <v>3513</v>
      </c>
      <c r="K206" s="73" t="s">
        <v>3089</v>
      </c>
      <c r="L206" s="73" t="s">
        <v>2790</v>
      </c>
      <c r="M206" s="73" t="s">
        <v>3513</v>
      </c>
      <c r="N206" s="73" t="s">
        <v>3089</v>
      </c>
      <c r="O206" s="73" t="s">
        <v>3088</v>
      </c>
      <c r="P206" s="73" t="s">
        <v>3088</v>
      </c>
      <c r="Q206" s="73" t="s">
        <v>3088</v>
      </c>
      <c r="R206" s="73" t="s">
        <v>3088</v>
      </c>
      <c r="S206" s="73" t="s">
        <v>3088</v>
      </c>
      <c r="T206" s="73" t="s">
        <v>3088</v>
      </c>
      <c r="U206" s="73" t="s">
        <v>3088</v>
      </c>
      <c r="V206" s="73" t="s">
        <v>3088</v>
      </c>
      <c r="W206" s="73" t="s">
        <v>3088</v>
      </c>
      <c r="X206" s="73" t="s">
        <v>3088</v>
      </c>
      <c r="Y206" s="73" t="s">
        <v>3088</v>
      </c>
      <c r="Z206" s="73" t="s">
        <v>3088</v>
      </c>
      <c r="AA206" s="73" t="s">
        <v>3088</v>
      </c>
      <c r="AB206" s="73" t="s">
        <v>3088</v>
      </c>
      <c r="AC206" s="73" t="s">
        <v>3088</v>
      </c>
      <c r="AD206" s="73" t="s">
        <v>3088</v>
      </c>
      <c r="AE206" s="73" t="s">
        <v>3088</v>
      </c>
      <c r="AF206" s="73" t="s">
        <v>3088</v>
      </c>
      <c r="AG206" s="73" t="s">
        <v>3088</v>
      </c>
      <c r="AH206" s="73" t="s">
        <v>3088</v>
      </c>
      <c r="AI206" s="73" t="s">
        <v>3088</v>
      </c>
      <c r="AJ206" s="73" t="s">
        <v>3088</v>
      </c>
      <c r="AK206" s="73" t="s">
        <v>3088</v>
      </c>
      <c r="AL206" s="73" t="s">
        <v>3088</v>
      </c>
      <c r="AM206" s="73" t="s">
        <v>3088</v>
      </c>
      <c r="AN206" s="73" t="s">
        <v>3088</v>
      </c>
      <c r="AO206" s="73" t="s">
        <v>3088</v>
      </c>
      <c r="AP206" s="73" t="s">
        <v>3088</v>
      </c>
      <c r="AQ206" s="73" t="s">
        <v>3088</v>
      </c>
      <c r="AR206" s="73" t="s">
        <v>3088</v>
      </c>
      <c r="AS206" s="73" t="s">
        <v>3088</v>
      </c>
      <c r="AT206" s="73" t="s">
        <v>3088</v>
      </c>
      <c r="AU206" s="73" t="s">
        <v>3088</v>
      </c>
      <c r="AV206" s="73" t="s">
        <v>3088</v>
      </c>
      <c r="AW206" s="73" t="s">
        <v>3088</v>
      </c>
      <c r="AX206" s="73" t="s">
        <v>3088</v>
      </c>
      <c r="AY206" s="73" t="s">
        <v>3088</v>
      </c>
      <c r="AZ206" s="73" t="s">
        <v>3088</v>
      </c>
      <c r="BA206" s="73" t="s">
        <v>3088</v>
      </c>
      <c r="BB206" s="73" t="s">
        <v>3088</v>
      </c>
      <c r="BC206" s="73" t="s">
        <v>3088</v>
      </c>
      <c r="BD206" s="73" t="s">
        <v>3088</v>
      </c>
      <c r="BE206" s="73" t="s">
        <v>3088</v>
      </c>
      <c r="BF206" s="73" t="s">
        <v>3088</v>
      </c>
      <c r="BG206" s="73" t="s">
        <v>3088</v>
      </c>
      <c r="BH206" s="73" t="s">
        <v>3088</v>
      </c>
      <c r="BI206" s="73" t="s">
        <v>3088</v>
      </c>
      <c r="BJ206" s="73" t="s">
        <v>3088</v>
      </c>
      <c r="BK206" s="73" t="s">
        <v>3088</v>
      </c>
      <c r="BL206" s="73" t="s">
        <v>3088</v>
      </c>
      <c r="BM206" s="73" t="s">
        <v>3088</v>
      </c>
      <c r="BN206" s="73" t="s">
        <v>3088</v>
      </c>
      <c r="BO206" s="73" t="s">
        <v>3088</v>
      </c>
      <c r="BP206" s="73" t="s">
        <v>3088</v>
      </c>
      <c r="BQ206" s="73" t="s">
        <v>3514</v>
      </c>
      <c r="BR206" s="73" t="s">
        <v>3088</v>
      </c>
    </row>
    <row r="207" spans="1:70">
      <c r="A207" s="73" t="s">
        <v>1872</v>
      </c>
      <c r="B207" s="73" t="s">
        <v>2713</v>
      </c>
      <c r="C207" s="73" t="s">
        <v>2591</v>
      </c>
      <c r="D207" s="73" t="s">
        <v>3088</v>
      </c>
      <c r="E207" s="73" t="s">
        <v>3088</v>
      </c>
      <c r="F207" s="73" t="s">
        <v>3088</v>
      </c>
      <c r="G207" s="73" t="s">
        <v>3089</v>
      </c>
      <c r="H207" s="73" t="s">
        <v>3088</v>
      </c>
      <c r="I207" s="73" t="s">
        <v>108</v>
      </c>
      <c r="J207" s="73" t="s">
        <v>3515</v>
      </c>
      <c r="K207" s="73" t="s">
        <v>3089</v>
      </c>
      <c r="L207" s="73" t="s">
        <v>2193</v>
      </c>
      <c r="M207" s="73" t="s">
        <v>3515</v>
      </c>
      <c r="N207" s="73" t="s">
        <v>3089</v>
      </c>
      <c r="O207" s="73" t="s">
        <v>3088</v>
      </c>
      <c r="P207" s="73" t="s">
        <v>3088</v>
      </c>
      <c r="Q207" s="73" t="s">
        <v>3088</v>
      </c>
      <c r="R207" s="73" t="s">
        <v>3088</v>
      </c>
      <c r="S207" s="73" t="s">
        <v>3088</v>
      </c>
      <c r="T207" s="73" t="s">
        <v>3088</v>
      </c>
      <c r="U207" s="73" t="s">
        <v>3088</v>
      </c>
      <c r="V207" s="73" t="s">
        <v>3088</v>
      </c>
      <c r="W207" s="73" t="s">
        <v>3088</v>
      </c>
      <c r="X207" s="73" t="s">
        <v>3088</v>
      </c>
      <c r="Y207" s="73" t="s">
        <v>3088</v>
      </c>
      <c r="Z207" s="73" t="s">
        <v>3088</v>
      </c>
      <c r="AA207" s="73" t="s">
        <v>3088</v>
      </c>
      <c r="AB207" s="73" t="s">
        <v>3088</v>
      </c>
      <c r="AC207" s="73" t="s">
        <v>3088</v>
      </c>
      <c r="AD207" s="73" t="s">
        <v>3088</v>
      </c>
      <c r="AE207" s="73" t="s">
        <v>3088</v>
      </c>
      <c r="AF207" s="73" t="s">
        <v>3088</v>
      </c>
      <c r="AG207" s="73" t="s">
        <v>3088</v>
      </c>
      <c r="AH207" s="73" t="s">
        <v>3088</v>
      </c>
      <c r="AI207" s="73" t="s">
        <v>3088</v>
      </c>
      <c r="AJ207" s="73" t="s">
        <v>3088</v>
      </c>
      <c r="AK207" s="73" t="s">
        <v>3088</v>
      </c>
      <c r="AL207" s="73" t="s">
        <v>3088</v>
      </c>
      <c r="AM207" s="73" t="s">
        <v>3088</v>
      </c>
      <c r="AN207" s="73" t="s">
        <v>3088</v>
      </c>
      <c r="AO207" s="73" t="s">
        <v>3088</v>
      </c>
      <c r="AP207" s="73" t="s">
        <v>3088</v>
      </c>
      <c r="AQ207" s="73" t="s">
        <v>3088</v>
      </c>
      <c r="AR207" s="73" t="s">
        <v>3088</v>
      </c>
      <c r="AS207" s="73" t="s">
        <v>3088</v>
      </c>
      <c r="AT207" s="73" t="s">
        <v>3088</v>
      </c>
      <c r="AU207" s="73" t="s">
        <v>3088</v>
      </c>
      <c r="AV207" s="73" t="s">
        <v>3088</v>
      </c>
      <c r="AW207" s="73" t="s">
        <v>3088</v>
      </c>
      <c r="AX207" s="73" t="s">
        <v>3088</v>
      </c>
      <c r="AY207" s="73" t="s">
        <v>3088</v>
      </c>
      <c r="AZ207" s="73" t="s">
        <v>3088</v>
      </c>
      <c r="BA207" s="73" t="s">
        <v>3088</v>
      </c>
      <c r="BB207" s="73" t="s">
        <v>3088</v>
      </c>
      <c r="BC207" s="73" t="s">
        <v>3088</v>
      </c>
      <c r="BD207" s="73" t="s">
        <v>3088</v>
      </c>
      <c r="BE207" s="73" t="s">
        <v>3088</v>
      </c>
      <c r="BF207" s="73" t="s">
        <v>3088</v>
      </c>
      <c r="BG207" s="73" t="s">
        <v>3088</v>
      </c>
      <c r="BH207" s="73" t="s">
        <v>3088</v>
      </c>
      <c r="BI207" s="73" t="s">
        <v>3088</v>
      </c>
      <c r="BJ207" s="73" t="s">
        <v>3088</v>
      </c>
      <c r="BK207" s="73" t="s">
        <v>3088</v>
      </c>
      <c r="BL207" s="73" t="s">
        <v>3088</v>
      </c>
      <c r="BM207" s="73" t="s">
        <v>3088</v>
      </c>
      <c r="BN207" s="73" t="s">
        <v>3088</v>
      </c>
      <c r="BO207" s="73" t="s">
        <v>3088</v>
      </c>
      <c r="BP207" s="73" t="s">
        <v>3088</v>
      </c>
      <c r="BQ207" s="73" t="s">
        <v>3516</v>
      </c>
      <c r="BR207" s="73" t="s">
        <v>3088</v>
      </c>
    </row>
    <row r="208" spans="1:70">
      <c r="A208" s="73" t="s">
        <v>1872</v>
      </c>
      <c r="B208" s="73" t="s">
        <v>2715</v>
      </c>
      <c r="C208" s="73" t="s">
        <v>2571</v>
      </c>
      <c r="D208" s="73" t="s">
        <v>3088</v>
      </c>
      <c r="E208" s="73" t="s">
        <v>3088</v>
      </c>
      <c r="F208" s="73" t="s">
        <v>3088</v>
      </c>
      <c r="G208" s="73" t="s">
        <v>3089</v>
      </c>
      <c r="H208" s="73" t="s">
        <v>3088</v>
      </c>
      <c r="I208" s="73" t="s">
        <v>108</v>
      </c>
      <c r="J208" s="73" t="s">
        <v>3517</v>
      </c>
      <c r="K208" s="73" t="s">
        <v>3089</v>
      </c>
      <c r="L208" s="73" t="s">
        <v>2193</v>
      </c>
      <c r="M208" s="73" t="s">
        <v>3517</v>
      </c>
      <c r="N208" s="73" t="s">
        <v>3089</v>
      </c>
      <c r="O208" s="73" t="s">
        <v>3088</v>
      </c>
      <c r="P208" s="73" t="s">
        <v>3088</v>
      </c>
      <c r="Q208" s="73" t="s">
        <v>3088</v>
      </c>
      <c r="R208" s="73" t="s">
        <v>3088</v>
      </c>
      <c r="S208" s="73" t="s">
        <v>3088</v>
      </c>
      <c r="T208" s="73" t="s">
        <v>3088</v>
      </c>
      <c r="U208" s="73" t="s">
        <v>3088</v>
      </c>
      <c r="V208" s="73" t="s">
        <v>3088</v>
      </c>
      <c r="W208" s="73" t="s">
        <v>3088</v>
      </c>
      <c r="X208" s="73" t="s">
        <v>3088</v>
      </c>
      <c r="Y208" s="73" t="s">
        <v>3088</v>
      </c>
      <c r="Z208" s="73" t="s">
        <v>3088</v>
      </c>
      <c r="AA208" s="73" t="s">
        <v>3088</v>
      </c>
      <c r="AB208" s="73" t="s">
        <v>3088</v>
      </c>
      <c r="AC208" s="73" t="s">
        <v>3088</v>
      </c>
      <c r="AD208" s="73" t="s">
        <v>3088</v>
      </c>
      <c r="AE208" s="73" t="s">
        <v>3088</v>
      </c>
      <c r="AF208" s="73" t="s">
        <v>3088</v>
      </c>
      <c r="AG208" s="73" t="s">
        <v>3088</v>
      </c>
      <c r="AH208" s="73" t="s">
        <v>3088</v>
      </c>
      <c r="AI208" s="73" t="s">
        <v>3088</v>
      </c>
      <c r="AJ208" s="73" t="s">
        <v>3088</v>
      </c>
      <c r="AK208" s="73" t="s">
        <v>3088</v>
      </c>
      <c r="AL208" s="73" t="s">
        <v>3088</v>
      </c>
      <c r="AM208" s="73" t="s">
        <v>3088</v>
      </c>
      <c r="AN208" s="73" t="s">
        <v>3088</v>
      </c>
      <c r="AO208" s="73" t="s">
        <v>3088</v>
      </c>
      <c r="AP208" s="73" t="s">
        <v>3088</v>
      </c>
      <c r="AQ208" s="73" t="s">
        <v>3088</v>
      </c>
      <c r="AR208" s="73" t="s">
        <v>3088</v>
      </c>
      <c r="AS208" s="73" t="s">
        <v>3088</v>
      </c>
      <c r="AT208" s="73" t="s">
        <v>3088</v>
      </c>
      <c r="AU208" s="73" t="s">
        <v>3088</v>
      </c>
      <c r="AV208" s="73" t="s">
        <v>3088</v>
      </c>
      <c r="AW208" s="73" t="s">
        <v>3088</v>
      </c>
      <c r="AX208" s="73" t="s">
        <v>3088</v>
      </c>
      <c r="AY208" s="73" t="s">
        <v>3088</v>
      </c>
      <c r="AZ208" s="73" t="s">
        <v>3088</v>
      </c>
      <c r="BA208" s="73" t="s">
        <v>3088</v>
      </c>
      <c r="BB208" s="73" t="s">
        <v>3088</v>
      </c>
      <c r="BC208" s="73" t="s">
        <v>3088</v>
      </c>
      <c r="BD208" s="73" t="s">
        <v>3088</v>
      </c>
      <c r="BE208" s="73" t="s">
        <v>3088</v>
      </c>
      <c r="BF208" s="73" t="s">
        <v>3088</v>
      </c>
      <c r="BG208" s="73" t="s">
        <v>3088</v>
      </c>
      <c r="BH208" s="73" t="s">
        <v>3088</v>
      </c>
      <c r="BI208" s="73" t="s">
        <v>3088</v>
      </c>
      <c r="BJ208" s="73" t="s">
        <v>3088</v>
      </c>
      <c r="BK208" s="73" t="s">
        <v>3088</v>
      </c>
      <c r="BL208" s="73" t="s">
        <v>3088</v>
      </c>
      <c r="BM208" s="73" t="s">
        <v>3088</v>
      </c>
      <c r="BN208" s="73" t="s">
        <v>3088</v>
      </c>
      <c r="BO208" s="73" t="s">
        <v>3088</v>
      </c>
      <c r="BP208" s="73" t="s">
        <v>3088</v>
      </c>
      <c r="BQ208" s="73" t="s">
        <v>3518</v>
      </c>
      <c r="BR208" s="73" t="s">
        <v>3088</v>
      </c>
    </row>
    <row r="209" spans="1:70">
      <c r="A209" s="73" t="s">
        <v>1872</v>
      </c>
      <c r="B209" s="73" t="s">
        <v>3519</v>
      </c>
      <c r="C209" s="73" t="s">
        <v>2559</v>
      </c>
      <c r="D209" s="73" t="s">
        <v>3088</v>
      </c>
      <c r="E209" s="73" t="s">
        <v>3088</v>
      </c>
      <c r="F209" s="73" t="s">
        <v>3088</v>
      </c>
      <c r="G209" s="73" t="s">
        <v>3089</v>
      </c>
      <c r="H209" s="73" t="s">
        <v>3088</v>
      </c>
      <c r="I209" s="73" t="s">
        <v>3122</v>
      </c>
      <c r="J209" s="73" t="s">
        <v>3520</v>
      </c>
      <c r="K209" s="73" t="s">
        <v>3089</v>
      </c>
      <c r="L209" s="73" t="s">
        <v>3180</v>
      </c>
      <c r="M209" s="73" t="s">
        <v>3521</v>
      </c>
      <c r="N209" s="73" t="s">
        <v>3089</v>
      </c>
      <c r="O209" s="73" t="s">
        <v>3088</v>
      </c>
      <c r="P209" s="73" t="s">
        <v>3088</v>
      </c>
      <c r="Q209" s="73" t="s">
        <v>3088</v>
      </c>
      <c r="R209" s="73" t="s">
        <v>3088</v>
      </c>
      <c r="S209" s="73" t="s">
        <v>3088</v>
      </c>
      <c r="T209" s="73" t="s">
        <v>3088</v>
      </c>
      <c r="U209" s="73" t="s">
        <v>3088</v>
      </c>
      <c r="V209" s="73" t="s">
        <v>3088</v>
      </c>
      <c r="W209" s="73" t="s">
        <v>3088</v>
      </c>
      <c r="X209" s="73" t="s">
        <v>3088</v>
      </c>
      <c r="Y209" s="73" t="s">
        <v>3088</v>
      </c>
      <c r="Z209" s="73" t="s">
        <v>3088</v>
      </c>
      <c r="AA209" s="73" t="s">
        <v>3088</v>
      </c>
      <c r="AB209" s="73" t="s">
        <v>3088</v>
      </c>
      <c r="AC209" s="73" t="s">
        <v>3088</v>
      </c>
      <c r="AD209" s="73" t="s">
        <v>3088</v>
      </c>
      <c r="AE209" s="73" t="s">
        <v>3088</v>
      </c>
      <c r="AF209" s="73" t="s">
        <v>3088</v>
      </c>
      <c r="AG209" s="73" t="s">
        <v>3088</v>
      </c>
      <c r="AH209" s="73" t="s">
        <v>3088</v>
      </c>
      <c r="AI209" s="73" t="s">
        <v>3088</v>
      </c>
      <c r="AJ209" s="73" t="s">
        <v>3088</v>
      </c>
      <c r="AK209" s="73" t="s">
        <v>3088</v>
      </c>
      <c r="AL209" s="73" t="s">
        <v>3088</v>
      </c>
      <c r="AM209" s="73" t="s">
        <v>3088</v>
      </c>
      <c r="AN209" s="73" t="s">
        <v>3088</v>
      </c>
      <c r="AO209" s="73" t="s">
        <v>3088</v>
      </c>
      <c r="AP209" s="73" t="s">
        <v>3088</v>
      </c>
      <c r="AQ209" s="73" t="s">
        <v>3088</v>
      </c>
      <c r="AR209" s="73" t="s">
        <v>3088</v>
      </c>
      <c r="AS209" s="73" t="s">
        <v>3088</v>
      </c>
      <c r="AT209" s="73" t="s">
        <v>3088</v>
      </c>
      <c r="AU209" s="73" t="s">
        <v>3088</v>
      </c>
      <c r="AV209" s="73" t="s">
        <v>3088</v>
      </c>
      <c r="AW209" s="73" t="s">
        <v>3088</v>
      </c>
      <c r="AX209" s="73" t="s">
        <v>3088</v>
      </c>
      <c r="AY209" s="73" t="s">
        <v>3088</v>
      </c>
      <c r="AZ209" s="73" t="s">
        <v>3088</v>
      </c>
      <c r="BA209" s="73" t="s">
        <v>3088</v>
      </c>
      <c r="BB209" s="73" t="s">
        <v>3088</v>
      </c>
      <c r="BC209" s="73" t="s">
        <v>3088</v>
      </c>
      <c r="BD209" s="73" t="s">
        <v>3088</v>
      </c>
      <c r="BE209" s="73" t="s">
        <v>3088</v>
      </c>
      <c r="BF209" s="73" t="s">
        <v>3088</v>
      </c>
      <c r="BG209" s="73" t="s">
        <v>3088</v>
      </c>
      <c r="BH209" s="73" t="s">
        <v>3088</v>
      </c>
      <c r="BI209" s="73" t="s">
        <v>3088</v>
      </c>
      <c r="BJ209" s="73" t="s">
        <v>3088</v>
      </c>
      <c r="BK209" s="73" t="s">
        <v>3088</v>
      </c>
      <c r="BL209" s="73" t="s">
        <v>3088</v>
      </c>
      <c r="BM209" s="73" t="s">
        <v>3088</v>
      </c>
      <c r="BN209" s="73" t="s">
        <v>3088</v>
      </c>
      <c r="BO209" s="73" t="s">
        <v>3088</v>
      </c>
      <c r="BP209" s="73" t="s">
        <v>3088</v>
      </c>
      <c r="BQ209" s="73" t="s">
        <v>3522</v>
      </c>
      <c r="BR209" s="73" t="s">
        <v>3088</v>
      </c>
    </row>
    <row r="210" spans="1:70">
      <c r="A210" s="73" t="s">
        <v>1872</v>
      </c>
      <c r="B210" s="73" t="s">
        <v>3523</v>
      </c>
      <c r="C210" s="73" t="s">
        <v>2563</v>
      </c>
      <c r="D210" s="73" t="s">
        <v>3088</v>
      </c>
      <c r="E210" s="73" t="s">
        <v>3088</v>
      </c>
      <c r="F210" s="73" t="s">
        <v>3088</v>
      </c>
      <c r="G210" s="73" t="s">
        <v>3089</v>
      </c>
      <c r="H210" s="73" t="s">
        <v>3088</v>
      </c>
      <c r="I210" s="73" t="s">
        <v>3113</v>
      </c>
      <c r="J210" s="73" t="s">
        <v>3524</v>
      </c>
      <c r="K210" s="73" t="s">
        <v>3089</v>
      </c>
      <c r="L210" s="73" t="s">
        <v>3088</v>
      </c>
      <c r="M210" s="73" t="s">
        <v>3088</v>
      </c>
      <c r="N210" s="73" t="s">
        <v>3088</v>
      </c>
      <c r="O210" s="73" t="s">
        <v>3088</v>
      </c>
      <c r="P210" s="73" t="s">
        <v>3088</v>
      </c>
      <c r="Q210" s="73" t="s">
        <v>3088</v>
      </c>
      <c r="R210" s="73" t="s">
        <v>3088</v>
      </c>
      <c r="S210" s="73" t="s">
        <v>3088</v>
      </c>
      <c r="T210" s="73" t="s">
        <v>3088</v>
      </c>
      <c r="U210" s="73" t="s">
        <v>3088</v>
      </c>
      <c r="V210" s="73" t="s">
        <v>3088</v>
      </c>
      <c r="W210" s="73" t="s">
        <v>3088</v>
      </c>
      <c r="X210" s="73" t="s">
        <v>3088</v>
      </c>
      <c r="Y210" s="73" t="s">
        <v>3088</v>
      </c>
      <c r="Z210" s="73" t="s">
        <v>3088</v>
      </c>
      <c r="AA210" s="73" t="s">
        <v>3088</v>
      </c>
      <c r="AB210" s="73" t="s">
        <v>3088</v>
      </c>
      <c r="AC210" s="73" t="s">
        <v>3088</v>
      </c>
      <c r="AD210" s="73" t="s">
        <v>3088</v>
      </c>
      <c r="AE210" s="73" t="s">
        <v>3088</v>
      </c>
      <c r="AF210" s="73" t="s">
        <v>3088</v>
      </c>
      <c r="AG210" s="73" t="s">
        <v>3088</v>
      </c>
      <c r="AH210" s="73" t="s">
        <v>3088</v>
      </c>
      <c r="AI210" s="73" t="s">
        <v>3088</v>
      </c>
      <c r="AJ210" s="73" t="s">
        <v>3088</v>
      </c>
      <c r="AK210" s="73" t="s">
        <v>3088</v>
      </c>
      <c r="AL210" s="73" t="s">
        <v>3088</v>
      </c>
      <c r="AM210" s="73" t="s">
        <v>3088</v>
      </c>
      <c r="AN210" s="73" t="s">
        <v>3088</v>
      </c>
      <c r="AO210" s="73" t="s">
        <v>3088</v>
      </c>
      <c r="AP210" s="73" t="s">
        <v>3088</v>
      </c>
      <c r="AQ210" s="73" t="s">
        <v>3088</v>
      </c>
      <c r="AR210" s="73" t="s">
        <v>3088</v>
      </c>
      <c r="AS210" s="73" t="s">
        <v>3088</v>
      </c>
      <c r="AT210" s="73" t="s">
        <v>3088</v>
      </c>
      <c r="AU210" s="73" t="s">
        <v>3088</v>
      </c>
      <c r="AV210" s="73" t="s">
        <v>3088</v>
      </c>
      <c r="AW210" s="73" t="s">
        <v>3088</v>
      </c>
      <c r="AX210" s="73" t="s">
        <v>3088</v>
      </c>
      <c r="AY210" s="73" t="s">
        <v>3088</v>
      </c>
      <c r="AZ210" s="73" t="s">
        <v>3088</v>
      </c>
      <c r="BA210" s="73" t="s">
        <v>3088</v>
      </c>
      <c r="BB210" s="73" t="s">
        <v>3088</v>
      </c>
      <c r="BC210" s="73" t="s">
        <v>3088</v>
      </c>
      <c r="BD210" s="73" t="s">
        <v>3088</v>
      </c>
      <c r="BE210" s="73" t="s">
        <v>3088</v>
      </c>
      <c r="BF210" s="73" t="s">
        <v>3088</v>
      </c>
      <c r="BG210" s="73" t="s">
        <v>3088</v>
      </c>
      <c r="BH210" s="73" t="s">
        <v>3088</v>
      </c>
      <c r="BI210" s="73" t="s">
        <v>3088</v>
      </c>
      <c r="BJ210" s="73" t="s">
        <v>3088</v>
      </c>
      <c r="BK210" s="73" t="s">
        <v>3088</v>
      </c>
      <c r="BL210" s="73" t="s">
        <v>3088</v>
      </c>
      <c r="BM210" s="73" t="s">
        <v>3088</v>
      </c>
      <c r="BN210" s="73" t="s">
        <v>3088</v>
      </c>
      <c r="BO210" s="73" t="s">
        <v>3088</v>
      </c>
      <c r="BP210" s="73" t="s">
        <v>3088</v>
      </c>
      <c r="BQ210" s="73" t="s">
        <v>3525</v>
      </c>
      <c r="BR210" s="73" t="s">
        <v>3088</v>
      </c>
    </row>
    <row r="211" spans="1:70">
      <c r="A211" s="73" t="s">
        <v>1872</v>
      </c>
      <c r="B211" s="73" t="s">
        <v>2792</v>
      </c>
      <c r="C211" s="73" t="s">
        <v>2582</v>
      </c>
      <c r="D211" s="73" t="s">
        <v>3088</v>
      </c>
      <c r="E211" s="73" t="s">
        <v>3088</v>
      </c>
      <c r="F211" s="73" t="s">
        <v>3088</v>
      </c>
      <c r="G211" s="73" t="s">
        <v>3089</v>
      </c>
      <c r="H211" s="73" t="s">
        <v>3088</v>
      </c>
      <c r="I211" s="73" t="s">
        <v>227</v>
      </c>
      <c r="J211" s="73" t="s">
        <v>3088</v>
      </c>
      <c r="K211" s="73" t="s">
        <v>3088</v>
      </c>
      <c r="L211" s="73" t="s">
        <v>3113</v>
      </c>
      <c r="M211" s="73" t="s">
        <v>3088</v>
      </c>
      <c r="N211" s="73" t="s">
        <v>3088</v>
      </c>
      <c r="O211" s="73" t="s">
        <v>3088</v>
      </c>
      <c r="P211" s="73" t="s">
        <v>3088</v>
      </c>
      <c r="Q211" s="73" t="s">
        <v>3088</v>
      </c>
      <c r="R211" s="73" t="s">
        <v>3088</v>
      </c>
      <c r="S211" s="73" t="s">
        <v>3088</v>
      </c>
      <c r="T211" s="73" t="s">
        <v>3088</v>
      </c>
      <c r="U211" s="73" t="s">
        <v>3088</v>
      </c>
      <c r="V211" s="73" t="s">
        <v>3088</v>
      </c>
      <c r="W211" s="73" t="s">
        <v>3088</v>
      </c>
      <c r="X211" s="73" t="s">
        <v>3088</v>
      </c>
      <c r="Y211" s="73" t="s">
        <v>3088</v>
      </c>
      <c r="Z211" s="73" t="s">
        <v>3088</v>
      </c>
      <c r="AA211" s="73" t="s">
        <v>3088</v>
      </c>
      <c r="AB211" s="73" t="s">
        <v>3088</v>
      </c>
      <c r="AC211" s="73" t="s">
        <v>3088</v>
      </c>
      <c r="AD211" s="73" t="s">
        <v>3088</v>
      </c>
      <c r="AE211" s="73" t="s">
        <v>3088</v>
      </c>
      <c r="AF211" s="73" t="s">
        <v>3088</v>
      </c>
      <c r="AG211" s="73" t="s">
        <v>3088</v>
      </c>
      <c r="AH211" s="73" t="s">
        <v>3088</v>
      </c>
      <c r="AI211" s="73" t="s">
        <v>3088</v>
      </c>
      <c r="AJ211" s="73" t="s">
        <v>3088</v>
      </c>
      <c r="AK211" s="73" t="s">
        <v>3088</v>
      </c>
      <c r="AL211" s="73" t="s">
        <v>3088</v>
      </c>
      <c r="AM211" s="73" t="s">
        <v>3088</v>
      </c>
      <c r="AN211" s="73" t="s">
        <v>3088</v>
      </c>
      <c r="AO211" s="73" t="s">
        <v>3088</v>
      </c>
      <c r="AP211" s="73" t="s">
        <v>3088</v>
      </c>
      <c r="AQ211" s="73" t="s">
        <v>3088</v>
      </c>
      <c r="AR211" s="73" t="s">
        <v>3088</v>
      </c>
      <c r="AS211" s="73" t="s">
        <v>3088</v>
      </c>
      <c r="AT211" s="73" t="s">
        <v>3088</v>
      </c>
      <c r="AU211" s="73" t="s">
        <v>3088</v>
      </c>
      <c r="AV211" s="73" t="s">
        <v>3088</v>
      </c>
      <c r="AW211" s="73" t="s">
        <v>3088</v>
      </c>
      <c r="AX211" s="73" t="s">
        <v>3088</v>
      </c>
      <c r="AY211" s="73" t="s">
        <v>3088</v>
      </c>
      <c r="AZ211" s="73" t="s">
        <v>3088</v>
      </c>
      <c r="BA211" s="73" t="s">
        <v>3088</v>
      </c>
      <c r="BB211" s="73" t="s">
        <v>3088</v>
      </c>
      <c r="BC211" s="73" t="s">
        <v>3088</v>
      </c>
      <c r="BD211" s="73" t="s">
        <v>3088</v>
      </c>
      <c r="BE211" s="73" t="s">
        <v>3088</v>
      </c>
      <c r="BF211" s="73" t="s">
        <v>3088</v>
      </c>
      <c r="BG211" s="73" t="s">
        <v>3088</v>
      </c>
      <c r="BH211" s="73" t="s">
        <v>3088</v>
      </c>
      <c r="BI211" s="73" t="s">
        <v>3088</v>
      </c>
      <c r="BJ211" s="73" t="s">
        <v>3088</v>
      </c>
      <c r="BK211" s="73" t="s">
        <v>3088</v>
      </c>
      <c r="BL211" s="73" t="s">
        <v>3088</v>
      </c>
      <c r="BM211" s="73" t="s">
        <v>3088</v>
      </c>
      <c r="BN211" s="73" t="s">
        <v>3088</v>
      </c>
      <c r="BO211" s="73" t="s">
        <v>3088</v>
      </c>
      <c r="BP211" s="73" t="s">
        <v>3088</v>
      </c>
      <c r="BQ211" s="73" t="s">
        <v>3526</v>
      </c>
      <c r="BR211" s="73" t="s">
        <v>3088</v>
      </c>
    </row>
    <row r="212" spans="1:70">
      <c r="A212" s="73" t="s">
        <v>1872</v>
      </c>
      <c r="B212" s="73" t="s">
        <v>2717</v>
      </c>
      <c r="C212" s="73" t="s">
        <v>2559</v>
      </c>
      <c r="D212" s="73" t="s">
        <v>3088</v>
      </c>
      <c r="E212" s="73" t="s">
        <v>3088</v>
      </c>
      <c r="F212" s="73" t="s">
        <v>3088</v>
      </c>
      <c r="G212" s="73" t="s">
        <v>3089</v>
      </c>
      <c r="H212" s="73" t="s">
        <v>3088</v>
      </c>
      <c r="I212" s="73" t="s">
        <v>108</v>
      </c>
      <c r="J212" s="73" t="s">
        <v>3527</v>
      </c>
      <c r="K212" s="73" t="s">
        <v>3089</v>
      </c>
      <c r="L212" s="73" t="s">
        <v>2193</v>
      </c>
      <c r="M212" s="73" t="s">
        <v>3527</v>
      </c>
      <c r="N212" s="73" t="s">
        <v>3089</v>
      </c>
      <c r="O212" s="73" t="s">
        <v>3088</v>
      </c>
      <c r="P212" s="73" t="s">
        <v>3088</v>
      </c>
      <c r="Q212" s="73" t="s">
        <v>3088</v>
      </c>
      <c r="R212" s="73" t="s">
        <v>3088</v>
      </c>
      <c r="S212" s="73" t="s">
        <v>3088</v>
      </c>
      <c r="T212" s="73" t="s">
        <v>3088</v>
      </c>
      <c r="U212" s="73" t="s">
        <v>3088</v>
      </c>
      <c r="V212" s="73" t="s">
        <v>3088</v>
      </c>
      <c r="W212" s="73" t="s">
        <v>3088</v>
      </c>
      <c r="X212" s="73" t="s">
        <v>3088</v>
      </c>
      <c r="Y212" s="73" t="s">
        <v>3088</v>
      </c>
      <c r="Z212" s="73" t="s">
        <v>3088</v>
      </c>
      <c r="AA212" s="73" t="s">
        <v>3088</v>
      </c>
      <c r="AB212" s="73" t="s">
        <v>3088</v>
      </c>
      <c r="AC212" s="73" t="s">
        <v>3088</v>
      </c>
      <c r="AD212" s="73" t="s">
        <v>3088</v>
      </c>
      <c r="AE212" s="73" t="s">
        <v>3088</v>
      </c>
      <c r="AF212" s="73" t="s">
        <v>3088</v>
      </c>
      <c r="AG212" s="73" t="s">
        <v>3088</v>
      </c>
      <c r="AH212" s="73" t="s">
        <v>3088</v>
      </c>
      <c r="AI212" s="73" t="s">
        <v>3088</v>
      </c>
      <c r="AJ212" s="73" t="s">
        <v>3088</v>
      </c>
      <c r="AK212" s="73" t="s">
        <v>3088</v>
      </c>
      <c r="AL212" s="73" t="s">
        <v>3088</v>
      </c>
      <c r="AM212" s="73" t="s">
        <v>3088</v>
      </c>
      <c r="AN212" s="73" t="s">
        <v>3088</v>
      </c>
      <c r="AO212" s="73" t="s">
        <v>3088</v>
      </c>
      <c r="AP212" s="73" t="s">
        <v>3088</v>
      </c>
      <c r="AQ212" s="73" t="s">
        <v>3088</v>
      </c>
      <c r="AR212" s="73" t="s">
        <v>3088</v>
      </c>
      <c r="AS212" s="73" t="s">
        <v>3088</v>
      </c>
      <c r="AT212" s="73" t="s">
        <v>3088</v>
      </c>
      <c r="AU212" s="73" t="s">
        <v>3088</v>
      </c>
      <c r="AV212" s="73" t="s">
        <v>3088</v>
      </c>
      <c r="AW212" s="73" t="s">
        <v>3088</v>
      </c>
      <c r="AX212" s="73" t="s">
        <v>3088</v>
      </c>
      <c r="AY212" s="73" t="s">
        <v>3088</v>
      </c>
      <c r="AZ212" s="73" t="s">
        <v>3088</v>
      </c>
      <c r="BA212" s="73" t="s">
        <v>3088</v>
      </c>
      <c r="BB212" s="73" t="s">
        <v>3088</v>
      </c>
      <c r="BC212" s="73" t="s">
        <v>3088</v>
      </c>
      <c r="BD212" s="73" t="s">
        <v>3088</v>
      </c>
      <c r="BE212" s="73" t="s">
        <v>3088</v>
      </c>
      <c r="BF212" s="73" t="s">
        <v>3088</v>
      </c>
      <c r="BG212" s="73" t="s">
        <v>3088</v>
      </c>
      <c r="BH212" s="73" t="s">
        <v>3088</v>
      </c>
      <c r="BI212" s="73" t="s">
        <v>3088</v>
      </c>
      <c r="BJ212" s="73" t="s">
        <v>3088</v>
      </c>
      <c r="BK212" s="73" t="s">
        <v>3088</v>
      </c>
      <c r="BL212" s="73" t="s">
        <v>3088</v>
      </c>
      <c r="BM212" s="73" t="s">
        <v>3088</v>
      </c>
      <c r="BN212" s="73" t="s">
        <v>3088</v>
      </c>
      <c r="BO212" s="73" t="s">
        <v>3088</v>
      </c>
      <c r="BP212" s="73" t="s">
        <v>3088</v>
      </c>
      <c r="BQ212" s="73" t="s">
        <v>3528</v>
      </c>
      <c r="BR212" s="73" t="s">
        <v>3088</v>
      </c>
    </row>
    <row r="213" spans="1:70">
      <c r="A213" s="73" t="s">
        <v>1872</v>
      </c>
      <c r="B213" s="73" t="s">
        <v>2719</v>
      </c>
      <c r="C213" s="73" t="s">
        <v>2559</v>
      </c>
      <c r="D213" s="73" t="s">
        <v>3088</v>
      </c>
      <c r="E213" s="73" t="s">
        <v>3088</v>
      </c>
      <c r="F213" s="73" t="s">
        <v>3088</v>
      </c>
      <c r="G213" s="73" t="s">
        <v>3089</v>
      </c>
      <c r="H213" s="73" t="s">
        <v>3088</v>
      </c>
      <c r="I213" s="73" t="s">
        <v>108</v>
      </c>
      <c r="J213" s="73" t="s">
        <v>2720</v>
      </c>
      <c r="K213" s="73" t="s">
        <v>3089</v>
      </c>
      <c r="L213" s="73" t="s">
        <v>3088</v>
      </c>
      <c r="M213" s="73" t="s">
        <v>3088</v>
      </c>
      <c r="N213" s="73" t="s">
        <v>3088</v>
      </c>
      <c r="O213" s="73" t="s">
        <v>3088</v>
      </c>
      <c r="P213" s="73" t="s">
        <v>3088</v>
      </c>
      <c r="Q213" s="73" t="s">
        <v>3088</v>
      </c>
      <c r="R213" s="73" t="s">
        <v>3088</v>
      </c>
      <c r="S213" s="73" t="s">
        <v>3088</v>
      </c>
      <c r="T213" s="73" t="s">
        <v>3088</v>
      </c>
      <c r="U213" s="73" t="s">
        <v>3088</v>
      </c>
      <c r="V213" s="73" t="s">
        <v>3088</v>
      </c>
      <c r="W213" s="73" t="s">
        <v>3088</v>
      </c>
      <c r="X213" s="73" t="s">
        <v>3088</v>
      </c>
      <c r="Y213" s="73" t="s">
        <v>3088</v>
      </c>
      <c r="Z213" s="73" t="s">
        <v>3088</v>
      </c>
      <c r="AA213" s="73" t="s">
        <v>3088</v>
      </c>
      <c r="AB213" s="73" t="s">
        <v>3088</v>
      </c>
      <c r="AC213" s="73" t="s">
        <v>3088</v>
      </c>
      <c r="AD213" s="73" t="s">
        <v>3088</v>
      </c>
      <c r="AE213" s="73" t="s">
        <v>3088</v>
      </c>
      <c r="AF213" s="73" t="s">
        <v>3088</v>
      </c>
      <c r="AG213" s="73" t="s">
        <v>3088</v>
      </c>
      <c r="AH213" s="73" t="s">
        <v>3088</v>
      </c>
      <c r="AI213" s="73" t="s">
        <v>3088</v>
      </c>
      <c r="AJ213" s="73" t="s">
        <v>3088</v>
      </c>
      <c r="AK213" s="73" t="s">
        <v>3088</v>
      </c>
      <c r="AL213" s="73" t="s">
        <v>3088</v>
      </c>
      <c r="AM213" s="73" t="s">
        <v>3088</v>
      </c>
      <c r="AN213" s="73" t="s">
        <v>3088</v>
      </c>
      <c r="AO213" s="73" t="s">
        <v>3088</v>
      </c>
      <c r="AP213" s="73" t="s">
        <v>3088</v>
      </c>
      <c r="AQ213" s="73" t="s">
        <v>3088</v>
      </c>
      <c r="AR213" s="73" t="s">
        <v>3088</v>
      </c>
      <c r="AS213" s="73" t="s">
        <v>3088</v>
      </c>
      <c r="AT213" s="73" t="s">
        <v>3088</v>
      </c>
      <c r="AU213" s="73" t="s">
        <v>3088</v>
      </c>
      <c r="AV213" s="73" t="s">
        <v>3088</v>
      </c>
      <c r="AW213" s="73" t="s">
        <v>3088</v>
      </c>
      <c r="AX213" s="73" t="s">
        <v>3088</v>
      </c>
      <c r="AY213" s="73" t="s">
        <v>3088</v>
      </c>
      <c r="AZ213" s="73" t="s">
        <v>3088</v>
      </c>
      <c r="BA213" s="73" t="s">
        <v>3088</v>
      </c>
      <c r="BB213" s="73" t="s">
        <v>3088</v>
      </c>
      <c r="BC213" s="73" t="s">
        <v>3088</v>
      </c>
      <c r="BD213" s="73" t="s">
        <v>3088</v>
      </c>
      <c r="BE213" s="73" t="s">
        <v>3088</v>
      </c>
      <c r="BF213" s="73" t="s">
        <v>3088</v>
      </c>
      <c r="BG213" s="73" t="s">
        <v>3088</v>
      </c>
      <c r="BH213" s="73" t="s">
        <v>3088</v>
      </c>
      <c r="BI213" s="73" t="s">
        <v>3088</v>
      </c>
      <c r="BJ213" s="73" t="s">
        <v>3088</v>
      </c>
      <c r="BK213" s="73" t="s">
        <v>3088</v>
      </c>
      <c r="BL213" s="73" t="s">
        <v>3088</v>
      </c>
      <c r="BM213" s="73" t="s">
        <v>3088</v>
      </c>
      <c r="BN213" s="73" t="s">
        <v>3088</v>
      </c>
      <c r="BO213" s="73" t="s">
        <v>3088</v>
      </c>
      <c r="BP213" s="73" t="s">
        <v>3088</v>
      </c>
      <c r="BQ213" s="73" t="s">
        <v>3529</v>
      </c>
      <c r="BR213" s="73" t="s">
        <v>3088</v>
      </c>
    </row>
    <row r="214" spans="1:70">
      <c r="A214" s="73" t="s">
        <v>1872</v>
      </c>
      <c r="B214" s="73" t="s">
        <v>3530</v>
      </c>
      <c r="C214" s="73" t="s">
        <v>2619</v>
      </c>
      <c r="D214" s="73" t="s">
        <v>3088</v>
      </c>
      <c r="E214" s="73" t="s">
        <v>3088</v>
      </c>
      <c r="F214" s="73" t="s">
        <v>3088</v>
      </c>
      <c r="G214" s="73" t="s">
        <v>3089</v>
      </c>
      <c r="H214" s="73" t="s">
        <v>3088</v>
      </c>
      <c r="I214" s="73" t="s">
        <v>3093</v>
      </c>
      <c r="J214" s="73" t="s">
        <v>3531</v>
      </c>
      <c r="K214" s="73" t="s">
        <v>3089</v>
      </c>
      <c r="L214" s="73" t="s">
        <v>3088</v>
      </c>
      <c r="M214" s="73" t="s">
        <v>3088</v>
      </c>
      <c r="N214" s="73" t="s">
        <v>3088</v>
      </c>
      <c r="O214" s="73" t="s">
        <v>3088</v>
      </c>
      <c r="P214" s="73" t="s">
        <v>3088</v>
      </c>
      <c r="Q214" s="73" t="s">
        <v>3088</v>
      </c>
      <c r="R214" s="73" t="s">
        <v>3088</v>
      </c>
      <c r="S214" s="73" t="s">
        <v>3088</v>
      </c>
      <c r="T214" s="73" t="s">
        <v>3088</v>
      </c>
      <c r="U214" s="73" t="s">
        <v>3088</v>
      </c>
      <c r="V214" s="73" t="s">
        <v>3088</v>
      </c>
      <c r="W214" s="73" t="s">
        <v>3088</v>
      </c>
      <c r="X214" s="73" t="s">
        <v>3088</v>
      </c>
      <c r="Y214" s="73" t="s">
        <v>3088</v>
      </c>
      <c r="Z214" s="73" t="s">
        <v>3088</v>
      </c>
      <c r="AA214" s="73" t="s">
        <v>3088</v>
      </c>
      <c r="AB214" s="73" t="s">
        <v>3088</v>
      </c>
      <c r="AC214" s="73" t="s">
        <v>3088</v>
      </c>
      <c r="AD214" s="73" t="s">
        <v>3088</v>
      </c>
      <c r="AE214" s="73" t="s">
        <v>3088</v>
      </c>
      <c r="AF214" s="73" t="s">
        <v>3088</v>
      </c>
      <c r="AG214" s="73" t="s">
        <v>3088</v>
      </c>
      <c r="AH214" s="73" t="s">
        <v>3088</v>
      </c>
      <c r="AI214" s="73" t="s">
        <v>3088</v>
      </c>
      <c r="AJ214" s="73" t="s">
        <v>3088</v>
      </c>
      <c r="AK214" s="73" t="s">
        <v>3088</v>
      </c>
      <c r="AL214" s="73" t="s">
        <v>3088</v>
      </c>
      <c r="AM214" s="73" t="s">
        <v>3088</v>
      </c>
      <c r="AN214" s="73" t="s">
        <v>3088</v>
      </c>
      <c r="AO214" s="73" t="s">
        <v>3088</v>
      </c>
      <c r="AP214" s="73" t="s">
        <v>3088</v>
      </c>
      <c r="AQ214" s="73" t="s">
        <v>3088</v>
      </c>
      <c r="AR214" s="73" t="s">
        <v>3088</v>
      </c>
      <c r="AS214" s="73" t="s">
        <v>3088</v>
      </c>
      <c r="AT214" s="73" t="s">
        <v>3088</v>
      </c>
      <c r="AU214" s="73" t="s">
        <v>3088</v>
      </c>
      <c r="AV214" s="73" t="s">
        <v>3088</v>
      </c>
      <c r="AW214" s="73" t="s">
        <v>3088</v>
      </c>
      <c r="AX214" s="73" t="s">
        <v>3088</v>
      </c>
      <c r="AY214" s="73" t="s">
        <v>3088</v>
      </c>
      <c r="AZ214" s="73" t="s">
        <v>3088</v>
      </c>
      <c r="BA214" s="73" t="s">
        <v>3088</v>
      </c>
      <c r="BB214" s="73" t="s">
        <v>3088</v>
      </c>
      <c r="BC214" s="73" t="s">
        <v>3088</v>
      </c>
      <c r="BD214" s="73" t="s">
        <v>3088</v>
      </c>
      <c r="BE214" s="73" t="s">
        <v>3088</v>
      </c>
      <c r="BF214" s="73" t="s">
        <v>3088</v>
      </c>
      <c r="BG214" s="73" t="s">
        <v>3088</v>
      </c>
      <c r="BH214" s="73" t="s">
        <v>3088</v>
      </c>
      <c r="BI214" s="73" t="s">
        <v>3088</v>
      </c>
      <c r="BJ214" s="73" t="s">
        <v>3088</v>
      </c>
      <c r="BK214" s="73" t="s">
        <v>3088</v>
      </c>
      <c r="BL214" s="73" t="s">
        <v>3088</v>
      </c>
      <c r="BM214" s="73" t="s">
        <v>3088</v>
      </c>
      <c r="BN214" s="73" t="s">
        <v>3088</v>
      </c>
      <c r="BO214" s="73" t="s">
        <v>3088</v>
      </c>
      <c r="BP214" s="73" t="s">
        <v>3088</v>
      </c>
      <c r="BQ214" s="73" t="s">
        <v>3532</v>
      </c>
      <c r="BR214" s="73" t="s">
        <v>3088</v>
      </c>
    </row>
    <row r="215" spans="1:70">
      <c r="A215" s="73" t="s">
        <v>1872</v>
      </c>
      <c r="B215" s="73" t="s">
        <v>3533</v>
      </c>
      <c r="C215" s="73" t="s">
        <v>2554</v>
      </c>
      <c r="D215" s="73" t="s">
        <v>3088</v>
      </c>
      <c r="E215" s="73" t="s">
        <v>3088</v>
      </c>
      <c r="F215" s="73" t="s">
        <v>3088</v>
      </c>
      <c r="G215" s="73" t="s">
        <v>3089</v>
      </c>
      <c r="H215" s="73" t="s">
        <v>3088</v>
      </c>
      <c r="I215" s="73" t="s">
        <v>3093</v>
      </c>
      <c r="J215" s="73" t="s">
        <v>3531</v>
      </c>
      <c r="K215" s="73" t="s">
        <v>3089</v>
      </c>
      <c r="L215" s="73" t="s">
        <v>3088</v>
      </c>
      <c r="M215" s="73" t="s">
        <v>3088</v>
      </c>
      <c r="N215" s="73" t="s">
        <v>3088</v>
      </c>
      <c r="O215" s="73" t="s">
        <v>3088</v>
      </c>
      <c r="P215" s="73" t="s">
        <v>3088</v>
      </c>
      <c r="Q215" s="73" t="s">
        <v>3088</v>
      </c>
      <c r="R215" s="73" t="s">
        <v>3088</v>
      </c>
      <c r="S215" s="73" t="s">
        <v>3088</v>
      </c>
      <c r="T215" s="73" t="s">
        <v>3088</v>
      </c>
      <c r="U215" s="73" t="s">
        <v>3088</v>
      </c>
      <c r="V215" s="73" t="s">
        <v>3088</v>
      </c>
      <c r="W215" s="73" t="s">
        <v>3088</v>
      </c>
      <c r="X215" s="73" t="s">
        <v>3088</v>
      </c>
      <c r="Y215" s="73" t="s">
        <v>3088</v>
      </c>
      <c r="Z215" s="73" t="s">
        <v>3088</v>
      </c>
      <c r="AA215" s="73" t="s">
        <v>3088</v>
      </c>
      <c r="AB215" s="73" t="s">
        <v>3088</v>
      </c>
      <c r="AC215" s="73" t="s">
        <v>3088</v>
      </c>
      <c r="AD215" s="73" t="s">
        <v>3088</v>
      </c>
      <c r="AE215" s="73" t="s">
        <v>3088</v>
      </c>
      <c r="AF215" s="73" t="s">
        <v>3088</v>
      </c>
      <c r="AG215" s="73" t="s">
        <v>3088</v>
      </c>
      <c r="AH215" s="73" t="s">
        <v>3088</v>
      </c>
      <c r="AI215" s="73" t="s">
        <v>3088</v>
      </c>
      <c r="AJ215" s="73" t="s">
        <v>3088</v>
      </c>
      <c r="AK215" s="73" t="s">
        <v>3088</v>
      </c>
      <c r="AL215" s="73" t="s">
        <v>3088</v>
      </c>
      <c r="AM215" s="73" t="s">
        <v>3088</v>
      </c>
      <c r="AN215" s="73" t="s">
        <v>3088</v>
      </c>
      <c r="AO215" s="73" t="s">
        <v>3088</v>
      </c>
      <c r="AP215" s="73" t="s">
        <v>3088</v>
      </c>
      <c r="AQ215" s="73" t="s">
        <v>3088</v>
      </c>
      <c r="AR215" s="73" t="s">
        <v>3088</v>
      </c>
      <c r="AS215" s="73" t="s">
        <v>3088</v>
      </c>
      <c r="AT215" s="73" t="s">
        <v>3088</v>
      </c>
      <c r="AU215" s="73" t="s">
        <v>3088</v>
      </c>
      <c r="AV215" s="73" t="s">
        <v>3088</v>
      </c>
      <c r="AW215" s="73" t="s">
        <v>3088</v>
      </c>
      <c r="AX215" s="73" t="s">
        <v>3088</v>
      </c>
      <c r="AY215" s="73" t="s">
        <v>3088</v>
      </c>
      <c r="AZ215" s="73" t="s">
        <v>3088</v>
      </c>
      <c r="BA215" s="73" t="s">
        <v>3088</v>
      </c>
      <c r="BB215" s="73" t="s">
        <v>3088</v>
      </c>
      <c r="BC215" s="73" t="s">
        <v>3088</v>
      </c>
      <c r="BD215" s="73" t="s">
        <v>3088</v>
      </c>
      <c r="BE215" s="73" t="s">
        <v>3088</v>
      </c>
      <c r="BF215" s="73" t="s">
        <v>3088</v>
      </c>
      <c r="BG215" s="73" t="s">
        <v>3088</v>
      </c>
      <c r="BH215" s="73" t="s">
        <v>3088</v>
      </c>
      <c r="BI215" s="73" t="s">
        <v>3088</v>
      </c>
      <c r="BJ215" s="73" t="s">
        <v>3088</v>
      </c>
      <c r="BK215" s="73" t="s">
        <v>3088</v>
      </c>
      <c r="BL215" s="73" t="s">
        <v>3088</v>
      </c>
      <c r="BM215" s="73" t="s">
        <v>3088</v>
      </c>
      <c r="BN215" s="73" t="s">
        <v>3088</v>
      </c>
      <c r="BO215" s="73" t="s">
        <v>3088</v>
      </c>
      <c r="BP215" s="73" t="s">
        <v>3088</v>
      </c>
      <c r="BQ215" s="73" t="s">
        <v>3534</v>
      </c>
      <c r="BR215" s="73" t="s">
        <v>3088</v>
      </c>
    </row>
    <row r="216" spans="1:70">
      <c r="A216" s="73" t="s">
        <v>1872</v>
      </c>
      <c r="B216" s="73" t="s">
        <v>2721</v>
      </c>
      <c r="C216" s="73" t="s">
        <v>2591</v>
      </c>
      <c r="D216" s="73" t="s">
        <v>3088</v>
      </c>
      <c r="E216" s="73" t="s">
        <v>3088</v>
      </c>
      <c r="F216" s="73" t="s">
        <v>3088</v>
      </c>
      <c r="G216" s="73" t="s">
        <v>3089</v>
      </c>
      <c r="H216" s="73" t="s">
        <v>3088</v>
      </c>
      <c r="I216" s="73" t="s">
        <v>108</v>
      </c>
      <c r="J216" s="73" t="s">
        <v>3517</v>
      </c>
      <c r="K216" s="73" t="s">
        <v>3089</v>
      </c>
      <c r="L216" s="73" t="s">
        <v>2193</v>
      </c>
      <c r="M216" s="73" t="s">
        <v>3517</v>
      </c>
      <c r="N216" s="73" t="s">
        <v>3089</v>
      </c>
      <c r="O216" s="73" t="s">
        <v>3088</v>
      </c>
      <c r="P216" s="73" t="s">
        <v>3088</v>
      </c>
      <c r="Q216" s="73" t="s">
        <v>3088</v>
      </c>
      <c r="R216" s="73" t="s">
        <v>3088</v>
      </c>
      <c r="S216" s="73" t="s">
        <v>3088</v>
      </c>
      <c r="T216" s="73" t="s">
        <v>3088</v>
      </c>
      <c r="U216" s="73" t="s">
        <v>3088</v>
      </c>
      <c r="V216" s="73" t="s">
        <v>3088</v>
      </c>
      <c r="W216" s="73" t="s">
        <v>3088</v>
      </c>
      <c r="X216" s="73" t="s">
        <v>3088</v>
      </c>
      <c r="Y216" s="73" t="s">
        <v>3088</v>
      </c>
      <c r="Z216" s="73" t="s">
        <v>3088</v>
      </c>
      <c r="AA216" s="73" t="s">
        <v>3088</v>
      </c>
      <c r="AB216" s="73" t="s">
        <v>3088</v>
      </c>
      <c r="AC216" s="73" t="s">
        <v>3088</v>
      </c>
      <c r="AD216" s="73" t="s">
        <v>3088</v>
      </c>
      <c r="AE216" s="73" t="s">
        <v>3088</v>
      </c>
      <c r="AF216" s="73" t="s">
        <v>3088</v>
      </c>
      <c r="AG216" s="73" t="s">
        <v>3088</v>
      </c>
      <c r="AH216" s="73" t="s">
        <v>3088</v>
      </c>
      <c r="AI216" s="73" t="s">
        <v>3088</v>
      </c>
      <c r="AJ216" s="73" t="s">
        <v>3088</v>
      </c>
      <c r="AK216" s="73" t="s">
        <v>3088</v>
      </c>
      <c r="AL216" s="73" t="s">
        <v>3088</v>
      </c>
      <c r="AM216" s="73" t="s">
        <v>3088</v>
      </c>
      <c r="AN216" s="73" t="s">
        <v>3088</v>
      </c>
      <c r="AO216" s="73" t="s">
        <v>3088</v>
      </c>
      <c r="AP216" s="73" t="s">
        <v>3088</v>
      </c>
      <c r="AQ216" s="73" t="s">
        <v>3088</v>
      </c>
      <c r="AR216" s="73" t="s">
        <v>3088</v>
      </c>
      <c r="AS216" s="73" t="s">
        <v>3088</v>
      </c>
      <c r="AT216" s="73" t="s">
        <v>3088</v>
      </c>
      <c r="AU216" s="73" t="s">
        <v>3088</v>
      </c>
      <c r="AV216" s="73" t="s">
        <v>3088</v>
      </c>
      <c r="AW216" s="73" t="s">
        <v>3088</v>
      </c>
      <c r="AX216" s="73" t="s">
        <v>3088</v>
      </c>
      <c r="AY216" s="73" t="s">
        <v>3088</v>
      </c>
      <c r="AZ216" s="73" t="s">
        <v>3088</v>
      </c>
      <c r="BA216" s="73" t="s">
        <v>3088</v>
      </c>
      <c r="BB216" s="73" t="s">
        <v>3088</v>
      </c>
      <c r="BC216" s="73" t="s">
        <v>3088</v>
      </c>
      <c r="BD216" s="73" t="s">
        <v>3088</v>
      </c>
      <c r="BE216" s="73" t="s">
        <v>3088</v>
      </c>
      <c r="BF216" s="73" t="s">
        <v>3088</v>
      </c>
      <c r="BG216" s="73" t="s">
        <v>3088</v>
      </c>
      <c r="BH216" s="73" t="s">
        <v>3088</v>
      </c>
      <c r="BI216" s="73" t="s">
        <v>3088</v>
      </c>
      <c r="BJ216" s="73" t="s">
        <v>3088</v>
      </c>
      <c r="BK216" s="73" t="s">
        <v>3088</v>
      </c>
      <c r="BL216" s="73" t="s">
        <v>3088</v>
      </c>
      <c r="BM216" s="73" t="s">
        <v>3088</v>
      </c>
      <c r="BN216" s="73" t="s">
        <v>3088</v>
      </c>
      <c r="BO216" s="73" t="s">
        <v>3088</v>
      </c>
      <c r="BP216" s="73" t="s">
        <v>3088</v>
      </c>
      <c r="BQ216" s="73" t="s">
        <v>3535</v>
      </c>
      <c r="BR216" s="73" t="s">
        <v>3088</v>
      </c>
    </row>
    <row r="217" spans="1:70">
      <c r="A217" s="73" t="s">
        <v>1872</v>
      </c>
      <c r="B217" s="73" t="s">
        <v>3536</v>
      </c>
      <c r="C217" s="73" t="s">
        <v>2582</v>
      </c>
      <c r="D217" s="73" t="s">
        <v>3088</v>
      </c>
      <c r="E217" s="73" t="s">
        <v>3088</v>
      </c>
      <c r="F217" s="73" t="s">
        <v>3088</v>
      </c>
      <c r="G217" s="73" t="s">
        <v>3089</v>
      </c>
      <c r="H217" s="73" t="s">
        <v>3088</v>
      </c>
      <c r="I217" s="73" t="s">
        <v>3093</v>
      </c>
      <c r="J217" s="73" t="s">
        <v>3088</v>
      </c>
      <c r="K217" s="73" t="s">
        <v>3088</v>
      </c>
      <c r="L217" s="73" t="s">
        <v>3088</v>
      </c>
      <c r="M217" s="73" t="s">
        <v>3088</v>
      </c>
      <c r="N217" s="73" t="s">
        <v>3088</v>
      </c>
      <c r="O217" s="73" t="s">
        <v>3088</v>
      </c>
      <c r="P217" s="73" t="s">
        <v>3088</v>
      </c>
      <c r="Q217" s="73" t="s">
        <v>3088</v>
      </c>
      <c r="R217" s="73" t="s">
        <v>3088</v>
      </c>
      <c r="S217" s="73" t="s">
        <v>3088</v>
      </c>
      <c r="T217" s="73" t="s">
        <v>3088</v>
      </c>
      <c r="U217" s="73" t="s">
        <v>3088</v>
      </c>
      <c r="V217" s="73" t="s">
        <v>3088</v>
      </c>
      <c r="W217" s="73" t="s">
        <v>3088</v>
      </c>
      <c r="X217" s="73" t="s">
        <v>3088</v>
      </c>
      <c r="Y217" s="73" t="s">
        <v>3088</v>
      </c>
      <c r="Z217" s="73" t="s">
        <v>3088</v>
      </c>
      <c r="AA217" s="73" t="s">
        <v>3088</v>
      </c>
      <c r="AB217" s="73" t="s">
        <v>3088</v>
      </c>
      <c r="AC217" s="73" t="s">
        <v>3088</v>
      </c>
      <c r="AD217" s="73" t="s">
        <v>3088</v>
      </c>
      <c r="AE217" s="73" t="s">
        <v>3088</v>
      </c>
      <c r="AF217" s="73" t="s">
        <v>3088</v>
      </c>
      <c r="AG217" s="73" t="s">
        <v>3088</v>
      </c>
      <c r="AH217" s="73" t="s">
        <v>3088</v>
      </c>
      <c r="AI217" s="73" t="s">
        <v>3088</v>
      </c>
      <c r="AJ217" s="73" t="s">
        <v>3088</v>
      </c>
      <c r="AK217" s="73" t="s">
        <v>3088</v>
      </c>
      <c r="AL217" s="73" t="s">
        <v>3088</v>
      </c>
      <c r="AM217" s="73" t="s">
        <v>3088</v>
      </c>
      <c r="AN217" s="73" t="s">
        <v>3088</v>
      </c>
      <c r="AO217" s="73" t="s">
        <v>3088</v>
      </c>
      <c r="AP217" s="73" t="s">
        <v>3088</v>
      </c>
      <c r="AQ217" s="73" t="s">
        <v>3088</v>
      </c>
      <c r="AR217" s="73" t="s">
        <v>3088</v>
      </c>
      <c r="AS217" s="73" t="s">
        <v>3088</v>
      </c>
      <c r="AT217" s="73" t="s">
        <v>3088</v>
      </c>
      <c r="AU217" s="73" t="s">
        <v>3088</v>
      </c>
      <c r="AV217" s="73" t="s">
        <v>3088</v>
      </c>
      <c r="AW217" s="73" t="s">
        <v>3088</v>
      </c>
      <c r="AX217" s="73" t="s">
        <v>3088</v>
      </c>
      <c r="AY217" s="73" t="s">
        <v>3088</v>
      </c>
      <c r="AZ217" s="73" t="s">
        <v>3088</v>
      </c>
      <c r="BA217" s="73" t="s">
        <v>3088</v>
      </c>
      <c r="BB217" s="73" t="s">
        <v>3088</v>
      </c>
      <c r="BC217" s="73" t="s">
        <v>3088</v>
      </c>
      <c r="BD217" s="73" t="s">
        <v>3088</v>
      </c>
      <c r="BE217" s="73" t="s">
        <v>3088</v>
      </c>
      <c r="BF217" s="73" t="s">
        <v>3088</v>
      </c>
      <c r="BG217" s="73" t="s">
        <v>3088</v>
      </c>
      <c r="BH217" s="73" t="s">
        <v>3088</v>
      </c>
      <c r="BI217" s="73" t="s">
        <v>3088</v>
      </c>
      <c r="BJ217" s="73" t="s">
        <v>3088</v>
      </c>
      <c r="BK217" s="73" t="s">
        <v>3088</v>
      </c>
      <c r="BL217" s="73" t="s">
        <v>3088</v>
      </c>
      <c r="BM217" s="73" t="s">
        <v>3088</v>
      </c>
      <c r="BN217" s="73" t="s">
        <v>3088</v>
      </c>
      <c r="BO217" s="73" t="s">
        <v>3088</v>
      </c>
      <c r="BP217" s="73" t="s">
        <v>3088</v>
      </c>
      <c r="BQ217" s="73" t="s">
        <v>3537</v>
      </c>
      <c r="BR217" s="73" t="s">
        <v>3088</v>
      </c>
    </row>
    <row r="218" spans="1:70">
      <c r="A218" s="73" t="s">
        <v>1872</v>
      </c>
      <c r="B218" s="73" t="s">
        <v>3538</v>
      </c>
      <c r="C218" s="73" t="s">
        <v>2533</v>
      </c>
      <c r="D218" s="73" t="s">
        <v>3088</v>
      </c>
      <c r="E218" s="73" t="s">
        <v>3088</v>
      </c>
      <c r="F218" s="73" t="s">
        <v>3088</v>
      </c>
      <c r="G218" s="73" t="s">
        <v>3089</v>
      </c>
      <c r="H218" s="73" t="s">
        <v>3539</v>
      </c>
      <c r="I218" s="73" t="s">
        <v>3088</v>
      </c>
      <c r="J218" s="73" t="s">
        <v>3088</v>
      </c>
      <c r="K218" s="73" t="s">
        <v>3088</v>
      </c>
      <c r="L218" s="73" t="s">
        <v>3088</v>
      </c>
      <c r="M218" s="73" t="s">
        <v>3088</v>
      </c>
      <c r="N218" s="73" t="s">
        <v>3088</v>
      </c>
      <c r="O218" s="73" t="s">
        <v>3088</v>
      </c>
      <c r="P218" s="73" t="s">
        <v>3088</v>
      </c>
      <c r="Q218" s="73" t="s">
        <v>3088</v>
      </c>
      <c r="R218" s="73" t="s">
        <v>3088</v>
      </c>
      <c r="S218" s="73" t="s">
        <v>3088</v>
      </c>
      <c r="T218" s="73" t="s">
        <v>3088</v>
      </c>
      <c r="U218" s="73" t="s">
        <v>3088</v>
      </c>
      <c r="V218" s="73" t="s">
        <v>3088</v>
      </c>
      <c r="W218" s="73" t="s">
        <v>3088</v>
      </c>
      <c r="X218" s="73" t="s">
        <v>3088</v>
      </c>
      <c r="Y218" s="73" t="s">
        <v>3088</v>
      </c>
      <c r="Z218" s="73" t="s">
        <v>3088</v>
      </c>
      <c r="AA218" s="73" t="s">
        <v>3088</v>
      </c>
      <c r="AB218" s="73" t="s">
        <v>3088</v>
      </c>
      <c r="AC218" s="73" t="s">
        <v>3088</v>
      </c>
      <c r="AD218" s="73" t="s">
        <v>3088</v>
      </c>
      <c r="AE218" s="73" t="s">
        <v>3088</v>
      </c>
      <c r="AF218" s="73" t="s">
        <v>3088</v>
      </c>
      <c r="AG218" s="73" t="s">
        <v>3088</v>
      </c>
      <c r="AH218" s="73" t="s">
        <v>3088</v>
      </c>
      <c r="AI218" s="73" t="s">
        <v>3088</v>
      </c>
      <c r="AJ218" s="73" t="s">
        <v>3088</v>
      </c>
      <c r="AK218" s="73" t="s">
        <v>3088</v>
      </c>
      <c r="AL218" s="73" t="s">
        <v>3088</v>
      </c>
      <c r="AM218" s="73" t="s">
        <v>3088</v>
      </c>
      <c r="AN218" s="73" t="s">
        <v>3088</v>
      </c>
      <c r="AO218" s="73" t="s">
        <v>3088</v>
      </c>
      <c r="AP218" s="73" t="s">
        <v>3088</v>
      </c>
      <c r="AQ218" s="73" t="s">
        <v>3088</v>
      </c>
      <c r="AR218" s="73" t="s">
        <v>3088</v>
      </c>
      <c r="AS218" s="73" t="s">
        <v>3088</v>
      </c>
      <c r="AT218" s="73" t="s">
        <v>3088</v>
      </c>
      <c r="AU218" s="73" t="s">
        <v>3088</v>
      </c>
      <c r="AV218" s="73" t="s">
        <v>3088</v>
      </c>
      <c r="AW218" s="73" t="s">
        <v>3088</v>
      </c>
      <c r="AX218" s="73" t="s">
        <v>3088</v>
      </c>
      <c r="AY218" s="73" t="s">
        <v>3088</v>
      </c>
      <c r="AZ218" s="73" t="s">
        <v>3088</v>
      </c>
      <c r="BA218" s="73" t="s">
        <v>3088</v>
      </c>
      <c r="BB218" s="73" t="s">
        <v>3088</v>
      </c>
      <c r="BC218" s="73" t="s">
        <v>3088</v>
      </c>
      <c r="BD218" s="73" t="s">
        <v>3088</v>
      </c>
      <c r="BE218" s="73" t="s">
        <v>3088</v>
      </c>
      <c r="BF218" s="73" t="s">
        <v>3088</v>
      </c>
      <c r="BG218" s="73" t="s">
        <v>3088</v>
      </c>
      <c r="BH218" s="73" t="s">
        <v>3088</v>
      </c>
      <c r="BI218" s="73" t="s">
        <v>3088</v>
      </c>
      <c r="BJ218" s="73" t="s">
        <v>3088</v>
      </c>
      <c r="BK218" s="73" t="s">
        <v>3088</v>
      </c>
      <c r="BL218" s="73" t="s">
        <v>3088</v>
      </c>
      <c r="BM218" s="73" t="s">
        <v>3088</v>
      </c>
      <c r="BN218" s="73" t="s">
        <v>3088</v>
      </c>
      <c r="BO218" s="73" t="s">
        <v>3088</v>
      </c>
      <c r="BP218" s="73" t="s">
        <v>3088</v>
      </c>
      <c r="BQ218" s="73" t="s">
        <v>3540</v>
      </c>
      <c r="BR218" s="73" t="s">
        <v>3097</v>
      </c>
    </row>
    <row r="219" spans="1:70">
      <c r="A219" s="73" t="s">
        <v>1872</v>
      </c>
      <c r="B219" s="73" t="s">
        <v>3541</v>
      </c>
      <c r="C219" s="73" t="s">
        <v>2563</v>
      </c>
      <c r="D219" s="73" t="s">
        <v>3088</v>
      </c>
      <c r="E219" s="73" t="s">
        <v>3088</v>
      </c>
      <c r="F219" s="73" t="s">
        <v>3088</v>
      </c>
      <c r="G219" s="73" t="s">
        <v>3089</v>
      </c>
      <c r="H219" s="73" t="s">
        <v>3088</v>
      </c>
      <c r="I219" s="73" t="s">
        <v>3093</v>
      </c>
      <c r="J219" s="73" t="s">
        <v>3088</v>
      </c>
      <c r="K219" s="73" t="s">
        <v>3088</v>
      </c>
      <c r="L219" s="73" t="s">
        <v>3088</v>
      </c>
      <c r="M219" s="73" t="s">
        <v>3088</v>
      </c>
      <c r="N219" s="73" t="s">
        <v>3088</v>
      </c>
      <c r="O219" s="73" t="s">
        <v>3088</v>
      </c>
      <c r="P219" s="73" t="s">
        <v>3088</v>
      </c>
      <c r="Q219" s="73" t="s">
        <v>3088</v>
      </c>
      <c r="R219" s="73" t="s">
        <v>3088</v>
      </c>
      <c r="S219" s="73" t="s">
        <v>3088</v>
      </c>
      <c r="T219" s="73" t="s">
        <v>3088</v>
      </c>
      <c r="U219" s="73" t="s">
        <v>3088</v>
      </c>
      <c r="V219" s="73" t="s">
        <v>3088</v>
      </c>
      <c r="W219" s="73" t="s">
        <v>3088</v>
      </c>
      <c r="X219" s="73" t="s">
        <v>3088</v>
      </c>
      <c r="Y219" s="73" t="s">
        <v>3088</v>
      </c>
      <c r="Z219" s="73" t="s">
        <v>3088</v>
      </c>
      <c r="AA219" s="73" t="s">
        <v>3088</v>
      </c>
      <c r="AB219" s="73" t="s">
        <v>3088</v>
      </c>
      <c r="AC219" s="73" t="s">
        <v>3088</v>
      </c>
      <c r="AD219" s="73" t="s">
        <v>3088</v>
      </c>
      <c r="AE219" s="73" t="s">
        <v>3088</v>
      </c>
      <c r="AF219" s="73" t="s">
        <v>3088</v>
      </c>
      <c r="AG219" s="73" t="s">
        <v>3088</v>
      </c>
      <c r="AH219" s="73" t="s">
        <v>3088</v>
      </c>
      <c r="AI219" s="73" t="s">
        <v>3088</v>
      </c>
      <c r="AJ219" s="73" t="s">
        <v>3088</v>
      </c>
      <c r="AK219" s="73" t="s">
        <v>3088</v>
      </c>
      <c r="AL219" s="73" t="s">
        <v>3088</v>
      </c>
      <c r="AM219" s="73" t="s">
        <v>3088</v>
      </c>
      <c r="AN219" s="73" t="s">
        <v>3088</v>
      </c>
      <c r="AO219" s="73" t="s">
        <v>3088</v>
      </c>
      <c r="AP219" s="73" t="s">
        <v>3088</v>
      </c>
      <c r="AQ219" s="73" t="s">
        <v>3088</v>
      </c>
      <c r="AR219" s="73" t="s">
        <v>3088</v>
      </c>
      <c r="AS219" s="73" t="s">
        <v>3088</v>
      </c>
      <c r="AT219" s="73" t="s">
        <v>3088</v>
      </c>
      <c r="AU219" s="73" t="s">
        <v>3088</v>
      </c>
      <c r="AV219" s="73" t="s">
        <v>3088</v>
      </c>
      <c r="AW219" s="73" t="s">
        <v>3088</v>
      </c>
      <c r="AX219" s="73" t="s">
        <v>3088</v>
      </c>
      <c r="AY219" s="73" t="s">
        <v>3088</v>
      </c>
      <c r="AZ219" s="73" t="s">
        <v>3088</v>
      </c>
      <c r="BA219" s="73" t="s">
        <v>3088</v>
      </c>
      <c r="BB219" s="73" t="s">
        <v>3088</v>
      </c>
      <c r="BC219" s="73" t="s">
        <v>3088</v>
      </c>
      <c r="BD219" s="73" t="s">
        <v>3088</v>
      </c>
      <c r="BE219" s="73" t="s">
        <v>3088</v>
      </c>
      <c r="BF219" s="73" t="s">
        <v>3088</v>
      </c>
      <c r="BG219" s="73" t="s">
        <v>3088</v>
      </c>
      <c r="BH219" s="73" t="s">
        <v>3088</v>
      </c>
      <c r="BI219" s="73" t="s">
        <v>3088</v>
      </c>
      <c r="BJ219" s="73" t="s">
        <v>3088</v>
      </c>
      <c r="BK219" s="73" t="s">
        <v>3088</v>
      </c>
      <c r="BL219" s="73" t="s">
        <v>3088</v>
      </c>
      <c r="BM219" s="73" t="s">
        <v>3088</v>
      </c>
      <c r="BN219" s="73" t="s">
        <v>3088</v>
      </c>
      <c r="BO219" s="73" t="s">
        <v>3088</v>
      </c>
      <c r="BP219" s="73" t="s">
        <v>3088</v>
      </c>
      <c r="BQ219" s="73" t="s">
        <v>3542</v>
      </c>
      <c r="BR219" s="73" t="s">
        <v>3088</v>
      </c>
    </row>
    <row r="220" spans="1:70">
      <c r="A220" s="73" t="s">
        <v>1872</v>
      </c>
      <c r="B220" s="73" t="s">
        <v>3543</v>
      </c>
      <c r="C220" s="73" t="s">
        <v>2533</v>
      </c>
      <c r="D220" s="73" t="s">
        <v>3088</v>
      </c>
      <c r="E220" s="73" t="s">
        <v>3088</v>
      </c>
      <c r="F220" s="73" t="s">
        <v>3088</v>
      </c>
      <c r="G220" s="73" t="s">
        <v>3089</v>
      </c>
      <c r="H220" s="73" t="s">
        <v>3088</v>
      </c>
      <c r="I220" s="73" t="s">
        <v>3093</v>
      </c>
      <c r="J220" s="73" t="s">
        <v>3088</v>
      </c>
      <c r="K220" s="73" t="s">
        <v>3088</v>
      </c>
      <c r="L220" s="73" t="s">
        <v>3088</v>
      </c>
      <c r="M220" s="73" t="s">
        <v>3088</v>
      </c>
      <c r="N220" s="73" t="s">
        <v>3088</v>
      </c>
      <c r="O220" s="73" t="s">
        <v>3088</v>
      </c>
      <c r="P220" s="73" t="s">
        <v>3088</v>
      </c>
      <c r="Q220" s="73" t="s">
        <v>3088</v>
      </c>
      <c r="R220" s="73" t="s">
        <v>3088</v>
      </c>
      <c r="S220" s="73" t="s">
        <v>3088</v>
      </c>
      <c r="T220" s="73" t="s">
        <v>3088</v>
      </c>
      <c r="U220" s="73" t="s">
        <v>3088</v>
      </c>
      <c r="V220" s="73" t="s">
        <v>3088</v>
      </c>
      <c r="W220" s="73" t="s">
        <v>3088</v>
      </c>
      <c r="X220" s="73" t="s">
        <v>3088</v>
      </c>
      <c r="Y220" s="73" t="s">
        <v>3088</v>
      </c>
      <c r="Z220" s="73" t="s">
        <v>3088</v>
      </c>
      <c r="AA220" s="73" t="s">
        <v>3088</v>
      </c>
      <c r="AB220" s="73" t="s">
        <v>3088</v>
      </c>
      <c r="AC220" s="73" t="s">
        <v>3088</v>
      </c>
      <c r="AD220" s="73" t="s">
        <v>3088</v>
      </c>
      <c r="AE220" s="73" t="s">
        <v>3088</v>
      </c>
      <c r="AF220" s="73" t="s">
        <v>3088</v>
      </c>
      <c r="AG220" s="73" t="s">
        <v>3088</v>
      </c>
      <c r="AH220" s="73" t="s">
        <v>3088</v>
      </c>
      <c r="AI220" s="73" t="s">
        <v>3088</v>
      </c>
      <c r="AJ220" s="73" t="s">
        <v>3088</v>
      </c>
      <c r="AK220" s="73" t="s">
        <v>3088</v>
      </c>
      <c r="AL220" s="73" t="s">
        <v>3088</v>
      </c>
      <c r="AM220" s="73" t="s">
        <v>3088</v>
      </c>
      <c r="AN220" s="73" t="s">
        <v>3088</v>
      </c>
      <c r="AO220" s="73" t="s">
        <v>3088</v>
      </c>
      <c r="AP220" s="73" t="s">
        <v>3088</v>
      </c>
      <c r="AQ220" s="73" t="s">
        <v>3088</v>
      </c>
      <c r="AR220" s="73" t="s">
        <v>3088</v>
      </c>
      <c r="AS220" s="73" t="s">
        <v>3088</v>
      </c>
      <c r="AT220" s="73" t="s">
        <v>3088</v>
      </c>
      <c r="AU220" s="73" t="s">
        <v>3088</v>
      </c>
      <c r="AV220" s="73" t="s">
        <v>3088</v>
      </c>
      <c r="AW220" s="73" t="s">
        <v>3088</v>
      </c>
      <c r="AX220" s="73" t="s">
        <v>3088</v>
      </c>
      <c r="AY220" s="73" t="s">
        <v>3088</v>
      </c>
      <c r="AZ220" s="73" t="s">
        <v>3088</v>
      </c>
      <c r="BA220" s="73" t="s">
        <v>3088</v>
      </c>
      <c r="BB220" s="73" t="s">
        <v>3088</v>
      </c>
      <c r="BC220" s="73" t="s">
        <v>3088</v>
      </c>
      <c r="BD220" s="73" t="s">
        <v>3088</v>
      </c>
      <c r="BE220" s="73" t="s">
        <v>3088</v>
      </c>
      <c r="BF220" s="73" t="s">
        <v>3088</v>
      </c>
      <c r="BG220" s="73" t="s">
        <v>3088</v>
      </c>
      <c r="BH220" s="73" t="s">
        <v>3088</v>
      </c>
      <c r="BI220" s="73" t="s">
        <v>3088</v>
      </c>
      <c r="BJ220" s="73" t="s">
        <v>3088</v>
      </c>
      <c r="BK220" s="73" t="s">
        <v>3088</v>
      </c>
      <c r="BL220" s="73" t="s">
        <v>3088</v>
      </c>
      <c r="BM220" s="73" t="s">
        <v>3088</v>
      </c>
      <c r="BN220" s="73" t="s">
        <v>3088</v>
      </c>
      <c r="BO220" s="73" t="s">
        <v>3088</v>
      </c>
      <c r="BP220" s="73" t="s">
        <v>3088</v>
      </c>
      <c r="BQ220" s="73" t="s">
        <v>3544</v>
      </c>
      <c r="BR220" s="73" t="s">
        <v>3088</v>
      </c>
    </row>
    <row r="221" spans="1:70">
      <c r="A221" s="73" t="s">
        <v>1872</v>
      </c>
      <c r="B221" s="73" t="s">
        <v>3545</v>
      </c>
      <c r="C221" s="73" t="s">
        <v>2582</v>
      </c>
      <c r="D221" s="73" t="s">
        <v>3088</v>
      </c>
      <c r="E221" s="73" t="s">
        <v>3088</v>
      </c>
      <c r="F221" s="73" t="s">
        <v>3088</v>
      </c>
      <c r="G221" s="73" t="s">
        <v>3089</v>
      </c>
      <c r="H221" s="73" t="s">
        <v>3088</v>
      </c>
      <c r="I221" s="73" t="s">
        <v>3093</v>
      </c>
      <c r="J221" s="73" t="s">
        <v>3088</v>
      </c>
      <c r="K221" s="73" t="s">
        <v>3088</v>
      </c>
      <c r="L221" s="73" t="s">
        <v>3088</v>
      </c>
      <c r="M221" s="73" t="s">
        <v>3088</v>
      </c>
      <c r="N221" s="73" t="s">
        <v>3088</v>
      </c>
      <c r="O221" s="73" t="s">
        <v>3088</v>
      </c>
      <c r="P221" s="73" t="s">
        <v>3088</v>
      </c>
      <c r="Q221" s="73" t="s">
        <v>3088</v>
      </c>
      <c r="R221" s="73" t="s">
        <v>3088</v>
      </c>
      <c r="S221" s="73" t="s">
        <v>3088</v>
      </c>
      <c r="T221" s="73" t="s">
        <v>3088</v>
      </c>
      <c r="U221" s="73" t="s">
        <v>3088</v>
      </c>
      <c r="V221" s="73" t="s">
        <v>3088</v>
      </c>
      <c r="W221" s="73" t="s">
        <v>3088</v>
      </c>
      <c r="X221" s="73" t="s">
        <v>3088</v>
      </c>
      <c r="Y221" s="73" t="s">
        <v>3088</v>
      </c>
      <c r="Z221" s="73" t="s">
        <v>3088</v>
      </c>
      <c r="AA221" s="73" t="s">
        <v>3088</v>
      </c>
      <c r="AB221" s="73" t="s">
        <v>3088</v>
      </c>
      <c r="AC221" s="73" t="s">
        <v>3088</v>
      </c>
      <c r="AD221" s="73" t="s">
        <v>3088</v>
      </c>
      <c r="AE221" s="73" t="s">
        <v>3088</v>
      </c>
      <c r="AF221" s="73" t="s">
        <v>3088</v>
      </c>
      <c r="AG221" s="73" t="s">
        <v>3088</v>
      </c>
      <c r="AH221" s="73" t="s">
        <v>3088</v>
      </c>
      <c r="AI221" s="73" t="s">
        <v>3088</v>
      </c>
      <c r="AJ221" s="73" t="s">
        <v>3088</v>
      </c>
      <c r="AK221" s="73" t="s">
        <v>3088</v>
      </c>
      <c r="AL221" s="73" t="s">
        <v>3088</v>
      </c>
      <c r="AM221" s="73" t="s">
        <v>3088</v>
      </c>
      <c r="AN221" s="73" t="s">
        <v>3088</v>
      </c>
      <c r="AO221" s="73" t="s">
        <v>3088</v>
      </c>
      <c r="AP221" s="73" t="s">
        <v>3088</v>
      </c>
      <c r="AQ221" s="73" t="s">
        <v>3088</v>
      </c>
      <c r="AR221" s="73" t="s">
        <v>3088</v>
      </c>
      <c r="AS221" s="73" t="s">
        <v>3088</v>
      </c>
      <c r="AT221" s="73" t="s">
        <v>3088</v>
      </c>
      <c r="AU221" s="73" t="s">
        <v>3088</v>
      </c>
      <c r="AV221" s="73" t="s">
        <v>3088</v>
      </c>
      <c r="AW221" s="73" t="s">
        <v>3088</v>
      </c>
      <c r="AX221" s="73" t="s">
        <v>3088</v>
      </c>
      <c r="AY221" s="73" t="s">
        <v>3088</v>
      </c>
      <c r="AZ221" s="73" t="s">
        <v>3088</v>
      </c>
      <c r="BA221" s="73" t="s">
        <v>3088</v>
      </c>
      <c r="BB221" s="73" t="s">
        <v>3088</v>
      </c>
      <c r="BC221" s="73" t="s">
        <v>3088</v>
      </c>
      <c r="BD221" s="73" t="s">
        <v>3088</v>
      </c>
      <c r="BE221" s="73" t="s">
        <v>3088</v>
      </c>
      <c r="BF221" s="73" t="s">
        <v>3088</v>
      </c>
      <c r="BG221" s="73" t="s">
        <v>3088</v>
      </c>
      <c r="BH221" s="73" t="s">
        <v>3088</v>
      </c>
      <c r="BI221" s="73" t="s">
        <v>3088</v>
      </c>
      <c r="BJ221" s="73" t="s">
        <v>3088</v>
      </c>
      <c r="BK221" s="73" t="s">
        <v>3088</v>
      </c>
      <c r="BL221" s="73" t="s">
        <v>3088</v>
      </c>
      <c r="BM221" s="73" t="s">
        <v>3088</v>
      </c>
      <c r="BN221" s="73" t="s">
        <v>3088</v>
      </c>
      <c r="BO221" s="73" t="s">
        <v>3088</v>
      </c>
      <c r="BP221" s="73" t="s">
        <v>3088</v>
      </c>
      <c r="BQ221" s="73" t="s">
        <v>3546</v>
      </c>
      <c r="BR221" s="73" t="s">
        <v>3088</v>
      </c>
    </row>
    <row r="222" spans="1:70">
      <c r="A222" s="73" t="s">
        <v>1872</v>
      </c>
      <c r="B222" s="73" t="s">
        <v>3547</v>
      </c>
      <c r="C222" s="73" t="s">
        <v>2582</v>
      </c>
      <c r="D222" s="73" t="s">
        <v>3088</v>
      </c>
      <c r="E222" s="73" t="s">
        <v>3088</v>
      </c>
      <c r="F222" s="73" t="s">
        <v>3088</v>
      </c>
      <c r="G222" s="73" t="s">
        <v>3089</v>
      </c>
      <c r="H222" s="73" t="s">
        <v>3088</v>
      </c>
      <c r="I222" s="73" t="s">
        <v>3093</v>
      </c>
      <c r="J222" s="73" t="s">
        <v>3088</v>
      </c>
      <c r="K222" s="73" t="s">
        <v>3088</v>
      </c>
      <c r="L222" s="73" t="s">
        <v>3088</v>
      </c>
      <c r="M222" s="73" t="s">
        <v>3088</v>
      </c>
      <c r="N222" s="73" t="s">
        <v>3088</v>
      </c>
      <c r="O222" s="73" t="s">
        <v>3088</v>
      </c>
      <c r="P222" s="73" t="s">
        <v>3088</v>
      </c>
      <c r="Q222" s="73" t="s">
        <v>3088</v>
      </c>
      <c r="R222" s="73" t="s">
        <v>3088</v>
      </c>
      <c r="S222" s="73" t="s">
        <v>3088</v>
      </c>
      <c r="T222" s="73" t="s">
        <v>3088</v>
      </c>
      <c r="U222" s="73" t="s">
        <v>3088</v>
      </c>
      <c r="V222" s="73" t="s">
        <v>3088</v>
      </c>
      <c r="W222" s="73" t="s">
        <v>3088</v>
      </c>
      <c r="X222" s="73" t="s">
        <v>3088</v>
      </c>
      <c r="Y222" s="73" t="s">
        <v>3088</v>
      </c>
      <c r="Z222" s="73" t="s">
        <v>3088</v>
      </c>
      <c r="AA222" s="73" t="s">
        <v>3088</v>
      </c>
      <c r="AB222" s="73" t="s">
        <v>3088</v>
      </c>
      <c r="AC222" s="73" t="s">
        <v>3088</v>
      </c>
      <c r="AD222" s="73" t="s">
        <v>3088</v>
      </c>
      <c r="AE222" s="73" t="s">
        <v>3088</v>
      </c>
      <c r="AF222" s="73" t="s">
        <v>3088</v>
      </c>
      <c r="AG222" s="73" t="s">
        <v>3088</v>
      </c>
      <c r="AH222" s="73" t="s">
        <v>3088</v>
      </c>
      <c r="AI222" s="73" t="s">
        <v>3088</v>
      </c>
      <c r="AJ222" s="73" t="s">
        <v>3088</v>
      </c>
      <c r="AK222" s="73" t="s">
        <v>3088</v>
      </c>
      <c r="AL222" s="73" t="s">
        <v>3088</v>
      </c>
      <c r="AM222" s="73" t="s">
        <v>3088</v>
      </c>
      <c r="AN222" s="73" t="s">
        <v>3088</v>
      </c>
      <c r="AO222" s="73" t="s">
        <v>3088</v>
      </c>
      <c r="AP222" s="73" t="s">
        <v>3088</v>
      </c>
      <c r="AQ222" s="73" t="s">
        <v>3088</v>
      </c>
      <c r="AR222" s="73" t="s">
        <v>3088</v>
      </c>
      <c r="AS222" s="73" t="s">
        <v>3088</v>
      </c>
      <c r="AT222" s="73" t="s">
        <v>3088</v>
      </c>
      <c r="AU222" s="73" t="s">
        <v>3088</v>
      </c>
      <c r="AV222" s="73" t="s">
        <v>3088</v>
      </c>
      <c r="AW222" s="73" t="s">
        <v>3088</v>
      </c>
      <c r="AX222" s="73" t="s">
        <v>3088</v>
      </c>
      <c r="AY222" s="73" t="s">
        <v>3088</v>
      </c>
      <c r="AZ222" s="73" t="s">
        <v>3088</v>
      </c>
      <c r="BA222" s="73" t="s">
        <v>3088</v>
      </c>
      <c r="BB222" s="73" t="s">
        <v>3088</v>
      </c>
      <c r="BC222" s="73" t="s">
        <v>3088</v>
      </c>
      <c r="BD222" s="73" t="s">
        <v>3088</v>
      </c>
      <c r="BE222" s="73" t="s">
        <v>3088</v>
      </c>
      <c r="BF222" s="73" t="s">
        <v>3088</v>
      </c>
      <c r="BG222" s="73" t="s">
        <v>3088</v>
      </c>
      <c r="BH222" s="73" t="s">
        <v>3088</v>
      </c>
      <c r="BI222" s="73" t="s">
        <v>3088</v>
      </c>
      <c r="BJ222" s="73" t="s">
        <v>3088</v>
      </c>
      <c r="BK222" s="73" t="s">
        <v>3088</v>
      </c>
      <c r="BL222" s="73" t="s">
        <v>3088</v>
      </c>
      <c r="BM222" s="73" t="s">
        <v>3088</v>
      </c>
      <c r="BN222" s="73" t="s">
        <v>3088</v>
      </c>
      <c r="BO222" s="73" t="s">
        <v>3088</v>
      </c>
      <c r="BP222" s="73" t="s">
        <v>3088</v>
      </c>
      <c r="BQ222" s="73" t="s">
        <v>3548</v>
      </c>
      <c r="BR222" s="73" t="s">
        <v>3088</v>
      </c>
    </row>
    <row r="223" spans="1:70">
      <c r="A223" s="73" t="s">
        <v>1872</v>
      </c>
      <c r="B223" s="73" t="s">
        <v>3549</v>
      </c>
      <c r="C223" s="73" t="s">
        <v>2559</v>
      </c>
      <c r="D223" s="73" t="s">
        <v>3088</v>
      </c>
      <c r="E223" s="73" t="s">
        <v>3088</v>
      </c>
      <c r="F223" s="73" t="s">
        <v>3088</v>
      </c>
      <c r="G223" s="73" t="s">
        <v>3089</v>
      </c>
      <c r="H223" s="73" t="s">
        <v>3088</v>
      </c>
      <c r="I223" s="73" t="s">
        <v>3093</v>
      </c>
      <c r="J223" s="73" t="s">
        <v>3088</v>
      </c>
      <c r="K223" s="73" t="s">
        <v>3088</v>
      </c>
      <c r="L223" s="73" t="s">
        <v>3088</v>
      </c>
      <c r="M223" s="73" t="s">
        <v>3088</v>
      </c>
      <c r="N223" s="73" t="s">
        <v>3088</v>
      </c>
      <c r="O223" s="73" t="s">
        <v>3088</v>
      </c>
      <c r="P223" s="73" t="s">
        <v>3088</v>
      </c>
      <c r="Q223" s="73" t="s">
        <v>3088</v>
      </c>
      <c r="R223" s="73" t="s">
        <v>3088</v>
      </c>
      <c r="S223" s="73" t="s">
        <v>3088</v>
      </c>
      <c r="T223" s="73" t="s">
        <v>3088</v>
      </c>
      <c r="U223" s="73" t="s">
        <v>3088</v>
      </c>
      <c r="V223" s="73" t="s">
        <v>3088</v>
      </c>
      <c r="W223" s="73" t="s">
        <v>3088</v>
      </c>
      <c r="X223" s="73" t="s">
        <v>3088</v>
      </c>
      <c r="Y223" s="73" t="s">
        <v>3088</v>
      </c>
      <c r="Z223" s="73" t="s">
        <v>3088</v>
      </c>
      <c r="AA223" s="73" t="s">
        <v>3088</v>
      </c>
      <c r="AB223" s="73" t="s">
        <v>3088</v>
      </c>
      <c r="AC223" s="73" t="s">
        <v>3088</v>
      </c>
      <c r="AD223" s="73" t="s">
        <v>3088</v>
      </c>
      <c r="AE223" s="73" t="s">
        <v>3088</v>
      </c>
      <c r="AF223" s="73" t="s">
        <v>3088</v>
      </c>
      <c r="AG223" s="73" t="s">
        <v>3088</v>
      </c>
      <c r="AH223" s="73" t="s">
        <v>3088</v>
      </c>
      <c r="AI223" s="73" t="s">
        <v>3088</v>
      </c>
      <c r="AJ223" s="73" t="s">
        <v>3088</v>
      </c>
      <c r="AK223" s="73" t="s">
        <v>3088</v>
      </c>
      <c r="AL223" s="73" t="s">
        <v>3088</v>
      </c>
      <c r="AM223" s="73" t="s">
        <v>3088</v>
      </c>
      <c r="AN223" s="73" t="s">
        <v>3088</v>
      </c>
      <c r="AO223" s="73" t="s">
        <v>3088</v>
      </c>
      <c r="AP223" s="73" t="s">
        <v>3088</v>
      </c>
      <c r="AQ223" s="73" t="s">
        <v>3088</v>
      </c>
      <c r="AR223" s="73" t="s">
        <v>3088</v>
      </c>
      <c r="AS223" s="73" t="s">
        <v>3088</v>
      </c>
      <c r="AT223" s="73" t="s">
        <v>3088</v>
      </c>
      <c r="AU223" s="73" t="s">
        <v>3088</v>
      </c>
      <c r="AV223" s="73" t="s">
        <v>3088</v>
      </c>
      <c r="AW223" s="73" t="s">
        <v>3088</v>
      </c>
      <c r="AX223" s="73" t="s">
        <v>3088</v>
      </c>
      <c r="AY223" s="73" t="s">
        <v>3088</v>
      </c>
      <c r="AZ223" s="73" t="s">
        <v>3088</v>
      </c>
      <c r="BA223" s="73" t="s">
        <v>3088</v>
      </c>
      <c r="BB223" s="73" t="s">
        <v>3088</v>
      </c>
      <c r="BC223" s="73" t="s">
        <v>3088</v>
      </c>
      <c r="BD223" s="73" t="s">
        <v>3088</v>
      </c>
      <c r="BE223" s="73" t="s">
        <v>3088</v>
      </c>
      <c r="BF223" s="73" t="s">
        <v>3088</v>
      </c>
      <c r="BG223" s="73" t="s">
        <v>3088</v>
      </c>
      <c r="BH223" s="73" t="s">
        <v>3088</v>
      </c>
      <c r="BI223" s="73" t="s">
        <v>3088</v>
      </c>
      <c r="BJ223" s="73" t="s">
        <v>3088</v>
      </c>
      <c r="BK223" s="73" t="s">
        <v>3088</v>
      </c>
      <c r="BL223" s="73" t="s">
        <v>3088</v>
      </c>
      <c r="BM223" s="73" t="s">
        <v>3088</v>
      </c>
      <c r="BN223" s="73" t="s">
        <v>3088</v>
      </c>
      <c r="BO223" s="73" t="s">
        <v>3088</v>
      </c>
      <c r="BP223" s="73" t="s">
        <v>3088</v>
      </c>
      <c r="BQ223" s="73" t="s">
        <v>3550</v>
      </c>
      <c r="BR223" s="73" t="s">
        <v>3088</v>
      </c>
    </row>
    <row r="224" spans="1:70">
      <c r="A224" s="73" t="s">
        <v>1872</v>
      </c>
      <c r="B224" s="73" t="s">
        <v>3551</v>
      </c>
      <c r="C224" s="73" t="s">
        <v>2582</v>
      </c>
      <c r="D224" s="73" t="s">
        <v>3088</v>
      </c>
      <c r="E224" s="73" t="s">
        <v>3088</v>
      </c>
      <c r="F224" s="73" t="s">
        <v>3088</v>
      </c>
      <c r="G224" s="73" t="s">
        <v>3089</v>
      </c>
      <c r="H224" s="73" t="s">
        <v>3088</v>
      </c>
      <c r="I224" s="73" t="s">
        <v>3093</v>
      </c>
      <c r="J224" s="73" t="s">
        <v>3088</v>
      </c>
      <c r="K224" s="73" t="s">
        <v>3088</v>
      </c>
      <c r="L224" s="73" t="s">
        <v>3088</v>
      </c>
      <c r="M224" s="73" t="s">
        <v>3088</v>
      </c>
      <c r="N224" s="73" t="s">
        <v>3088</v>
      </c>
      <c r="O224" s="73" t="s">
        <v>3088</v>
      </c>
      <c r="P224" s="73" t="s">
        <v>3088</v>
      </c>
      <c r="Q224" s="73" t="s">
        <v>3088</v>
      </c>
      <c r="R224" s="73" t="s">
        <v>3088</v>
      </c>
      <c r="S224" s="73" t="s">
        <v>3088</v>
      </c>
      <c r="T224" s="73" t="s">
        <v>3088</v>
      </c>
      <c r="U224" s="73" t="s">
        <v>3088</v>
      </c>
      <c r="V224" s="73" t="s">
        <v>3088</v>
      </c>
      <c r="W224" s="73" t="s">
        <v>3088</v>
      </c>
      <c r="X224" s="73" t="s">
        <v>3088</v>
      </c>
      <c r="Y224" s="73" t="s">
        <v>3088</v>
      </c>
      <c r="Z224" s="73" t="s">
        <v>3088</v>
      </c>
      <c r="AA224" s="73" t="s">
        <v>3088</v>
      </c>
      <c r="AB224" s="73" t="s">
        <v>3088</v>
      </c>
      <c r="AC224" s="73" t="s">
        <v>3088</v>
      </c>
      <c r="AD224" s="73" t="s">
        <v>3088</v>
      </c>
      <c r="AE224" s="73" t="s">
        <v>3088</v>
      </c>
      <c r="AF224" s="73" t="s">
        <v>3088</v>
      </c>
      <c r="AG224" s="73" t="s">
        <v>3088</v>
      </c>
      <c r="AH224" s="73" t="s">
        <v>3088</v>
      </c>
      <c r="AI224" s="73" t="s">
        <v>3088</v>
      </c>
      <c r="AJ224" s="73" t="s">
        <v>3088</v>
      </c>
      <c r="AK224" s="73" t="s">
        <v>3088</v>
      </c>
      <c r="AL224" s="73" t="s">
        <v>3088</v>
      </c>
      <c r="AM224" s="73" t="s">
        <v>3088</v>
      </c>
      <c r="AN224" s="73" t="s">
        <v>3088</v>
      </c>
      <c r="AO224" s="73" t="s">
        <v>3088</v>
      </c>
      <c r="AP224" s="73" t="s">
        <v>3088</v>
      </c>
      <c r="AQ224" s="73" t="s">
        <v>3088</v>
      </c>
      <c r="AR224" s="73" t="s">
        <v>3088</v>
      </c>
      <c r="AS224" s="73" t="s">
        <v>3088</v>
      </c>
      <c r="AT224" s="73" t="s">
        <v>3088</v>
      </c>
      <c r="AU224" s="73" t="s">
        <v>3088</v>
      </c>
      <c r="AV224" s="73" t="s">
        <v>3088</v>
      </c>
      <c r="AW224" s="73" t="s">
        <v>3088</v>
      </c>
      <c r="AX224" s="73" t="s">
        <v>3088</v>
      </c>
      <c r="AY224" s="73" t="s">
        <v>3088</v>
      </c>
      <c r="AZ224" s="73" t="s">
        <v>3088</v>
      </c>
      <c r="BA224" s="73" t="s">
        <v>3088</v>
      </c>
      <c r="BB224" s="73" t="s">
        <v>3088</v>
      </c>
      <c r="BC224" s="73" t="s">
        <v>3088</v>
      </c>
      <c r="BD224" s="73" t="s">
        <v>3088</v>
      </c>
      <c r="BE224" s="73" t="s">
        <v>3088</v>
      </c>
      <c r="BF224" s="73" t="s">
        <v>3088</v>
      </c>
      <c r="BG224" s="73" t="s">
        <v>3088</v>
      </c>
      <c r="BH224" s="73" t="s">
        <v>3088</v>
      </c>
      <c r="BI224" s="73" t="s">
        <v>3088</v>
      </c>
      <c r="BJ224" s="73" t="s">
        <v>3088</v>
      </c>
      <c r="BK224" s="73" t="s">
        <v>3088</v>
      </c>
      <c r="BL224" s="73" t="s">
        <v>3088</v>
      </c>
      <c r="BM224" s="73" t="s">
        <v>3088</v>
      </c>
      <c r="BN224" s="73" t="s">
        <v>3088</v>
      </c>
      <c r="BO224" s="73" t="s">
        <v>3088</v>
      </c>
      <c r="BP224" s="73" t="s">
        <v>3088</v>
      </c>
      <c r="BQ224" s="73" t="s">
        <v>3552</v>
      </c>
      <c r="BR224" s="73" t="s">
        <v>3088</v>
      </c>
    </row>
    <row r="225" spans="1:70">
      <c r="A225" s="73" t="s">
        <v>1872</v>
      </c>
      <c r="B225" s="73" t="s">
        <v>3553</v>
      </c>
      <c r="C225" s="73" t="s">
        <v>2582</v>
      </c>
      <c r="D225" s="73" t="s">
        <v>3088</v>
      </c>
      <c r="E225" s="73" t="s">
        <v>3088</v>
      </c>
      <c r="F225" s="73" t="s">
        <v>3088</v>
      </c>
      <c r="G225" s="73" t="s">
        <v>3089</v>
      </c>
      <c r="H225" s="73" t="s">
        <v>3088</v>
      </c>
      <c r="I225" s="73" t="s">
        <v>3093</v>
      </c>
      <c r="J225" s="73" t="s">
        <v>3088</v>
      </c>
      <c r="K225" s="73" t="s">
        <v>3088</v>
      </c>
      <c r="L225" s="73" t="s">
        <v>3088</v>
      </c>
      <c r="M225" s="73" t="s">
        <v>3088</v>
      </c>
      <c r="N225" s="73" t="s">
        <v>3088</v>
      </c>
      <c r="O225" s="73" t="s">
        <v>3088</v>
      </c>
      <c r="P225" s="73" t="s">
        <v>3088</v>
      </c>
      <c r="Q225" s="73" t="s">
        <v>3088</v>
      </c>
      <c r="R225" s="73" t="s">
        <v>3088</v>
      </c>
      <c r="S225" s="73" t="s">
        <v>3088</v>
      </c>
      <c r="T225" s="73" t="s">
        <v>3088</v>
      </c>
      <c r="U225" s="73" t="s">
        <v>3088</v>
      </c>
      <c r="V225" s="73" t="s">
        <v>3088</v>
      </c>
      <c r="W225" s="73" t="s">
        <v>3088</v>
      </c>
      <c r="X225" s="73" t="s">
        <v>3088</v>
      </c>
      <c r="Y225" s="73" t="s">
        <v>3088</v>
      </c>
      <c r="Z225" s="73" t="s">
        <v>3088</v>
      </c>
      <c r="AA225" s="73" t="s">
        <v>3088</v>
      </c>
      <c r="AB225" s="73" t="s">
        <v>3088</v>
      </c>
      <c r="AC225" s="73" t="s">
        <v>3088</v>
      </c>
      <c r="AD225" s="73" t="s">
        <v>3088</v>
      </c>
      <c r="AE225" s="73" t="s">
        <v>3088</v>
      </c>
      <c r="AF225" s="73" t="s">
        <v>3088</v>
      </c>
      <c r="AG225" s="73" t="s">
        <v>3088</v>
      </c>
      <c r="AH225" s="73" t="s">
        <v>3088</v>
      </c>
      <c r="AI225" s="73" t="s">
        <v>3088</v>
      </c>
      <c r="AJ225" s="73" t="s">
        <v>3088</v>
      </c>
      <c r="AK225" s="73" t="s">
        <v>3088</v>
      </c>
      <c r="AL225" s="73" t="s">
        <v>3088</v>
      </c>
      <c r="AM225" s="73" t="s">
        <v>3088</v>
      </c>
      <c r="AN225" s="73" t="s">
        <v>3088</v>
      </c>
      <c r="AO225" s="73" t="s">
        <v>3088</v>
      </c>
      <c r="AP225" s="73" t="s">
        <v>3088</v>
      </c>
      <c r="AQ225" s="73" t="s">
        <v>3088</v>
      </c>
      <c r="AR225" s="73" t="s">
        <v>3088</v>
      </c>
      <c r="AS225" s="73" t="s">
        <v>3088</v>
      </c>
      <c r="AT225" s="73" t="s">
        <v>3088</v>
      </c>
      <c r="AU225" s="73" t="s">
        <v>3088</v>
      </c>
      <c r="AV225" s="73" t="s">
        <v>3088</v>
      </c>
      <c r="AW225" s="73" t="s">
        <v>3088</v>
      </c>
      <c r="AX225" s="73" t="s">
        <v>3088</v>
      </c>
      <c r="AY225" s="73" t="s">
        <v>3088</v>
      </c>
      <c r="AZ225" s="73" t="s">
        <v>3088</v>
      </c>
      <c r="BA225" s="73" t="s">
        <v>3088</v>
      </c>
      <c r="BB225" s="73" t="s">
        <v>3088</v>
      </c>
      <c r="BC225" s="73" t="s">
        <v>3088</v>
      </c>
      <c r="BD225" s="73" t="s">
        <v>3088</v>
      </c>
      <c r="BE225" s="73" t="s">
        <v>3088</v>
      </c>
      <c r="BF225" s="73" t="s">
        <v>3088</v>
      </c>
      <c r="BG225" s="73" t="s">
        <v>3088</v>
      </c>
      <c r="BH225" s="73" t="s">
        <v>3088</v>
      </c>
      <c r="BI225" s="73" t="s">
        <v>3088</v>
      </c>
      <c r="BJ225" s="73" t="s">
        <v>3088</v>
      </c>
      <c r="BK225" s="73" t="s">
        <v>3088</v>
      </c>
      <c r="BL225" s="73" t="s">
        <v>3088</v>
      </c>
      <c r="BM225" s="73" t="s">
        <v>3088</v>
      </c>
      <c r="BN225" s="73" t="s">
        <v>3088</v>
      </c>
      <c r="BO225" s="73" t="s">
        <v>3088</v>
      </c>
      <c r="BP225" s="73" t="s">
        <v>3088</v>
      </c>
      <c r="BQ225" s="73" t="s">
        <v>3554</v>
      </c>
      <c r="BR225" s="73" t="s">
        <v>3088</v>
      </c>
    </row>
    <row r="226" spans="1:70">
      <c r="A226" s="73" t="s">
        <v>1872</v>
      </c>
      <c r="B226" s="73" t="s">
        <v>3555</v>
      </c>
      <c r="C226" s="73" t="s">
        <v>2582</v>
      </c>
      <c r="D226" s="73" t="s">
        <v>3088</v>
      </c>
      <c r="E226" s="73" t="s">
        <v>3088</v>
      </c>
      <c r="F226" s="73" t="s">
        <v>3088</v>
      </c>
      <c r="G226" s="73" t="s">
        <v>3089</v>
      </c>
      <c r="H226" s="73" t="s">
        <v>3088</v>
      </c>
      <c r="I226" s="73" t="s">
        <v>3093</v>
      </c>
      <c r="J226" s="73" t="s">
        <v>3088</v>
      </c>
      <c r="K226" s="73" t="s">
        <v>3088</v>
      </c>
      <c r="L226" s="73" t="s">
        <v>3088</v>
      </c>
      <c r="M226" s="73" t="s">
        <v>3088</v>
      </c>
      <c r="N226" s="73" t="s">
        <v>3088</v>
      </c>
      <c r="O226" s="73" t="s">
        <v>3088</v>
      </c>
      <c r="P226" s="73" t="s">
        <v>3088</v>
      </c>
      <c r="Q226" s="73" t="s">
        <v>3088</v>
      </c>
      <c r="R226" s="73" t="s">
        <v>3088</v>
      </c>
      <c r="S226" s="73" t="s">
        <v>3088</v>
      </c>
      <c r="T226" s="73" t="s">
        <v>3088</v>
      </c>
      <c r="U226" s="73" t="s">
        <v>3088</v>
      </c>
      <c r="V226" s="73" t="s">
        <v>3088</v>
      </c>
      <c r="W226" s="73" t="s">
        <v>3088</v>
      </c>
      <c r="X226" s="73" t="s">
        <v>3088</v>
      </c>
      <c r="Y226" s="73" t="s">
        <v>3088</v>
      </c>
      <c r="Z226" s="73" t="s">
        <v>3088</v>
      </c>
      <c r="AA226" s="73" t="s">
        <v>3088</v>
      </c>
      <c r="AB226" s="73" t="s">
        <v>3088</v>
      </c>
      <c r="AC226" s="73" t="s">
        <v>3088</v>
      </c>
      <c r="AD226" s="73" t="s">
        <v>3088</v>
      </c>
      <c r="AE226" s="73" t="s">
        <v>3088</v>
      </c>
      <c r="AF226" s="73" t="s">
        <v>3088</v>
      </c>
      <c r="AG226" s="73" t="s">
        <v>3088</v>
      </c>
      <c r="AH226" s="73" t="s">
        <v>3088</v>
      </c>
      <c r="AI226" s="73" t="s">
        <v>3088</v>
      </c>
      <c r="AJ226" s="73" t="s">
        <v>3088</v>
      </c>
      <c r="AK226" s="73" t="s">
        <v>3088</v>
      </c>
      <c r="AL226" s="73" t="s">
        <v>3088</v>
      </c>
      <c r="AM226" s="73" t="s">
        <v>3088</v>
      </c>
      <c r="AN226" s="73" t="s">
        <v>3088</v>
      </c>
      <c r="AO226" s="73" t="s">
        <v>3088</v>
      </c>
      <c r="AP226" s="73" t="s">
        <v>3088</v>
      </c>
      <c r="AQ226" s="73" t="s">
        <v>3088</v>
      </c>
      <c r="AR226" s="73" t="s">
        <v>3088</v>
      </c>
      <c r="AS226" s="73" t="s">
        <v>3088</v>
      </c>
      <c r="AT226" s="73" t="s">
        <v>3088</v>
      </c>
      <c r="AU226" s="73" t="s">
        <v>3088</v>
      </c>
      <c r="AV226" s="73" t="s">
        <v>3088</v>
      </c>
      <c r="AW226" s="73" t="s">
        <v>3088</v>
      </c>
      <c r="AX226" s="73" t="s">
        <v>3088</v>
      </c>
      <c r="AY226" s="73" t="s">
        <v>3088</v>
      </c>
      <c r="AZ226" s="73" t="s">
        <v>3088</v>
      </c>
      <c r="BA226" s="73" t="s">
        <v>3088</v>
      </c>
      <c r="BB226" s="73" t="s">
        <v>3088</v>
      </c>
      <c r="BC226" s="73" t="s">
        <v>3088</v>
      </c>
      <c r="BD226" s="73" t="s">
        <v>3088</v>
      </c>
      <c r="BE226" s="73" t="s">
        <v>3088</v>
      </c>
      <c r="BF226" s="73" t="s">
        <v>3088</v>
      </c>
      <c r="BG226" s="73" t="s">
        <v>3088</v>
      </c>
      <c r="BH226" s="73" t="s">
        <v>3088</v>
      </c>
      <c r="BI226" s="73" t="s">
        <v>3088</v>
      </c>
      <c r="BJ226" s="73" t="s">
        <v>3088</v>
      </c>
      <c r="BK226" s="73" t="s">
        <v>3088</v>
      </c>
      <c r="BL226" s="73" t="s">
        <v>3088</v>
      </c>
      <c r="BM226" s="73" t="s">
        <v>3088</v>
      </c>
      <c r="BN226" s="73" t="s">
        <v>3088</v>
      </c>
      <c r="BO226" s="73" t="s">
        <v>3088</v>
      </c>
      <c r="BP226" s="73" t="s">
        <v>3088</v>
      </c>
      <c r="BQ226" s="73" t="s">
        <v>3556</v>
      </c>
      <c r="BR226" s="73" t="s">
        <v>3088</v>
      </c>
    </row>
    <row r="227" spans="1:70">
      <c r="A227" s="73" t="s">
        <v>1872</v>
      </c>
      <c r="B227" s="73" t="s">
        <v>3557</v>
      </c>
      <c r="C227" s="73" t="s">
        <v>2582</v>
      </c>
      <c r="D227" s="73" t="s">
        <v>3088</v>
      </c>
      <c r="E227" s="73" t="s">
        <v>3088</v>
      </c>
      <c r="F227" s="73" t="s">
        <v>3088</v>
      </c>
      <c r="G227" s="73" t="s">
        <v>3089</v>
      </c>
      <c r="H227" s="73" t="s">
        <v>3088</v>
      </c>
      <c r="I227" s="73" t="s">
        <v>3093</v>
      </c>
      <c r="J227" s="73" t="s">
        <v>3088</v>
      </c>
      <c r="K227" s="73" t="s">
        <v>3088</v>
      </c>
      <c r="L227" s="73" t="s">
        <v>3088</v>
      </c>
      <c r="M227" s="73" t="s">
        <v>3088</v>
      </c>
      <c r="N227" s="73" t="s">
        <v>3088</v>
      </c>
      <c r="O227" s="73" t="s">
        <v>3088</v>
      </c>
      <c r="P227" s="73" t="s">
        <v>3088</v>
      </c>
      <c r="Q227" s="73" t="s">
        <v>3088</v>
      </c>
      <c r="R227" s="73" t="s">
        <v>3088</v>
      </c>
      <c r="S227" s="73" t="s">
        <v>3088</v>
      </c>
      <c r="T227" s="73" t="s">
        <v>3088</v>
      </c>
      <c r="U227" s="73" t="s">
        <v>3088</v>
      </c>
      <c r="V227" s="73" t="s">
        <v>3088</v>
      </c>
      <c r="W227" s="73" t="s">
        <v>3088</v>
      </c>
      <c r="X227" s="73" t="s">
        <v>3088</v>
      </c>
      <c r="Y227" s="73" t="s">
        <v>3088</v>
      </c>
      <c r="Z227" s="73" t="s">
        <v>3088</v>
      </c>
      <c r="AA227" s="73" t="s">
        <v>3088</v>
      </c>
      <c r="AB227" s="73" t="s">
        <v>3088</v>
      </c>
      <c r="AC227" s="73" t="s">
        <v>3088</v>
      </c>
      <c r="AD227" s="73" t="s">
        <v>3088</v>
      </c>
      <c r="AE227" s="73" t="s">
        <v>3088</v>
      </c>
      <c r="AF227" s="73" t="s">
        <v>3088</v>
      </c>
      <c r="AG227" s="73" t="s">
        <v>3088</v>
      </c>
      <c r="AH227" s="73" t="s">
        <v>3088</v>
      </c>
      <c r="AI227" s="73" t="s">
        <v>3088</v>
      </c>
      <c r="AJ227" s="73" t="s">
        <v>3088</v>
      </c>
      <c r="AK227" s="73" t="s">
        <v>3088</v>
      </c>
      <c r="AL227" s="73" t="s">
        <v>3088</v>
      </c>
      <c r="AM227" s="73" t="s">
        <v>3088</v>
      </c>
      <c r="AN227" s="73" t="s">
        <v>3088</v>
      </c>
      <c r="AO227" s="73" t="s">
        <v>3088</v>
      </c>
      <c r="AP227" s="73" t="s">
        <v>3088</v>
      </c>
      <c r="AQ227" s="73" t="s">
        <v>3088</v>
      </c>
      <c r="AR227" s="73" t="s">
        <v>3088</v>
      </c>
      <c r="AS227" s="73" t="s">
        <v>3088</v>
      </c>
      <c r="AT227" s="73" t="s">
        <v>3088</v>
      </c>
      <c r="AU227" s="73" t="s">
        <v>3088</v>
      </c>
      <c r="AV227" s="73" t="s">
        <v>3088</v>
      </c>
      <c r="AW227" s="73" t="s">
        <v>3088</v>
      </c>
      <c r="AX227" s="73" t="s">
        <v>3088</v>
      </c>
      <c r="AY227" s="73" t="s">
        <v>3088</v>
      </c>
      <c r="AZ227" s="73" t="s">
        <v>3088</v>
      </c>
      <c r="BA227" s="73" t="s">
        <v>3088</v>
      </c>
      <c r="BB227" s="73" t="s">
        <v>3088</v>
      </c>
      <c r="BC227" s="73" t="s">
        <v>3088</v>
      </c>
      <c r="BD227" s="73" t="s">
        <v>3088</v>
      </c>
      <c r="BE227" s="73" t="s">
        <v>3088</v>
      </c>
      <c r="BF227" s="73" t="s">
        <v>3088</v>
      </c>
      <c r="BG227" s="73" t="s">
        <v>3088</v>
      </c>
      <c r="BH227" s="73" t="s">
        <v>3088</v>
      </c>
      <c r="BI227" s="73" t="s">
        <v>3088</v>
      </c>
      <c r="BJ227" s="73" t="s">
        <v>3088</v>
      </c>
      <c r="BK227" s="73" t="s">
        <v>3088</v>
      </c>
      <c r="BL227" s="73" t="s">
        <v>3088</v>
      </c>
      <c r="BM227" s="73" t="s">
        <v>3088</v>
      </c>
      <c r="BN227" s="73" t="s">
        <v>3088</v>
      </c>
      <c r="BO227" s="73" t="s">
        <v>3088</v>
      </c>
      <c r="BP227" s="73" t="s">
        <v>3088</v>
      </c>
      <c r="BQ227" s="73" t="s">
        <v>3558</v>
      </c>
      <c r="BR227" s="73" t="s">
        <v>3088</v>
      </c>
    </row>
    <row r="228" spans="1:70">
      <c r="A228" s="73" t="s">
        <v>1872</v>
      </c>
      <c r="B228" s="73" t="s">
        <v>3559</v>
      </c>
      <c r="C228" s="73" t="s">
        <v>2582</v>
      </c>
      <c r="D228" s="73" t="s">
        <v>3088</v>
      </c>
      <c r="E228" s="73" t="s">
        <v>3088</v>
      </c>
      <c r="F228" s="73" t="s">
        <v>3088</v>
      </c>
      <c r="G228" s="73" t="s">
        <v>3089</v>
      </c>
      <c r="H228" s="73" t="s">
        <v>3088</v>
      </c>
      <c r="I228" s="73" t="s">
        <v>3093</v>
      </c>
      <c r="J228" s="73" t="s">
        <v>3088</v>
      </c>
      <c r="K228" s="73" t="s">
        <v>3088</v>
      </c>
      <c r="L228" s="73" t="s">
        <v>3088</v>
      </c>
      <c r="M228" s="73" t="s">
        <v>3088</v>
      </c>
      <c r="N228" s="73" t="s">
        <v>3088</v>
      </c>
      <c r="O228" s="73" t="s">
        <v>3088</v>
      </c>
      <c r="P228" s="73" t="s">
        <v>3088</v>
      </c>
      <c r="Q228" s="73" t="s">
        <v>3088</v>
      </c>
      <c r="R228" s="73" t="s">
        <v>3088</v>
      </c>
      <c r="S228" s="73" t="s">
        <v>3088</v>
      </c>
      <c r="T228" s="73" t="s">
        <v>3088</v>
      </c>
      <c r="U228" s="73" t="s">
        <v>3088</v>
      </c>
      <c r="V228" s="73" t="s">
        <v>3088</v>
      </c>
      <c r="W228" s="73" t="s">
        <v>3088</v>
      </c>
      <c r="X228" s="73" t="s">
        <v>3088</v>
      </c>
      <c r="Y228" s="73" t="s">
        <v>3088</v>
      </c>
      <c r="Z228" s="73" t="s">
        <v>3088</v>
      </c>
      <c r="AA228" s="73" t="s">
        <v>3088</v>
      </c>
      <c r="AB228" s="73" t="s">
        <v>3088</v>
      </c>
      <c r="AC228" s="73" t="s">
        <v>3088</v>
      </c>
      <c r="AD228" s="73" t="s">
        <v>3088</v>
      </c>
      <c r="AE228" s="73" t="s">
        <v>3088</v>
      </c>
      <c r="AF228" s="73" t="s">
        <v>3088</v>
      </c>
      <c r="AG228" s="73" t="s">
        <v>3088</v>
      </c>
      <c r="AH228" s="73" t="s">
        <v>3088</v>
      </c>
      <c r="AI228" s="73" t="s">
        <v>3088</v>
      </c>
      <c r="AJ228" s="73" t="s">
        <v>3088</v>
      </c>
      <c r="AK228" s="73" t="s">
        <v>3088</v>
      </c>
      <c r="AL228" s="73" t="s">
        <v>3088</v>
      </c>
      <c r="AM228" s="73" t="s">
        <v>3088</v>
      </c>
      <c r="AN228" s="73" t="s">
        <v>3088</v>
      </c>
      <c r="AO228" s="73" t="s">
        <v>3088</v>
      </c>
      <c r="AP228" s="73" t="s">
        <v>3088</v>
      </c>
      <c r="AQ228" s="73" t="s">
        <v>3088</v>
      </c>
      <c r="AR228" s="73" t="s">
        <v>3088</v>
      </c>
      <c r="AS228" s="73" t="s">
        <v>3088</v>
      </c>
      <c r="AT228" s="73" t="s">
        <v>3088</v>
      </c>
      <c r="AU228" s="73" t="s">
        <v>3088</v>
      </c>
      <c r="AV228" s="73" t="s">
        <v>3088</v>
      </c>
      <c r="AW228" s="73" t="s">
        <v>3088</v>
      </c>
      <c r="AX228" s="73" t="s">
        <v>3088</v>
      </c>
      <c r="AY228" s="73" t="s">
        <v>3088</v>
      </c>
      <c r="AZ228" s="73" t="s">
        <v>3088</v>
      </c>
      <c r="BA228" s="73" t="s">
        <v>3088</v>
      </c>
      <c r="BB228" s="73" t="s">
        <v>3088</v>
      </c>
      <c r="BC228" s="73" t="s">
        <v>3088</v>
      </c>
      <c r="BD228" s="73" t="s">
        <v>3088</v>
      </c>
      <c r="BE228" s="73" t="s">
        <v>3088</v>
      </c>
      <c r="BF228" s="73" t="s">
        <v>3088</v>
      </c>
      <c r="BG228" s="73" t="s">
        <v>3088</v>
      </c>
      <c r="BH228" s="73" t="s">
        <v>3088</v>
      </c>
      <c r="BI228" s="73" t="s">
        <v>3088</v>
      </c>
      <c r="BJ228" s="73" t="s">
        <v>3088</v>
      </c>
      <c r="BK228" s="73" t="s">
        <v>3088</v>
      </c>
      <c r="BL228" s="73" t="s">
        <v>3088</v>
      </c>
      <c r="BM228" s="73" t="s">
        <v>3088</v>
      </c>
      <c r="BN228" s="73" t="s">
        <v>3088</v>
      </c>
      <c r="BO228" s="73" t="s">
        <v>3088</v>
      </c>
      <c r="BP228" s="73" t="s">
        <v>3088</v>
      </c>
      <c r="BQ228" s="73" t="s">
        <v>3560</v>
      </c>
      <c r="BR228" s="73" t="s">
        <v>3088</v>
      </c>
    </row>
    <row r="229" spans="1:70">
      <c r="A229" s="73" t="s">
        <v>1872</v>
      </c>
      <c r="B229" s="73" t="s">
        <v>3561</v>
      </c>
      <c r="C229" s="73" t="s">
        <v>2582</v>
      </c>
      <c r="D229" s="73" t="s">
        <v>3088</v>
      </c>
      <c r="E229" s="73" t="s">
        <v>3088</v>
      </c>
      <c r="F229" s="73" t="s">
        <v>3088</v>
      </c>
      <c r="G229" s="73" t="s">
        <v>3089</v>
      </c>
      <c r="H229" s="73" t="s">
        <v>3088</v>
      </c>
      <c r="I229" s="73" t="s">
        <v>3093</v>
      </c>
      <c r="J229" s="73" t="s">
        <v>3088</v>
      </c>
      <c r="K229" s="73" t="s">
        <v>3088</v>
      </c>
      <c r="L229" s="73" t="s">
        <v>3088</v>
      </c>
      <c r="M229" s="73" t="s">
        <v>3088</v>
      </c>
      <c r="N229" s="73" t="s">
        <v>3088</v>
      </c>
      <c r="O229" s="73" t="s">
        <v>3088</v>
      </c>
      <c r="P229" s="73" t="s">
        <v>3088</v>
      </c>
      <c r="Q229" s="73" t="s">
        <v>3088</v>
      </c>
      <c r="R229" s="73" t="s">
        <v>3088</v>
      </c>
      <c r="S229" s="73" t="s">
        <v>3088</v>
      </c>
      <c r="T229" s="73" t="s">
        <v>3088</v>
      </c>
      <c r="U229" s="73" t="s">
        <v>3088</v>
      </c>
      <c r="V229" s="73" t="s">
        <v>3088</v>
      </c>
      <c r="W229" s="73" t="s">
        <v>3088</v>
      </c>
      <c r="X229" s="73" t="s">
        <v>3088</v>
      </c>
      <c r="Y229" s="73" t="s">
        <v>3088</v>
      </c>
      <c r="Z229" s="73" t="s">
        <v>3088</v>
      </c>
      <c r="AA229" s="73" t="s">
        <v>3088</v>
      </c>
      <c r="AB229" s="73" t="s">
        <v>3088</v>
      </c>
      <c r="AC229" s="73" t="s">
        <v>3088</v>
      </c>
      <c r="AD229" s="73" t="s">
        <v>3088</v>
      </c>
      <c r="AE229" s="73" t="s">
        <v>3088</v>
      </c>
      <c r="AF229" s="73" t="s">
        <v>3088</v>
      </c>
      <c r="AG229" s="73" t="s">
        <v>3088</v>
      </c>
      <c r="AH229" s="73" t="s">
        <v>3088</v>
      </c>
      <c r="AI229" s="73" t="s">
        <v>3088</v>
      </c>
      <c r="AJ229" s="73" t="s">
        <v>3088</v>
      </c>
      <c r="AK229" s="73" t="s">
        <v>3088</v>
      </c>
      <c r="AL229" s="73" t="s">
        <v>3088</v>
      </c>
      <c r="AM229" s="73" t="s">
        <v>3088</v>
      </c>
      <c r="AN229" s="73" t="s">
        <v>3088</v>
      </c>
      <c r="AO229" s="73" t="s">
        <v>3088</v>
      </c>
      <c r="AP229" s="73" t="s">
        <v>3088</v>
      </c>
      <c r="AQ229" s="73" t="s">
        <v>3088</v>
      </c>
      <c r="AR229" s="73" t="s">
        <v>3088</v>
      </c>
      <c r="AS229" s="73" t="s">
        <v>3088</v>
      </c>
      <c r="AT229" s="73" t="s">
        <v>3088</v>
      </c>
      <c r="AU229" s="73" t="s">
        <v>3088</v>
      </c>
      <c r="AV229" s="73" t="s">
        <v>3088</v>
      </c>
      <c r="AW229" s="73" t="s">
        <v>3088</v>
      </c>
      <c r="AX229" s="73" t="s">
        <v>3088</v>
      </c>
      <c r="AY229" s="73" t="s">
        <v>3088</v>
      </c>
      <c r="AZ229" s="73" t="s">
        <v>3088</v>
      </c>
      <c r="BA229" s="73" t="s">
        <v>3088</v>
      </c>
      <c r="BB229" s="73" t="s">
        <v>3088</v>
      </c>
      <c r="BC229" s="73" t="s">
        <v>3088</v>
      </c>
      <c r="BD229" s="73" t="s">
        <v>3088</v>
      </c>
      <c r="BE229" s="73" t="s">
        <v>3088</v>
      </c>
      <c r="BF229" s="73" t="s">
        <v>3088</v>
      </c>
      <c r="BG229" s="73" t="s">
        <v>3088</v>
      </c>
      <c r="BH229" s="73" t="s">
        <v>3088</v>
      </c>
      <c r="BI229" s="73" t="s">
        <v>3088</v>
      </c>
      <c r="BJ229" s="73" t="s">
        <v>3088</v>
      </c>
      <c r="BK229" s="73" t="s">
        <v>3088</v>
      </c>
      <c r="BL229" s="73" t="s">
        <v>3088</v>
      </c>
      <c r="BM229" s="73" t="s">
        <v>3088</v>
      </c>
      <c r="BN229" s="73" t="s">
        <v>3088</v>
      </c>
      <c r="BO229" s="73" t="s">
        <v>3088</v>
      </c>
      <c r="BP229" s="73" t="s">
        <v>3088</v>
      </c>
      <c r="BQ229" s="73" t="s">
        <v>3562</v>
      </c>
      <c r="BR229" s="73" t="s">
        <v>3088</v>
      </c>
    </row>
    <row r="230" spans="1:70">
      <c r="A230" s="73" t="s">
        <v>1872</v>
      </c>
      <c r="B230" s="73" t="s">
        <v>3563</v>
      </c>
      <c r="C230" s="73" t="s">
        <v>2582</v>
      </c>
      <c r="D230" s="73" t="s">
        <v>3088</v>
      </c>
      <c r="E230" s="73" t="s">
        <v>3088</v>
      </c>
      <c r="F230" s="73" t="s">
        <v>3088</v>
      </c>
      <c r="G230" s="73" t="s">
        <v>3089</v>
      </c>
      <c r="H230" s="73" t="s">
        <v>3088</v>
      </c>
      <c r="I230" s="73" t="s">
        <v>3093</v>
      </c>
      <c r="J230" s="73" t="s">
        <v>3088</v>
      </c>
      <c r="K230" s="73" t="s">
        <v>3088</v>
      </c>
      <c r="L230" s="73" t="s">
        <v>3088</v>
      </c>
      <c r="M230" s="73" t="s">
        <v>3088</v>
      </c>
      <c r="N230" s="73" t="s">
        <v>3088</v>
      </c>
      <c r="O230" s="73" t="s">
        <v>3088</v>
      </c>
      <c r="P230" s="73" t="s">
        <v>3088</v>
      </c>
      <c r="Q230" s="73" t="s">
        <v>3088</v>
      </c>
      <c r="R230" s="73" t="s">
        <v>3088</v>
      </c>
      <c r="S230" s="73" t="s">
        <v>3088</v>
      </c>
      <c r="T230" s="73" t="s">
        <v>3088</v>
      </c>
      <c r="U230" s="73" t="s">
        <v>3088</v>
      </c>
      <c r="V230" s="73" t="s">
        <v>3088</v>
      </c>
      <c r="W230" s="73" t="s">
        <v>3088</v>
      </c>
      <c r="X230" s="73" t="s">
        <v>3088</v>
      </c>
      <c r="Y230" s="73" t="s">
        <v>3088</v>
      </c>
      <c r="Z230" s="73" t="s">
        <v>3088</v>
      </c>
      <c r="AA230" s="73" t="s">
        <v>3088</v>
      </c>
      <c r="AB230" s="73" t="s">
        <v>3088</v>
      </c>
      <c r="AC230" s="73" t="s">
        <v>3088</v>
      </c>
      <c r="AD230" s="73" t="s">
        <v>3088</v>
      </c>
      <c r="AE230" s="73" t="s">
        <v>3088</v>
      </c>
      <c r="AF230" s="73" t="s">
        <v>3088</v>
      </c>
      <c r="AG230" s="73" t="s">
        <v>3088</v>
      </c>
      <c r="AH230" s="73" t="s">
        <v>3088</v>
      </c>
      <c r="AI230" s="73" t="s">
        <v>3088</v>
      </c>
      <c r="AJ230" s="73" t="s">
        <v>3088</v>
      </c>
      <c r="AK230" s="73" t="s">
        <v>3088</v>
      </c>
      <c r="AL230" s="73" t="s">
        <v>3088</v>
      </c>
      <c r="AM230" s="73" t="s">
        <v>3088</v>
      </c>
      <c r="AN230" s="73" t="s">
        <v>3088</v>
      </c>
      <c r="AO230" s="73" t="s">
        <v>3088</v>
      </c>
      <c r="AP230" s="73" t="s">
        <v>3088</v>
      </c>
      <c r="AQ230" s="73" t="s">
        <v>3088</v>
      </c>
      <c r="AR230" s="73" t="s">
        <v>3088</v>
      </c>
      <c r="AS230" s="73" t="s">
        <v>3088</v>
      </c>
      <c r="AT230" s="73" t="s">
        <v>3088</v>
      </c>
      <c r="AU230" s="73" t="s">
        <v>3088</v>
      </c>
      <c r="AV230" s="73" t="s">
        <v>3088</v>
      </c>
      <c r="AW230" s="73" t="s">
        <v>3088</v>
      </c>
      <c r="AX230" s="73" t="s">
        <v>3088</v>
      </c>
      <c r="AY230" s="73" t="s">
        <v>3088</v>
      </c>
      <c r="AZ230" s="73" t="s">
        <v>3088</v>
      </c>
      <c r="BA230" s="73" t="s">
        <v>3088</v>
      </c>
      <c r="BB230" s="73" t="s">
        <v>3088</v>
      </c>
      <c r="BC230" s="73" t="s">
        <v>3088</v>
      </c>
      <c r="BD230" s="73" t="s">
        <v>3088</v>
      </c>
      <c r="BE230" s="73" t="s">
        <v>3088</v>
      </c>
      <c r="BF230" s="73" t="s">
        <v>3088</v>
      </c>
      <c r="BG230" s="73" t="s">
        <v>3088</v>
      </c>
      <c r="BH230" s="73" t="s">
        <v>3088</v>
      </c>
      <c r="BI230" s="73" t="s">
        <v>3088</v>
      </c>
      <c r="BJ230" s="73" t="s">
        <v>3088</v>
      </c>
      <c r="BK230" s="73" t="s">
        <v>3088</v>
      </c>
      <c r="BL230" s="73" t="s">
        <v>3088</v>
      </c>
      <c r="BM230" s="73" t="s">
        <v>3088</v>
      </c>
      <c r="BN230" s="73" t="s">
        <v>3088</v>
      </c>
      <c r="BO230" s="73" t="s">
        <v>3088</v>
      </c>
      <c r="BP230" s="73" t="s">
        <v>3088</v>
      </c>
      <c r="BQ230" s="73" t="s">
        <v>3564</v>
      </c>
      <c r="BR230" s="73" t="s">
        <v>3088</v>
      </c>
    </row>
    <row r="231" spans="1:70">
      <c r="A231" s="73" t="s">
        <v>1872</v>
      </c>
      <c r="B231" s="73" t="s">
        <v>3565</v>
      </c>
      <c r="C231" s="73" t="s">
        <v>2582</v>
      </c>
      <c r="D231" s="73" t="s">
        <v>3088</v>
      </c>
      <c r="E231" s="73" t="s">
        <v>3088</v>
      </c>
      <c r="F231" s="73" t="s">
        <v>3088</v>
      </c>
      <c r="G231" s="73" t="s">
        <v>3089</v>
      </c>
      <c r="H231" s="73" t="s">
        <v>3088</v>
      </c>
      <c r="I231" s="73" t="s">
        <v>3093</v>
      </c>
      <c r="J231" s="73" t="s">
        <v>3088</v>
      </c>
      <c r="K231" s="73" t="s">
        <v>3088</v>
      </c>
      <c r="L231" s="73" t="s">
        <v>3088</v>
      </c>
      <c r="M231" s="73" t="s">
        <v>3088</v>
      </c>
      <c r="N231" s="73" t="s">
        <v>3088</v>
      </c>
      <c r="O231" s="73" t="s">
        <v>3088</v>
      </c>
      <c r="P231" s="73" t="s">
        <v>3088</v>
      </c>
      <c r="Q231" s="73" t="s">
        <v>3088</v>
      </c>
      <c r="R231" s="73" t="s">
        <v>3088</v>
      </c>
      <c r="S231" s="73" t="s">
        <v>3088</v>
      </c>
      <c r="T231" s="73" t="s">
        <v>3088</v>
      </c>
      <c r="U231" s="73" t="s">
        <v>3088</v>
      </c>
      <c r="V231" s="73" t="s">
        <v>3088</v>
      </c>
      <c r="W231" s="73" t="s">
        <v>3088</v>
      </c>
      <c r="X231" s="73" t="s">
        <v>3088</v>
      </c>
      <c r="Y231" s="73" t="s">
        <v>3088</v>
      </c>
      <c r="Z231" s="73" t="s">
        <v>3088</v>
      </c>
      <c r="AA231" s="73" t="s">
        <v>3088</v>
      </c>
      <c r="AB231" s="73" t="s">
        <v>3088</v>
      </c>
      <c r="AC231" s="73" t="s">
        <v>3088</v>
      </c>
      <c r="AD231" s="73" t="s">
        <v>3088</v>
      </c>
      <c r="AE231" s="73" t="s">
        <v>3088</v>
      </c>
      <c r="AF231" s="73" t="s">
        <v>3088</v>
      </c>
      <c r="AG231" s="73" t="s">
        <v>3088</v>
      </c>
      <c r="AH231" s="73" t="s">
        <v>3088</v>
      </c>
      <c r="AI231" s="73" t="s">
        <v>3088</v>
      </c>
      <c r="AJ231" s="73" t="s">
        <v>3088</v>
      </c>
      <c r="AK231" s="73" t="s">
        <v>3088</v>
      </c>
      <c r="AL231" s="73" t="s">
        <v>3088</v>
      </c>
      <c r="AM231" s="73" t="s">
        <v>3088</v>
      </c>
      <c r="AN231" s="73" t="s">
        <v>3088</v>
      </c>
      <c r="AO231" s="73" t="s">
        <v>3088</v>
      </c>
      <c r="AP231" s="73" t="s">
        <v>3088</v>
      </c>
      <c r="AQ231" s="73" t="s">
        <v>3088</v>
      </c>
      <c r="AR231" s="73" t="s">
        <v>3088</v>
      </c>
      <c r="AS231" s="73" t="s">
        <v>3088</v>
      </c>
      <c r="AT231" s="73" t="s">
        <v>3088</v>
      </c>
      <c r="AU231" s="73" t="s">
        <v>3088</v>
      </c>
      <c r="AV231" s="73" t="s">
        <v>3088</v>
      </c>
      <c r="AW231" s="73" t="s">
        <v>3088</v>
      </c>
      <c r="AX231" s="73" t="s">
        <v>3088</v>
      </c>
      <c r="AY231" s="73" t="s">
        <v>3088</v>
      </c>
      <c r="AZ231" s="73" t="s">
        <v>3088</v>
      </c>
      <c r="BA231" s="73" t="s">
        <v>3088</v>
      </c>
      <c r="BB231" s="73" t="s">
        <v>3088</v>
      </c>
      <c r="BC231" s="73" t="s">
        <v>3088</v>
      </c>
      <c r="BD231" s="73" t="s">
        <v>3088</v>
      </c>
      <c r="BE231" s="73" t="s">
        <v>3088</v>
      </c>
      <c r="BF231" s="73" t="s">
        <v>3088</v>
      </c>
      <c r="BG231" s="73" t="s">
        <v>3088</v>
      </c>
      <c r="BH231" s="73" t="s">
        <v>3088</v>
      </c>
      <c r="BI231" s="73" t="s">
        <v>3088</v>
      </c>
      <c r="BJ231" s="73" t="s">
        <v>3088</v>
      </c>
      <c r="BK231" s="73" t="s">
        <v>3088</v>
      </c>
      <c r="BL231" s="73" t="s">
        <v>3088</v>
      </c>
      <c r="BM231" s="73" t="s">
        <v>3088</v>
      </c>
      <c r="BN231" s="73" t="s">
        <v>3088</v>
      </c>
      <c r="BO231" s="73" t="s">
        <v>3088</v>
      </c>
      <c r="BP231" s="73" t="s">
        <v>3088</v>
      </c>
      <c r="BQ231" s="73" t="s">
        <v>3566</v>
      </c>
      <c r="BR231" s="73" t="s">
        <v>3088</v>
      </c>
    </row>
    <row r="232" spans="1:70">
      <c r="A232" s="73" t="s">
        <v>1872</v>
      </c>
      <c r="B232" s="73" t="s">
        <v>3567</v>
      </c>
      <c r="C232" s="73" t="s">
        <v>2582</v>
      </c>
      <c r="D232" s="73" t="s">
        <v>3088</v>
      </c>
      <c r="E232" s="73" t="s">
        <v>3088</v>
      </c>
      <c r="F232" s="73" t="s">
        <v>3088</v>
      </c>
      <c r="G232" s="73" t="s">
        <v>3089</v>
      </c>
      <c r="H232" s="73" t="s">
        <v>3088</v>
      </c>
      <c r="I232" s="73" t="s">
        <v>3093</v>
      </c>
      <c r="J232" s="73" t="s">
        <v>3088</v>
      </c>
      <c r="K232" s="73" t="s">
        <v>3088</v>
      </c>
      <c r="L232" s="73" t="s">
        <v>3088</v>
      </c>
      <c r="M232" s="73" t="s">
        <v>3088</v>
      </c>
      <c r="N232" s="73" t="s">
        <v>3088</v>
      </c>
      <c r="O232" s="73" t="s">
        <v>3088</v>
      </c>
      <c r="P232" s="73" t="s">
        <v>3088</v>
      </c>
      <c r="Q232" s="73" t="s">
        <v>3088</v>
      </c>
      <c r="R232" s="73" t="s">
        <v>3088</v>
      </c>
      <c r="S232" s="73" t="s">
        <v>3088</v>
      </c>
      <c r="T232" s="73" t="s">
        <v>3088</v>
      </c>
      <c r="U232" s="73" t="s">
        <v>3088</v>
      </c>
      <c r="V232" s="73" t="s">
        <v>3088</v>
      </c>
      <c r="W232" s="73" t="s">
        <v>3088</v>
      </c>
      <c r="X232" s="73" t="s">
        <v>3088</v>
      </c>
      <c r="Y232" s="73" t="s">
        <v>3088</v>
      </c>
      <c r="Z232" s="73" t="s">
        <v>3088</v>
      </c>
      <c r="AA232" s="73" t="s">
        <v>3088</v>
      </c>
      <c r="AB232" s="73" t="s">
        <v>3088</v>
      </c>
      <c r="AC232" s="73" t="s">
        <v>3088</v>
      </c>
      <c r="AD232" s="73" t="s">
        <v>3088</v>
      </c>
      <c r="AE232" s="73" t="s">
        <v>3088</v>
      </c>
      <c r="AF232" s="73" t="s">
        <v>3088</v>
      </c>
      <c r="AG232" s="73" t="s">
        <v>3088</v>
      </c>
      <c r="AH232" s="73" t="s">
        <v>3088</v>
      </c>
      <c r="AI232" s="73" t="s">
        <v>3088</v>
      </c>
      <c r="AJ232" s="73" t="s">
        <v>3088</v>
      </c>
      <c r="AK232" s="73" t="s">
        <v>3088</v>
      </c>
      <c r="AL232" s="73" t="s">
        <v>3088</v>
      </c>
      <c r="AM232" s="73" t="s">
        <v>3088</v>
      </c>
      <c r="AN232" s="73" t="s">
        <v>3088</v>
      </c>
      <c r="AO232" s="73" t="s">
        <v>3088</v>
      </c>
      <c r="AP232" s="73" t="s">
        <v>3088</v>
      </c>
      <c r="AQ232" s="73" t="s">
        <v>3088</v>
      </c>
      <c r="AR232" s="73" t="s">
        <v>3088</v>
      </c>
      <c r="AS232" s="73" t="s">
        <v>3088</v>
      </c>
      <c r="AT232" s="73" t="s">
        <v>3088</v>
      </c>
      <c r="AU232" s="73" t="s">
        <v>3088</v>
      </c>
      <c r="AV232" s="73" t="s">
        <v>3088</v>
      </c>
      <c r="AW232" s="73" t="s">
        <v>3088</v>
      </c>
      <c r="AX232" s="73" t="s">
        <v>3088</v>
      </c>
      <c r="AY232" s="73" t="s">
        <v>3088</v>
      </c>
      <c r="AZ232" s="73" t="s">
        <v>3088</v>
      </c>
      <c r="BA232" s="73" t="s">
        <v>3088</v>
      </c>
      <c r="BB232" s="73" t="s">
        <v>3088</v>
      </c>
      <c r="BC232" s="73" t="s">
        <v>3088</v>
      </c>
      <c r="BD232" s="73" t="s">
        <v>3088</v>
      </c>
      <c r="BE232" s="73" t="s">
        <v>3088</v>
      </c>
      <c r="BF232" s="73" t="s">
        <v>3088</v>
      </c>
      <c r="BG232" s="73" t="s">
        <v>3088</v>
      </c>
      <c r="BH232" s="73" t="s">
        <v>3088</v>
      </c>
      <c r="BI232" s="73" t="s">
        <v>3088</v>
      </c>
      <c r="BJ232" s="73" t="s">
        <v>3088</v>
      </c>
      <c r="BK232" s="73" t="s">
        <v>3088</v>
      </c>
      <c r="BL232" s="73" t="s">
        <v>3088</v>
      </c>
      <c r="BM232" s="73" t="s">
        <v>3088</v>
      </c>
      <c r="BN232" s="73" t="s">
        <v>3088</v>
      </c>
      <c r="BO232" s="73" t="s">
        <v>3088</v>
      </c>
      <c r="BP232" s="73" t="s">
        <v>3088</v>
      </c>
      <c r="BQ232" s="73" t="s">
        <v>3568</v>
      </c>
      <c r="BR232" s="73" t="s">
        <v>3088</v>
      </c>
    </row>
    <row r="233" spans="1:70">
      <c r="A233" s="73" t="s">
        <v>1872</v>
      </c>
      <c r="B233" s="73" t="s">
        <v>3569</v>
      </c>
      <c r="C233" s="73" t="s">
        <v>2582</v>
      </c>
      <c r="D233" s="73" t="s">
        <v>3088</v>
      </c>
      <c r="E233" s="73" t="s">
        <v>3088</v>
      </c>
      <c r="F233" s="73" t="s">
        <v>3088</v>
      </c>
      <c r="G233" s="73" t="s">
        <v>3089</v>
      </c>
      <c r="H233" s="73" t="s">
        <v>3088</v>
      </c>
      <c r="I233" s="73" t="s">
        <v>3093</v>
      </c>
      <c r="J233" s="73" t="s">
        <v>3088</v>
      </c>
      <c r="K233" s="73" t="s">
        <v>3088</v>
      </c>
      <c r="L233" s="73" t="s">
        <v>3088</v>
      </c>
      <c r="M233" s="73" t="s">
        <v>3088</v>
      </c>
      <c r="N233" s="73" t="s">
        <v>3088</v>
      </c>
      <c r="O233" s="73" t="s">
        <v>3088</v>
      </c>
      <c r="P233" s="73" t="s">
        <v>3088</v>
      </c>
      <c r="Q233" s="73" t="s">
        <v>3088</v>
      </c>
      <c r="R233" s="73" t="s">
        <v>3088</v>
      </c>
      <c r="S233" s="73" t="s">
        <v>3088</v>
      </c>
      <c r="T233" s="73" t="s">
        <v>3088</v>
      </c>
      <c r="U233" s="73" t="s">
        <v>3088</v>
      </c>
      <c r="V233" s="73" t="s">
        <v>3088</v>
      </c>
      <c r="W233" s="73" t="s">
        <v>3088</v>
      </c>
      <c r="X233" s="73" t="s">
        <v>3088</v>
      </c>
      <c r="Y233" s="73" t="s">
        <v>3088</v>
      </c>
      <c r="Z233" s="73" t="s">
        <v>3088</v>
      </c>
      <c r="AA233" s="73" t="s">
        <v>3088</v>
      </c>
      <c r="AB233" s="73" t="s">
        <v>3088</v>
      </c>
      <c r="AC233" s="73" t="s">
        <v>3088</v>
      </c>
      <c r="AD233" s="73" t="s">
        <v>3088</v>
      </c>
      <c r="AE233" s="73" t="s">
        <v>3088</v>
      </c>
      <c r="AF233" s="73" t="s">
        <v>3088</v>
      </c>
      <c r="AG233" s="73" t="s">
        <v>3088</v>
      </c>
      <c r="AH233" s="73" t="s">
        <v>3088</v>
      </c>
      <c r="AI233" s="73" t="s">
        <v>3088</v>
      </c>
      <c r="AJ233" s="73" t="s">
        <v>3088</v>
      </c>
      <c r="AK233" s="73" t="s">
        <v>3088</v>
      </c>
      <c r="AL233" s="73" t="s">
        <v>3088</v>
      </c>
      <c r="AM233" s="73" t="s">
        <v>3088</v>
      </c>
      <c r="AN233" s="73" t="s">
        <v>3088</v>
      </c>
      <c r="AO233" s="73" t="s">
        <v>3088</v>
      </c>
      <c r="AP233" s="73" t="s">
        <v>3088</v>
      </c>
      <c r="AQ233" s="73" t="s">
        <v>3088</v>
      </c>
      <c r="AR233" s="73" t="s">
        <v>3088</v>
      </c>
      <c r="AS233" s="73" t="s">
        <v>3088</v>
      </c>
      <c r="AT233" s="73" t="s">
        <v>3088</v>
      </c>
      <c r="AU233" s="73" t="s">
        <v>3088</v>
      </c>
      <c r="AV233" s="73" t="s">
        <v>3088</v>
      </c>
      <c r="AW233" s="73" t="s">
        <v>3088</v>
      </c>
      <c r="AX233" s="73" t="s">
        <v>3088</v>
      </c>
      <c r="AY233" s="73" t="s">
        <v>3088</v>
      </c>
      <c r="AZ233" s="73" t="s">
        <v>3088</v>
      </c>
      <c r="BA233" s="73" t="s">
        <v>3088</v>
      </c>
      <c r="BB233" s="73" t="s">
        <v>3088</v>
      </c>
      <c r="BC233" s="73" t="s">
        <v>3088</v>
      </c>
      <c r="BD233" s="73" t="s">
        <v>3088</v>
      </c>
      <c r="BE233" s="73" t="s">
        <v>3088</v>
      </c>
      <c r="BF233" s="73" t="s">
        <v>3088</v>
      </c>
      <c r="BG233" s="73" t="s">
        <v>3088</v>
      </c>
      <c r="BH233" s="73" t="s">
        <v>3088</v>
      </c>
      <c r="BI233" s="73" t="s">
        <v>3088</v>
      </c>
      <c r="BJ233" s="73" t="s">
        <v>3088</v>
      </c>
      <c r="BK233" s="73" t="s">
        <v>3088</v>
      </c>
      <c r="BL233" s="73" t="s">
        <v>3088</v>
      </c>
      <c r="BM233" s="73" t="s">
        <v>3088</v>
      </c>
      <c r="BN233" s="73" t="s">
        <v>3088</v>
      </c>
      <c r="BO233" s="73" t="s">
        <v>3088</v>
      </c>
      <c r="BP233" s="73" t="s">
        <v>3088</v>
      </c>
      <c r="BQ233" s="73" t="s">
        <v>3570</v>
      </c>
      <c r="BR233" s="73" t="s">
        <v>3088</v>
      </c>
    </row>
    <row r="234" spans="1:70">
      <c r="A234" s="73" t="s">
        <v>1872</v>
      </c>
      <c r="B234" s="73" t="s">
        <v>3571</v>
      </c>
      <c r="C234" s="73" t="s">
        <v>2563</v>
      </c>
      <c r="D234" s="73" t="s">
        <v>3088</v>
      </c>
      <c r="E234" s="73" t="s">
        <v>3088</v>
      </c>
      <c r="F234" s="73" t="s">
        <v>3088</v>
      </c>
      <c r="G234" s="73" t="s">
        <v>3089</v>
      </c>
      <c r="H234" s="73" t="s">
        <v>3088</v>
      </c>
      <c r="I234" s="73" t="s">
        <v>3093</v>
      </c>
      <c r="J234" s="73" t="s">
        <v>3088</v>
      </c>
      <c r="K234" s="73" t="s">
        <v>3088</v>
      </c>
      <c r="L234" s="73" t="s">
        <v>3088</v>
      </c>
      <c r="M234" s="73" t="s">
        <v>3088</v>
      </c>
      <c r="N234" s="73" t="s">
        <v>3088</v>
      </c>
      <c r="O234" s="73" t="s">
        <v>3088</v>
      </c>
      <c r="P234" s="73" t="s">
        <v>3088</v>
      </c>
      <c r="Q234" s="73" t="s">
        <v>3088</v>
      </c>
      <c r="R234" s="73" t="s">
        <v>3088</v>
      </c>
      <c r="S234" s="73" t="s">
        <v>3088</v>
      </c>
      <c r="T234" s="73" t="s">
        <v>3088</v>
      </c>
      <c r="U234" s="73" t="s">
        <v>3088</v>
      </c>
      <c r="V234" s="73" t="s">
        <v>3088</v>
      </c>
      <c r="W234" s="73" t="s">
        <v>3088</v>
      </c>
      <c r="X234" s="73" t="s">
        <v>3088</v>
      </c>
      <c r="Y234" s="73" t="s">
        <v>3088</v>
      </c>
      <c r="Z234" s="73" t="s">
        <v>3088</v>
      </c>
      <c r="AA234" s="73" t="s">
        <v>3088</v>
      </c>
      <c r="AB234" s="73" t="s">
        <v>3088</v>
      </c>
      <c r="AC234" s="73" t="s">
        <v>3088</v>
      </c>
      <c r="AD234" s="73" t="s">
        <v>3088</v>
      </c>
      <c r="AE234" s="73" t="s">
        <v>3088</v>
      </c>
      <c r="AF234" s="73" t="s">
        <v>3088</v>
      </c>
      <c r="AG234" s="73" t="s">
        <v>3088</v>
      </c>
      <c r="AH234" s="73" t="s">
        <v>3088</v>
      </c>
      <c r="AI234" s="73" t="s">
        <v>3088</v>
      </c>
      <c r="AJ234" s="73" t="s">
        <v>3088</v>
      </c>
      <c r="AK234" s="73" t="s">
        <v>3088</v>
      </c>
      <c r="AL234" s="73" t="s">
        <v>3088</v>
      </c>
      <c r="AM234" s="73" t="s">
        <v>3088</v>
      </c>
      <c r="AN234" s="73" t="s">
        <v>3088</v>
      </c>
      <c r="AO234" s="73" t="s">
        <v>3088</v>
      </c>
      <c r="AP234" s="73" t="s">
        <v>3088</v>
      </c>
      <c r="AQ234" s="73" t="s">
        <v>3088</v>
      </c>
      <c r="AR234" s="73" t="s">
        <v>3088</v>
      </c>
      <c r="AS234" s="73" t="s">
        <v>3088</v>
      </c>
      <c r="AT234" s="73" t="s">
        <v>3088</v>
      </c>
      <c r="AU234" s="73" t="s">
        <v>3088</v>
      </c>
      <c r="AV234" s="73" t="s">
        <v>3088</v>
      </c>
      <c r="AW234" s="73" t="s">
        <v>3088</v>
      </c>
      <c r="AX234" s="73" t="s">
        <v>3088</v>
      </c>
      <c r="AY234" s="73" t="s">
        <v>3088</v>
      </c>
      <c r="AZ234" s="73" t="s">
        <v>3088</v>
      </c>
      <c r="BA234" s="73" t="s">
        <v>3088</v>
      </c>
      <c r="BB234" s="73" t="s">
        <v>3088</v>
      </c>
      <c r="BC234" s="73" t="s">
        <v>3088</v>
      </c>
      <c r="BD234" s="73" t="s">
        <v>3088</v>
      </c>
      <c r="BE234" s="73" t="s">
        <v>3088</v>
      </c>
      <c r="BF234" s="73" t="s">
        <v>3088</v>
      </c>
      <c r="BG234" s="73" t="s">
        <v>3088</v>
      </c>
      <c r="BH234" s="73" t="s">
        <v>3088</v>
      </c>
      <c r="BI234" s="73" t="s">
        <v>3088</v>
      </c>
      <c r="BJ234" s="73" t="s">
        <v>3088</v>
      </c>
      <c r="BK234" s="73" t="s">
        <v>3088</v>
      </c>
      <c r="BL234" s="73" t="s">
        <v>3088</v>
      </c>
      <c r="BM234" s="73" t="s">
        <v>3088</v>
      </c>
      <c r="BN234" s="73" t="s">
        <v>3088</v>
      </c>
      <c r="BO234" s="73" t="s">
        <v>3088</v>
      </c>
      <c r="BP234" s="73" t="s">
        <v>3088</v>
      </c>
      <c r="BQ234" s="73" t="s">
        <v>3572</v>
      </c>
      <c r="BR234" s="73" t="s">
        <v>3088</v>
      </c>
    </row>
    <row r="235" spans="1:70">
      <c r="A235" s="73" t="s">
        <v>1872</v>
      </c>
      <c r="B235" s="73" t="s">
        <v>3573</v>
      </c>
      <c r="C235" s="73" t="s">
        <v>2591</v>
      </c>
      <c r="D235" s="73" t="s">
        <v>3088</v>
      </c>
      <c r="E235" s="73" t="s">
        <v>3088</v>
      </c>
      <c r="F235" s="73" t="s">
        <v>3088</v>
      </c>
      <c r="G235" s="73" t="s">
        <v>3089</v>
      </c>
      <c r="H235" s="73" t="s">
        <v>3088</v>
      </c>
      <c r="I235" s="73" t="s">
        <v>3093</v>
      </c>
      <c r="J235" s="73" t="s">
        <v>3088</v>
      </c>
      <c r="K235" s="73" t="s">
        <v>3088</v>
      </c>
      <c r="L235" s="73" t="s">
        <v>3088</v>
      </c>
      <c r="M235" s="73" t="s">
        <v>3088</v>
      </c>
      <c r="N235" s="73" t="s">
        <v>3088</v>
      </c>
      <c r="O235" s="73" t="s">
        <v>3088</v>
      </c>
      <c r="P235" s="73" t="s">
        <v>3088</v>
      </c>
      <c r="Q235" s="73" t="s">
        <v>3088</v>
      </c>
      <c r="R235" s="73" t="s">
        <v>3088</v>
      </c>
      <c r="S235" s="73" t="s">
        <v>3088</v>
      </c>
      <c r="T235" s="73" t="s">
        <v>3088</v>
      </c>
      <c r="U235" s="73" t="s">
        <v>3088</v>
      </c>
      <c r="V235" s="73" t="s">
        <v>3088</v>
      </c>
      <c r="W235" s="73" t="s">
        <v>3088</v>
      </c>
      <c r="X235" s="73" t="s">
        <v>3088</v>
      </c>
      <c r="Y235" s="73" t="s">
        <v>3088</v>
      </c>
      <c r="Z235" s="73" t="s">
        <v>3088</v>
      </c>
      <c r="AA235" s="73" t="s">
        <v>3088</v>
      </c>
      <c r="AB235" s="73" t="s">
        <v>3088</v>
      </c>
      <c r="AC235" s="73" t="s">
        <v>3088</v>
      </c>
      <c r="AD235" s="73" t="s">
        <v>3088</v>
      </c>
      <c r="AE235" s="73" t="s">
        <v>3088</v>
      </c>
      <c r="AF235" s="73" t="s">
        <v>3088</v>
      </c>
      <c r="AG235" s="73" t="s">
        <v>3088</v>
      </c>
      <c r="AH235" s="73" t="s">
        <v>3088</v>
      </c>
      <c r="AI235" s="73" t="s">
        <v>3088</v>
      </c>
      <c r="AJ235" s="73" t="s">
        <v>3088</v>
      </c>
      <c r="AK235" s="73" t="s">
        <v>3088</v>
      </c>
      <c r="AL235" s="73" t="s">
        <v>3088</v>
      </c>
      <c r="AM235" s="73" t="s">
        <v>3088</v>
      </c>
      <c r="AN235" s="73" t="s">
        <v>3088</v>
      </c>
      <c r="AO235" s="73" t="s">
        <v>3088</v>
      </c>
      <c r="AP235" s="73" t="s">
        <v>3088</v>
      </c>
      <c r="AQ235" s="73" t="s">
        <v>3088</v>
      </c>
      <c r="AR235" s="73" t="s">
        <v>3088</v>
      </c>
      <c r="AS235" s="73" t="s">
        <v>3088</v>
      </c>
      <c r="AT235" s="73" t="s">
        <v>3088</v>
      </c>
      <c r="AU235" s="73" t="s">
        <v>3088</v>
      </c>
      <c r="AV235" s="73" t="s">
        <v>3088</v>
      </c>
      <c r="AW235" s="73" t="s">
        <v>3088</v>
      </c>
      <c r="AX235" s="73" t="s">
        <v>3088</v>
      </c>
      <c r="AY235" s="73" t="s">
        <v>3088</v>
      </c>
      <c r="AZ235" s="73" t="s">
        <v>3088</v>
      </c>
      <c r="BA235" s="73" t="s">
        <v>3088</v>
      </c>
      <c r="BB235" s="73" t="s">
        <v>3088</v>
      </c>
      <c r="BC235" s="73" t="s">
        <v>3088</v>
      </c>
      <c r="BD235" s="73" t="s">
        <v>3088</v>
      </c>
      <c r="BE235" s="73" t="s">
        <v>3088</v>
      </c>
      <c r="BF235" s="73" t="s">
        <v>3088</v>
      </c>
      <c r="BG235" s="73" t="s">
        <v>3088</v>
      </c>
      <c r="BH235" s="73" t="s">
        <v>3088</v>
      </c>
      <c r="BI235" s="73" t="s">
        <v>3088</v>
      </c>
      <c r="BJ235" s="73" t="s">
        <v>3088</v>
      </c>
      <c r="BK235" s="73" t="s">
        <v>3088</v>
      </c>
      <c r="BL235" s="73" t="s">
        <v>3088</v>
      </c>
      <c r="BM235" s="73" t="s">
        <v>3088</v>
      </c>
      <c r="BN235" s="73" t="s">
        <v>3088</v>
      </c>
      <c r="BO235" s="73" t="s">
        <v>3088</v>
      </c>
      <c r="BP235" s="73" t="s">
        <v>3088</v>
      </c>
      <c r="BQ235" s="73" t="s">
        <v>3574</v>
      </c>
      <c r="BR235" s="73" t="s">
        <v>3088</v>
      </c>
    </row>
    <row r="236" spans="1:70">
      <c r="A236" s="73" t="s">
        <v>1872</v>
      </c>
      <c r="B236" s="73" t="s">
        <v>3575</v>
      </c>
      <c r="C236" s="73" t="s">
        <v>2591</v>
      </c>
      <c r="D236" s="73" t="s">
        <v>3088</v>
      </c>
      <c r="E236" s="73" t="s">
        <v>3088</v>
      </c>
      <c r="F236" s="73" t="s">
        <v>3088</v>
      </c>
      <c r="G236" s="73" t="s">
        <v>3089</v>
      </c>
      <c r="H236" s="73" t="s">
        <v>3088</v>
      </c>
      <c r="I236" s="73" t="s">
        <v>3093</v>
      </c>
      <c r="J236" s="73" t="s">
        <v>3088</v>
      </c>
      <c r="K236" s="73" t="s">
        <v>3088</v>
      </c>
      <c r="L236" s="73" t="s">
        <v>3088</v>
      </c>
      <c r="M236" s="73" t="s">
        <v>3088</v>
      </c>
      <c r="N236" s="73" t="s">
        <v>3088</v>
      </c>
      <c r="O236" s="73" t="s">
        <v>3088</v>
      </c>
      <c r="P236" s="73" t="s">
        <v>3088</v>
      </c>
      <c r="Q236" s="73" t="s">
        <v>3088</v>
      </c>
      <c r="R236" s="73" t="s">
        <v>3088</v>
      </c>
      <c r="S236" s="73" t="s">
        <v>3088</v>
      </c>
      <c r="T236" s="73" t="s">
        <v>3088</v>
      </c>
      <c r="U236" s="73" t="s">
        <v>3088</v>
      </c>
      <c r="V236" s="73" t="s">
        <v>3088</v>
      </c>
      <c r="W236" s="73" t="s">
        <v>3088</v>
      </c>
      <c r="X236" s="73" t="s">
        <v>3088</v>
      </c>
      <c r="Y236" s="73" t="s">
        <v>3088</v>
      </c>
      <c r="Z236" s="73" t="s">
        <v>3088</v>
      </c>
      <c r="AA236" s="73" t="s">
        <v>3088</v>
      </c>
      <c r="AB236" s="73" t="s">
        <v>3088</v>
      </c>
      <c r="AC236" s="73" t="s">
        <v>3088</v>
      </c>
      <c r="AD236" s="73" t="s">
        <v>3088</v>
      </c>
      <c r="AE236" s="73" t="s">
        <v>3088</v>
      </c>
      <c r="AF236" s="73" t="s">
        <v>3088</v>
      </c>
      <c r="AG236" s="73" t="s">
        <v>3088</v>
      </c>
      <c r="AH236" s="73" t="s">
        <v>3088</v>
      </c>
      <c r="AI236" s="73" t="s">
        <v>3088</v>
      </c>
      <c r="AJ236" s="73" t="s">
        <v>3088</v>
      </c>
      <c r="AK236" s="73" t="s">
        <v>3088</v>
      </c>
      <c r="AL236" s="73" t="s">
        <v>3088</v>
      </c>
      <c r="AM236" s="73" t="s">
        <v>3088</v>
      </c>
      <c r="AN236" s="73" t="s">
        <v>3088</v>
      </c>
      <c r="AO236" s="73" t="s">
        <v>3088</v>
      </c>
      <c r="AP236" s="73" t="s">
        <v>3088</v>
      </c>
      <c r="AQ236" s="73" t="s">
        <v>3088</v>
      </c>
      <c r="AR236" s="73" t="s">
        <v>3088</v>
      </c>
      <c r="AS236" s="73" t="s">
        <v>3088</v>
      </c>
      <c r="AT236" s="73" t="s">
        <v>3088</v>
      </c>
      <c r="AU236" s="73" t="s">
        <v>3088</v>
      </c>
      <c r="AV236" s="73" t="s">
        <v>3088</v>
      </c>
      <c r="AW236" s="73" t="s">
        <v>3088</v>
      </c>
      <c r="AX236" s="73" t="s">
        <v>3088</v>
      </c>
      <c r="AY236" s="73" t="s">
        <v>3088</v>
      </c>
      <c r="AZ236" s="73" t="s">
        <v>3088</v>
      </c>
      <c r="BA236" s="73" t="s">
        <v>3088</v>
      </c>
      <c r="BB236" s="73" t="s">
        <v>3088</v>
      </c>
      <c r="BC236" s="73" t="s">
        <v>3088</v>
      </c>
      <c r="BD236" s="73" t="s">
        <v>3088</v>
      </c>
      <c r="BE236" s="73" t="s">
        <v>3088</v>
      </c>
      <c r="BF236" s="73" t="s">
        <v>3088</v>
      </c>
      <c r="BG236" s="73" t="s">
        <v>3088</v>
      </c>
      <c r="BH236" s="73" t="s">
        <v>3088</v>
      </c>
      <c r="BI236" s="73" t="s">
        <v>3088</v>
      </c>
      <c r="BJ236" s="73" t="s">
        <v>3088</v>
      </c>
      <c r="BK236" s="73" t="s">
        <v>3088</v>
      </c>
      <c r="BL236" s="73" t="s">
        <v>3088</v>
      </c>
      <c r="BM236" s="73" t="s">
        <v>3088</v>
      </c>
      <c r="BN236" s="73" t="s">
        <v>3088</v>
      </c>
      <c r="BO236" s="73" t="s">
        <v>3088</v>
      </c>
      <c r="BP236" s="73" t="s">
        <v>3088</v>
      </c>
      <c r="BQ236" s="73" t="s">
        <v>3576</v>
      </c>
      <c r="BR236" s="73" t="s">
        <v>3088</v>
      </c>
    </row>
    <row r="237" spans="1:70">
      <c r="A237" s="73" t="s">
        <v>1872</v>
      </c>
      <c r="B237" s="73" t="s">
        <v>3577</v>
      </c>
      <c r="C237" s="73" t="s">
        <v>2563</v>
      </c>
      <c r="D237" s="73" t="s">
        <v>3088</v>
      </c>
      <c r="E237" s="73" t="s">
        <v>3088</v>
      </c>
      <c r="F237" s="73" t="s">
        <v>3088</v>
      </c>
      <c r="G237" s="73" t="s">
        <v>3089</v>
      </c>
      <c r="H237" s="73" t="s">
        <v>3088</v>
      </c>
      <c r="I237" s="73" t="s">
        <v>3093</v>
      </c>
      <c r="J237" s="73" t="s">
        <v>3088</v>
      </c>
      <c r="K237" s="73" t="s">
        <v>3088</v>
      </c>
      <c r="L237" s="73" t="s">
        <v>3088</v>
      </c>
      <c r="M237" s="73" t="s">
        <v>3088</v>
      </c>
      <c r="N237" s="73" t="s">
        <v>3088</v>
      </c>
      <c r="O237" s="73" t="s">
        <v>3088</v>
      </c>
      <c r="P237" s="73" t="s">
        <v>3088</v>
      </c>
      <c r="Q237" s="73" t="s">
        <v>3088</v>
      </c>
      <c r="R237" s="73" t="s">
        <v>3088</v>
      </c>
      <c r="S237" s="73" t="s">
        <v>3088</v>
      </c>
      <c r="T237" s="73" t="s">
        <v>3088</v>
      </c>
      <c r="U237" s="73" t="s">
        <v>3088</v>
      </c>
      <c r="V237" s="73" t="s">
        <v>3088</v>
      </c>
      <c r="W237" s="73" t="s">
        <v>3088</v>
      </c>
      <c r="X237" s="73" t="s">
        <v>3088</v>
      </c>
      <c r="Y237" s="73" t="s">
        <v>3088</v>
      </c>
      <c r="Z237" s="73" t="s">
        <v>3088</v>
      </c>
      <c r="AA237" s="73" t="s">
        <v>3088</v>
      </c>
      <c r="AB237" s="73" t="s">
        <v>3088</v>
      </c>
      <c r="AC237" s="73" t="s">
        <v>3088</v>
      </c>
      <c r="AD237" s="73" t="s">
        <v>3088</v>
      </c>
      <c r="AE237" s="73" t="s">
        <v>3088</v>
      </c>
      <c r="AF237" s="73" t="s">
        <v>3088</v>
      </c>
      <c r="AG237" s="73" t="s">
        <v>3088</v>
      </c>
      <c r="AH237" s="73" t="s">
        <v>3088</v>
      </c>
      <c r="AI237" s="73" t="s">
        <v>3088</v>
      </c>
      <c r="AJ237" s="73" t="s">
        <v>3088</v>
      </c>
      <c r="AK237" s="73" t="s">
        <v>3088</v>
      </c>
      <c r="AL237" s="73" t="s">
        <v>3088</v>
      </c>
      <c r="AM237" s="73" t="s">
        <v>3088</v>
      </c>
      <c r="AN237" s="73" t="s">
        <v>3088</v>
      </c>
      <c r="AO237" s="73" t="s">
        <v>3088</v>
      </c>
      <c r="AP237" s="73" t="s">
        <v>3088</v>
      </c>
      <c r="AQ237" s="73" t="s">
        <v>3088</v>
      </c>
      <c r="AR237" s="73" t="s">
        <v>3088</v>
      </c>
      <c r="AS237" s="73" t="s">
        <v>3088</v>
      </c>
      <c r="AT237" s="73" t="s">
        <v>3088</v>
      </c>
      <c r="AU237" s="73" t="s">
        <v>3088</v>
      </c>
      <c r="AV237" s="73" t="s">
        <v>3088</v>
      </c>
      <c r="AW237" s="73" t="s">
        <v>3088</v>
      </c>
      <c r="AX237" s="73" t="s">
        <v>3088</v>
      </c>
      <c r="AY237" s="73" t="s">
        <v>3088</v>
      </c>
      <c r="AZ237" s="73" t="s">
        <v>3088</v>
      </c>
      <c r="BA237" s="73" t="s">
        <v>3088</v>
      </c>
      <c r="BB237" s="73" t="s">
        <v>3088</v>
      </c>
      <c r="BC237" s="73" t="s">
        <v>3088</v>
      </c>
      <c r="BD237" s="73" t="s">
        <v>3088</v>
      </c>
      <c r="BE237" s="73" t="s">
        <v>3088</v>
      </c>
      <c r="BF237" s="73" t="s">
        <v>3088</v>
      </c>
      <c r="BG237" s="73" t="s">
        <v>3088</v>
      </c>
      <c r="BH237" s="73" t="s">
        <v>3088</v>
      </c>
      <c r="BI237" s="73" t="s">
        <v>3088</v>
      </c>
      <c r="BJ237" s="73" t="s">
        <v>3088</v>
      </c>
      <c r="BK237" s="73" t="s">
        <v>3088</v>
      </c>
      <c r="BL237" s="73" t="s">
        <v>3088</v>
      </c>
      <c r="BM237" s="73" t="s">
        <v>3088</v>
      </c>
      <c r="BN237" s="73" t="s">
        <v>3088</v>
      </c>
      <c r="BO237" s="73" t="s">
        <v>3088</v>
      </c>
      <c r="BP237" s="73" t="s">
        <v>3088</v>
      </c>
      <c r="BQ237" s="73" t="s">
        <v>3578</v>
      </c>
      <c r="BR237" s="73" t="s">
        <v>3088</v>
      </c>
    </row>
    <row r="238" spans="1:70">
      <c r="A238" s="73" t="s">
        <v>1872</v>
      </c>
      <c r="B238" s="73" t="s">
        <v>3579</v>
      </c>
      <c r="C238" s="73" t="s">
        <v>2545</v>
      </c>
      <c r="D238" s="73" t="s">
        <v>3088</v>
      </c>
      <c r="E238" s="73" t="s">
        <v>3088</v>
      </c>
      <c r="F238" s="73" t="s">
        <v>3088</v>
      </c>
      <c r="G238" s="73" t="s">
        <v>3089</v>
      </c>
      <c r="H238" s="73" t="s">
        <v>3088</v>
      </c>
      <c r="I238" s="73" t="s">
        <v>3093</v>
      </c>
      <c r="J238" s="73" t="s">
        <v>3088</v>
      </c>
      <c r="K238" s="73" t="s">
        <v>3088</v>
      </c>
      <c r="L238" s="73" t="s">
        <v>3088</v>
      </c>
      <c r="M238" s="73" t="s">
        <v>3088</v>
      </c>
      <c r="N238" s="73" t="s">
        <v>3088</v>
      </c>
      <c r="O238" s="73" t="s">
        <v>3088</v>
      </c>
      <c r="P238" s="73" t="s">
        <v>3088</v>
      </c>
      <c r="Q238" s="73" t="s">
        <v>3088</v>
      </c>
      <c r="R238" s="73" t="s">
        <v>3088</v>
      </c>
      <c r="S238" s="73" t="s">
        <v>3088</v>
      </c>
      <c r="T238" s="73" t="s">
        <v>3088</v>
      </c>
      <c r="U238" s="73" t="s">
        <v>3088</v>
      </c>
      <c r="V238" s="73" t="s">
        <v>3088</v>
      </c>
      <c r="W238" s="73" t="s">
        <v>3088</v>
      </c>
      <c r="X238" s="73" t="s">
        <v>3088</v>
      </c>
      <c r="Y238" s="73" t="s">
        <v>3088</v>
      </c>
      <c r="Z238" s="73" t="s">
        <v>3088</v>
      </c>
      <c r="AA238" s="73" t="s">
        <v>3088</v>
      </c>
      <c r="AB238" s="73" t="s">
        <v>3088</v>
      </c>
      <c r="AC238" s="73" t="s">
        <v>3088</v>
      </c>
      <c r="AD238" s="73" t="s">
        <v>3088</v>
      </c>
      <c r="AE238" s="73" t="s">
        <v>3088</v>
      </c>
      <c r="AF238" s="73" t="s">
        <v>3088</v>
      </c>
      <c r="AG238" s="73" t="s">
        <v>3088</v>
      </c>
      <c r="AH238" s="73" t="s">
        <v>3088</v>
      </c>
      <c r="AI238" s="73" t="s">
        <v>3088</v>
      </c>
      <c r="AJ238" s="73" t="s">
        <v>3088</v>
      </c>
      <c r="AK238" s="73" t="s">
        <v>3088</v>
      </c>
      <c r="AL238" s="73" t="s">
        <v>3088</v>
      </c>
      <c r="AM238" s="73" t="s">
        <v>3088</v>
      </c>
      <c r="AN238" s="73" t="s">
        <v>3088</v>
      </c>
      <c r="AO238" s="73" t="s">
        <v>3088</v>
      </c>
      <c r="AP238" s="73" t="s">
        <v>3088</v>
      </c>
      <c r="AQ238" s="73" t="s">
        <v>3088</v>
      </c>
      <c r="AR238" s="73" t="s">
        <v>3088</v>
      </c>
      <c r="AS238" s="73" t="s">
        <v>3088</v>
      </c>
      <c r="AT238" s="73" t="s">
        <v>3088</v>
      </c>
      <c r="AU238" s="73" t="s">
        <v>3088</v>
      </c>
      <c r="AV238" s="73" t="s">
        <v>3088</v>
      </c>
      <c r="AW238" s="73" t="s">
        <v>3088</v>
      </c>
      <c r="AX238" s="73" t="s">
        <v>3088</v>
      </c>
      <c r="AY238" s="73" t="s">
        <v>3088</v>
      </c>
      <c r="AZ238" s="73" t="s">
        <v>3088</v>
      </c>
      <c r="BA238" s="73" t="s">
        <v>3088</v>
      </c>
      <c r="BB238" s="73" t="s">
        <v>3088</v>
      </c>
      <c r="BC238" s="73" t="s">
        <v>3088</v>
      </c>
      <c r="BD238" s="73" t="s">
        <v>3088</v>
      </c>
      <c r="BE238" s="73" t="s">
        <v>3088</v>
      </c>
      <c r="BF238" s="73" t="s">
        <v>3088</v>
      </c>
      <c r="BG238" s="73" t="s">
        <v>3088</v>
      </c>
      <c r="BH238" s="73" t="s">
        <v>3088</v>
      </c>
      <c r="BI238" s="73" t="s">
        <v>3088</v>
      </c>
      <c r="BJ238" s="73" t="s">
        <v>3088</v>
      </c>
      <c r="BK238" s="73" t="s">
        <v>3088</v>
      </c>
      <c r="BL238" s="73" t="s">
        <v>3088</v>
      </c>
      <c r="BM238" s="73" t="s">
        <v>3088</v>
      </c>
      <c r="BN238" s="73" t="s">
        <v>3088</v>
      </c>
      <c r="BO238" s="73" t="s">
        <v>3088</v>
      </c>
      <c r="BP238" s="73" t="s">
        <v>3088</v>
      </c>
      <c r="BQ238" s="73" t="s">
        <v>3580</v>
      </c>
      <c r="BR238" s="73" t="s">
        <v>3088</v>
      </c>
    </row>
    <row r="239" spans="1:70">
      <c r="A239" s="73" t="s">
        <v>1872</v>
      </c>
      <c r="B239" s="73" t="s">
        <v>3581</v>
      </c>
      <c r="C239" s="73" t="s">
        <v>2554</v>
      </c>
      <c r="D239" s="73" t="s">
        <v>3088</v>
      </c>
      <c r="E239" s="73" t="s">
        <v>3088</v>
      </c>
      <c r="F239" s="73" t="s">
        <v>3088</v>
      </c>
      <c r="G239" s="73" t="s">
        <v>3089</v>
      </c>
      <c r="H239" s="73" t="s">
        <v>3088</v>
      </c>
      <c r="I239" s="73" t="s">
        <v>3093</v>
      </c>
      <c r="J239" s="73" t="s">
        <v>3088</v>
      </c>
      <c r="K239" s="73" t="s">
        <v>3088</v>
      </c>
      <c r="L239" s="73" t="s">
        <v>3088</v>
      </c>
      <c r="M239" s="73" t="s">
        <v>3088</v>
      </c>
      <c r="N239" s="73" t="s">
        <v>3088</v>
      </c>
      <c r="O239" s="73" t="s">
        <v>3088</v>
      </c>
      <c r="P239" s="73" t="s">
        <v>3088</v>
      </c>
      <c r="Q239" s="73" t="s">
        <v>3088</v>
      </c>
      <c r="R239" s="73" t="s">
        <v>3088</v>
      </c>
      <c r="S239" s="73" t="s">
        <v>3088</v>
      </c>
      <c r="T239" s="73" t="s">
        <v>3088</v>
      </c>
      <c r="U239" s="73" t="s">
        <v>3088</v>
      </c>
      <c r="V239" s="73" t="s">
        <v>3088</v>
      </c>
      <c r="W239" s="73" t="s">
        <v>3088</v>
      </c>
      <c r="X239" s="73" t="s">
        <v>3088</v>
      </c>
      <c r="Y239" s="73" t="s">
        <v>3088</v>
      </c>
      <c r="Z239" s="73" t="s">
        <v>3088</v>
      </c>
      <c r="AA239" s="73" t="s">
        <v>3088</v>
      </c>
      <c r="AB239" s="73" t="s">
        <v>3088</v>
      </c>
      <c r="AC239" s="73" t="s">
        <v>3088</v>
      </c>
      <c r="AD239" s="73" t="s">
        <v>3088</v>
      </c>
      <c r="AE239" s="73" t="s">
        <v>3088</v>
      </c>
      <c r="AF239" s="73" t="s">
        <v>3088</v>
      </c>
      <c r="AG239" s="73" t="s">
        <v>3088</v>
      </c>
      <c r="AH239" s="73" t="s">
        <v>3088</v>
      </c>
      <c r="AI239" s="73" t="s">
        <v>3088</v>
      </c>
      <c r="AJ239" s="73" t="s">
        <v>3088</v>
      </c>
      <c r="AK239" s="73" t="s">
        <v>3088</v>
      </c>
      <c r="AL239" s="73" t="s">
        <v>3088</v>
      </c>
      <c r="AM239" s="73" t="s">
        <v>3088</v>
      </c>
      <c r="AN239" s="73" t="s">
        <v>3088</v>
      </c>
      <c r="AO239" s="73" t="s">
        <v>3088</v>
      </c>
      <c r="AP239" s="73" t="s">
        <v>3088</v>
      </c>
      <c r="AQ239" s="73" t="s">
        <v>3088</v>
      </c>
      <c r="AR239" s="73" t="s">
        <v>3088</v>
      </c>
      <c r="AS239" s="73" t="s">
        <v>3088</v>
      </c>
      <c r="AT239" s="73" t="s">
        <v>3088</v>
      </c>
      <c r="AU239" s="73" t="s">
        <v>3088</v>
      </c>
      <c r="AV239" s="73" t="s">
        <v>3088</v>
      </c>
      <c r="AW239" s="73" t="s">
        <v>3088</v>
      </c>
      <c r="AX239" s="73" t="s">
        <v>3088</v>
      </c>
      <c r="AY239" s="73" t="s">
        <v>3088</v>
      </c>
      <c r="AZ239" s="73" t="s">
        <v>3088</v>
      </c>
      <c r="BA239" s="73" t="s">
        <v>3088</v>
      </c>
      <c r="BB239" s="73" t="s">
        <v>3088</v>
      </c>
      <c r="BC239" s="73" t="s">
        <v>3088</v>
      </c>
      <c r="BD239" s="73" t="s">
        <v>3088</v>
      </c>
      <c r="BE239" s="73" t="s">
        <v>3088</v>
      </c>
      <c r="BF239" s="73" t="s">
        <v>3088</v>
      </c>
      <c r="BG239" s="73" t="s">
        <v>3088</v>
      </c>
      <c r="BH239" s="73" t="s">
        <v>3088</v>
      </c>
      <c r="BI239" s="73" t="s">
        <v>3088</v>
      </c>
      <c r="BJ239" s="73" t="s">
        <v>3088</v>
      </c>
      <c r="BK239" s="73" t="s">
        <v>3088</v>
      </c>
      <c r="BL239" s="73" t="s">
        <v>3088</v>
      </c>
      <c r="BM239" s="73" t="s">
        <v>3088</v>
      </c>
      <c r="BN239" s="73" t="s">
        <v>3088</v>
      </c>
      <c r="BO239" s="73" t="s">
        <v>3088</v>
      </c>
      <c r="BP239" s="73" t="s">
        <v>3088</v>
      </c>
      <c r="BQ239" s="73" t="s">
        <v>3582</v>
      </c>
      <c r="BR239" s="73" t="s">
        <v>3088</v>
      </c>
    </row>
    <row r="240" spans="1:70">
      <c r="A240" s="73" t="s">
        <v>1872</v>
      </c>
      <c r="B240" s="73" t="s">
        <v>2722</v>
      </c>
      <c r="C240" s="73" t="s">
        <v>2533</v>
      </c>
      <c r="D240" s="73" t="s">
        <v>3088</v>
      </c>
      <c r="E240" s="73" t="s">
        <v>3088</v>
      </c>
      <c r="F240" s="73" t="s">
        <v>3088</v>
      </c>
      <c r="G240" s="73" t="s">
        <v>3089</v>
      </c>
      <c r="H240" s="73" t="s">
        <v>3088</v>
      </c>
      <c r="I240" s="73" t="s">
        <v>133</v>
      </c>
      <c r="J240" s="73" t="s">
        <v>3583</v>
      </c>
      <c r="K240" s="73" t="s">
        <v>3095</v>
      </c>
      <c r="L240" s="73" t="s">
        <v>3441</v>
      </c>
      <c r="M240" s="73" t="s">
        <v>3583</v>
      </c>
      <c r="N240" s="73" t="s">
        <v>3095</v>
      </c>
      <c r="O240" s="73" t="s">
        <v>3088</v>
      </c>
      <c r="P240" s="73" t="s">
        <v>3088</v>
      </c>
      <c r="Q240" s="73" t="s">
        <v>3088</v>
      </c>
      <c r="R240" s="73" t="s">
        <v>3088</v>
      </c>
      <c r="S240" s="73" t="s">
        <v>3088</v>
      </c>
      <c r="T240" s="73" t="s">
        <v>3088</v>
      </c>
      <c r="U240" s="73" t="s">
        <v>3088</v>
      </c>
      <c r="V240" s="73" t="s">
        <v>3088</v>
      </c>
      <c r="W240" s="73" t="s">
        <v>3088</v>
      </c>
      <c r="X240" s="73" t="s">
        <v>3088</v>
      </c>
      <c r="Y240" s="73" t="s">
        <v>3088</v>
      </c>
      <c r="Z240" s="73" t="s">
        <v>3088</v>
      </c>
      <c r="AA240" s="73" t="s">
        <v>3088</v>
      </c>
      <c r="AB240" s="73" t="s">
        <v>3088</v>
      </c>
      <c r="AC240" s="73" t="s">
        <v>3088</v>
      </c>
      <c r="AD240" s="73" t="s">
        <v>3088</v>
      </c>
      <c r="AE240" s="73" t="s">
        <v>3088</v>
      </c>
      <c r="AF240" s="73" t="s">
        <v>3088</v>
      </c>
      <c r="AG240" s="73" t="s">
        <v>3088</v>
      </c>
      <c r="AH240" s="73" t="s">
        <v>3088</v>
      </c>
      <c r="AI240" s="73" t="s">
        <v>3088</v>
      </c>
      <c r="AJ240" s="73" t="s">
        <v>3088</v>
      </c>
      <c r="AK240" s="73" t="s">
        <v>3088</v>
      </c>
      <c r="AL240" s="73" t="s">
        <v>3088</v>
      </c>
      <c r="AM240" s="73" t="s">
        <v>3088</v>
      </c>
      <c r="AN240" s="73" t="s">
        <v>3088</v>
      </c>
      <c r="AO240" s="73" t="s">
        <v>3088</v>
      </c>
      <c r="AP240" s="73" t="s">
        <v>3088</v>
      </c>
      <c r="AQ240" s="73" t="s">
        <v>3088</v>
      </c>
      <c r="AR240" s="73" t="s">
        <v>3088</v>
      </c>
      <c r="AS240" s="73" t="s">
        <v>3088</v>
      </c>
      <c r="AT240" s="73" t="s">
        <v>3088</v>
      </c>
      <c r="AU240" s="73" t="s">
        <v>3088</v>
      </c>
      <c r="AV240" s="73" t="s">
        <v>3088</v>
      </c>
      <c r="AW240" s="73" t="s">
        <v>3088</v>
      </c>
      <c r="AX240" s="73" t="s">
        <v>3088</v>
      </c>
      <c r="AY240" s="73" t="s">
        <v>3088</v>
      </c>
      <c r="AZ240" s="73" t="s">
        <v>3088</v>
      </c>
      <c r="BA240" s="73" t="s">
        <v>3088</v>
      </c>
      <c r="BB240" s="73" t="s">
        <v>3088</v>
      </c>
      <c r="BC240" s="73" t="s">
        <v>3088</v>
      </c>
      <c r="BD240" s="73" t="s">
        <v>3088</v>
      </c>
      <c r="BE240" s="73" t="s">
        <v>3088</v>
      </c>
      <c r="BF240" s="73" t="s">
        <v>3088</v>
      </c>
      <c r="BG240" s="73" t="s">
        <v>3088</v>
      </c>
      <c r="BH240" s="73" t="s">
        <v>3088</v>
      </c>
      <c r="BI240" s="73" t="s">
        <v>3088</v>
      </c>
      <c r="BJ240" s="73" t="s">
        <v>3088</v>
      </c>
      <c r="BK240" s="73" t="s">
        <v>3088</v>
      </c>
      <c r="BL240" s="73" t="s">
        <v>3088</v>
      </c>
      <c r="BM240" s="73" t="s">
        <v>3088</v>
      </c>
      <c r="BN240" s="73" t="s">
        <v>3088</v>
      </c>
      <c r="BO240" s="73" t="s">
        <v>3088</v>
      </c>
      <c r="BP240" s="73" t="s">
        <v>3088</v>
      </c>
      <c r="BQ240" s="73" t="s">
        <v>3584</v>
      </c>
      <c r="BR240" s="73" t="s">
        <v>3097</v>
      </c>
    </row>
    <row r="241" spans="1:70">
      <c r="A241" s="73" t="s">
        <v>1872</v>
      </c>
      <c r="B241" s="73" t="s">
        <v>3585</v>
      </c>
      <c r="C241" s="73" t="s">
        <v>2582</v>
      </c>
      <c r="D241" s="73" t="s">
        <v>3088</v>
      </c>
      <c r="E241" s="73" t="s">
        <v>3088</v>
      </c>
      <c r="F241" s="73" t="s">
        <v>3088</v>
      </c>
      <c r="G241" s="73" t="s">
        <v>3089</v>
      </c>
      <c r="H241" s="73" t="s">
        <v>3130</v>
      </c>
      <c r="I241" s="73" t="s">
        <v>3088</v>
      </c>
      <c r="J241" s="73" t="s">
        <v>3088</v>
      </c>
      <c r="K241" s="73" t="s">
        <v>3088</v>
      </c>
      <c r="L241" s="73" t="s">
        <v>3088</v>
      </c>
      <c r="M241" s="73" t="s">
        <v>3088</v>
      </c>
      <c r="N241" s="73" t="s">
        <v>3088</v>
      </c>
      <c r="O241" s="73" t="s">
        <v>3088</v>
      </c>
      <c r="P241" s="73" t="s">
        <v>3088</v>
      </c>
      <c r="Q241" s="73" t="s">
        <v>3088</v>
      </c>
      <c r="R241" s="73" t="s">
        <v>3088</v>
      </c>
      <c r="S241" s="73" t="s">
        <v>3088</v>
      </c>
      <c r="T241" s="73" t="s">
        <v>3088</v>
      </c>
      <c r="U241" s="73" t="s">
        <v>3088</v>
      </c>
      <c r="V241" s="73" t="s">
        <v>3088</v>
      </c>
      <c r="W241" s="73" t="s">
        <v>3088</v>
      </c>
      <c r="X241" s="73" t="s">
        <v>3088</v>
      </c>
      <c r="Y241" s="73" t="s">
        <v>3088</v>
      </c>
      <c r="Z241" s="73" t="s">
        <v>3088</v>
      </c>
      <c r="AA241" s="73" t="s">
        <v>3088</v>
      </c>
      <c r="AB241" s="73" t="s">
        <v>3088</v>
      </c>
      <c r="AC241" s="73" t="s">
        <v>3088</v>
      </c>
      <c r="AD241" s="73" t="s">
        <v>3088</v>
      </c>
      <c r="AE241" s="73" t="s">
        <v>3088</v>
      </c>
      <c r="AF241" s="73" t="s">
        <v>3088</v>
      </c>
      <c r="AG241" s="73" t="s">
        <v>3088</v>
      </c>
      <c r="AH241" s="73" t="s">
        <v>3088</v>
      </c>
      <c r="AI241" s="73" t="s">
        <v>3088</v>
      </c>
      <c r="AJ241" s="73" t="s">
        <v>3088</v>
      </c>
      <c r="AK241" s="73" t="s">
        <v>3088</v>
      </c>
      <c r="AL241" s="73" t="s">
        <v>3088</v>
      </c>
      <c r="AM241" s="73" t="s">
        <v>3088</v>
      </c>
      <c r="AN241" s="73" t="s">
        <v>3088</v>
      </c>
      <c r="AO241" s="73" t="s">
        <v>3088</v>
      </c>
      <c r="AP241" s="73" t="s">
        <v>3088</v>
      </c>
      <c r="AQ241" s="73" t="s">
        <v>3088</v>
      </c>
      <c r="AR241" s="73" t="s">
        <v>3088</v>
      </c>
      <c r="AS241" s="73" t="s">
        <v>3088</v>
      </c>
      <c r="AT241" s="73" t="s">
        <v>3088</v>
      </c>
      <c r="AU241" s="73" t="s">
        <v>3088</v>
      </c>
      <c r="AV241" s="73" t="s">
        <v>3088</v>
      </c>
      <c r="AW241" s="73" t="s">
        <v>3088</v>
      </c>
      <c r="AX241" s="73" t="s">
        <v>3088</v>
      </c>
      <c r="AY241" s="73" t="s">
        <v>3088</v>
      </c>
      <c r="AZ241" s="73" t="s">
        <v>3088</v>
      </c>
      <c r="BA241" s="73" t="s">
        <v>3088</v>
      </c>
      <c r="BB241" s="73" t="s">
        <v>3088</v>
      </c>
      <c r="BC241" s="73" t="s">
        <v>3088</v>
      </c>
      <c r="BD241" s="73" t="s">
        <v>3088</v>
      </c>
      <c r="BE241" s="73" t="s">
        <v>3088</v>
      </c>
      <c r="BF241" s="73" t="s">
        <v>3088</v>
      </c>
      <c r="BG241" s="73" t="s">
        <v>3088</v>
      </c>
      <c r="BH241" s="73" t="s">
        <v>3088</v>
      </c>
      <c r="BI241" s="73" t="s">
        <v>3088</v>
      </c>
      <c r="BJ241" s="73" t="s">
        <v>3088</v>
      </c>
      <c r="BK241" s="73" t="s">
        <v>3088</v>
      </c>
      <c r="BL241" s="73" t="s">
        <v>3088</v>
      </c>
      <c r="BM241" s="73" t="s">
        <v>3088</v>
      </c>
      <c r="BN241" s="73" t="s">
        <v>3088</v>
      </c>
      <c r="BO241" s="73" t="s">
        <v>3088</v>
      </c>
      <c r="BP241" s="73" t="s">
        <v>3088</v>
      </c>
      <c r="BQ241" s="73" t="s">
        <v>3586</v>
      </c>
      <c r="BR241" s="73" t="s">
        <v>3097</v>
      </c>
    </row>
    <row r="242" spans="1:70">
      <c r="A242" s="73" t="s">
        <v>1872</v>
      </c>
      <c r="B242" s="73" t="s">
        <v>2725</v>
      </c>
      <c r="C242" s="73" t="s">
        <v>2582</v>
      </c>
      <c r="D242" s="73" t="s">
        <v>3088</v>
      </c>
      <c r="E242" s="73" t="s">
        <v>3088</v>
      </c>
      <c r="F242" s="73" t="s">
        <v>3088</v>
      </c>
      <c r="G242" s="73" t="s">
        <v>3089</v>
      </c>
      <c r="H242" s="73" t="s">
        <v>3088</v>
      </c>
      <c r="I242" s="73" t="s">
        <v>2193</v>
      </c>
      <c r="J242" s="73" t="s">
        <v>3088</v>
      </c>
      <c r="K242" s="73" t="s">
        <v>3088</v>
      </c>
      <c r="L242" s="73" t="s">
        <v>3088</v>
      </c>
      <c r="M242" s="73" t="s">
        <v>3088</v>
      </c>
      <c r="N242" s="73" t="s">
        <v>3088</v>
      </c>
      <c r="O242" s="73" t="s">
        <v>3088</v>
      </c>
      <c r="P242" s="73" t="s">
        <v>3088</v>
      </c>
      <c r="Q242" s="73" t="s">
        <v>3088</v>
      </c>
      <c r="R242" s="73" t="s">
        <v>3088</v>
      </c>
      <c r="S242" s="73" t="s">
        <v>3088</v>
      </c>
      <c r="T242" s="73" t="s">
        <v>3088</v>
      </c>
      <c r="U242" s="73" t="s">
        <v>3088</v>
      </c>
      <c r="V242" s="73" t="s">
        <v>3088</v>
      </c>
      <c r="W242" s="73" t="s">
        <v>3088</v>
      </c>
      <c r="X242" s="73" t="s">
        <v>3088</v>
      </c>
      <c r="Y242" s="73" t="s">
        <v>3088</v>
      </c>
      <c r="Z242" s="73" t="s">
        <v>3088</v>
      </c>
      <c r="AA242" s="73" t="s">
        <v>3088</v>
      </c>
      <c r="AB242" s="73" t="s">
        <v>3088</v>
      </c>
      <c r="AC242" s="73" t="s">
        <v>3088</v>
      </c>
      <c r="AD242" s="73" t="s">
        <v>3088</v>
      </c>
      <c r="AE242" s="73" t="s">
        <v>3088</v>
      </c>
      <c r="AF242" s="73" t="s">
        <v>3088</v>
      </c>
      <c r="AG242" s="73" t="s">
        <v>3088</v>
      </c>
      <c r="AH242" s="73" t="s">
        <v>3088</v>
      </c>
      <c r="AI242" s="73" t="s">
        <v>3088</v>
      </c>
      <c r="AJ242" s="73" t="s">
        <v>3088</v>
      </c>
      <c r="AK242" s="73" t="s">
        <v>3088</v>
      </c>
      <c r="AL242" s="73" t="s">
        <v>3088</v>
      </c>
      <c r="AM242" s="73" t="s">
        <v>3088</v>
      </c>
      <c r="AN242" s="73" t="s">
        <v>3088</v>
      </c>
      <c r="AO242" s="73" t="s">
        <v>3088</v>
      </c>
      <c r="AP242" s="73" t="s">
        <v>3088</v>
      </c>
      <c r="AQ242" s="73" t="s">
        <v>3088</v>
      </c>
      <c r="AR242" s="73" t="s">
        <v>3088</v>
      </c>
      <c r="AS242" s="73" t="s">
        <v>3088</v>
      </c>
      <c r="AT242" s="73" t="s">
        <v>3088</v>
      </c>
      <c r="AU242" s="73" t="s">
        <v>3088</v>
      </c>
      <c r="AV242" s="73" t="s">
        <v>3088</v>
      </c>
      <c r="AW242" s="73" t="s">
        <v>3088</v>
      </c>
      <c r="AX242" s="73" t="s">
        <v>3088</v>
      </c>
      <c r="AY242" s="73" t="s">
        <v>3088</v>
      </c>
      <c r="AZ242" s="73" t="s">
        <v>3088</v>
      </c>
      <c r="BA242" s="73" t="s">
        <v>3088</v>
      </c>
      <c r="BB242" s="73" t="s">
        <v>3088</v>
      </c>
      <c r="BC242" s="73" t="s">
        <v>3088</v>
      </c>
      <c r="BD242" s="73" t="s">
        <v>3088</v>
      </c>
      <c r="BE242" s="73" t="s">
        <v>3088</v>
      </c>
      <c r="BF242" s="73" t="s">
        <v>3088</v>
      </c>
      <c r="BG242" s="73" t="s">
        <v>3088</v>
      </c>
      <c r="BH242" s="73" t="s">
        <v>3088</v>
      </c>
      <c r="BI242" s="73" t="s">
        <v>3088</v>
      </c>
      <c r="BJ242" s="73" t="s">
        <v>3088</v>
      </c>
      <c r="BK242" s="73" t="s">
        <v>3088</v>
      </c>
      <c r="BL242" s="73" t="s">
        <v>3088</v>
      </c>
      <c r="BM242" s="73" t="s">
        <v>3088</v>
      </c>
      <c r="BN242" s="73" t="s">
        <v>3088</v>
      </c>
      <c r="BO242" s="73" t="s">
        <v>3088</v>
      </c>
      <c r="BP242" s="73" t="s">
        <v>3088</v>
      </c>
      <c r="BQ242" s="73" t="s">
        <v>3587</v>
      </c>
      <c r="BR242" s="73" t="s">
        <v>3088</v>
      </c>
    </row>
    <row r="243" spans="1:70">
      <c r="A243" s="73" t="s">
        <v>1872</v>
      </c>
      <c r="B243" s="73" t="s">
        <v>3588</v>
      </c>
      <c r="C243" s="73" t="s">
        <v>2545</v>
      </c>
      <c r="D243" s="73" t="s">
        <v>3088</v>
      </c>
      <c r="E243" s="73" t="s">
        <v>3088</v>
      </c>
      <c r="F243" s="73" t="s">
        <v>3088</v>
      </c>
      <c r="G243" s="73" t="s">
        <v>3089</v>
      </c>
      <c r="H243" s="73" t="s">
        <v>3088</v>
      </c>
      <c r="I243" s="73" t="s">
        <v>3093</v>
      </c>
      <c r="J243" s="73" t="s">
        <v>3088</v>
      </c>
      <c r="K243" s="73" t="s">
        <v>3088</v>
      </c>
      <c r="L243" s="73" t="s">
        <v>3088</v>
      </c>
      <c r="M243" s="73" t="s">
        <v>3088</v>
      </c>
      <c r="N243" s="73" t="s">
        <v>3088</v>
      </c>
      <c r="O243" s="73" t="s">
        <v>3088</v>
      </c>
      <c r="P243" s="73" t="s">
        <v>3088</v>
      </c>
      <c r="Q243" s="73" t="s">
        <v>3088</v>
      </c>
      <c r="R243" s="73" t="s">
        <v>3088</v>
      </c>
      <c r="S243" s="73" t="s">
        <v>3088</v>
      </c>
      <c r="T243" s="73" t="s">
        <v>3088</v>
      </c>
      <c r="U243" s="73" t="s">
        <v>3088</v>
      </c>
      <c r="V243" s="73" t="s">
        <v>3088</v>
      </c>
      <c r="W243" s="73" t="s">
        <v>3088</v>
      </c>
      <c r="X243" s="73" t="s">
        <v>3088</v>
      </c>
      <c r="Y243" s="73" t="s">
        <v>3088</v>
      </c>
      <c r="Z243" s="73" t="s">
        <v>3088</v>
      </c>
      <c r="AA243" s="73" t="s">
        <v>3088</v>
      </c>
      <c r="AB243" s="73" t="s">
        <v>3088</v>
      </c>
      <c r="AC243" s="73" t="s">
        <v>3088</v>
      </c>
      <c r="AD243" s="73" t="s">
        <v>3088</v>
      </c>
      <c r="AE243" s="73" t="s">
        <v>3088</v>
      </c>
      <c r="AF243" s="73" t="s">
        <v>3088</v>
      </c>
      <c r="AG243" s="73" t="s">
        <v>3088</v>
      </c>
      <c r="AH243" s="73" t="s">
        <v>3088</v>
      </c>
      <c r="AI243" s="73" t="s">
        <v>3088</v>
      </c>
      <c r="AJ243" s="73" t="s">
        <v>3088</v>
      </c>
      <c r="AK243" s="73" t="s">
        <v>3088</v>
      </c>
      <c r="AL243" s="73" t="s">
        <v>3088</v>
      </c>
      <c r="AM243" s="73" t="s">
        <v>3088</v>
      </c>
      <c r="AN243" s="73" t="s">
        <v>3088</v>
      </c>
      <c r="AO243" s="73" t="s">
        <v>3088</v>
      </c>
      <c r="AP243" s="73" t="s">
        <v>3088</v>
      </c>
      <c r="AQ243" s="73" t="s">
        <v>3088</v>
      </c>
      <c r="AR243" s="73" t="s">
        <v>3088</v>
      </c>
      <c r="AS243" s="73" t="s">
        <v>3088</v>
      </c>
      <c r="AT243" s="73" t="s">
        <v>3088</v>
      </c>
      <c r="AU243" s="73" t="s">
        <v>3088</v>
      </c>
      <c r="AV243" s="73" t="s">
        <v>3088</v>
      </c>
      <c r="AW243" s="73" t="s">
        <v>3088</v>
      </c>
      <c r="AX243" s="73" t="s">
        <v>3088</v>
      </c>
      <c r="AY243" s="73" t="s">
        <v>3088</v>
      </c>
      <c r="AZ243" s="73" t="s">
        <v>3088</v>
      </c>
      <c r="BA243" s="73" t="s">
        <v>3088</v>
      </c>
      <c r="BB243" s="73" t="s">
        <v>3088</v>
      </c>
      <c r="BC243" s="73" t="s">
        <v>3088</v>
      </c>
      <c r="BD243" s="73" t="s">
        <v>3088</v>
      </c>
      <c r="BE243" s="73" t="s">
        <v>3088</v>
      </c>
      <c r="BF243" s="73" t="s">
        <v>3088</v>
      </c>
      <c r="BG243" s="73" t="s">
        <v>3088</v>
      </c>
      <c r="BH243" s="73" t="s">
        <v>3088</v>
      </c>
      <c r="BI243" s="73" t="s">
        <v>3088</v>
      </c>
      <c r="BJ243" s="73" t="s">
        <v>3088</v>
      </c>
      <c r="BK243" s="73" t="s">
        <v>3088</v>
      </c>
      <c r="BL243" s="73" t="s">
        <v>3088</v>
      </c>
      <c r="BM243" s="73" t="s">
        <v>3088</v>
      </c>
      <c r="BN243" s="73" t="s">
        <v>3088</v>
      </c>
      <c r="BO243" s="73" t="s">
        <v>3088</v>
      </c>
      <c r="BP243" s="73" t="s">
        <v>3088</v>
      </c>
      <c r="BQ243" s="73" t="s">
        <v>3589</v>
      </c>
      <c r="BR243" s="73" t="s">
        <v>3088</v>
      </c>
    </row>
    <row r="244" spans="1:70">
      <c r="A244" s="73" t="s">
        <v>1872</v>
      </c>
      <c r="B244" s="73" t="s">
        <v>2726</v>
      </c>
      <c r="C244" s="73" t="s">
        <v>2591</v>
      </c>
      <c r="D244" s="73" t="s">
        <v>3088</v>
      </c>
      <c r="E244" s="73" t="s">
        <v>3088</v>
      </c>
      <c r="F244" s="73" t="s">
        <v>3088</v>
      </c>
      <c r="G244" s="73" t="s">
        <v>3089</v>
      </c>
      <c r="H244" s="73" t="s">
        <v>3088</v>
      </c>
      <c r="I244" s="73" t="s">
        <v>108</v>
      </c>
      <c r="J244" s="73" t="s">
        <v>2727</v>
      </c>
      <c r="K244" s="73" t="s">
        <v>3095</v>
      </c>
      <c r="L244" s="73" t="s">
        <v>3088</v>
      </c>
      <c r="M244" s="73" t="s">
        <v>3088</v>
      </c>
      <c r="N244" s="73" t="s">
        <v>3088</v>
      </c>
      <c r="O244" s="73" t="s">
        <v>3088</v>
      </c>
      <c r="P244" s="73" t="s">
        <v>3088</v>
      </c>
      <c r="Q244" s="73" t="s">
        <v>3088</v>
      </c>
      <c r="R244" s="73" t="s">
        <v>3088</v>
      </c>
      <c r="S244" s="73" t="s">
        <v>3088</v>
      </c>
      <c r="T244" s="73" t="s">
        <v>3088</v>
      </c>
      <c r="U244" s="73" t="s">
        <v>3088</v>
      </c>
      <c r="V244" s="73" t="s">
        <v>3088</v>
      </c>
      <c r="W244" s="73" t="s">
        <v>3088</v>
      </c>
      <c r="X244" s="73" t="s">
        <v>3088</v>
      </c>
      <c r="Y244" s="73" t="s">
        <v>3088</v>
      </c>
      <c r="Z244" s="73" t="s">
        <v>3088</v>
      </c>
      <c r="AA244" s="73" t="s">
        <v>3088</v>
      </c>
      <c r="AB244" s="73" t="s">
        <v>3088</v>
      </c>
      <c r="AC244" s="73" t="s">
        <v>3088</v>
      </c>
      <c r="AD244" s="73" t="s">
        <v>3088</v>
      </c>
      <c r="AE244" s="73" t="s">
        <v>3088</v>
      </c>
      <c r="AF244" s="73" t="s">
        <v>3088</v>
      </c>
      <c r="AG244" s="73" t="s">
        <v>3088</v>
      </c>
      <c r="AH244" s="73" t="s">
        <v>3088</v>
      </c>
      <c r="AI244" s="73" t="s">
        <v>3088</v>
      </c>
      <c r="AJ244" s="73" t="s">
        <v>3088</v>
      </c>
      <c r="AK244" s="73" t="s">
        <v>3088</v>
      </c>
      <c r="AL244" s="73" t="s">
        <v>3088</v>
      </c>
      <c r="AM244" s="73" t="s">
        <v>3088</v>
      </c>
      <c r="AN244" s="73" t="s">
        <v>3088</v>
      </c>
      <c r="AO244" s="73" t="s">
        <v>3088</v>
      </c>
      <c r="AP244" s="73" t="s">
        <v>3088</v>
      </c>
      <c r="AQ244" s="73" t="s">
        <v>3088</v>
      </c>
      <c r="AR244" s="73" t="s">
        <v>3088</v>
      </c>
      <c r="AS244" s="73" t="s">
        <v>3088</v>
      </c>
      <c r="AT244" s="73" t="s">
        <v>3088</v>
      </c>
      <c r="AU244" s="73" t="s">
        <v>3088</v>
      </c>
      <c r="AV244" s="73" t="s">
        <v>3088</v>
      </c>
      <c r="AW244" s="73" t="s">
        <v>3088</v>
      </c>
      <c r="AX244" s="73" t="s">
        <v>3088</v>
      </c>
      <c r="AY244" s="73" t="s">
        <v>3088</v>
      </c>
      <c r="AZ244" s="73" t="s">
        <v>3088</v>
      </c>
      <c r="BA244" s="73" t="s">
        <v>3088</v>
      </c>
      <c r="BB244" s="73" t="s">
        <v>3088</v>
      </c>
      <c r="BC244" s="73" t="s">
        <v>3088</v>
      </c>
      <c r="BD244" s="73" t="s">
        <v>3088</v>
      </c>
      <c r="BE244" s="73" t="s">
        <v>3088</v>
      </c>
      <c r="BF244" s="73" t="s">
        <v>3088</v>
      </c>
      <c r="BG244" s="73" t="s">
        <v>3088</v>
      </c>
      <c r="BH244" s="73" t="s">
        <v>3088</v>
      </c>
      <c r="BI244" s="73" t="s">
        <v>3088</v>
      </c>
      <c r="BJ244" s="73" t="s">
        <v>3088</v>
      </c>
      <c r="BK244" s="73" t="s">
        <v>3088</v>
      </c>
      <c r="BL244" s="73" t="s">
        <v>3088</v>
      </c>
      <c r="BM244" s="73" t="s">
        <v>3088</v>
      </c>
      <c r="BN244" s="73" t="s">
        <v>3088</v>
      </c>
      <c r="BO244" s="73" t="s">
        <v>3088</v>
      </c>
      <c r="BP244" s="73" t="s">
        <v>3088</v>
      </c>
      <c r="BQ244" s="73" t="s">
        <v>3590</v>
      </c>
      <c r="BR244" s="73" t="s">
        <v>3097</v>
      </c>
    </row>
    <row r="245" spans="1:70">
      <c r="A245" s="73" t="s">
        <v>1872</v>
      </c>
      <c r="B245" s="73" t="s">
        <v>2728</v>
      </c>
      <c r="C245" s="73" t="s">
        <v>2545</v>
      </c>
      <c r="D245" s="73" t="s">
        <v>3088</v>
      </c>
      <c r="E245" s="73" t="s">
        <v>3088</v>
      </c>
      <c r="F245" s="73" t="s">
        <v>3088</v>
      </c>
      <c r="G245" s="73" t="s">
        <v>3089</v>
      </c>
      <c r="H245" s="73" t="s">
        <v>3088</v>
      </c>
      <c r="I245" s="73" t="s">
        <v>108</v>
      </c>
      <c r="J245" s="73" t="s">
        <v>3591</v>
      </c>
      <c r="K245" s="73" t="s">
        <v>3095</v>
      </c>
      <c r="L245" s="73" t="s">
        <v>2193</v>
      </c>
      <c r="M245" s="73" t="s">
        <v>3591</v>
      </c>
      <c r="N245" s="73" t="s">
        <v>3095</v>
      </c>
      <c r="O245" s="73" t="s">
        <v>3088</v>
      </c>
      <c r="P245" s="73" t="s">
        <v>3088</v>
      </c>
      <c r="Q245" s="73" t="s">
        <v>3088</v>
      </c>
      <c r="R245" s="73" t="s">
        <v>3088</v>
      </c>
      <c r="S245" s="73" t="s">
        <v>3088</v>
      </c>
      <c r="T245" s="73" t="s">
        <v>3088</v>
      </c>
      <c r="U245" s="73" t="s">
        <v>3088</v>
      </c>
      <c r="V245" s="73" t="s">
        <v>3088</v>
      </c>
      <c r="W245" s="73" t="s">
        <v>3088</v>
      </c>
      <c r="X245" s="73" t="s">
        <v>3088</v>
      </c>
      <c r="Y245" s="73" t="s">
        <v>3088</v>
      </c>
      <c r="Z245" s="73" t="s">
        <v>3088</v>
      </c>
      <c r="AA245" s="73" t="s">
        <v>3088</v>
      </c>
      <c r="AB245" s="73" t="s">
        <v>3088</v>
      </c>
      <c r="AC245" s="73" t="s">
        <v>3088</v>
      </c>
      <c r="AD245" s="73" t="s">
        <v>3088</v>
      </c>
      <c r="AE245" s="73" t="s">
        <v>3088</v>
      </c>
      <c r="AF245" s="73" t="s">
        <v>3088</v>
      </c>
      <c r="AG245" s="73" t="s">
        <v>3088</v>
      </c>
      <c r="AH245" s="73" t="s">
        <v>3088</v>
      </c>
      <c r="AI245" s="73" t="s">
        <v>3088</v>
      </c>
      <c r="AJ245" s="73" t="s">
        <v>3088</v>
      </c>
      <c r="AK245" s="73" t="s">
        <v>3088</v>
      </c>
      <c r="AL245" s="73" t="s">
        <v>3088</v>
      </c>
      <c r="AM245" s="73" t="s">
        <v>3088</v>
      </c>
      <c r="AN245" s="73" t="s">
        <v>3088</v>
      </c>
      <c r="AO245" s="73" t="s">
        <v>3088</v>
      </c>
      <c r="AP245" s="73" t="s">
        <v>3088</v>
      </c>
      <c r="AQ245" s="73" t="s">
        <v>3088</v>
      </c>
      <c r="AR245" s="73" t="s">
        <v>3088</v>
      </c>
      <c r="AS245" s="73" t="s">
        <v>3088</v>
      </c>
      <c r="AT245" s="73" t="s">
        <v>3088</v>
      </c>
      <c r="AU245" s="73" t="s">
        <v>3088</v>
      </c>
      <c r="AV245" s="73" t="s">
        <v>3088</v>
      </c>
      <c r="AW245" s="73" t="s">
        <v>3088</v>
      </c>
      <c r="AX245" s="73" t="s">
        <v>3088</v>
      </c>
      <c r="AY245" s="73" t="s">
        <v>3088</v>
      </c>
      <c r="AZ245" s="73" t="s">
        <v>3088</v>
      </c>
      <c r="BA245" s="73" t="s">
        <v>3088</v>
      </c>
      <c r="BB245" s="73" t="s">
        <v>3088</v>
      </c>
      <c r="BC245" s="73" t="s">
        <v>3088</v>
      </c>
      <c r="BD245" s="73" t="s">
        <v>3088</v>
      </c>
      <c r="BE245" s="73" t="s">
        <v>3088</v>
      </c>
      <c r="BF245" s="73" t="s">
        <v>3088</v>
      </c>
      <c r="BG245" s="73" t="s">
        <v>3088</v>
      </c>
      <c r="BH245" s="73" t="s">
        <v>3088</v>
      </c>
      <c r="BI245" s="73" t="s">
        <v>3088</v>
      </c>
      <c r="BJ245" s="73" t="s">
        <v>3088</v>
      </c>
      <c r="BK245" s="73" t="s">
        <v>3088</v>
      </c>
      <c r="BL245" s="73" t="s">
        <v>3088</v>
      </c>
      <c r="BM245" s="73" t="s">
        <v>3088</v>
      </c>
      <c r="BN245" s="73" t="s">
        <v>3088</v>
      </c>
      <c r="BO245" s="73" t="s">
        <v>3088</v>
      </c>
      <c r="BP245" s="73" t="s">
        <v>3088</v>
      </c>
      <c r="BQ245" s="73" t="s">
        <v>3592</v>
      </c>
      <c r="BR245" s="73" t="s">
        <v>3097</v>
      </c>
    </row>
    <row r="246" spans="1:70">
      <c r="A246" s="73" t="s">
        <v>1872</v>
      </c>
      <c r="B246" s="73" t="s">
        <v>2887</v>
      </c>
      <c r="C246" s="73" t="s">
        <v>2563</v>
      </c>
      <c r="D246" s="73" t="s">
        <v>3088</v>
      </c>
      <c r="E246" s="73" t="s">
        <v>3088</v>
      </c>
      <c r="F246" s="73" t="s">
        <v>3088</v>
      </c>
      <c r="G246" s="73" t="s">
        <v>3089</v>
      </c>
      <c r="H246" s="73" t="s">
        <v>3088</v>
      </c>
      <c r="I246" s="73" t="s">
        <v>543</v>
      </c>
      <c r="J246" s="73" t="s">
        <v>2888</v>
      </c>
      <c r="K246" s="73" t="s">
        <v>3089</v>
      </c>
      <c r="L246" s="73" t="s">
        <v>3088</v>
      </c>
      <c r="M246" s="73" t="s">
        <v>3088</v>
      </c>
      <c r="N246" s="73" t="s">
        <v>3088</v>
      </c>
      <c r="O246" s="73" t="s">
        <v>3088</v>
      </c>
      <c r="P246" s="73" t="s">
        <v>3088</v>
      </c>
      <c r="Q246" s="73" t="s">
        <v>3088</v>
      </c>
      <c r="R246" s="73" t="s">
        <v>3088</v>
      </c>
      <c r="S246" s="73" t="s">
        <v>3088</v>
      </c>
      <c r="T246" s="73" t="s">
        <v>3088</v>
      </c>
      <c r="U246" s="73" t="s">
        <v>3088</v>
      </c>
      <c r="V246" s="73" t="s">
        <v>3088</v>
      </c>
      <c r="W246" s="73" t="s">
        <v>3088</v>
      </c>
      <c r="X246" s="73" t="s">
        <v>3088</v>
      </c>
      <c r="Y246" s="73" t="s">
        <v>3088</v>
      </c>
      <c r="Z246" s="73" t="s">
        <v>3088</v>
      </c>
      <c r="AA246" s="73" t="s">
        <v>3088</v>
      </c>
      <c r="AB246" s="73" t="s">
        <v>3088</v>
      </c>
      <c r="AC246" s="73" t="s">
        <v>3088</v>
      </c>
      <c r="AD246" s="73" t="s">
        <v>3088</v>
      </c>
      <c r="AE246" s="73" t="s">
        <v>3088</v>
      </c>
      <c r="AF246" s="73" t="s">
        <v>3088</v>
      </c>
      <c r="AG246" s="73" t="s">
        <v>3088</v>
      </c>
      <c r="AH246" s="73" t="s">
        <v>3088</v>
      </c>
      <c r="AI246" s="73" t="s">
        <v>3088</v>
      </c>
      <c r="AJ246" s="73" t="s">
        <v>3088</v>
      </c>
      <c r="AK246" s="73" t="s">
        <v>3088</v>
      </c>
      <c r="AL246" s="73" t="s">
        <v>3088</v>
      </c>
      <c r="AM246" s="73" t="s">
        <v>3088</v>
      </c>
      <c r="AN246" s="73" t="s">
        <v>3088</v>
      </c>
      <c r="AO246" s="73" t="s">
        <v>3088</v>
      </c>
      <c r="AP246" s="73" t="s">
        <v>3088</v>
      </c>
      <c r="AQ246" s="73" t="s">
        <v>3088</v>
      </c>
      <c r="AR246" s="73" t="s">
        <v>3088</v>
      </c>
      <c r="AS246" s="73" t="s">
        <v>3088</v>
      </c>
      <c r="AT246" s="73" t="s">
        <v>3088</v>
      </c>
      <c r="AU246" s="73" t="s">
        <v>3088</v>
      </c>
      <c r="AV246" s="73" t="s">
        <v>3088</v>
      </c>
      <c r="AW246" s="73" t="s">
        <v>3088</v>
      </c>
      <c r="AX246" s="73" t="s">
        <v>3088</v>
      </c>
      <c r="AY246" s="73" t="s">
        <v>3088</v>
      </c>
      <c r="AZ246" s="73" t="s">
        <v>3088</v>
      </c>
      <c r="BA246" s="73" t="s">
        <v>3088</v>
      </c>
      <c r="BB246" s="73" t="s">
        <v>3088</v>
      </c>
      <c r="BC246" s="73" t="s">
        <v>3088</v>
      </c>
      <c r="BD246" s="73" t="s">
        <v>3088</v>
      </c>
      <c r="BE246" s="73" t="s">
        <v>3088</v>
      </c>
      <c r="BF246" s="73" t="s">
        <v>3088</v>
      </c>
      <c r="BG246" s="73" t="s">
        <v>3088</v>
      </c>
      <c r="BH246" s="73" t="s">
        <v>3088</v>
      </c>
      <c r="BI246" s="73" t="s">
        <v>3088</v>
      </c>
      <c r="BJ246" s="73" t="s">
        <v>3088</v>
      </c>
      <c r="BK246" s="73" t="s">
        <v>3088</v>
      </c>
      <c r="BL246" s="73" t="s">
        <v>3088</v>
      </c>
      <c r="BM246" s="73" t="s">
        <v>3088</v>
      </c>
      <c r="BN246" s="73" t="s">
        <v>3088</v>
      </c>
      <c r="BO246" s="73" t="s">
        <v>3088</v>
      </c>
      <c r="BP246" s="73" t="s">
        <v>3088</v>
      </c>
      <c r="BQ246" s="73" t="s">
        <v>3593</v>
      </c>
      <c r="BR246" s="73" t="s">
        <v>3088</v>
      </c>
    </row>
    <row r="247" spans="1:70">
      <c r="A247" s="73" t="s">
        <v>1872</v>
      </c>
      <c r="B247" s="73" t="s">
        <v>2730</v>
      </c>
      <c r="C247" s="73" t="s">
        <v>2545</v>
      </c>
      <c r="D247" s="73" t="s">
        <v>3088</v>
      </c>
      <c r="E247" s="73" t="s">
        <v>3088</v>
      </c>
      <c r="F247" s="73" t="s">
        <v>3088</v>
      </c>
      <c r="G247" s="73" t="s">
        <v>3089</v>
      </c>
      <c r="H247" s="73" t="s">
        <v>3088</v>
      </c>
      <c r="I247" s="73" t="s">
        <v>3113</v>
      </c>
      <c r="J247" s="73" t="s">
        <v>3594</v>
      </c>
      <c r="K247" s="73" t="s">
        <v>3089</v>
      </c>
      <c r="L247" s="73" t="s">
        <v>108</v>
      </c>
      <c r="M247" s="73" t="s">
        <v>3595</v>
      </c>
      <c r="N247" s="73" t="s">
        <v>3089</v>
      </c>
      <c r="O247" s="73" t="s">
        <v>3088</v>
      </c>
      <c r="P247" s="73" t="s">
        <v>3088</v>
      </c>
      <c r="Q247" s="73" t="s">
        <v>3088</v>
      </c>
      <c r="R247" s="73" t="s">
        <v>3088</v>
      </c>
      <c r="S247" s="73" t="s">
        <v>3088</v>
      </c>
      <c r="T247" s="73" t="s">
        <v>3088</v>
      </c>
      <c r="U247" s="73" t="s">
        <v>3088</v>
      </c>
      <c r="V247" s="73" t="s">
        <v>3088</v>
      </c>
      <c r="W247" s="73" t="s">
        <v>3088</v>
      </c>
      <c r="X247" s="73" t="s">
        <v>3088</v>
      </c>
      <c r="Y247" s="73" t="s">
        <v>3088</v>
      </c>
      <c r="Z247" s="73" t="s">
        <v>3088</v>
      </c>
      <c r="AA247" s="73" t="s">
        <v>3088</v>
      </c>
      <c r="AB247" s="73" t="s">
        <v>3088</v>
      </c>
      <c r="AC247" s="73" t="s">
        <v>3088</v>
      </c>
      <c r="AD247" s="73" t="s">
        <v>3088</v>
      </c>
      <c r="AE247" s="73" t="s">
        <v>3088</v>
      </c>
      <c r="AF247" s="73" t="s">
        <v>3088</v>
      </c>
      <c r="AG247" s="73" t="s">
        <v>3088</v>
      </c>
      <c r="AH247" s="73" t="s">
        <v>3088</v>
      </c>
      <c r="AI247" s="73" t="s">
        <v>3088</v>
      </c>
      <c r="AJ247" s="73" t="s">
        <v>3088</v>
      </c>
      <c r="AK247" s="73" t="s">
        <v>3088</v>
      </c>
      <c r="AL247" s="73" t="s">
        <v>3088</v>
      </c>
      <c r="AM247" s="73" t="s">
        <v>3088</v>
      </c>
      <c r="AN247" s="73" t="s">
        <v>3088</v>
      </c>
      <c r="AO247" s="73" t="s">
        <v>3088</v>
      </c>
      <c r="AP247" s="73" t="s">
        <v>3088</v>
      </c>
      <c r="AQ247" s="73" t="s">
        <v>3088</v>
      </c>
      <c r="AR247" s="73" t="s">
        <v>3088</v>
      </c>
      <c r="AS247" s="73" t="s">
        <v>3088</v>
      </c>
      <c r="AT247" s="73" t="s">
        <v>3088</v>
      </c>
      <c r="AU247" s="73" t="s">
        <v>3088</v>
      </c>
      <c r="AV247" s="73" t="s">
        <v>3088</v>
      </c>
      <c r="AW247" s="73" t="s">
        <v>3088</v>
      </c>
      <c r="AX247" s="73" t="s">
        <v>3088</v>
      </c>
      <c r="AY247" s="73" t="s">
        <v>3088</v>
      </c>
      <c r="AZ247" s="73" t="s">
        <v>3088</v>
      </c>
      <c r="BA247" s="73" t="s">
        <v>3088</v>
      </c>
      <c r="BB247" s="73" t="s">
        <v>3088</v>
      </c>
      <c r="BC247" s="73" t="s">
        <v>3088</v>
      </c>
      <c r="BD247" s="73" t="s">
        <v>3088</v>
      </c>
      <c r="BE247" s="73" t="s">
        <v>3088</v>
      </c>
      <c r="BF247" s="73" t="s">
        <v>3088</v>
      </c>
      <c r="BG247" s="73" t="s">
        <v>3088</v>
      </c>
      <c r="BH247" s="73" t="s">
        <v>3088</v>
      </c>
      <c r="BI247" s="73" t="s">
        <v>3088</v>
      </c>
      <c r="BJ247" s="73" t="s">
        <v>3088</v>
      </c>
      <c r="BK247" s="73" t="s">
        <v>3088</v>
      </c>
      <c r="BL247" s="73" t="s">
        <v>3088</v>
      </c>
      <c r="BM247" s="73" t="s">
        <v>3088</v>
      </c>
      <c r="BN247" s="73" t="s">
        <v>3088</v>
      </c>
      <c r="BO247" s="73" t="s">
        <v>3088</v>
      </c>
      <c r="BP247" s="73" t="s">
        <v>3088</v>
      </c>
      <c r="BQ247" s="73" t="s">
        <v>3596</v>
      </c>
      <c r="BR247" s="73" t="s">
        <v>3088</v>
      </c>
    </row>
    <row r="248" spans="1:70">
      <c r="A248" s="73" t="s">
        <v>1872</v>
      </c>
      <c r="B248" s="73" t="s">
        <v>2733</v>
      </c>
      <c r="C248" s="73" t="s">
        <v>2591</v>
      </c>
      <c r="D248" s="73" t="s">
        <v>3088</v>
      </c>
      <c r="E248" s="73" t="s">
        <v>3088</v>
      </c>
      <c r="F248" s="73" t="s">
        <v>3088</v>
      </c>
      <c r="G248" s="73" t="s">
        <v>3089</v>
      </c>
      <c r="H248" s="73" t="s">
        <v>3088</v>
      </c>
      <c r="I248" s="73" t="s">
        <v>108</v>
      </c>
      <c r="J248" s="73" t="s">
        <v>3597</v>
      </c>
      <c r="K248" s="73" t="s">
        <v>3089</v>
      </c>
      <c r="L248" s="73" t="s">
        <v>2193</v>
      </c>
      <c r="M248" s="73" t="s">
        <v>3597</v>
      </c>
      <c r="N248" s="73" t="s">
        <v>3089</v>
      </c>
      <c r="O248" s="73" t="s">
        <v>3088</v>
      </c>
      <c r="P248" s="73" t="s">
        <v>3088</v>
      </c>
      <c r="Q248" s="73" t="s">
        <v>3088</v>
      </c>
      <c r="R248" s="73" t="s">
        <v>3088</v>
      </c>
      <c r="S248" s="73" t="s">
        <v>3088</v>
      </c>
      <c r="T248" s="73" t="s">
        <v>3088</v>
      </c>
      <c r="U248" s="73" t="s">
        <v>3088</v>
      </c>
      <c r="V248" s="73" t="s">
        <v>3088</v>
      </c>
      <c r="W248" s="73" t="s">
        <v>3088</v>
      </c>
      <c r="X248" s="73" t="s">
        <v>3088</v>
      </c>
      <c r="Y248" s="73" t="s">
        <v>3088</v>
      </c>
      <c r="Z248" s="73" t="s">
        <v>3088</v>
      </c>
      <c r="AA248" s="73" t="s">
        <v>3088</v>
      </c>
      <c r="AB248" s="73" t="s">
        <v>3088</v>
      </c>
      <c r="AC248" s="73" t="s">
        <v>3088</v>
      </c>
      <c r="AD248" s="73" t="s">
        <v>3088</v>
      </c>
      <c r="AE248" s="73" t="s">
        <v>3088</v>
      </c>
      <c r="AF248" s="73" t="s">
        <v>3088</v>
      </c>
      <c r="AG248" s="73" t="s">
        <v>3088</v>
      </c>
      <c r="AH248" s="73" t="s">
        <v>3088</v>
      </c>
      <c r="AI248" s="73" t="s">
        <v>3088</v>
      </c>
      <c r="AJ248" s="73" t="s">
        <v>3088</v>
      </c>
      <c r="AK248" s="73" t="s">
        <v>3088</v>
      </c>
      <c r="AL248" s="73" t="s">
        <v>3088</v>
      </c>
      <c r="AM248" s="73" t="s">
        <v>3088</v>
      </c>
      <c r="AN248" s="73" t="s">
        <v>3088</v>
      </c>
      <c r="AO248" s="73" t="s">
        <v>3088</v>
      </c>
      <c r="AP248" s="73" t="s">
        <v>3088</v>
      </c>
      <c r="AQ248" s="73" t="s">
        <v>3088</v>
      </c>
      <c r="AR248" s="73" t="s">
        <v>3088</v>
      </c>
      <c r="AS248" s="73" t="s">
        <v>3088</v>
      </c>
      <c r="AT248" s="73" t="s">
        <v>3088</v>
      </c>
      <c r="AU248" s="73" t="s">
        <v>3088</v>
      </c>
      <c r="AV248" s="73" t="s">
        <v>3088</v>
      </c>
      <c r="AW248" s="73" t="s">
        <v>3088</v>
      </c>
      <c r="AX248" s="73" t="s">
        <v>3088</v>
      </c>
      <c r="AY248" s="73" t="s">
        <v>3088</v>
      </c>
      <c r="AZ248" s="73" t="s">
        <v>3088</v>
      </c>
      <c r="BA248" s="73" t="s">
        <v>3088</v>
      </c>
      <c r="BB248" s="73" t="s">
        <v>3088</v>
      </c>
      <c r="BC248" s="73" t="s">
        <v>3088</v>
      </c>
      <c r="BD248" s="73" t="s">
        <v>3088</v>
      </c>
      <c r="BE248" s="73" t="s">
        <v>3088</v>
      </c>
      <c r="BF248" s="73" t="s">
        <v>3088</v>
      </c>
      <c r="BG248" s="73" t="s">
        <v>3088</v>
      </c>
      <c r="BH248" s="73" t="s">
        <v>3088</v>
      </c>
      <c r="BI248" s="73" t="s">
        <v>3088</v>
      </c>
      <c r="BJ248" s="73" t="s">
        <v>3088</v>
      </c>
      <c r="BK248" s="73" t="s">
        <v>3088</v>
      </c>
      <c r="BL248" s="73" t="s">
        <v>3088</v>
      </c>
      <c r="BM248" s="73" t="s">
        <v>3088</v>
      </c>
      <c r="BN248" s="73" t="s">
        <v>3088</v>
      </c>
      <c r="BO248" s="73" t="s">
        <v>3088</v>
      </c>
      <c r="BP248" s="73" t="s">
        <v>3088</v>
      </c>
      <c r="BQ248" s="73" t="s">
        <v>3598</v>
      </c>
      <c r="BR248" s="73" t="s">
        <v>3088</v>
      </c>
    </row>
    <row r="249" spans="1:70">
      <c r="A249" s="73" t="s">
        <v>1872</v>
      </c>
      <c r="B249" s="73" t="s">
        <v>3599</v>
      </c>
      <c r="C249" s="73" t="s">
        <v>2591</v>
      </c>
      <c r="D249" s="73" t="s">
        <v>3088</v>
      </c>
      <c r="E249" s="73" t="s">
        <v>3088</v>
      </c>
      <c r="F249" s="73" t="s">
        <v>3088</v>
      </c>
      <c r="G249" s="73" t="s">
        <v>3089</v>
      </c>
      <c r="H249" s="73" t="s">
        <v>3088</v>
      </c>
      <c r="I249" s="73" t="s">
        <v>3279</v>
      </c>
      <c r="J249" s="73" t="s">
        <v>3088</v>
      </c>
      <c r="K249" s="73" t="s">
        <v>3088</v>
      </c>
      <c r="L249" s="73" t="s">
        <v>3088</v>
      </c>
      <c r="M249" s="73" t="s">
        <v>3088</v>
      </c>
      <c r="N249" s="73" t="s">
        <v>3088</v>
      </c>
      <c r="O249" s="73" t="s">
        <v>3088</v>
      </c>
      <c r="P249" s="73" t="s">
        <v>3088</v>
      </c>
      <c r="Q249" s="73" t="s">
        <v>3088</v>
      </c>
      <c r="R249" s="73" t="s">
        <v>3088</v>
      </c>
      <c r="S249" s="73" t="s">
        <v>3088</v>
      </c>
      <c r="T249" s="73" t="s">
        <v>3088</v>
      </c>
      <c r="U249" s="73" t="s">
        <v>3088</v>
      </c>
      <c r="V249" s="73" t="s">
        <v>3088</v>
      </c>
      <c r="W249" s="73" t="s">
        <v>3088</v>
      </c>
      <c r="X249" s="73" t="s">
        <v>3088</v>
      </c>
      <c r="Y249" s="73" t="s">
        <v>3088</v>
      </c>
      <c r="Z249" s="73" t="s">
        <v>3088</v>
      </c>
      <c r="AA249" s="73" t="s">
        <v>3088</v>
      </c>
      <c r="AB249" s="73" t="s">
        <v>3088</v>
      </c>
      <c r="AC249" s="73" t="s">
        <v>3088</v>
      </c>
      <c r="AD249" s="73" t="s">
        <v>3088</v>
      </c>
      <c r="AE249" s="73" t="s">
        <v>3088</v>
      </c>
      <c r="AF249" s="73" t="s">
        <v>3088</v>
      </c>
      <c r="AG249" s="73" t="s">
        <v>3088</v>
      </c>
      <c r="AH249" s="73" t="s">
        <v>3088</v>
      </c>
      <c r="AI249" s="73" t="s">
        <v>3088</v>
      </c>
      <c r="AJ249" s="73" t="s">
        <v>3088</v>
      </c>
      <c r="AK249" s="73" t="s">
        <v>3088</v>
      </c>
      <c r="AL249" s="73" t="s">
        <v>3088</v>
      </c>
      <c r="AM249" s="73" t="s">
        <v>3088</v>
      </c>
      <c r="AN249" s="73" t="s">
        <v>3088</v>
      </c>
      <c r="AO249" s="73" t="s">
        <v>3088</v>
      </c>
      <c r="AP249" s="73" t="s">
        <v>3088</v>
      </c>
      <c r="AQ249" s="73" t="s">
        <v>3088</v>
      </c>
      <c r="AR249" s="73" t="s">
        <v>3088</v>
      </c>
      <c r="AS249" s="73" t="s">
        <v>3088</v>
      </c>
      <c r="AT249" s="73" t="s">
        <v>3088</v>
      </c>
      <c r="AU249" s="73" t="s">
        <v>3088</v>
      </c>
      <c r="AV249" s="73" t="s">
        <v>3088</v>
      </c>
      <c r="AW249" s="73" t="s">
        <v>3088</v>
      </c>
      <c r="AX249" s="73" t="s">
        <v>3088</v>
      </c>
      <c r="AY249" s="73" t="s">
        <v>3088</v>
      </c>
      <c r="AZ249" s="73" t="s">
        <v>3088</v>
      </c>
      <c r="BA249" s="73" t="s">
        <v>3088</v>
      </c>
      <c r="BB249" s="73" t="s">
        <v>3088</v>
      </c>
      <c r="BC249" s="73" t="s">
        <v>3088</v>
      </c>
      <c r="BD249" s="73" t="s">
        <v>3088</v>
      </c>
      <c r="BE249" s="73" t="s">
        <v>3088</v>
      </c>
      <c r="BF249" s="73" t="s">
        <v>3088</v>
      </c>
      <c r="BG249" s="73" t="s">
        <v>3088</v>
      </c>
      <c r="BH249" s="73" t="s">
        <v>3088</v>
      </c>
      <c r="BI249" s="73" t="s">
        <v>3088</v>
      </c>
      <c r="BJ249" s="73" t="s">
        <v>3088</v>
      </c>
      <c r="BK249" s="73" t="s">
        <v>3088</v>
      </c>
      <c r="BL249" s="73" t="s">
        <v>3088</v>
      </c>
      <c r="BM249" s="73" t="s">
        <v>3088</v>
      </c>
      <c r="BN249" s="73" t="s">
        <v>3088</v>
      </c>
      <c r="BO249" s="73" t="s">
        <v>3088</v>
      </c>
      <c r="BP249" s="73" t="s">
        <v>3088</v>
      </c>
      <c r="BQ249" s="73" t="s">
        <v>3600</v>
      </c>
      <c r="BR249" s="73" t="s">
        <v>3088</v>
      </c>
    </row>
    <row r="250" spans="1:70">
      <c r="A250" s="73" t="s">
        <v>1873</v>
      </c>
      <c r="B250" s="73" t="s">
        <v>2546</v>
      </c>
      <c r="C250" s="73" t="s">
        <v>2546</v>
      </c>
      <c r="D250" s="73" t="s">
        <v>3088</v>
      </c>
      <c r="E250" s="73" t="s">
        <v>3088</v>
      </c>
      <c r="F250" s="73" t="s">
        <v>3088</v>
      </c>
      <c r="G250" s="73" t="s">
        <v>3089</v>
      </c>
      <c r="H250" s="73" t="s">
        <v>3088</v>
      </c>
      <c r="I250" s="73" t="s">
        <v>2135</v>
      </c>
      <c r="J250" s="73" t="s">
        <v>2580</v>
      </c>
      <c r="K250" s="73" t="s">
        <v>3089</v>
      </c>
      <c r="L250" s="73" t="s">
        <v>3088</v>
      </c>
      <c r="M250" s="73" t="s">
        <v>3088</v>
      </c>
      <c r="N250" s="73" t="s">
        <v>3088</v>
      </c>
      <c r="O250" s="73" t="s">
        <v>3088</v>
      </c>
      <c r="P250" s="73" t="s">
        <v>3088</v>
      </c>
      <c r="Q250" s="73" t="s">
        <v>3088</v>
      </c>
      <c r="R250" s="73" t="s">
        <v>3088</v>
      </c>
      <c r="S250" s="73" t="s">
        <v>3088</v>
      </c>
      <c r="T250" s="73" t="s">
        <v>3088</v>
      </c>
      <c r="U250" s="73" t="s">
        <v>3088</v>
      </c>
      <c r="V250" s="73" t="s">
        <v>3088</v>
      </c>
      <c r="W250" s="73" t="s">
        <v>3088</v>
      </c>
      <c r="X250" s="73" t="s">
        <v>3088</v>
      </c>
      <c r="Y250" s="73" t="s">
        <v>3088</v>
      </c>
      <c r="Z250" s="73" t="s">
        <v>3088</v>
      </c>
      <c r="AA250" s="73" t="s">
        <v>3088</v>
      </c>
      <c r="AB250" s="73" t="s">
        <v>3088</v>
      </c>
      <c r="AC250" s="73" t="s">
        <v>3088</v>
      </c>
      <c r="AD250" s="73" t="s">
        <v>3088</v>
      </c>
      <c r="AE250" s="73" t="s">
        <v>3088</v>
      </c>
      <c r="AF250" s="73" t="s">
        <v>3088</v>
      </c>
      <c r="AG250" s="73" t="s">
        <v>3088</v>
      </c>
      <c r="AH250" s="73" t="s">
        <v>3088</v>
      </c>
      <c r="AI250" s="73" t="s">
        <v>3088</v>
      </c>
      <c r="AJ250" s="73" t="s">
        <v>3088</v>
      </c>
      <c r="AK250" s="73" t="s">
        <v>3088</v>
      </c>
      <c r="AL250" s="73" t="s">
        <v>3088</v>
      </c>
      <c r="AM250" s="73" t="s">
        <v>3088</v>
      </c>
      <c r="AN250" s="73" t="s">
        <v>3088</v>
      </c>
      <c r="AO250" s="73" t="s">
        <v>3088</v>
      </c>
      <c r="AP250" s="73" t="s">
        <v>3088</v>
      </c>
      <c r="AQ250" s="73" t="s">
        <v>3088</v>
      </c>
      <c r="AR250" s="73" t="s">
        <v>3088</v>
      </c>
      <c r="AS250" s="73" t="s">
        <v>3088</v>
      </c>
      <c r="AT250" s="73" t="s">
        <v>3088</v>
      </c>
      <c r="AU250" s="73" t="s">
        <v>3088</v>
      </c>
      <c r="AV250" s="73" t="s">
        <v>3088</v>
      </c>
      <c r="AW250" s="73" t="s">
        <v>3088</v>
      </c>
      <c r="AX250" s="73" t="s">
        <v>3088</v>
      </c>
      <c r="AY250" s="73" t="s">
        <v>3088</v>
      </c>
      <c r="AZ250" s="73" t="s">
        <v>3088</v>
      </c>
      <c r="BA250" s="73" t="s">
        <v>3088</v>
      </c>
      <c r="BB250" s="73" t="s">
        <v>3088</v>
      </c>
      <c r="BC250" s="73" t="s">
        <v>3088</v>
      </c>
      <c r="BD250" s="73" t="s">
        <v>3088</v>
      </c>
      <c r="BE250" s="73" t="s">
        <v>3088</v>
      </c>
      <c r="BF250" s="73" t="s">
        <v>3088</v>
      </c>
      <c r="BG250" s="73" t="s">
        <v>3088</v>
      </c>
      <c r="BH250" s="73" t="s">
        <v>3088</v>
      </c>
      <c r="BI250" s="73" t="s">
        <v>3088</v>
      </c>
      <c r="BJ250" s="73" t="s">
        <v>3088</v>
      </c>
      <c r="BK250" s="73" t="s">
        <v>3088</v>
      </c>
      <c r="BL250" s="73" t="s">
        <v>3088</v>
      </c>
      <c r="BM250" s="73" t="s">
        <v>3088</v>
      </c>
      <c r="BN250" s="73" t="s">
        <v>3088</v>
      </c>
      <c r="BO250" s="73" t="s">
        <v>3088</v>
      </c>
      <c r="BP250" s="73" t="s">
        <v>3088</v>
      </c>
      <c r="BQ250" s="73" t="s">
        <v>3601</v>
      </c>
      <c r="BR250" s="73" t="s">
        <v>3097</v>
      </c>
    </row>
    <row r="251" spans="1:70">
      <c r="A251" s="73" t="s">
        <v>1873</v>
      </c>
      <c r="B251" s="73" t="s">
        <v>2736</v>
      </c>
      <c r="C251" s="73" t="s">
        <v>2579</v>
      </c>
      <c r="D251" s="73" t="s">
        <v>3088</v>
      </c>
      <c r="E251" s="73" t="s">
        <v>3088</v>
      </c>
      <c r="F251" s="73" t="s">
        <v>3088</v>
      </c>
      <c r="G251" s="73" t="s">
        <v>3089</v>
      </c>
      <c r="H251" s="73" t="s">
        <v>3088</v>
      </c>
      <c r="I251" s="73" t="s">
        <v>108</v>
      </c>
      <c r="J251" s="73" t="s">
        <v>3602</v>
      </c>
      <c r="K251" s="73" t="s">
        <v>3089</v>
      </c>
      <c r="L251" s="73" t="s">
        <v>2193</v>
      </c>
      <c r="M251" s="73" t="s">
        <v>3602</v>
      </c>
      <c r="N251" s="73" t="s">
        <v>3089</v>
      </c>
      <c r="O251" s="73" t="s">
        <v>2309</v>
      </c>
      <c r="P251" s="73" t="s">
        <v>3602</v>
      </c>
      <c r="Q251" s="73" t="s">
        <v>3089</v>
      </c>
      <c r="R251" s="73" t="s">
        <v>3088</v>
      </c>
      <c r="S251" s="73" t="s">
        <v>3088</v>
      </c>
      <c r="T251" s="73" t="s">
        <v>3088</v>
      </c>
      <c r="U251" s="73" t="s">
        <v>3088</v>
      </c>
      <c r="V251" s="73" t="s">
        <v>3088</v>
      </c>
      <c r="W251" s="73" t="s">
        <v>3088</v>
      </c>
      <c r="X251" s="73" t="s">
        <v>3088</v>
      </c>
      <c r="Y251" s="73" t="s">
        <v>3088</v>
      </c>
      <c r="Z251" s="73" t="s">
        <v>3088</v>
      </c>
      <c r="AA251" s="73" t="s">
        <v>3088</v>
      </c>
      <c r="AB251" s="73" t="s">
        <v>3088</v>
      </c>
      <c r="AC251" s="73" t="s">
        <v>3088</v>
      </c>
      <c r="AD251" s="73" t="s">
        <v>3088</v>
      </c>
      <c r="AE251" s="73" t="s">
        <v>3088</v>
      </c>
      <c r="AF251" s="73" t="s">
        <v>3088</v>
      </c>
      <c r="AG251" s="73" t="s">
        <v>3088</v>
      </c>
      <c r="AH251" s="73" t="s">
        <v>3088</v>
      </c>
      <c r="AI251" s="73" t="s">
        <v>3088</v>
      </c>
      <c r="AJ251" s="73" t="s">
        <v>3088</v>
      </c>
      <c r="AK251" s="73" t="s">
        <v>3088</v>
      </c>
      <c r="AL251" s="73" t="s">
        <v>3088</v>
      </c>
      <c r="AM251" s="73" t="s">
        <v>3088</v>
      </c>
      <c r="AN251" s="73" t="s">
        <v>3088</v>
      </c>
      <c r="AO251" s="73" t="s">
        <v>3088</v>
      </c>
      <c r="AP251" s="73" t="s">
        <v>3088</v>
      </c>
      <c r="AQ251" s="73" t="s">
        <v>3088</v>
      </c>
      <c r="AR251" s="73" t="s">
        <v>3088</v>
      </c>
      <c r="AS251" s="73" t="s">
        <v>3088</v>
      </c>
      <c r="AT251" s="73" t="s">
        <v>3088</v>
      </c>
      <c r="AU251" s="73" t="s">
        <v>3088</v>
      </c>
      <c r="AV251" s="73" t="s">
        <v>3088</v>
      </c>
      <c r="AW251" s="73" t="s">
        <v>3088</v>
      </c>
      <c r="AX251" s="73" t="s">
        <v>3088</v>
      </c>
      <c r="AY251" s="73" t="s">
        <v>3088</v>
      </c>
      <c r="AZ251" s="73" t="s">
        <v>3088</v>
      </c>
      <c r="BA251" s="73" t="s">
        <v>3088</v>
      </c>
      <c r="BB251" s="73" t="s">
        <v>3088</v>
      </c>
      <c r="BC251" s="73" t="s">
        <v>3088</v>
      </c>
      <c r="BD251" s="73" t="s">
        <v>3088</v>
      </c>
      <c r="BE251" s="73" t="s">
        <v>3088</v>
      </c>
      <c r="BF251" s="73" t="s">
        <v>3088</v>
      </c>
      <c r="BG251" s="73" t="s">
        <v>3088</v>
      </c>
      <c r="BH251" s="73" t="s">
        <v>3088</v>
      </c>
      <c r="BI251" s="73" t="s">
        <v>3088</v>
      </c>
      <c r="BJ251" s="73" t="s">
        <v>3088</v>
      </c>
      <c r="BK251" s="73" t="s">
        <v>3088</v>
      </c>
      <c r="BL251" s="73" t="s">
        <v>3088</v>
      </c>
      <c r="BM251" s="73" t="s">
        <v>3088</v>
      </c>
      <c r="BN251" s="73" t="s">
        <v>3088</v>
      </c>
      <c r="BO251" s="73" t="s">
        <v>3088</v>
      </c>
      <c r="BP251" s="73" t="s">
        <v>3088</v>
      </c>
      <c r="BQ251" s="73" t="s">
        <v>3603</v>
      </c>
      <c r="BR251" s="73" t="s">
        <v>3088</v>
      </c>
    </row>
    <row r="252" spans="1:70">
      <c r="A252" s="73" t="s">
        <v>1873</v>
      </c>
      <c r="B252" s="73" t="s">
        <v>2740</v>
      </c>
      <c r="C252" s="73" t="s">
        <v>2559</v>
      </c>
      <c r="D252" s="73" t="s">
        <v>3088</v>
      </c>
      <c r="E252" s="73" t="s">
        <v>3088</v>
      </c>
      <c r="F252" s="73" t="s">
        <v>3088</v>
      </c>
      <c r="G252" s="73" t="s">
        <v>3089</v>
      </c>
      <c r="H252" s="73" t="s">
        <v>3088</v>
      </c>
      <c r="I252" s="73" t="s">
        <v>3180</v>
      </c>
      <c r="J252" s="73" t="s">
        <v>3604</v>
      </c>
      <c r="K252" s="73" t="s">
        <v>3095</v>
      </c>
      <c r="L252" s="73" t="s">
        <v>108</v>
      </c>
      <c r="M252" s="73" t="s">
        <v>3605</v>
      </c>
      <c r="N252" s="73" t="s">
        <v>3095</v>
      </c>
      <c r="O252" s="73" t="s">
        <v>3122</v>
      </c>
      <c r="P252" s="73" t="s">
        <v>3605</v>
      </c>
      <c r="Q252" s="73" t="s">
        <v>3095</v>
      </c>
      <c r="R252" s="73" t="s">
        <v>543</v>
      </c>
      <c r="S252" s="73" t="s">
        <v>3605</v>
      </c>
      <c r="T252" s="73" t="s">
        <v>3095</v>
      </c>
      <c r="U252" s="73" t="s">
        <v>3606</v>
      </c>
      <c r="V252" s="73" t="s">
        <v>3605</v>
      </c>
      <c r="W252" s="73" t="s">
        <v>3095</v>
      </c>
      <c r="X252" s="73" t="s">
        <v>3279</v>
      </c>
      <c r="Y252" s="73" t="s">
        <v>3605</v>
      </c>
      <c r="Z252" s="73" t="s">
        <v>3095</v>
      </c>
      <c r="AA252" s="73" t="s">
        <v>3088</v>
      </c>
      <c r="AB252" s="73" t="s">
        <v>3088</v>
      </c>
      <c r="AC252" s="73" t="s">
        <v>3088</v>
      </c>
      <c r="AD252" s="73" t="s">
        <v>3088</v>
      </c>
      <c r="AE252" s="73" t="s">
        <v>3088</v>
      </c>
      <c r="AF252" s="73" t="s">
        <v>3088</v>
      </c>
      <c r="AG252" s="73" t="s">
        <v>3088</v>
      </c>
      <c r="AH252" s="73" t="s">
        <v>3088</v>
      </c>
      <c r="AI252" s="73" t="s">
        <v>3088</v>
      </c>
      <c r="AJ252" s="73" t="s">
        <v>3088</v>
      </c>
      <c r="AK252" s="73" t="s">
        <v>3088</v>
      </c>
      <c r="AL252" s="73" t="s">
        <v>3088</v>
      </c>
      <c r="AM252" s="73" t="s">
        <v>3088</v>
      </c>
      <c r="AN252" s="73" t="s">
        <v>3088</v>
      </c>
      <c r="AO252" s="73" t="s">
        <v>3088</v>
      </c>
      <c r="AP252" s="73" t="s">
        <v>3088</v>
      </c>
      <c r="AQ252" s="73" t="s">
        <v>3088</v>
      </c>
      <c r="AR252" s="73" t="s">
        <v>3088</v>
      </c>
      <c r="AS252" s="73" t="s">
        <v>3088</v>
      </c>
      <c r="AT252" s="73" t="s">
        <v>3088</v>
      </c>
      <c r="AU252" s="73" t="s">
        <v>3088</v>
      </c>
      <c r="AV252" s="73" t="s">
        <v>3088</v>
      </c>
      <c r="AW252" s="73" t="s">
        <v>3088</v>
      </c>
      <c r="AX252" s="73" t="s">
        <v>3088</v>
      </c>
      <c r="AY252" s="73" t="s">
        <v>3088</v>
      </c>
      <c r="AZ252" s="73" t="s">
        <v>3088</v>
      </c>
      <c r="BA252" s="73" t="s">
        <v>3088</v>
      </c>
      <c r="BB252" s="73" t="s">
        <v>3088</v>
      </c>
      <c r="BC252" s="73" t="s">
        <v>3088</v>
      </c>
      <c r="BD252" s="73" t="s">
        <v>3088</v>
      </c>
      <c r="BE252" s="73" t="s">
        <v>3088</v>
      </c>
      <c r="BF252" s="73" t="s">
        <v>3088</v>
      </c>
      <c r="BG252" s="73" t="s">
        <v>3088</v>
      </c>
      <c r="BH252" s="73" t="s">
        <v>3088</v>
      </c>
      <c r="BI252" s="73" t="s">
        <v>3088</v>
      </c>
      <c r="BJ252" s="73" t="s">
        <v>3088</v>
      </c>
      <c r="BK252" s="73" t="s">
        <v>3088</v>
      </c>
      <c r="BL252" s="73" t="s">
        <v>3088</v>
      </c>
      <c r="BM252" s="73" t="s">
        <v>3088</v>
      </c>
      <c r="BN252" s="73" t="s">
        <v>3088</v>
      </c>
      <c r="BO252" s="73" t="s">
        <v>3088</v>
      </c>
      <c r="BP252" s="73" t="s">
        <v>3088</v>
      </c>
      <c r="BQ252" s="73" t="s">
        <v>3607</v>
      </c>
      <c r="BR252" s="73" t="s">
        <v>3097</v>
      </c>
    </row>
    <row r="253" spans="1:70">
      <c r="A253" s="73" t="s">
        <v>1873</v>
      </c>
      <c r="B253" s="73" t="s">
        <v>2743</v>
      </c>
      <c r="C253" s="73" t="s">
        <v>2571</v>
      </c>
      <c r="D253" s="73" t="s">
        <v>3088</v>
      </c>
      <c r="E253" s="73" t="s">
        <v>3088</v>
      </c>
      <c r="F253" s="73" t="s">
        <v>3088</v>
      </c>
      <c r="G253" s="73" t="s">
        <v>3089</v>
      </c>
      <c r="H253" s="73" t="s">
        <v>3088</v>
      </c>
      <c r="I253" s="73" t="s">
        <v>3122</v>
      </c>
      <c r="J253" s="73" t="s">
        <v>3608</v>
      </c>
      <c r="K253" s="73" t="s">
        <v>3089</v>
      </c>
      <c r="L253" s="73" t="s">
        <v>108</v>
      </c>
      <c r="M253" s="73" t="s">
        <v>3609</v>
      </c>
      <c r="N253" s="73" t="s">
        <v>3089</v>
      </c>
      <c r="O253" s="73" t="s">
        <v>2193</v>
      </c>
      <c r="P253" s="73" t="s">
        <v>3609</v>
      </c>
      <c r="Q253" s="73" t="s">
        <v>3089</v>
      </c>
      <c r="R253" s="73" t="s">
        <v>3113</v>
      </c>
      <c r="S253" s="73" t="s">
        <v>3609</v>
      </c>
      <c r="T253" s="73" t="s">
        <v>3089</v>
      </c>
      <c r="U253" s="73" t="s">
        <v>3180</v>
      </c>
      <c r="V253" s="73" t="s">
        <v>3609</v>
      </c>
      <c r="W253" s="73" t="s">
        <v>3089</v>
      </c>
      <c r="X253" s="73" t="s">
        <v>3088</v>
      </c>
      <c r="Y253" s="73" t="s">
        <v>3088</v>
      </c>
      <c r="Z253" s="73" t="s">
        <v>3088</v>
      </c>
      <c r="AA253" s="73" t="s">
        <v>3088</v>
      </c>
      <c r="AB253" s="73" t="s">
        <v>3088</v>
      </c>
      <c r="AC253" s="73" t="s">
        <v>3088</v>
      </c>
      <c r="AD253" s="73" t="s">
        <v>3088</v>
      </c>
      <c r="AE253" s="73" t="s">
        <v>3088</v>
      </c>
      <c r="AF253" s="73" t="s">
        <v>3088</v>
      </c>
      <c r="AG253" s="73" t="s">
        <v>3088</v>
      </c>
      <c r="AH253" s="73" t="s">
        <v>3088</v>
      </c>
      <c r="AI253" s="73" t="s">
        <v>3088</v>
      </c>
      <c r="AJ253" s="73" t="s">
        <v>3088</v>
      </c>
      <c r="AK253" s="73" t="s">
        <v>3088</v>
      </c>
      <c r="AL253" s="73" t="s">
        <v>3088</v>
      </c>
      <c r="AM253" s="73" t="s">
        <v>3088</v>
      </c>
      <c r="AN253" s="73" t="s">
        <v>3088</v>
      </c>
      <c r="AO253" s="73" t="s">
        <v>3088</v>
      </c>
      <c r="AP253" s="73" t="s">
        <v>3088</v>
      </c>
      <c r="AQ253" s="73" t="s">
        <v>3088</v>
      </c>
      <c r="AR253" s="73" t="s">
        <v>3088</v>
      </c>
      <c r="AS253" s="73" t="s">
        <v>3088</v>
      </c>
      <c r="AT253" s="73" t="s">
        <v>3088</v>
      </c>
      <c r="AU253" s="73" t="s">
        <v>3088</v>
      </c>
      <c r="AV253" s="73" t="s">
        <v>3088</v>
      </c>
      <c r="AW253" s="73" t="s">
        <v>3088</v>
      </c>
      <c r="AX253" s="73" t="s">
        <v>3088</v>
      </c>
      <c r="AY253" s="73" t="s">
        <v>3088</v>
      </c>
      <c r="AZ253" s="73" t="s">
        <v>3088</v>
      </c>
      <c r="BA253" s="73" t="s">
        <v>3088</v>
      </c>
      <c r="BB253" s="73" t="s">
        <v>3088</v>
      </c>
      <c r="BC253" s="73" t="s">
        <v>3088</v>
      </c>
      <c r="BD253" s="73" t="s">
        <v>3088</v>
      </c>
      <c r="BE253" s="73" t="s">
        <v>3088</v>
      </c>
      <c r="BF253" s="73" t="s">
        <v>3088</v>
      </c>
      <c r="BG253" s="73" t="s">
        <v>3088</v>
      </c>
      <c r="BH253" s="73" t="s">
        <v>3088</v>
      </c>
      <c r="BI253" s="73" t="s">
        <v>3088</v>
      </c>
      <c r="BJ253" s="73" t="s">
        <v>3088</v>
      </c>
      <c r="BK253" s="73" t="s">
        <v>3088</v>
      </c>
      <c r="BL253" s="73" t="s">
        <v>3088</v>
      </c>
      <c r="BM253" s="73" t="s">
        <v>3088</v>
      </c>
      <c r="BN253" s="73" t="s">
        <v>3088</v>
      </c>
      <c r="BO253" s="73" t="s">
        <v>3088</v>
      </c>
      <c r="BP253" s="73" t="s">
        <v>3088</v>
      </c>
      <c r="BQ253" s="73" t="s">
        <v>3610</v>
      </c>
      <c r="BR253" s="73" t="s">
        <v>3088</v>
      </c>
    </row>
    <row r="254" spans="1:70">
      <c r="A254" s="73" t="s">
        <v>1873</v>
      </c>
      <c r="B254" s="73" t="s">
        <v>2746</v>
      </c>
      <c r="C254" s="73" t="s">
        <v>2571</v>
      </c>
      <c r="D254" s="73" t="s">
        <v>3088</v>
      </c>
      <c r="E254" s="73" t="s">
        <v>3088</v>
      </c>
      <c r="F254" s="73" t="s">
        <v>3088</v>
      </c>
      <c r="G254" s="73" t="s">
        <v>3089</v>
      </c>
      <c r="H254" s="73" t="s">
        <v>3088</v>
      </c>
      <c r="I254" s="73" t="s">
        <v>3122</v>
      </c>
      <c r="J254" s="73" t="s">
        <v>3608</v>
      </c>
      <c r="K254" s="73" t="s">
        <v>3089</v>
      </c>
      <c r="L254" s="73" t="s">
        <v>108</v>
      </c>
      <c r="M254" s="73" t="s">
        <v>3609</v>
      </c>
      <c r="N254" s="73" t="s">
        <v>3089</v>
      </c>
      <c r="O254" s="73" t="s">
        <v>2193</v>
      </c>
      <c r="P254" s="73" t="s">
        <v>3609</v>
      </c>
      <c r="Q254" s="73" t="s">
        <v>3089</v>
      </c>
      <c r="R254" s="73" t="s">
        <v>3113</v>
      </c>
      <c r="S254" s="73" t="s">
        <v>3609</v>
      </c>
      <c r="T254" s="73" t="s">
        <v>3089</v>
      </c>
      <c r="U254" s="73" t="s">
        <v>3180</v>
      </c>
      <c r="V254" s="73" t="s">
        <v>3609</v>
      </c>
      <c r="W254" s="73" t="s">
        <v>3089</v>
      </c>
      <c r="X254" s="73" t="s">
        <v>3088</v>
      </c>
      <c r="Y254" s="73" t="s">
        <v>3088</v>
      </c>
      <c r="Z254" s="73" t="s">
        <v>3088</v>
      </c>
      <c r="AA254" s="73" t="s">
        <v>3088</v>
      </c>
      <c r="AB254" s="73" t="s">
        <v>3088</v>
      </c>
      <c r="AC254" s="73" t="s">
        <v>3088</v>
      </c>
      <c r="AD254" s="73" t="s">
        <v>3088</v>
      </c>
      <c r="AE254" s="73" t="s">
        <v>3088</v>
      </c>
      <c r="AF254" s="73" t="s">
        <v>3088</v>
      </c>
      <c r="AG254" s="73" t="s">
        <v>3088</v>
      </c>
      <c r="AH254" s="73" t="s">
        <v>3088</v>
      </c>
      <c r="AI254" s="73" t="s">
        <v>3088</v>
      </c>
      <c r="AJ254" s="73" t="s">
        <v>3088</v>
      </c>
      <c r="AK254" s="73" t="s">
        <v>3088</v>
      </c>
      <c r="AL254" s="73" t="s">
        <v>3088</v>
      </c>
      <c r="AM254" s="73" t="s">
        <v>3088</v>
      </c>
      <c r="AN254" s="73" t="s">
        <v>3088</v>
      </c>
      <c r="AO254" s="73" t="s">
        <v>3088</v>
      </c>
      <c r="AP254" s="73" t="s">
        <v>3088</v>
      </c>
      <c r="AQ254" s="73" t="s">
        <v>3088</v>
      </c>
      <c r="AR254" s="73" t="s">
        <v>3088</v>
      </c>
      <c r="AS254" s="73" t="s">
        <v>3088</v>
      </c>
      <c r="AT254" s="73" t="s">
        <v>3088</v>
      </c>
      <c r="AU254" s="73" t="s">
        <v>3088</v>
      </c>
      <c r="AV254" s="73" t="s">
        <v>3088</v>
      </c>
      <c r="AW254" s="73" t="s">
        <v>3088</v>
      </c>
      <c r="AX254" s="73" t="s">
        <v>3088</v>
      </c>
      <c r="AY254" s="73" t="s">
        <v>3088</v>
      </c>
      <c r="AZ254" s="73" t="s">
        <v>3088</v>
      </c>
      <c r="BA254" s="73" t="s">
        <v>3088</v>
      </c>
      <c r="BB254" s="73" t="s">
        <v>3088</v>
      </c>
      <c r="BC254" s="73" t="s">
        <v>3088</v>
      </c>
      <c r="BD254" s="73" t="s">
        <v>3088</v>
      </c>
      <c r="BE254" s="73" t="s">
        <v>3088</v>
      </c>
      <c r="BF254" s="73" t="s">
        <v>3088</v>
      </c>
      <c r="BG254" s="73" t="s">
        <v>3088</v>
      </c>
      <c r="BH254" s="73" t="s">
        <v>3088</v>
      </c>
      <c r="BI254" s="73" t="s">
        <v>3088</v>
      </c>
      <c r="BJ254" s="73" t="s">
        <v>3088</v>
      </c>
      <c r="BK254" s="73" t="s">
        <v>3088</v>
      </c>
      <c r="BL254" s="73" t="s">
        <v>3088</v>
      </c>
      <c r="BM254" s="73" t="s">
        <v>3088</v>
      </c>
      <c r="BN254" s="73" t="s">
        <v>3088</v>
      </c>
      <c r="BO254" s="73" t="s">
        <v>3088</v>
      </c>
      <c r="BP254" s="73" t="s">
        <v>3088</v>
      </c>
      <c r="BQ254" s="73" t="s">
        <v>3611</v>
      </c>
      <c r="BR254" s="73" t="s">
        <v>3088</v>
      </c>
    </row>
    <row r="255" spans="1:70">
      <c r="A255" s="73" t="s">
        <v>1873</v>
      </c>
      <c r="B255" s="73" t="s">
        <v>2747</v>
      </c>
      <c r="C255" s="73" t="s">
        <v>2533</v>
      </c>
      <c r="D255" s="73" t="s">
        <v>3088</v>
      </c>
      <c r="E255" s="73" t="s">
        <v>3088</v>
      </c>
      <c r="F255" s="73" t="s">
        <v>3088</v>
      </c>
      <c r="G255" s="73" t="s">
        <v>3089</v>
      </c>
      <c r="H255" s="73" t="s">
        <v>3088</v>
      </c>
      <c r="I255" s="73" t="s">
        <v>108</v>
      </c>
      <c r="J255" s="73" t="s">
        <v>3612</v>
      </c>
      <c r="K255" s="73" t="s">
        <v>3089</v>
      </c>
      <c r="L255" s="73" t="s">
        <v>2193</v>
      </c>
      <c r="M255" s="73" t="s">
        <v>3612</v>
      </c>
      <c r="N255" s="73" t="s">
        <v>3089</v>
      </c>
      <c r="O255" s="73" t="s">
        <v>3088</v>
      </c>
      <c r="P255" s="73" t="s">
        <v>3088</v>
      </c>
      <c r="Q255" s="73" t="s">
        <v>3088</v>
      </c>
      <c r="R255" s="73" t="s">
        <v>3088</v>
      </c>
      <c r="S255" s="73" t="s">
        <v>3088</v>
      </c>
      <c r="T255" s="73" t="s">
        <v>3088</v>
      </c>
      <c r="U255" s="73" t="s">
        <v>3088</v>
      </c>
      <c r="V255" s="73" t="s">
        <v>3088</v>
      </c>
      <c r="W255" s="73" t="s">
        <v>3088</v>
      </c>
      <c r="X255" s="73" t="s">
        <v>3088</v>
      </c>
      <c r="Y255" s="73" t="s">
        <v>3088</v>
      </c>
      <c r="Z255" s="73" t="s">
        <v>3088</v>
      </c>
      <c r="AA255" s="73" t="s">
        <v>3088</v>
      </c>
      <c r="AB255" s="73" t="s">
        <v>3088</v>
      </c>
      <c r="AC255" s="73" t="s">
        <v>3088</v>
      </c>
      <c r="AD255" s="73" t="s">
        <v>3088</v>
      </c>
      <c r="AE255" s="73" t="s">
        <v>3088</v>
      </c>
      <c r="AF255" s="73" t="s">
        <v>3088</v>
      </c>
      <c r="AG255" s="73" t="s">
        <v>3088</v>
      </c>
      <c r="AH255" s="73" t="s">
        <v>3088</v>
      </c>
      <c r="AI255" s="73" t="s">
        <v>3088</v>
      </c>
      <c r="AJ255" s="73" t="s">
        <v>3088</v>
      </c>
      <c r="AK255" s="73" t="s">
        <v>3088</v>
      </c>
      <c r="AL255" s="73" t="s">
        <v>3088</v>
      </c>
      <c r="AM255" s="73" t="s">
        <v>3088</v>
      </c>
      <c r="AN255" s="73" t="s">
        <v>3088</v>
      </c>
      <c r="AO255" s="73" t="s">
        <v>3088</v>
      </c>
      <c r="AP255" s="73" t="s">
        <v>3088</v>
      </c>
      <c r="AQ255" s="73" t="s">
        <v>3088</v>
      </c>
      <c r="AR255" s="73" t="s">
        <v>3088</v>
      </c>
      <c r="AS255" s="73" t="s">
        <v>3088</v>
      </c>
      <c r="AT255" s="73" t="s">
        <v>3088</v>
      </c>
      <c r="AU255" s="73" t="s">
        <v>3088</v>
      </c>
      <c r="AV255" s="73" t="s">
        <v>3088</v>
      </c>
      <c r="AW255" s="73" t="s">
        <v>3088</v>
      </c>
      <c r="AX255" s="73" t="s">
        <v>3088</v>
      </c>
      <c r="AY255" s="73" t="s">
        <v>3088</v>
      </c>
      <c r="AZ255" s="73" t="s">
        <v>3088</v>
      </c>
      <c r="BA255" s="73" t="s">
        <v>3088</v>
      </c>
      <c r="BB255" s="73" t="s">
        <v>3088</v>
      </c>
      <c r="BC255" s="73" t="s">
        <v>3088</v>
      </c>
      <c r="BD255" s="73" t="s">
        <v>3088</v>
      </c>
      <c r="BE255" s="73" t="s">
        <v>3088</v>
      </c>
      <c r="BF255" s="73" t="s">
        <v>3088</v>
      </c>
      <c r="BG255" s="73" t="s">
        <v>3088</v>
      </c>
      <c r="BH255" s="73" t="s">
        <v>3088</v>
      </c>
      <c r="BI255" s="73" t="s">
        <v>3088</v>
      </c>
      <c r="BJ255" s="73" t="s">
        <v>3088</v>
      </c>
      <c r="BK255" s="73" t="s">
        <v>3088</v>
      </c>
      <c r="BL255" s="73" t="s">
        <v>3088</v>
      </c>
      <c r="BM255" s="73" t="s">
        <v>3088</v>
      </c>
      <c r="BN255" s="73" t="s">
        <v>3088</v>
      </c>
      <c r="BO255" s="73" t="s">
        <v>3088</v>
      </c>
      <c r="BP255" s="73" t="s">
        <v>3088</v>
      </c>
      <c r="BQ255" s="73" t="s">
        <v>3613</v>
      </c>
      <c r="BR255" s="73" t="s">
        <v>3088</v>
      </c>
    </row>
    <row r="256" spans="1:70">
      <c r="A256" s="73" t="s">
        <v>1873</v>
      </c>
      <c r="B256" s="73" t="s">
        <v>2749</v>
      </c>
      <c r="C256" s="73" t="s">
        <v>2579</v>
      </c>
      <c r="D256" s="73" t="s">
        <v>3088</v>
      </c>
      <c r="E256" s="73" t="s">
        <v>3088</v>
      </c>
      <c r="F256" s="73" t="s">
        <v>3088</v>
      </c>
      <c r="G256" s="73" t="s">
        <v>3089</v>
      </c>
      <c r="H256" s="73" t="s">
        <v>3088</v>
      </c>
      <c r="I256" s="73" t="s">
        <v>108</v>
      </c>
      <c r="J256" s="73" t="s">
        <v>3614</v>
      </c>
      <c r="K256" s="73" t="s">
        <v>3089</v>
      </c>
      <c r="L256" s="73" t="s">
        <v>2193</v>
      </c>
      <c r="M256" s="73" t="s">
        <v>3614</v>
      </c>
      <c r="N256" s="73" t="s">
        <v>3089</v>
      </c>
      <c r="O256" s="73" t="s">
        <v>3088</v>
      </c>
      <c r="P256" s="73" t="s">
        <v>3088</v>
      </c>
      <c r="Q256" s="73" t="s">
        <v>3088</v>
      </c>
      <c r="R256" s="73" t="s">
        <v>3088</v>
      </c>
      <c r="S256" s="73" t="s">
        <v>3088</v>
      </c>
      <c r="T256" s="73" t="s">
        <v>3088</v>
      </c>
      <c r="U256" s="73" t="s">
        <v>3088</v>
      </c>
      <c r="V256" s="73" t="s">
        <v>3088</v>
      </c>
      <c r="W256" s="73" t="s">
        <v>3088</v>
      </c>
      <c r="X256" s="73" t="s">
        <v>3088</v>
      </c>
      <c r="Y256" s="73" t="s">
        <v>3088</v>
      </c>
      <c r="Z256" s="73" t="s">
        <v>3088</v>
      </c>
      <c r="AA256" s="73" t="s">
        <v>3088</v>
      </c>
      <c r="AB256" s="73" t="s">
        <v>3088</v>
      </c>
      <c r="AC256" s="73" t="s">
        <v>3088</v>
      </c>
      <c r="AD256" s="73" t="s">
        <v>3088</v>
      </c>
      <c r="AE256" s="73" t="s">
        <v>3088</v>
      </c>
      <c r="AF256" s="73" t="s">
        <v>3088</v>
      </c>
      <c r="AG256" s="73" t="s">
        <v>3088</v>
      </c>
      <c r="AH256" s="73" t="s">
        <v>3088</v>
      </c>
      <c r="AI256" s="73" t="s">
        <v>3088</v>
      </c>
      <c r="AJ256" s="73" t="s">
        <v>3088</v>
      </c>
      <c r="AK256" s="73" t="s">
        <v>3088</v>
      </c>
      <c r="AL256" s="73" t="s">
        <v>3088</v>
      </c>
      <c r="AM256" s="73" t="s">
        <v>3088</v>
      </c>
      <c r="AN256" s="73" t="s">
        <v>3088</v>
      </c>
      <c r="AO256" s="73" t="s">
        <v>3088</v>
      </c>
      <c r="AP256" s="73" t="s">
        <v>3088</v>
      </c>
      <c r="AQ256" s="73" t="s">
        <v>3088</v>
      </c>
      <c r="AR256" s="73" t="s">
        <v>3088</v>
      </c>
      <c r="AS256" s="73" t="s">
        <v>3088</v>
      </c>
      <c r="AT256" s="73" t="s">
        <v>3088</v>
      </c>
      <c r="AU256" s="73" t="s">
        <v>3088</v>
      </c>
      <c r="AV256" s="73" t="s">
        <v>3088</v>
      </c>
      <c r="AW256" s="73" t="s">
        <v>3088</v>
      </c>
      <c r="AX256" s="73" t="s">
        <v>3088</v>
      </c>
      <c r="AY256" s="73" t="s">
        <v>3088</v>
      </c>
      <c r="AZ256" s="73" t="s">
        <v>3088</v>
      </c>
      <c r="BA256" s="73" t="s">
        <v>3088</v>
      </c>
      <c r="BB256" s="73" t="s">
        <v>3088</v>
      </c>
      <c r="BC256" s="73" t="s">
        <v>3088</v>
      </c>
      <c r="BD256" s="73" t="s">
        <v>3088</v>
      </c>
      <c r="BE256" s="73" t="s">
        <v>3088</v>
      </c>
      <c r="BF256" s="73" t="s">
        <v>3088</v>
      </c>
      <c r="BG256" s="73" t="s">
        <v>3088</v>
      </c>
      <c r="BH256" s="73" t="s">
        <v>3088</v>
      </c>
      <c r="BI256" s="73" t="s">
        <v>3088</v>
      </c>
      <c r="BJ256" s="73" t="s">
        <v>3088</v>
      </c>
      <c r="BK256" s="73" t="s">
        <v>3088</v>
      </c>
      <c r="BL256" s="73" t="s">
        <v>3088</v>
      </c>
      <c r="BM256" s="73" t="s">
        <v>3088</v>
      </c>
      <c r="BN256" s="73" t="s">
        <v>3088</v>
      </c>
      <c r="BO256" s="73" t="s">
        <v>3088</v>
      </c>
      <c r="BP256" s="73" t="s">
        <v>3088</v>
      </c>
      <c r="BQ256" s="73" t="s">
        <v>3615</v>
      </c>
      <c r="BR256" s="73" t="s">
        <v>3088</v>
      </c>
    </row>
    <row r="257" spans="1:70">
      <c r="A257" s="73" t="s">
        <v>1873</v>
      </c>
      <c r="B257" s="73" t="s">
        <v>2751</v>
      </c>
      <c r="C257" s="73" t="s">
        <v>2571</v>
      </c>
      <c r="D257" s="73" t="s">
        <v>3088</v>
      </c>
      <c r="E257" s="73" t="s">
        <v>3088</v>
      </c>
      <c r="F257" s="73" t="s">
        <v>3088</v>
      </c>
      <c r="G257" s="73" t="s">
        <v>3089</v>
      </c>
      <c r="H257" s="73" t="s">
        <v>3088</v>
      </c>
      <c r="I257" s="73" t="s">
        <v>108</v>
      </c>
      <c r="J257" s="73" t="s">
        <v>3616</v>
      </c>
      <c r="K257" s="73" t="s">
        <v>3089</v>
      </c>
      <c r="L257" s="73" t="s">
        <v>2193</v>
      </c>
      <c r="M257" s="73" t="s">
        <v>3616</v>
      </c>
      <c r="N257" s="73" t="s">
        <v>3089</v>
      </c>
      <c r="O257" s="73" t="s">
        <v>3088</v>
      </c>
      <c r="P257" s="73" t="s">
        <v>3088</v>
      </c>
      <c r="Q257" s="73" t="s">
        <v>3088</v>
      </c>
      <c r="R257" s="73" t="s">
        <v>3088</v>
      </c>
      <c r="S257" s="73" t="s">
        <v>3088</v>
      </c>
      <c r="T257" s="73" t="s">
        <v>3088</v>
      </c>
      <c r="U257" s="73" t="s">
        <v>3088</v>
      </c>
      <c r="V257" s="73" t="s">
        <v>3088</v>
      </c>
      <c r="W257" s="73" t="s">
        <v>3088</v>
      </c>
      <c r="X257" s="73" t="s">
        <v>3088</v>
      </c>
      <c r="Y257" s="73" t="s">
        <v>3088</v>
      </c>
      <c r="Z257" s="73" t="s">
        <v>3088</v>
      </c>
      <c r="AA257" s="73" t="s">
        <v>3088</v>
      </c>
      <c r="AB257" s="73" t="s">
        <v>3088</v>
      </c>
      <c r="AC257" s="73" t="s">
        <v>3088</v>
      </c>
      <c r="AD257" s="73" t="s">
        <v>3088</v>
      </c>
      <c r="AE257" s="73" t="s">
        <v>3088</v>
      </c>
      <c r="AF257" s="73" t="s">
        <v>3088</v>
      </c>
      <c r="AG257" s="73" t="s">
        <v>3088</v>
      </c>
      <c r="AH257" s="73" t="s">
        <v>3088</v>
      </c>
      <c r="AI257" s="73" t="s">
        <v>3088</v>
      </c>
      <c r="AJ257" s="73" t="s">
        <v>3088</v>
      </c>
      <c r="AK257" s="73" t="s">
        <v>3088</v>
      </c>
      <c r="AL257" s="73" t="s">
        <v>3088</v>
      </c>
      <c r="AM257" s="73" t="s">
        <v>3088</v>
      </c>
      <c r="AN257" s="73" t="s">
        <v>3088</v>
      </c>
      <c r="AO257" s="73" t="s">
        <v>3088</v>
      </c>
      <c r="AP257" s="73" t="s">
        <v>3088</v>
      </c>
      <c r="AQ257" s="73" t="s">
        <v>3088</v>
      </c>
      <c r="AR257" s="73" t="s">
        <v>3088</v>
      </c>
      <c r="AS257" s="73" t="s">
        <v>3088</v>
      </c>
      <c r="AT257" s="73" t="s">
        <v>3088</v>
      </c>
      <c r="AU257" s="73" t="s">
        <v>3088</v>
      </c>
      <c r="AV257" s="73" t="s">
        <v>3088</v>
      </c>
      <c r="AW257" s="73" t="s">
        <v>3088</v>
      </c>
      <c r="AX257" s="73" t="s">
        <v>3088</v>
      </c>
      <c r="AY257" s="73" t="s">
        <v>3088</v>
      </c>
      <c r="AZ257" s="73" t="s">
        <v>3088</v>
      </c>
      <c r="BA257" s="73" t="s">
        <v>3088</v>
      </c>
      <c r="BB257" s="73" t="s">
        <v>3088</v>
      </c>
      <c r="BC257" s="73" t="s">
        <v>3088</v>
      </c>
      <c r="BD257" s="73" t="s">
        <v>3088</v>
      </c>
      <c r="BE257" s="73" t="s">
        <v>3088</v>
      </c>
      <c r="BF257" s="73" t="s">
        <v>3088</v>
      </c>
      <c r="BG257" s="73" t="s">
        <v>3088</v>
      </c>
      <c r="BH257" s="73" t="s">
        <v>3088</v>
      </c>
      <c r="BI257" s="73" t="s">
        <v>3088</v>
      </c>
      <c r="BJ257" s="73" t="s">
        <v>3088</v>
      </c>
      <c r="BK257" s="73" t="s">
        <v>3088</v>
      </c>
      <c r="BL257" s="73" t="s">
        <v>3088</v>
      </c>
      <c r="BM257" s="73" t="s">
        <v>3088</v>
      </c>
      <c r="BN257" s="73" t="s">
        <v>3088</v>
      </c>
      <c r="BO257" s="73" t="s">
        <v>3088</v>
      </c>
      <c r="BP257" s="73" t="s">
        <v>3088</v>
      </c>
      <c r="BQ257" s="73" t="s">
        <v>3617</v>
      </c>
      <c r="BR257" s="73" t="s">
        <v>3088</v>
      </c>
    </row>
    <row r="258" spans="1:70">
      <c r="A258" s="73" t="s">
        <v>1873</v>
      </c>
      <c r="B258" s="73" t="s">
        <v>2753</v>
      </c>
      <c r="C258" s="73" t="s">
        <v>2537</v>
      </c>
      <c r="D258" s="73" t="s">
        <v>3088</v>
      </c>
      <c r="E258" s="73" t="s">
        <v>3088</v>
      </c>
      <c r="F258" s="73" t="s">
        <v>3088</v>
      </c>
      <c r="G258" s="73" t="s">
        <v>3089</v>
      </c>
      <c r="H258" s="73" t="s">
        <v>3088</v>
      </c>
      <c r="I258" s="73" t="s">
        <v>108</v>
      </c>
      <c r="J258" s="73" t="s">
        <v>3618</v>
      </c>
      <c r="K258" s="73" t="s">
        <v>3095</v>
      </c>
      <c r="L258" s="73" t="s">
        <v>2193</v>
      </c>
      <c r="M258" s="73" t="s">
        <v>3618</v>
      </c>
      <c r="N258" s="73" t="s">
        <v>3095</v>
      </c>
      <c r="O258" s="73" t="s">
        <v>3088</v>
      </c>
      <c r="P258" s="73" t="s">
        <v>3088</v>
      </c>
      <c r="Q258" s="73" t="s">
        <v>3088</v>
      </c>
      <c r="R258" s="73" t="s">
        <v>3088</v>
      </c>
      <c r="S258" s="73" t="s">
        <v>3088</v>
      </c>
      <c r="T258" s="73" t="s">
        <v>3088</v>
      </c>
      <c r="U258" s="73" t="s">
        <v>3088</v>
      </c>
      <c r="V258" s="73" t="s">
        <v>3088</v>
      </c>
      <c r="W258" s="73" t="s">
        <v>3088</v>
      </c>
      <c r="X258" s="73" t="s">
        <v>3088</v>
      </c>
      <c r="Y258" s="73" t="s">
        <v>3088</v>
      </c>
      <c r="Z258" s="73" t="s">
        <v>3088</v>
      </c>
      <c r="AA258" s="73" t="s">
        <v>3088</v>
      </c>
      <c r="AB258" s="73" t="s">
        <v>3088</v>
      </c>
      <c r="AC258" s="73" t="s">
        <v>3088</v>
      </c>
      <c r="AD258" s="73" t="s">
        <v>3088</v>
      </c>
      <c r="AE258" s="73" t="s">
        <v>3088</v>
      </c>
      <c r="AF258" s="73" t="s">
        <v>3088</v>
      </c>
      <c r="AG258" s="73" t="s">
        <v>3088</v>
      </c>
      <c r="AH258" s="73" t="s">
        <v>3088</v>
      </c>
      <c r="AI258" s="73" t="s">
        <v>3088</v>
      </c>
      <c r="AJ258" s="73" t="s">
        <v>3088</v>
      </c>
      <c r="AK258" s="73" t="s">
        <v>3088</v>
      </c>
      <c r="AL258" s="73" t="s">
        <v>3088</v>
      </c>
      <c r="AM258" s="73" t="s">
        <v>3088</v>
      </c>
      <c r="AN258" s="73" t="s">
        <v>3088</v>
      </c>
      <c r="AO258" s="73" t="s">
        <v>3088</v>
      </c>
      <c r="AP258" s="73" t="s">
        <v>3088</v>
      </c>
      <c r="AQ258" s="73" t="s">
        <v>3088</v>
      </c>
      <c r="AR258" s="73" t="s">
        <v>3088</v>
      </c>
      <c r="AS258" s="73" t="s">
        <v>3088</v>
      </c>
      <c r="AT258" s="73" t="s">
        <v>3088</v>
      </c>
      <c r="AU258" s="73" t="s">
        <v>3088</v>
      </c>
      <c r="AV258" s="73" t="s">
        <v>3088</v>
      </c>
      <c r="AW258" s="73" t="s">
        <v>3088</v>
      </c>
      <c r="AX258" s="73" t="s">
        <v>3088</v>
      </c>
      <c r="AY258" s="73" t="s">
        <v>3088</v>
      </c>
      <c r="AZ258" s="73" t="s">
        <v>3088</v>
      </c>
      <c r="BA258" s="73" t="s">
        <v>3088</v>
      </c>
      <c r="BB258" s="73" t="s">
        <v>3088</v>
      </c>
      <c r="BC258" s="73" t="s">
        <v>3088</v>
      </c>
      <c r="BD258" s="73" t="s">
        <v>3088</v>
      </c>
      <c r="BE258" s="73" t="s">
        <v>3088</v>
      </c>
      <c r="BF258" s="73" t="s">
        <v>3088</v>
      </c>
      <c r="BG258" s="73" t="s">
        <v>3088</v>
      </c>
      <c r="BH258" s="73" t="s">
        <v>3088</v>
      </c>
      <c r="BI258" s="73" t="s">
        <v>3088</v>
      </c>
      <c r="BJ258" s="73" t="s">
        <v>3088</v>
      </c>
      <c r="BK258" s="73" t="s">
        <v>3088</v>
      </c>
      <c r="BL258" s="73" t="s">
        <v>3088</v>
      </c>
      <c r="BM258" s="73" t="s">
        <v>3088</v>
      </c>
      <c r="BN258" s="73" t="s">
        <v>3088</v>
      </c>
      <c r="BO258" s="73" t="s">
        <v>3088</v>
      </c>
      <c r="BP258" s="73" t="s">
        <v>3088</v>
      </c>
      <c r="BQ258" s="73" t="s">
        <v>3619</v>
      </c>
      <c r="BR258" s="73" t="s">
        <v>3097</v>
      </c>
    </row>
    <row r="259" spans="1:70">
      <c r="A259" s="73" t="s">
        <v>1873</v>
      </c>
      <c r="B259" s="73" t="s">
        <v>2755</v>
      </c>
      <c r="C259" s="73" t="s">
        <v>2579</v>
      </c>
      <c r="D259" s="73" t="s">
        <v>3088</v>
      </c>
      <c r="E259" s="73" t="s">
        <v>3088</v>
      </c>
      <c r="F259" s="73" t="s">
        <v>3088</v>
      </c>
      <c r="G259" s="73" t="s">
        <v>3089</v>
      </c>
      <c r="H259" s="73" t="s">
        <v>3088</v>
      </c>
      <c r="I259" s="73" t="s">
        <v>108</v>
      </c>
      <c r="J259" s="73" t="s">
        <v>3620</v>
      </c>
      <c r="K259" s="73" t="s">
        <v>3095</v>
      </c>
      <c r="L259" s="73" t="s">
        <v>2193</v>
      </c>
      <c r="M259" s="73" t="s">
        <v>3620</v>
      </c>
      <c r="N259" s="73" t="s">
        <v>3095</v>
      </c>
      <c r="O259" s="73" t="s">
        <v>3088</v>
      </c>
      <c r="P259" s="73" t="s">
        <v>3088</v>
      </c>
      <c r="Q259" s="73" t="s">
        <v>3088</v>
      </c>
      <c r="R259" s="73" t="s">
        <v>3088</v>
      </c>
      <c r="S259" s="73" t="s">
        <v>3088</v>
      </c>
      <c r="T259" s="73" t="s">
        <v>3088</v>
      </c>
      <c r="U259" s="73" t="s">
        <v>3088</v>
      </c>
      <c r="V259" s="73" t="s">
        <v>3088</v>
      </c>
      <c r="W259" s="73" t="s">
        <v>3088</v>
      </c>
      <c r="X259" s="73" t="s">
        <v>3088</v>
      </c>
      <c r="Y259" s="73" t="s">
        <v>3088</v>
      </c>
      <c r="Z259" s="73" t="s">
        <v>3088</v>
      </c>
      <c r="AA259" s="73" t="s">
        <v>3088</v>
      </c>
      <c r="AB259" s="73" t="s">
        <v>3088</v>
      </c>
      <c r="AC259" s="73" t="s">
        <v>3088</v>
      </c>
      <c r="AD259" s="73" t="s">
        <v>3088</v>
      </c>
      <c r="AE259" s="73" t="s">
        <v>3088</v>
      </c>
      <c r="AF259" s="73" t="s">
        <v>3088</v>
      </c>
      <c r="AG259" s="73" t="s">
        <v>3088</v>
      </c>
      <c r="AH259" s="73" t="s">
        <v>3088</v>
      </c>
      <c r="AI259" s="73" t="s">
        <v>3088</v>
      </c>
      <c r="AJ259" s="73" t="s">
        <v>3088</v>
      </c>
      <c r="AK259" s="73" t="s">
        <v>3088</v>
      </c>
      <c r="AL259" s="73" t="s">
        <v>3088</v>
      </c>
      <c r="AM259" s="73" t="s">
        <v>3088</v>
      </c>
      <c r="AN259" s="73" t="s">
        <v>3088</v>
      </c>
      <c r="AO259" s="73" t="s">
        <v>3088</v>
      </c>
      <c r="AP259" s="73" t="s">
        <v>3088</v>
      </c>
      <c r="AQ259" s="73" t="s">
        <v>3088</v>
      </c>
      <c r="AR259" s="73" t="s">
        <v>3088</v>
      </c>
      <c r="AS259" s="73" t="s">
        <v>3088</v>
      </c>
      <c r="AT259" s="73" t="s">
        <v>3088</v>
      </c>
      <c r="AU259" s="73" t="s">
        <v>3088</v>
      </c>
      <c r="AV259" s="73" t="s">
        <v>3088</v>
      </c>
      <c r="AW259" s="73" t="s">
        <v>3088</v>
      </c>
      <c r="AX259" s="73" t="s">
        <v>3088</v>
      </c>
      <c r="AY259" s="73" t="s">
        <v>3088</v>
      </c>
      <c r="AZ259" s="73" t="s">
        <v>3088</v>
      </c>
      <c r="BA259" s="73" t="s">
        <v>3088</v>
      </c>
      <c r="BB259" s="73" t="s">
        <v>3088</v>
      </c>
      <c r="BC259" s="73" t="s">
        <v>3088</v>
      </c>
      <c r="BD259" s="73" t="s">
        <v>3088</v>
      </c>
      <c r="BE259" s="73" t="s">
        <v>3088</v>
      </c>
      <c r="BF259" s="73" t="s">
        <v>3088</v>
      </c>
      <c r="BG259" s="73" t="s">
        <v>3088</v>
      </c>
      <c r="BH259" s="73" t="s">
        <v>3088</v>
      </c>
      <c r="BI259" s="73" t="s">
        <v>3088</v>
      </c>
      <c r="BJ259" s="73" t="s">
        <v>3088</v>
      </c>
      <c r="BK259" s="73" t="s">
        <v>3088</v>
      </c>
      <c r="BL259" s="73" t="s">
        <v>3088</v>
      </c>
      <c r="BM259" s="73" t="s">
        <v>3088</v>
      </c>
      <c r="BN259" s="73" t="s">
        <v>3088</v>
      </c>
      <c r="BO259" s="73" t="s">
        <v>3088</v>
      </c>
      <c r="BP259" s="73" t="s">
        <v>3088</v>
      </c>
      <c r="BQ259" s="73" t="s">
        <v>3621</v>
      </c>
      <c r="BR259" s="73" t="s">
        <v>3097</v>
      </c>
    </row>
    <row r="260" spans="1:70">
      <c r="A260" s="73" t="s">
        <v>1873</v>
      </c>
      <c r="B260" s="73" t="s">
        <v>2757</v>
      </c>
      <c r="C260" s="73" t="s">
        <v>2619</v>
      </c>
      <c r="D260" s="73" t="s">
        <v>3088</v>
      </c>
      <c r="E260" s="73" t="s">
        <v>3088</v>
      </c>
      <c r="F260" s="73" t="s">
        <v>3088</v>
      </c>
      <c r="G260" s="73" t="s">
        <v>3089</v>
      </c>
      <c r="H260" s="73" t="s">
        <v>3088</v>
      </c>
      <c r="I260" s="73" t="s">
        <v>108</v>
      </c>
      <c r="J260" s="73" t="s">
        <v>3622</v>
      </c>
      <c r="K260" s="73" t="s">
        <v>3095</v>
      </c>
      <c r="L260" s="73" t="s">
        <v>2193</v>
      </c>
      <c r="M260" s="73" t="s">
        <v>3622</v>
      </c>
      <c r="N260" s="73" t="s">
        <v>3095</v>
      </c>
      <c r="O260" s="73" t="s">
        <v>3088</v>
      </c>
      <c r="P260" s="73" t="s">
        <v>3088</v>
      </c>
      <c r="Q260" s="73" t="s">
        <v>3088</v>
      </c>
      <c r="R260" s="73" t="s">
        <v>3088</v>
      </c>
      <c r="S260" s="73" t="s">
        <v>3088</v>
      </c>
      <c r="T260" s="73" t="s">
        <v>3088</v>
      </c>
      <c r="U260" s="73" t="s">
        <v>3088</v>
      </c>
      <c r="V260" s="73" t="s">
        <v>3088</v>
      </c>
      <c r="W260" s="73" t="s">
        <v>3088</v>
      </c>
      <c r="X260" s="73" t="s">
        <v>3088</v>
      </c>
      <c r="Y260" s="73" t="s">
        <v>3088</v>
      </c>
      <c r="Z260" s="73" t="s">
        <v>3088</v>
      </c>
      <c r="AA260" s="73" t="s">
        <v>3088</v>
      </c>
      <c r="AB260" s="73" t="s">
        <v>3088</v>
      </c>
      <c r="AC260" s="73" t="s">
        <v>3088</v>
      </c>
      <c r="AD260" s="73" t="s">
        <v>3088</v>
      </c>
      <c r="AE260" s="73" t="s">
        <v>3088</v>
      </c>
      <c r="AF260" s="73" t="s">
        <v>3088</v>
      </c>
      <c r="AG260" s="73" t="s">
        <v>3088</v>
      </c>
      <c r="AH260" s="73" t="s">
        <v>3088</v>
      </c>
      <c r="AI260" s="73" t="s">
        <v>3088</v>
      </c>
      <c r="AJ260" s="73" t="s">
        <v>3088</v>
      </c>
      <c r="AK260" s="73" t="s">
        <v>3088</v>
      </c>
      <c r="AL260" s="73" t="s">
        <v>3088</v>
      </c>
      <c r="AM260" s="73" t="s">
        <v>3088</v>
      </c>
      <c r="AN260" s="73" t="s">
        <v>3088</v>
      </c>
      <c r="AO260" s="73" t="s">
        <v>3088</v>
      </c>
      <c r="AP260" s="73" t="s">
        <v>3088</v>
      </c>
      <c r="AQ260" s="73" t="s">
        <v>3088</v>
      </c>
      <c r="AR260" s="73" t="s">
        <v>3088</v>
      </c>
      <c r="AS260" s="73" t="s">
        <v>3088</v>
      </c>
      <c r="AT260" s="73" t="s">
        <v>3088</v>
      </c>
      <c r="AU260" s="73" t="s">
        <v>3088</v>
      </c>
      <c r="AV260" s="73" t="s">
        <v>3088</v>
      </c>
      <c r="AW260" s="73" t="s">
        <v>3088</v>
      </c>
      <c r="AX260" s="73" t="s">
        <v>3088</v>
      </c>
      <c r="AY260" s="73" t="s">
        <v>3088</v>
      </c>
      <c r="AZ260" s="73" t="s">
        <v>3088</v>
      </c>
      <c r="BA260" s="73" t="s">
        <v>3088</v>
      </c>
      <c r="BB260" s="73" t="s">
        <v>3088</v>
      </c>
      <c r="BC260" s="73" t="s">
        <v>3088</v>
      </c>
      <c r="BD260" s="73" t="s">
        <v>3088</v>
      </c>
      <c r="BE260" s="73" t="s">
        <v>3088</v>
      </c>
      <c r="BF260" s="73" t="s">
        <v>3088</v>
      </c>
      <c r="BG260" s="73" t="s">
        <v>3088</v>
      </c>
      <c r="BH260" s="73" t="s">
        <v>3088</v>
      </c>
      <c r="BI260" s="73" t="s">
        <v>3088</v>
      </c>
      <c r="BJ260" s="73" t="s">
        <v>3088</v>
      </c>
      <c r="BK260" s="73" t="s">
        <v>3088</v>
      </c>
      <c r="BL260" s="73" t="s">
        <v>3088</v>
      </c>
      <c r="BM260" s="73" t="s">
        <v>3088</v>
      </c>
      <c r="BN260" s="73" t="s">
        <v>3088</v>
      </c>
      <c r="BO260" s="73" t="s">
        <v>3088</v>
      </c>
      <c r="BP260" s="73" t="s">
        <v>3088</v>
      </c>
      <c r="BQ260" s="73" t="s">
        <v>3623</v>
      </c>
      <c r="BR260" s="73" t="s">
        <v>3097</v>
      </c>
    </row>
    <row r="261" spans="1:70">
      <c r="A261" s="73" t="s">
        <v>1873</v>
      </c>
      <c r="B261" s="73" t="s">
        <v>2759</v>
      </c>
      <c r="C261" s="73" t="s">
        <v>2537</v>
      </c>
      <c r="D261" s="73" t="s">
        <v>3088</v>
      </c>
      <c r="E261" s="73" t="s">
        <v>3088</v>
      </c>
      <c r="F261" s="73" t="s">
        <v>3088</v>
      </c>
      <c r="G261" s="73" t="s">
        <v>3089</v>
      </c>
      <c r="H261" s="73" t="s">
        <v>3088</v>
      </c>
      <c r="I261" s="73" t="s">
        <v>108</v>
      </c>
      <c r="J261" s="73" t="s">
        <v>3624</v>
      </c>
      <c r="K261" s="73" t="s">
        <v>3095</v>
      </c>
      <c r="L261" s="73" t="s">
        <v>2193</v>
      </c>
      <c r="M261" s="73" t="s">
        <v>3624</v>
      </c>
      <c r="N261" s="73" t="s">
        <v>3095</v>
      </c>
      <c r="O261" s="73" t="s">
        <v>3088</v>
      </c>
      <c r="P261" s="73" t="s">
        <v>3088</v>
      </c>
      <c r="Q261" s="73" t="s">
        <v>3088</v>
      </c>
      <c r="R261" s="73" t="s">
        <v>3088</v>
      </c>
      <c r="S261" s="73" t="s">
        <v>3088</v>
      </c>
      <c r="T261" s="73" t="s">
        <v>3088</v>
      </c>
      <c r="U261" s="73" t="s">
        <v>3088</v>
      </c>
      <c r="V261" s="73" t="s">
        <v>3088</v>
      </c>
      <c r="W261" s="73" t="s">
        <v>3088</v>
      </c>
      <c r="X261" s="73" t="s">
        <v>3088</v>
      </c>
      <c r="Y261" s="73" t="s">
        <v>3088</v>
      </c>
      <c r="Z261" s="73" t="s">
        <v>3088</v>
      </c>
      <c r="AA261" s="73" t="s">
        <v>3088</v>
      </c>
      <c r="AB261" s="73" t="s">
        <v>3088</v>
      </c>
      <c r="AC261" s="73" t="s">
        <v>3088</v>
      </c>
      <c r="AD261" s="73" t="s">
        <v>3088</v>
      </c>
      <c r="AE261" s="73" t="s">
        <v>3088</v>
      </c>
      <c r="AF261" s="73" t="s">
        <v>3088</v>
      </c>
      <c r="AG261" s="73" t="s">
        <v>3088</v>
      </c>
      <c r="AH261" s="73" t="s">
        <v>3088</v>
      </c>
      <c r="AI261" s="73" t="s">
        <v>3088</v>
      </c>
      <c r="AJ261" s="73" t="s">
        <v>3088</v>
      </c>
      <c r="AK261" s="73" t="s">
        <v>3088</v>
      </c>
      <c r="AL261" s="73" t="s">
        <v>3088</v>
      </c>
      <c r="AM261" s="73" t="s">
        <v>3088</v>
      </c>
      <c r="AN261" s="73" t="s">
        <v>3088</v>
      </c>
      <c r="AO261" s="73" t="s">
        <v>3088</v>
      </c>
      <c r="AP261" s="73" t="s">
        <v>3088</v>
      </c>
      <c r="AQ261" s="73" t="s">
        <v>3088</v>
      </c>
      <c r="AR261" s="73" t="s">
        <v>3088</v>
      </c>
      <c r="AS261" s="73" t="s">
        <v>3088</v>
      </c>
      <c r="AT261" s="73" t="s">
        <v>3088</v>
      </c>
      <c r="AU261" s="73" t="s">
        <v>3088</v>
      </c>
      <c r="AV261" s="73" t="s">
        <v>3088</v>
      </c>
      <c r="AW261" s="73" t="s">
        <v>3088</v>
      </c>
      <c r="AX261" s="73" t="s">
        <v>3088</v>
      </c>
      <c r="AY261" s="73" t="s">
        <v>3088</v>
      </c>
      <c r="AZ261" s="73" t="s">
        <v>3088</v>
      </c>
      <c r="BA261" s="73" t="s">
        <v>3088</v>
      </c>
      <c r="BB261" s="73" t="s">
        <v>3088</v>
      </c>
      <c r="BC261" s="73" t="s">
        <v>3088</v>
      </c>
      <c r="BD261" s="73" t="s">
        <v>3088</v>
      </c>
      <c r="BE261" s="73" t="s">
        <v>3088</v>
      </c>
      <c r="BF261" s="73" t="s">
        <v>3088</v>
      </c>
      <c r="BG261" s="73" t="s">
        <v>3088</v>
      </c>
      <c r="BH261" s="73" t="s">
        <v>3088</v>
      </c>
      <c r="BI261" s="73" t="s">
        <v>3088</v>
      </c>
      <c r="BJ261" s="73" t="s">
        <v>3088</v>
      </c>
      <c r="BK261" s="73" t="s">
        <v>3088</v>
      </c>
      <c r="BL261" s="73" t="s">
        <v>3088</v>
      </c>
      <c r="BM261" s="73" t="s">
        <v>3088</v>
      </c>
      <c r="BN261" s="73" t="s">
        <v>3088</v>
      </c>
      <c r="BO261" s="73" t="s">
        <v>3088</v>
      </c>
      <c r="BP261" s="73" t="s">
        <v>3088</v>
      </c>
      <c r="BQ261" s="73" t="s">
        <v>3625</v>
      </c>
      <c r="BR261" s="73" t="s">
        <v>3097</v>
      </c>
    </row>
    <row r="262" spans="1:70">
      <c r="A262" s="73" t="s">
        <v>1873</v>
      </c>
      <c r="B262" s="73" t="s">
        <v>3626</v>
      </c>
      <c r="C262" s="73" t="s">
        <v>2563</v>
      </c>
      <c r="D262" s="73" t="s">
        <v>3088</v>
      </c>
      <c r="E262" s="73" t="s">
        <v>3088</v>
      </c>
      <c r="F262" s="73" t="s">
        <v>3088</v>
      </c>
      <c r="G262" s="73" t="s">
        <v>3089</v>
      </c>
      <c r="H262" s="73" t="s">
        <v>3088</v>
      </c>
      <c r="I262" s="73" t="s">
        <v>3241</v>
      </c>
      <c r="J262" s="73" t="s">
        <v>3627</v>
      </c>
      <c r="K262" s="73" t="s">
        <v>3089</v>
      </c>
      <c r="L262" s="73" t="s">
        <v>3088</v>
      </c>
      <c r="M262" s="73" t="s">
        <v>3088</v>
      </c>
      <c r="N262" s="73" t="s">
        <v>3088</v>
      </c>
      <c r="O262" s="73" t="s">
        <v>3088</v>
      </c>
      <c r="P262" s="73" t="s">
        <v>3088</v>
      </c>
      <c r="Q262" s="73" t="s">
        <v>3088</v>
      </c>
      <c r="R262" s="73" t="s">
        <v>3088</v>
      </c>
      <c r="S262" s="73" t="s">
        <v>3088</v>
      </c>
      <c r="T262" s="73" t="s">
        <v>3088</v>
      </c>
      <c r="U262" s="73" t="s">
        <v>3088</v>
      </c>
      <c r="V262" s="73" t="s">
        <v>3088</v>
      </c>
      <c r="W262" s="73" t="s">
        <v>3088</v>
      </c>
      <c r="X262" s="73" t="s">
        <v>3088</v>
      </c>
      <c r="Y262" s="73" t="s">
        <v>3088</v>
      </c>
      <c r="Z262" s="73" t="s">
        <v>3088</v>
      </c>
      <c r="AA262" s="73" t="s">
        <v>3088</v>
      </c>
      <c r="AB262" s="73" t="s">
        <v>3088</v>
      </c>
      <c r="AC262" s="73" t="s">
        <v>3088</v>
      </c>
      <c r="AD262" s="73" t="s">
        <v>3088</v>
      </c>
      <c r="AE262" s="73" t="s">
        <v>3088</v>
      </c>
      <c r="AF262" s="73" t="s">
        <v>3088</v>
      </c>
      <c r="AG262" s="73" t="s">
        <v>3088</v>
      </c>
      <c r="AH262" s="73" t="s">
        <v>3088</v>
      </c>
      <c r="AI262" s="73" t="s">
        <v>3088</v>
      </c>
      <c r="AJ262" s="73" t="s">
        <v>3088</v>
      </c>
      <c r="AK262" s="73" t="s">
        <v>3088</v>
      </c>
      <c r="AL262" s="73" t="s">
        <v>3088</v>
      </c>
      <c r="AM262" s="73" t="s">
        <v>3088</v>
      </c>
      <c r="AN262" s="73" t="s">
        <v>3088</v>
      </c>
      <c r="AO262" s="73" t="s">
        <v>3088</v>
      </c>
      <c r="AP262" s="73" t="s">
        <v>3088</v>
      </c>
      <c r="AQ262" s="73" t="s">
        <v>3088</v>
      </c>
      <c r="AR262" s="73" t="s">
        <v>3088</v>
      </c>
      <c r="AS262" s="73" t="s">
        <v>3088</v>
      </c>
      <c r="AT262" s="73" t="s">
        <v>3088</v>
      </c>
      <c r="AU262" s="73" t="s">
        <v>3088</v>
      </c>
      <c r="AV262" s="73" t="s">
        <v>3088</v>
      </c>
      <c r="AW262" s="73" t="s">
        <v>3088</v>
      </c>
      <c r="AX262" s="73" t="s">
        <v>3088</v>
      </c>
      <c r="AY262" s="73" t="s">
        <v>3088</v>
      </c>
      <c r="AZ262" s="73" t="s">
        <v>3088</v>
      </c>
      <c r="BA262" s="73" t="s">
        <v>3088</v>
      </c>
      <c r="BB262" s="73" t="s">
        <v>3088</v>
      </c>
      <c r="BC262" s="73" t="s">
        <v>3088</v>
      </c>
      <c r="BD262" s="73" t="s">
        <v>3088</v>
      </c>
      <c r="BE262" s="73" t="s">
        <v>3088</v>
      </c>
      <c r="BF262" s="73" t="s">
        <v>3088</v>
      </c>
      <c r="BG262" s="73" t="s">
        <v>3088</v>
      </c>
      <c r="BH262" s="73" t="s">
        <v>3088</v>
      </c>
      <c r="BI262" s="73" t="s">
        <v>3088</v>
      </c>
      <c r="BJ262" s="73" t="s">
        <v>3088</v>
      </c>
      <c r="BK262" s="73" t="s">
        <v>3088</v>
      </c>
      <c r="BL262" s="73" t="s">
        <v>3088</v>
      </c>
      <c r="BM262" s="73" t="s">
        <v>3088</v>
      </c>
      <c r="BN262" s="73" t="s">
        <v>3088</v>
      </c>
      <c r="BO262" s="73" t="s">
        <v>3088</v>
      </c>
      <c r="BP262" s="73" t="s">
        <v>3088</v>
      </c>
      <c r="BQ262" s="73" t="s">
        <v>3628</v>
      </c>
      <c r="BR262" s="73" t="s">
        <v>3088</v>
      </c>
    </row>
    <row r="263" spans="1:70">
      <c r="A263" s="73" t="s">
        <v>1873</v>
      </c>
      <c r="B263" s="73" t="s">
        <v>3629</v>
      </c>
      <c r="C263" s="73" t="s">
        <v>2533</v>
      </c>
      <c r="D263" s="73" t="s">
        <v>3088</v>
      </c>
      <c r="E263" s="73" t="s">
        <v>3088</v>
      </c>
      <c r="F263" s="73" t="s">
        <v>3088</v>
      </c>
      <c r="G263" s="73" t="s">
        <v>3089</v>
      </c>
      <c r="H263" s="73" t="s">
        <v>3088</v>
      </c>
      <c r="I263" s="73" t="s">
        <v>3113</v>
      </c>
      <c r="J263" s="73" t="s">
        <v>3630</v>
      </c>
      <c r="K263" s="73" t="s">
        <v>3089</v>
      </c>
      <c r="L263" s="73" t="s">
        <v>3180</v>
      </c>
      <c r="M263" s="73" t="s">
        <v>3631</v>
      </c>
      <c r="N263" s="73" t="s">
        <v>3089</v>
      </c>
      <c r="O263" s="73" t="s">
        <v>3088</v>
      </c>
      <c r="P263" s="73" t="s">
        <v>3088</v>
      </c>
      <c r="Q263" s="73" t="s">
        <v>3088</v>
      </c>
      <c r="R263" s="73" t="s">
        <v>3088</v>
      </c>
      <c r="S263" s="73" t="s">
        <v>3088</v>
      </c>
      <c r="T263" s="73" t="s">
        <v>3088</v>
      </c>
      <c r="U263" s="73" t="s">
        <v>3088</v>
      </c>
      <c r="V263" s="73" t="s">
        <v>3088</v>
      </c>
      <c r="W263" s="73" t="s">
        <v>3088</v>
      </c>
      <c r="X263" s="73" t="s">
        <v>3088</v>
      </c>
      <c r="Y263" s="73" t="s">
        <v>3088</v>
      </c>
      <c r="Z263" s="73" t="s">
        <v>3088</v>
      </c>
      <c r="AA263" s="73" t="s">
        <v>3088</v>
      </c>
      <c r="AB263" s="73" t="s">
        <v>3088</v>
      </c>
      <c r="AC263" s="73" t="s">
        <v>3088</v>
      </c>
      <c r="AD263" s="73" t="s">
        <v>3088</v>
      </c>
      <c r="AE263" s="73" t="s">
        <v>3088</v>
      </c>
      <c r="AF263" s="73" t="s">
        <v>3088</v>
      </c>
      <c r="AG263" s="73" t="s">
        <v>3088</v>
      </c>
      <c r="AH263" s="73" t="s">
        <v>3088</v>
      </c>
      <c r="AI263" s="73" t="s">
        <v>3088</v>
      </c>
      <c r="AJ263" s="73" t="s">
        <v>3088</v>
      </c>
      <c r="AK263" s="73" t="s">
        <v>3088</v>
      </c>
      <c r="AL263" s="73" t="s">
        <v>3088</v>
      </c>
      <c r="AM263" s="73" t="s">
        <v>3088</v>
      </c>
      <c r="AN263" s="73" t="s">
        <v>3088</v>
      </c>
      <c r="AO263" s="73" t="s">
        <v>3088</v>
      </c>
      <c r="AP263" s="73" t="s">
        <v>3088</v>
      </c>
      <c r="AQ263" s="73" t="s">
        <v>3088</v>
      </c>
      <c r="AR263" s="73" t="s">
        <v>3088</v>
      </c>
      <c r="AS263" s="73" t="s">
        <v>3088</v>
      </c>
      <c r="AT263" s="73" t="s">
        <v>3088</v>
      </c>
      <c r="AU263" s="73" t="s">
        <v>3088</v>
      </c>
      <c r="AV263" s="73" t="s">
        <v>3088</v>
      </c>
      <c r="AW263" s="73" t="s">
        <v>3088</v>
      </c>
      <c r="AX263" s="73" t="s">
        <v>3088</v>
      </c>
      <c r="AY263" s="73" t="s">
        <v>3088</v>
      </c>
      <c r="AZ263" s="73" t="s">
        <v>3088</v>
      </c>
      <c r="BA263" s="73" t="s">
        <v>3088</v>
      </c>
      <c r="BB263" s="73" t="s">
        <v>3088</v>
      </c>
      <c r="BC263" s="73" t="s">
        <v>3088</v>
      </c>
      <c r="BD263" s="73" t="s">
        <v>3088</v>
      </c>
      <c r="BE263" s="73" t="s">
        <v>3088</v>
      </c>
      <c r="BF263" s="73" t="s">
        <v>3088</v>
      </c>
      <c r="BG263" s="73" t="s">
        <v>3088</v>
      </c>
      <c r="BH263" s="73" t="s">
        <v>3088</v>
      </c>
      <c r="BI263" s="73" t="s">
        <v>3088</v>
      </c>
      <c r="BJ263" s="73" t="s">
        <v>3088</v>
      </c>
      <c r="BK263" s="73" t="s">
        <v>3088</v>
      </c>
      <c r="BL263" s="73" t="s">
        <v>3088</v>
      </c>
      <c r="BM263" s="73" t="s">
        <v>3088</v>
      </c>
      <c r="BN263" s="73" t="s">
        <v>3088</v>
      </c>
      <c r="BO263" s="73" t="s">
        <v>3088</v>
      </c>
      <c r="BP263" s="73" t="s">
        <v>3088</v>
      </c>
      <c r="BQ263" s="73" t="s">
        <v>3632</v>
      </c>
      <c r="BR263" s="73" t="s">
        <v>3088</v>
      </c>
    </row>
    <row r="264" spans="1:70">
      <c r="A264" s="73" t="s">
        <v>1873</v>
      </c>
      <c r="B264" s="73" t="s">
        <v>2761</v>
      </c>
      <c r="C264" s="73" t="s">
        <v>2582</v>
      </c>
      <c r="D264" s="73" t="s">
        <v>3088</v>
      </c>
      <c r="E264" s="73" t="s">
        <v>3088</v>
      </c>
      <c r="F264" s="73" t="s">
        <v>3088</v>
      </c>
      <c r="G264" s="73" t="s">
        <v>3089</v>
      </c>
      <c r="H264" s="73" t="s">
        <v>3088</v>
      </c>
      <c r="I264" s="73" t="s">
        <v>108</v>
      </c>
      <c r="J264" s="73" t="s">
        <v>3633</v>
      </c>
      <c r="K264" s="73" t="s">
        <v>3089</v>
      </c>
      <c r="L264" s="73" t="s">
        <v>3180</v>
      </c>
      <c r="M264" s="73" t="s">
        <v>3633</v>
      </c>
      <c r="N264" s="73" t="s">
        <v>3089</v>
      </c>
      <c r="O264" s="73" t="s">
        <v>3122</v>
      </c>
      <c r="P264" s="73" t="s">
        <v>3633</v>
      </c>
      <c r="Q264" s="73" t="s">
        <v>3089</v>
      </c>
      <c r="R264" s="73" t="s">
        <v>543</v>
      </c>
      <c r="S264" s="73" t="s">
        <v>3633</v>
      </c>
      <c r="T264" s="73" t="s">
        <v>3089</v>
      </c>
      <c r="U264" s="73" t="s">
        <v>3606</v>
      </c>
      <c r="V264" s="73" t="s">
        <v>3633</v>
      </c>
      <c r="W264" s="73" t="s">
        <v>3089</v>
      </c>
      <c r="X264" s="73" t="s">
        <v>3279</v>
      </c>
      <c r="Y264" s="73" t="s">
        <v>3633</v>
      </c>
      <c r="Z264" s="73" t="s">
        <v>3089</v>
      </c>
      <c r="AA264" s="73" t="s">
        <v>3088</v>
      </c>
      <c r="AB264" s="73" t="s">
        <v>3088</v>
      </c>
      <c r="AC264" s="73" t="s">
        <v>3088</v>
      </c>
      <c r="AD264" s="73" t="s">
        <v>3088</v>
      </c>
      <c r="AE264" s="73" t="s">
        <v>3088</v>
      </c>
      <c r="AF264" s="73" t="s">
        <v>3088</v>
      </c>
      <c r="AG264" s="73" t="s">
        <v>3088</v>
      </c>
      <c r="AH264" s="73" t="s">
        <v>3088</v>
      </c>
      <c r="AI264" s="73" t="s">
        <v>3088</v>
      </c>
      <c r="AJ264" s="73" t="s">
        <v>3088</v>
      </c>
      <c r="AK264" s="73" t="s">
        <v>3088</v>
      </c>
      <c r="AL264" s="73" t="s">
        <v>3088</v>
      </c>
      <c r="AM264" s="73" t="s">
        <v>3088</v>
      </c>
      <c r="AN264" s="73" t="s">
        <v>3088</v>
      </c>
      <c r="AO264" s="73" t="s">
        <v>3088</v>
      </c>
      <c r="AP264" s="73" t="s">
        <v>3088</v>
      </c>
      <c r="AQ264" s="73" t="s">
        <v>3088</v>
      </c>
      <c r="AR264" s="73" t="s">
        <v>3088</v>
      </c>
      <c r="AS264" s="73" t="s">
        <v>3088</v>
      </c>
      <c r="AT264" s="73" t="s">
        <v>3088</v>
      </c>
      <c r="AU264" s="73" t="s">
        <v>3088</v>
      </c>
      <c r="AV264" s="73" t="s">
        <v>3088</v>
      </c>
      <c r="AW264" s="73" t="s">
        <v>3088</v>
      </c>
      <c r="AX264" s="73" t="s">
        <v>3088</v>
      </c>
      <c r="AY264" s="73" t="s">
        <v>3088</v>
      </c>
      <c r="AZ264" s="73" t="s">
        <v>3088</v>
      </c>
      <c r="BA264" s="73" t="s">
        <v>3088</v>
      </c>
      <c r="BB264" s="73" t="s">
        <v>3088</v>
      </c>
      <c r="BC264" s="73" t="s">
        <v>3088</v>
      </c>
      <c r="BD264" s="73" t="s">
        <v>3088</v>
      </c>
      <c r="BE264" s="73" t="s">
        <v>3088</v>
      </c>
      <c r="BF264" s="73" t="s">
        <v>3088</v>
      </c>
      <c r="BG264" s="73" t="s">
        <v>3088</v>
      </c>
      <c r="BH264" s="73" t="s">
        <v>3088</v>
      </c>
      <c r="BI264" s="73" t="s">
        <v>3088</v>
      </c>
      <c r="BJ264" s="73" t="s">
        <v>3088</v>
      </c>
      <c r="BK264" s="73" t="s">
        <v>3088</v>
      </c>
      <c r="BL264" s="73" t="s">
        <v>3088</v>
      </c>
      <c r="BM264" s="73" t="s">
        <v>3088</v>
      </c>
      <c r="BN264" s="73" t="s">
        <v>3088</v>
      </c>
      <c r="BO264" s="73" t="s">
        <v>3088</v>
      </c>
      <c r="BP264" s="73" t="s">
        <v>3088</v>
      </c>
      <c r="BQ264" s="73" t="s">
        <v>3634</v>
      </c>
      <c r="BR264" s="73" t="s">
        <v>3088</v>
      </c>
    </row>
    <row r="265" spans="1:70">
      <c r="A265" s="73" t="s">
        <v>1873</v>
      </c>
      <c r="B265" s="73" t="s">
        <v>3635</v>
      </c>
      <c r="C265" s="73" t="s">
        <v>2591</v>
      </c>
      <c r="D265" s="73" t="s">
        <v>3088</v>
      </c>
      <c r="E265" s="73" t="s">
        <v>3088</v>
      </c>
      <c r="F265" s="73" t="s">
        <v>3088</v>
      </c>
      <c r="G265" s="73" t="s">
        <v>3089</v>
      </c>
      <c r="H265" s="73" t="s">
        <v>3088</v>
      </c>
      <c r="I265" s="73" t="s">
        <v>3093</v>
      </c>
      <c r="J265" s="73" t="s">
        <v>3627</v>
      </c>
      <c r="K265" s="73" t="s">
        <v>3089</v>
      </c>
      <c r="L265" s="73" t="s">
        <v>3088</v>
      </c>
      <c r="M265" s="73" t="s">
        <v>3088</v>
      </c>
      <c r="N265" s="73" t="s">
        <v>3088</v>
      </c>
      <c r="O265" s="73" t="s">
        <v>3088</v>
      </c>
      <c r="P265" s="73" t="s">
        <v>3088</v>
      </c>
      <c r="Q265" s="73" t="s">
        <v>3088</v>
      </c>
      <c r="R265" s="73" t="s">
        <v>3088</v>
      </c>
      <c r="S265" s="73" t="s">
        <v>3088</v>
      </c>
      <c r="T265" s="73" t="s">
        <v>3088</v>
      </c>
      <c r="U265" s="73" t="s">
        <v>3088</v>
      </c>
      <c r="V265" s="73" t="s">
        <v>3088</v>
      </c>
      <c r="W265" s="73" t="s">
        <v>3088</v>
      </c>
      <c r="X265" s="73" t="s">
        <v>3088</v>
      </c>
      <c r="Y265" s="73" t="s">
        <v>3088</v>
      </c>
      <c r="Z265" s="73" t="s">
        <v>3088</v>
      </c>
      <c r="AA265" s="73" t="s">
        <v>3088</v>
      </c>
      <c r="AB265" s="73" t="s">
        <v>3088</v>
      </c>
      <c r="AC265" s="73" t="s">
        <v>3088</v>
      </c>
      <c r="AD265" s="73" t="s">
        <v>3088</v>
      </c>
      <c r="AE265" s="73" t="s">
        <v>3088</v>
      </c>
      <c r="AF265" s="73" t="s">
        <v>3088</v>
      </c>
      <c r="AG265" s="73" t="s">
        <v>3088</v>
      </c>
      <c r="AH265" s="73" t="s">
        <v>3088</v>
      </c>
      <c r="AI265" s="73" t="s">
        <v>3088</v>
      </c>
      <c r="AJ265" s="73" t="s">
        <v>3088</v>
      </c>
      <c r="AK265" s="73" t="s">
        <v>3088</v>
      </c>
      <c r="AL265" s="73" t="s">
        <v>3088</v>
      </c>
      <c r="AM265" s="73" t="s">
        <v>3088</v>
      </c>
      <c r="AN265" s="73" t="s">
        <v>3088</v>
      </c>
      <c r="AO265" s="73" t="s">
        <v>3088</v>
      </c>
      <c r="AP265" s="73" t="s">
        <v>3088</v>
      </c>
      <c r="AQ265" s="73" t="s">
        <v>3088</v>
      </c>
      <c r="AR265" s="73" t="s">
        <v>3088</v>
      </c>
      <c r="AS265" s="73" t="s">
        <v>3088</v>
      </c>
      <c r="AT265" s="73" t="s">
        <v>3088</v>
      </c>
      <c r="AU265" s="73" t="s">
        <v>3088</v>
      </c>
      <c r="AV265" s="73" t="s">
        <v>3088</v>
      </c>
      <c r="AW265" s="73" t="s">
        <v>3088</v>
      </c>
      <c r="AX265" s="73" t="s">
        <v>3088</v>
      </c>
      <c r="AY265" s="73" t="s">
        <v>3088</v>
      </c>
      <c r="AZ265" s="73" t="s">
        <v>3088</v>
      </c>
      <c r="BA265" s="73" t="s">
        <v>3088</v>
      </c>
      <c r="BB265" s="73" t="s">
        <v>3088</v>
      </c>
      <c r="BC265" s="73" t="s">
        <v>3088</v>
      </c>
      <c r="BD265" s="73" t="s">
        <v>3088</v>
      </c>
      <c r="BE265" s="73" t="s">
        <v>3088</v>
      </c>
      <c r="BF265" s="73" t="s">
        <v>3088</v>
      </c>
      <c r="BG265" s="73" t="s">
        <v>3088</v>
      </c>
      <c r="BH265" s="73" t="s">
        <v>3088</v>
      </c>
      <c r="BI265" s="73" t="s">
        <v>3088</v>
      </c>
      <c r="BJ265" s="73" t="s">
        <v>3088</v>
      </c>
      <c r="BK265" s="73" t="s">
        <v>3088</v>
      </c>
      <c r="BL265" s="73" t="s">
        <v>3088</v>
      </c>
      <c r="BM265" s="73" t="s">
        <v>3088</v>
      </c>
      <c r="BN265" s="73" t="s">
        <v>3088</v>
      </c>
      <c r="BO265" s="73" t="s">
        <v>3088</v>
      </c>
      <c r="BP265" s="73" t="s">
        <v>3088</v>
      </c>
      <c r="BQ265" s="73" t="s">
        <v>3636</v>
      </c>
      <c r="BR265" s="73" t="s">
        <v>3088</v>
      </c>
    </row>
    <row r="266" spans="1:70">
      <c r="A266" s="73" t="s">
        <v>1873</v>
      </c>
      <c r="B266" s="73" t="s">
        <v>3637</v>
      </c>
      <c r="C266" s="73" t="s">
        <v>2619</v>
      </c>
      <c r="D266" s="73" t="s">
        <v>3088</v>
      </c>
      <c r="E266" s="73" t="s">
        <v>3088</v>
      </c>
      <c r="F266" s="73" t="s">
        <v>3088</v>
      </c>
      <c r="G266" s="73" t="s">
        <v>3089</v>
      </c>
      <c r="H266" s="73" t="s">
        <v>3088</v>
      </c>
      <c r="I266" s="73" t="s">
        <v>3093</v>
      </c>
      <c r="J266" s="73" t="s">
        <v>3627</v>
      </c>
      <c r="K266" s="73" t="s">
        <v>3089</v>
      </c>
      <c r="L266" s="73" t="s">
        <v>3088</v>
      </c>
      <c r="M266" s="73" t="s">
        <v>3088</v>
      </c>
      <c r="N266" s="73" t="s">
        <v>3088</v>
      </c>
      <c r="O266" s="73" t="s">
        <v>3088</v>
      </c>
      <c r="P266" s="73" t="s">
        <v>3088</v>
      </c>
      <c r="Q266" s="73" t="s">
        <v>3088</v>
      </c>
      <c r="R266" s="73" t="s">
        <v>3088</v>
      </c>
      <c r="S266" s="73" t="s">
        <v>3088</v>
      </c>
      <c r="T266" s="73" t="s">
        <v>3088</v>
      </c>
      <c r="U266" s="73" t="s">
        <v>3088</v>
      </c>
      <c r="V266" s="73" t="s">
        <v>3088</v>
      </c>
      <c r="W266" s="73" t="s">
        <v>3088</v>
      </c>
      <c r="X266" s="73" t="s">
        <v>3088</v>
      </c>
      <c r="Y266" s="73" t="s">
        <v>3088</v>
      </c>
      <c r="Z266" s="73" t="s">
        <v>3088</v>
      </c>
      <c r="AA266" s="73" t="s">
        <v>3088</v>
      </c>
      <c r="AB266" s="73" t="s">
        <v>3088</v>
      </c>
      <c r="AC266" s="73" t="s">
        <v>3088</v>
      </c>
      <c r="AD266" s="73" t="s">
        <v>3088</v>
      </c>
      <c r="AE266" s="73" t="s">
        <v>3088</v>
      </c>
      <c r="AF266" s="73" t="s">
        <v>3088</v>
      </c>
      <c r="AG266" s="73" t="s">
        <v>3088</v>
      </c>
      <c r="AH266" s="73" t="s">
        <v>3088</v>
      </c>
      <c r="AI266" s="73" t="s">
        <v>3088</v>
      </c>
      <c r="AJ266" s="73" t="s">
        <v>3088</v>
      </c>
      <c r="AK266" s="73" t="s">
        <v>3088</v>
      </c>
      <c r="AL266" s="73" t="s">
        <v>3088</v>
      </c>
      <c r="AM266" s="73" t="s">
        <v>3088</v>
      </c>
      <c r="AN266" s="73" t="s">
        <v>3088</v>
      </c>
      <c r="AO266" s="73" t="s">
        <v>3088</v>
      </c>
      <c r="AP266" s="73" t="s">
        <v>3088</v>
      </c>
      <c r="AQ266" s="73" t="s">
        <v>3088</v>
      </c>
      <c r="AR266" s="73" t="s">
        <v>3088</v>
      </c>
      <c r="AS266" s="73" t="s">
        <v>3088</v>
      </c>
      <c r="AT266" s="73" t="s">
        <v>3088</v>
      </c>
      <c r="AU266" s="73" t="s">
        <v>3088</v>
      </c>
      <c r="AV266" s="73" t="s">
        <v>3088</v>
      </c>
      <c r="AW266" s="73" t="s">
        <v>3088</v>
      </c>
      <c r="AX266" s="73" t="s">
        <v>3088</v>
      </c>
      <c r="AY266" s="73" t="s">
        <v>3088</v>
      </c>
      <c r="AZ266" s="73" t="s">
        <v>3088</v>
      </c>
      <c r="BA266" s="73" t="s">
        <v>3088</v>
      </c>
      <c r="BB266" s="73" t="s">
        <v>3088</v>
      </c>
      <c r="BC266" s="73" t="s">
        <v>3088</v>
      </c>
      <c r="BD266" s="73" t="s">
        <v>3088</v>
      </c>
      <c r="BE266" s="73" t="s">
        <v>3088</v>
      </c>
      <c r="BF266" s="73" t="s">
        <v>3088</v>
      </c>
      <c r="BG266" s="73" t="s">
        <v>3088</v>
      </c>
      <c r="BH266" s="73" t="s">
        <v>3088</v>
      </c>
      <c r="BI266" s="73" t="s">
        <v>3088</v>
      </c>
      <c r="BJ266" s="73" t="s">
        <v>3088</v>
      </c>
      <c r="BK266" s="73" t="s">
        <v>3088</v>
      </c>
      <c r="BL266" s="73" t="s">
        <v>3088</v>
      </c>
      <c r="BM266" s="73" t="s">
        <v>3088</v>
      </c>
      <c r="BN266" s="73" t="s">
        <v>3088</v>
      </c>
      <c r="BO266" s="73" t="s">
        <v>3088</v>
      </c>
      <c r="BP266" s="73" t="s">
        <v>3088</v>
      </c>
      <c r="BQ266" s="73" t="s">
        <v>3638</v>
      </c>
      <c r="BR266" s="73" t="s">
        <v>3088</v>
      </c>
    </row>
    <row r="267" spans="1:70">
      <c r="A267" s="73" t="s">
        <v>1873</v>
      </c>
      <c r="B267" s="73" t="s">
        <v>3639</v>
      </c>
      <c r="C267" s="73" t="s">
        <v>2591</v>
      </c>
      <c r="D267" s="73" t="s">
        <v>3088</v>
      </c>
      <c r="E267" s="73" t="s">
        <v>3088</v>
      </c>
      <c r="F267" s="73" t="s">
        <v>3088</v>
      </c>
      <c r="G267" s="73" t="s">
        <v>3089</v>
      </c>
      <c r="H267" s="73" t="s">
        <v>3088</v>
      </c>
      <c r="I267" s="73" t="s">
        <v>2916</v>
      </c>
      <c r="J267" s="73" t="s">
        <v>3640</v>
      </c>
      <c r="K267" s="73" t="s">
        <v>3089</v>
      </c>
      <c r="L267" s="73" t="s">
        <v>2463</v>
      </c>
      <c r="M267" s="73" t="s">
        <v>3640</v>
      </c>
      <c r="N267" s="73" t="s">
        <v>3089</v>
      </c>
      <c r="O267" s="73" t="s">
        <v>3113</v>
      </c>
      <c r="P267" s="73" t="s">
        <v>3641</v>
      </c>
      <c r="Q267" s="73" t="s">
        <v>3089</v>
      </c>
      <c r="R267" s="73" t="s">
        <v>3088</v>
      </c>
      <c r="S267" s="73" t="s">
        <v>3088</v>
      </c>
      <c r="T267" s="73" t="s">
        <v>3088</v>
      </c>
      <c r="U267" s="73" t="s">
        <v>3088</v>
      </c>
      <c r="V267" s="73" t="s">
        <v>3088</v>
      </c>
      <c r="W267" s="73" t="s">
        <v>3088</v>
      </c>
      <c r="X267" s="73" t="s">
        <v>3088</v>
      </c>
      <c r="Y267" s="73" t="s">
        <v>3088</v>
      </c>
      <c r="Z267" s="73" t="s">
        <v>3088</v>
      </c>
      <c r="AA267" s="73" t="s">
        <v>3088</v>
      </c>
      <c r="AB267" s="73" t="s">
        <v>3088</v>
      </c>
      <c r="AC267" s="73" t="s">
        <v>3088</v>
      </c>
      <c r="AD267" s="73" t="s">
        <v>3088</v>
      </c>
      <c r="AE267" s="73" t="s">
        <v>3088</v>
      </c>
      <c r="AF267" s="73" t="s">
        <v>3088</v>
      </c>
      <c r="AG267" s="73" t="s">
        <v>3088</v>
      </c>
      <c r="AH267" s="73" t="s">
        <v>3088</v>
      </c>
      <c r="AI267" s="73" t="s">
        <v>3088</v>
      </c>
      <c r="AJ267" s="73" t="s">
        <v>3088</v>
      </c>
      <c r="AK267" s="73" t="s">
        <v>3088</v>
      </c>
      <c r="AL267" s="73" t="s">
        <v>3088</v>
      </c>
      <c r="AM267" s="73" t="s">
        <v>3088</v>
      </c>
      <c r="AN267" s="73" t="s">
        <v>3088</v>
      </c>
      <c r="AO267" s="73" t="s">
        <v>3088</v>
      </c>
      <c r="AP267" s="73" t="s">
        <v>3088</v>
      </c>
      <c r="AQ267" s="73" t="s">
        <v>3088</v>
      </c>
      <c r="AR267" s="73" t="s">
        <v>3088</v>
      </c>
      <c r="AS267" s="73" t="s">
        <v>3088</v>
      </c>
      <c r="AT267" s="73" t="s">
        <v>3088</v>
      </c>
      <c r="AU267" s="73" t="s">
        <v>3088</v>
      </c>
      <c r="AV267" s="73" t="s">
        <v>3088</v>
      </c>
      <c r="AW267" s="73" t="s">
        <v>3088</v>
      </c>
      <c r="AX267" s="73" t="s">
        <v>3088</v>
      </c>
      <c r="AY267" s="73" t="s">
        <v>3088</v>
      </c>
      <c r="AZ267" s="73" t="s">
        <v>3088</v>
      </c>
      <c r="BA267" s="73" t="s">
        <v>3088</v>
      </c>
      <c r="BB267" s="73" t="s">
        <v>3088</v>
      </c>
      <c r="BC267" s="73" t="s">
        <v>3088</v>
      </c>
      <c r="BD267" s="73" t="s">
        <v>3088</v>
      </c>
      <c r="BE267" s="73" t="s">
        <v>3088</v>
      </c>
      <c r="BF267" s="73" t="s">
        <v>3088</v>
      </c>
      <c r="BG267" s="73" t="s">
        <v>3088</v>
      </c>
      <c r="BH267" s="73" t="s">
        <v>3088</v>
      </c>
      <c r="BI267" s="73" t="s">
        <v>3088</v>
      </c>
      <c r="BJ267" s="73" t="s">
        <v>3088</v>
      </c>
      <c r="BK267" s="73" t="s">
        <v>3088</v>
      </c>
      <c r="BL267" s="73" t="s">
        <v>3088</v>
      </c>
      <c r="BM267" s="73" t="s">
        <v>3088</v>
      </c>
      <c r="BN267" s="73" t="s">
        <v>3088</v>
      </c>
      <c r="BO267" s="73" t="s">
        <v>3088</v>
      </c>
      <c r="BP267" s="73" t="s">
        <v>3088</v>
      </c>
      <c r="BQ267" s="73" t="s">
        <v>3642</v>
      </c>
      <c r="BR267" s="73" t="s">
        <v>3088</v>
      </c>
    </row>
    <row r="268" spans="1:70">
      <c r="A268" s="73" t="s">
        <v>1873</v>
      </c>
      <c r="B268" s="73" t="s">
        <v>3643</v>
      </c>
      <c r="C268" s="73" t="s">
        <v>2545</v>
      </c>
      <c r="D268" s="73" t="s">
        <v>3088</v>
      </c>
      <c r="E268" s="73" t="s">
        <v>3088</v>
      </c>
      <c r="F268" s="73" t="s">
        <v>3088</v>
      </c>
      <c r="G268" s="73" t="s">
        <v>3089</v>
      </c>
      <c r="H268" s="73" t="s">
        <v>3088</v>
      </c>
      <c r="I268" s="73" t="s">
        <v>3093</v>
      </c>
      <c r="J268" s="73" t="s">
        <v>3627</v>
      </c>
      <c r="K268" s="73" t="s">
        <v>3089</v>
      </c>
      <c r="L268" s="73" t="s">
        <v>3088</v>
      </c>
      <c r="M268" s="73" t="s">
        <v>3088</v>
      </c>
      <c r="N268" s="73" t="s">
        <v>3088</v>
      </c>
      <c r="O268" s="73" t="s">
        <v>3088</v>
      </c>
      <c r="P268" s="73" t="s">
        <v>3088</v>
      </c>
      <c r="Q268" s="73" t="s">
        <v>3088</v>
      </c>
      <c r="R268" s="73" t="s">
        <v>3088</v>
      </c>
      <c r="S268" s="73" t="s">
        <v>3088</v>
      </c>
      <c r="T268" s="73" t="s">
        <v>3088</v>
      </c>
      <c r="U268" s="73" t="s">
        <v>3088</v>
      </c>
      <c r="V268" s="73" t="s">
        <v>3088</v>
      </c>
      <c r="W268" s="73" t="s">
        <v>3088</v>
      </c>
      <c r="X268" s="73" t="s">
        <v>3088</v>
      </c>
      <c r="Y268" s="73" t="s">
        <v>3088</v>
      </c>
      <c r="Z268" s="73" t="s">
        <v>3088</v>
      </c>
      <c r="AA268" s="73" t="s">
        <v>3088</v>
      </c>
      <c r="AB268" s="73" t="s">
        <v>3088</v>
      </c>
      <c r="AC268" s="73" t="s">
        <v>3088</v>
      </c>
      <c r="AD268" s="73" t="s">
        <v>3088</v>
      </c>
      <c r="AE268" s="73" t="s">
        <v>3088</v>
      </c>
      <c r="AF268" s="73" t="s">
        <v>3088</v>
      </c>
      <c r="AG268" s="73" t="s">
        <v>3088</v>
      </c>
      <c r="AH268" s="73" t="s">
        <v>3088</v>
      </c>
      <c r="AI268" s="73" t="s">
        <v>3088</v>
      </c>
      <c r="AJ268" s="73" t="s">
        <v>3088</v>
      </c>
      <c r="AK268" s="73" t="s">
        <v>3088</v>
      </c>
      <c r="AL268" s="73" t="s">
        <v>3088</v>
      </c>
      <c r="AM268" s="73" t="s">
        <v>3088</v>
      </c>
      <c r="AN268" s="73" t="s">
        <v>3088</v>
      </c>
      <c r="AO268" s="73" t="s">
        <v>3088</v>
      </c>
      <c r="AP268" s="73" t="s">
        <v>3088</v>
      </c>
      <c r="AQ268" s="73" t="s">
        <v>3088</v>
      </c>
      <c r="AR268" s="73" t="s">
        <v>3088</v>
      </c>
      <c r="AS268" s="73" t="s">
        <v>3088</v>
      </c>
      <c r="AT268" s="73" t="s">
        <v>3088</v>
      </c>
      <c r="AU268" s="73" t="s">
        <v>3088</v>
      </c>
      <c r="AV268" s="73" t="s">
        <v>3088</v>
      </c>
      <c r="AW268" s="73" t="s">
        <v>3088</v>
      </c>
      <c r="AX268" s="73" t="s">
        <v>3088</v>
      </c>
      <c r="AY268" s="73" t="s">
        <v>3088</v>
      </c>
      <c r="AZ268" s="73" t="s">
        <v>3088</v>
      </c>
      <c r="BA268" s="73" t="s">
        <v>3088</v>
      </c>
      <c r="BB268" s="73" t="s">
        <v>3088</v>
      </c>
      <c r="BC268" s="73" t="s">
        <v>3088</v>
      </c>
      <c r="BD268" s="73" t="s">
        <v>3088</v>
      </c>
      <c r="BE268" s="73" t="s">
        <v>3088</v>
      </c>
      <c r="BF268" s="73" t="s">
        <v>3088</v>
      </c>
      <c r="BG268" s="73" t="s">
        <v>3088</v>
      </c>
      <c r="BH268" s="73" t="s">
        <v>3088</v>
      </c>
      <c r="BI268" s="73" t="s">
        <v>3088</v>
      </c>
      <c r="BJ268" s="73" t="s">
        <v>3088</v>
      </c>
      <c r="BK268" s="73" t="s">
        <v>3088</v>
      </c>
      <c r="BL268" s="73" t="s">
        <v>3088</v>
      </c>
      <c r="BM268" s="73" t="s">
        <v>3088</v>
      </c>
      <c r="BN268" s="73" t="s">
        <v>3088</v>
      </c>
      <c r="BO268" s="73" t="s">
        <v>3088</v>
      </c>
      <c r="BP268" s="73" t="s">
        <v>3088</v>
      </c>
      <c r="BQ268" s="73" t="s">
        <v>3644</v>
      </c>
      <c r="BR268" s="73" t="s">
        <v>3088</v>
      </c>
    </row>
    <row r="269" spans="1:70">
      <c r="A269" s="73" t="s">
        <v>1873</v>
      </c>
      <c r="B269" s="73" t="s">
        <v>3645</v>
      </c>
      <c r="C269" s="73" t="s">
        <v>2591</v>
      </c>
      <c r="D269" s="73" t="s">
        <v>3088</v>
      </c>
      <c r="E269" s="73" t="s">
        <v>3088</v>
      </c>
      <c r="F269" s="73" t="s">
        <v>3088</v>
      </c>
      <c r="G269" s="73" t="s">
        <v>3089</v>
      </c>
      <c r="H269" s="73" t="s">
        <v>3088</v>
      </c>
      <c r="I269" s="73" t="s">
        <v>3093</v>
      </c>
      <c r="J269" s="73" t="s">
        <v>3627</v>
      </c>
      <c r="K269" s="73" t="s">
        <v>3089</v>
      </c>
      <c r="L269" s="73" t="s">
        <v>3088</v>
      </c>
      <c r="M269" s="73" t="s">
        <v>3088</v>
      </c>
      <c r="N269" s="73" t="s">
        <v>3088</v>
      </c>
      <c r="O269" s="73" t="s">
        <v>3088</v>
      </c>
      <c r="P269" s="73" t="s">
        <v>3088</v>
      </c>
      <c r="Q269" s="73" t="s">
        <v>3088</v>
      </c>
      <c r="R269" s="73" t="s">
        <v>3088</v>
      </c>
      <c r="S269" s="73" t="s">
        <v>3088</v>
      </c>
      <c r="T269" s="73" t="s">
        <v>3088</v>
      </c>
      <c r="U269" s="73" t="s">
        <v>3088</v>
      </c>
      <c r="V269" s="73" t="s">
        <v>3088</v>
      </c>
      <c r="W269" s="73" t="s">
        <v>3088</v>
      </c>
      <c r="X269" s="73" t="s">
        <v>3088</v>
      </c>
      <c r="Y269" s="73" t="s">
        <v>3088</v>
      </c>
      <c r="Z269" s="73" t="s">
        <v>3088</v>
      </c>
      <c r="AA269" s="73" t="s">
        <v>3088</v>
      </c>
      <c r="AB269" s="73" t="s">
        <v>3088</v>
      </c>
      <c r="AC269" s="73" t="s">
        <v>3088</v>
      </c>
      <c r="AD269" s="73" t="s">
        <v>3088</v>
      </c>
      <c r="AE269" s="73" t="s">
        <v>3088</v>
      </c>
      <c r="AF269" s="73" t="s">
        <v>3088</v>
      </c>
      <c r="AG269" s="73" t="s">
        <v>3088</v>
      </c>
      <c r="AH269" s="73" t="s">
        <v>3088</v>
      </c>
      <c r="AI269" s="73" t="s">
        <v>3088</v>
      </c>
      <c r="AJ269" s="73" t="s">
        <v>3088</v>
      </c>
      <c r="AK269" s="73" t="s">
        <v>3088</v>
      </c>
      <c r="AL269" s="73" t="s">
        <v>3088</v>
      </c>
      <c r="AM269" s="73" t="s">
        <v>3088</v>
      </c>
      <c r="AN269" s="73" t="s">
        <v>3088</v>
      </c>
      <c r="AO269" s="73" t="s">
        <v>3088</v>
      </c>
      <c r="AP269" s="73" t="s">
        <v>3088</v>
      </c>
      <c r="AQ269" s="73" t="s">
        <v>3088</v>
      </c>
      <c r="AR269" s="73" t="s">
        <v>3088</v>
      </c>
      <c r="AS269" s="73" t="s">
        <v>3088</v>
      </c>
      <c r="AT269" s="73" t="s">
        <v>3088</v>
      </c>
      <c r="AU269" s="73" t="s">
        <v>3088</v>
      </c>
      <c r="AV269" s="73" t="s">
        <v>3088</v>
      </c>
      <c r="AW269" s="73" t="s">
        <v>3088</v>
      </c>
      <c r="AX269" s="73" t="s">
        <v>3088</v>
      </c>
      <c r="AY269" s="73" t="s">
        <v>3088</v>
      </c>
      <c r="AZ269" s="73" t="s">
        <v>3088</v>
      </c>
      <c r="BA269" s="73" t="s">
        <v>3088</v>
      </c>
      <c r="BB269" s="73" t="s">
        <v>3088</v>
      </c>
      <c r="BC269" s="73" t="s">
        <v>3088</v>
      </c>
      <c r="BD269" s="73" t="s">
        <v>3088</v>
      </c>
      <c r="BE269" s="73" t="s">
        <v>3088</v>
      </c>
      <c r="BF269" s="73" t="s">
        <v>3088</v>
      </c>
      <c r="BG269" s="73" t="s">
        <v>3088</v>
      </c>
      <c r="BH269" s="73" t="s">
        <v>3088</v>
      </c>
      <c r="BI269" s="73" t="s">
        <v>3088</v>
      </c>
      <c r="BJ269" s="73" t="s">
        <v>3088</v>
      </c>
      <c r="BK269" s="73" t="s">
        <v>3088</v>
      </c>
      <c r="BL269" s="73" t="s">
        <v>3088</v>
      </c>
      <c r="BM269" s="73" t="s">
        <v>3088</v>
      </c>
      <c r="BN269" s="73" t="s">
        <v>3088</v>
      </c>
      <c r="BO269" s="73" t="s">
        <v>3088</v>
      </c>
      <c r="BP269" s="73" t="s">
        <v>3088</v>
      </c>
      <c r="BQ269" s="73" t="s">
        <v>3646</v>
      </c>
      <c r="BR269" s="73" t="s">
        <v>3088</v>
      </c>
    </row>
    <row r="270" spans="1:70">
      <c r="A270" s="73" t="s">
        <v>1873</v>
      </c>
      <c r="B270" s="73" t="s">
        <v>3647</v>
      </c>
      <c r="C270" s="73" t="s">
        <v>2554</v>
      </c>
      <c r="D270" s="73" t="s">
        <v>3088</v>
      </c>
      <c r="E270" s="73" t="s">
        <v>3088</v>
      </c>
      <c r="F270" s="73" t="s">
        <v>3088</v>
      </c>
      <c r="G270" s="73" t="s">
        <v>3089</v>
      </c>
      <c r="H270" s="73" t="s">
        <v>3088</v>
      </c>
      <c r="I270" s="73" t="s">
        <v>3093</v>
      </c>
      <c r="J270" s="73" t="s">
        <v>3627</v>
      </c>
      <c r="K270" s="73" t="s">
        <v>3089</v>
      </c>
      <c r="L270" s="73" t="s">
        <v>3088</v>
      </c>
      <c r="M270" s="73" t="s">
        <v>3088</v>
      </c>
      <c r="N270" s="73" t="s">
        <v>3088</v>
      </c>
      <c r="O270" s="73" t="s">
        <v>3088</v>
      </c>
      <c r="P270" s="73" t="s">
        <v>3088</v>
      </c>
      <c r="Q270" s="73" t="s">
        <v>3088</v>
      </c>
      <c r="R270" s="73" t="s">
        <v>3088</v>
      </c>
      <c r="S270" s="73" t="s">
        <v>3088</v>
      </c>
      <c r="T270" s="73" t="s">
        <v>3088</v>
      </c>
      <c r="U270" s="73" t="s">
        <v>3088</v>
      </c>
      <c r="V270" s="73" t="s">
        <v>3088</v>
      </c>
      <c r="W270" s="73" t="s">
        <v>3088</v>
      </c>
      <c r="X270" s="73" t="s">
        <v>3088</v>
      </c>
      <c r="Y270" s="73" t="s">
        <v>3088</v>
      </c>
      <c r="Z270" s="73" t="s">
        <v>3088</v>
      </c>
      <c r="AA270" s="73" t="s">
        <v>3088</v>
      </c>
      <c r="AB270" s="73" t="s">
        <v>3088</v>
      </c>
      <c r="AC270" s="73" t="s">
        <v>3088</v>
      </c>
      <c r="AD270" s="73" t="s">
        <v>3088</v>
      </c>
      <c r="AE270" s="73" t="s">
        <v>3088</v>
      </c>
      <c r="AF270" s="73" t="s">
        <v>3088</v>
      </c>
      <c r="AG270" s="73" t="s">
        <v>3088</v>
      </c>
      <c r="AH270" s="73" t="s">
        <v>3088</v>
      </c>
      <c r="AI270" s="73" t="s">
        <v>3088</v>
      </c>
      <c r="AJ270" s="73" t="s">
        <v>3088</v>
      </c>
      <c r="AK270" s="73" t="s">
        <v>3088</v>
      </c>
      <c r="AL270" s="73" t="s">
        <v>3088</v>
      </c>
      <c r="AM270" s="73" t="s">
        <v>3088</v>
      </c>
      <c r="AN270" s="73" t="s">
        <v>3088</v>
      </c>
      <c r="AO270" s="73" t="s">
        <v>3088</v>
      </c>
      <c r="AP270" s="73" t="s">
        <v>3088</v>
      </c>
      <c r="AQ270" s="73" t="s">
        <v>3088</v>
      </c>
      <c r="AR270" s="73" t="s">
        <v>3088</v>
      </c>
      <c r="AS270" s="73" t="s">
        <v>3088</v>
      </c>
      <c r="AT270" s="73" t="s">
        <v>3088</v>
      </c>
      <c r="AU270" s="73" t="s">
        <v>3088</v>
      </c>
      <c r="AV270" s="73" t="s">
        <v>3088</v>
      </c>
      <c r="AW270" s="73" t="s">
        <v>3088</v>
      </c>
      <c r="AX270" s="73" t="s">
        <v>3088</v>
      </c>
      <c r="AY270" s="73" t="s">
        <v>3088</v>
      </c>
      <c r="AZ270" s="73" t="s">
        <v>3088</v>
      </c>
      <c r="BA270" s="73" t="s">
        <v>3088</v>
      </c>
      <c r="BB270" s="73" t="s">
        <v>3088</v>
      </c>
      <c r="BC270" s="73" t="s">
        <v>3088</v>
      </c>
      <c r="BD270" s="73" t="s">
        <v>3088</v>
      </c>
      <c r="BE270" s="73" t="s">
        <v>3088</v>
      </c>
      <c r="BF270" s="73" t="s">
        <v>3088</v>
      </c>
      <c r="BG270" s="73" t="s">
        <v>3088</v>
      </c>
      <c r="BH270" s="73" t="s">
        <v>3088</v>
      </c>
      <c r="BI270" s="73" t="s">
        <v>3088</v>
      </c>
      <c r="BJ270" s="73" t="s">
        <v>3088</v>
      </c>
      <c r="BK270" s="73" t="s">
        <v>3088</v>
      </c>
      <c r="BL270" s="73" t="s">
        <v>3088</v>
      </c>
      <c r="BM270" s="73" t="s">
        <v>3088</v>
      </c>
      <c r="BN270" s="73" t="s">
        <v>3088</v>
      </c>
      <c r="BO270" s="73" t="s">
        <v>3088</v>
      </c>
      <c r="BP270" s="73" t="s">
        <v>3088</v>
      </c>
      <c r="BQ270" s="73" t="s">
        <v>3648</v>
      </c>
      <c r="BR270" s="73" t="s">
        <v>3088</v>
      </c>
    </row>
    <row r="271" spans="1:70">
      <c r="A271" s="73" t="s">
        <v>1873</v>
      </c>
      <c r="B271" s="73" t="s">
        <v>3649</v>
      </c>
      <c r="C271" s="73" t="s">
        <v>2545</v>
      </c>
      <c r="D271" s="73" t="s">
        <v>3088</v>
      </c>
      <c r="E271" s="73" t="s">
        <v>3088</v>
      </c>
      <c r="F271" s="73" t="s">
        <v>3088</v>
      </c>
      <c r="G271" s="73" t="s">
        <v>3089</v>
      </c>
      <c r="H271" s="73" t="s">
        <v>3088</v>
      </c>
      <c r="I271" s="73" t="s">
        <v>3093</v>
      </c>
      <c r="J271" s="73" t="s">
        <v>3627</v>
      </c>
      <c r="K271" s="73" t="s">
        <v>3089</v>
      </c>
      <c r="L271" s="73" t="s">
        <v>3088</v>
      </c>
      <c r="M271" s="73" t="s">
        <v>3088</v>
      </c>
      <c r="N271" s="73" t="s">
        <v>3088</v>
      </c>
      <c r="O271" s="73" t="s">
        <v>3088</v>
      </c>
      <c r="P271" s="73" t="s">
        <v>3088</v>
      </c>
      <c r="Q271" s="73" t="s">
        <v>3088</v>
      </c>
      <c r="R271" s="73" t="s">
        <v>3088</v>
      </c>
      <c r="S271" s="73" t="s">
        <v>3088</v>
      </c>
      <c r="T271" s="73" t="s">
        <v>3088</v>
      </c>
      <c r="U271" s="73" t="s">
        <v>3088</v>
      </c>
      <c r="V271" s="73" t="s">
        <v>3088</v>
      </c>
      <c r="W271" s="73" t="s">
        <v>3088</v>
      </c>
      <c r="X271" s="73" t="s">
        <v>3088</v>
      </c>
      <c r="Y271" s="73" t="s">
        <v>3088</v>
      </c>
      <c r="Z271" s="73" t="s">
        <v>3088</v>
      </c>
      <c r="AA271" s="73" t="s">
        <v>3088</v>
      </c>
      <c r="AB271" s="73" t="s">
        <v>3088</v>
      </c>
      <c r="AC271" s="73" t="s">
        <v>3088</v>
      </c>
      <c r="AD271" s="73" t="s">
        <v>3088</v>
      </c>
      <c r="AE271" s="73" t="s">
        <v>3088</v>
      </c>
      <c r="AF271" s="73" t="s">
        <v>3088</v>
      </c>
      <c r="AG271" s="73" t="s">
        <v>3088</v>
      </c>
      <c r="AH271" s="73" t="s">
        <v>3088</v>
      </c>
      <c r="AI271" s="73" t="s">
        <v>3088</v>
      </c>
      <c r="AJ271" s="73" t="s">
        <v>3088</v>
      </c>
      <c r="AK271" s="73" t="s">
        <v>3088</v>
      </c>
      <c r="AL271" s="73" t="s">
        <v>3088</v>
      </c>
      <c r="AM271" s="73" t="s">
        <v>3088</v>
      </c>
      <c r="AN271" s="73" t="s">
        <v>3088</v>
      </c>
      <c r="AO271" s="73" t="s">
        <v>3088</v>
      </c>
      <c r="AP271" s="73" t="s">
        <v>3088</v>
      </c>
      <c r="AQ271" s="73" t="s">
        <v>3088</v>
      </c>
      <c r="AR271" s="73" t="s">
        <v>3088</v>
      </c>
      <c r="AS271" s="73" t="s">
        <v>3088</v>
      </c>
      <c r="AT271" s="73" t="s">
        <v>3088</v>
      </c>
      <c r="AU271" s="73" t="s">
        <v>3088</v>
      </c>
      <c r="AV271" s="73" t="s">
        <v>3088</v>
      </c>
      <c r="AW271" s="73" t="s">
        <v>3088</v>
      </c>
      <c r="AX271" s="73" t="s">
        <v>3088</v>
      </c>
      <c r="AY271" s="73" t="s">
        <v>3088</v>
      </c>
      <c r="AZ271" s="73" t="s">
        <v>3088</v>
      </c>
      <c r="BA271" s="73" t="s">
        <v>3088</v>
      </c>
      <c r="BB271" s="73" t="s">
        <v>3088</v>
      </c>
      <c r="BC271" s="73" t="s">
        <v>3088</v>
      </c>
      <c r="BD271" s="73" t="s">
        <v>3088</v>
      </c>
      <c r="BE271" s="73" t="s">
        <v>3088</v>
      </c>
      <c r="BF271" s="73" t="s">
        <v>3088</v>
      </c>
      <c r="BG271" s="73" t="s">
        <v>3088</v>
      </c>
      <c r="BH271" s="73" t="s">
        <v>3088</v>
      </c>
      <c r="BI271" s="73" t="s">
        <v>3088</v>
      </c>
      <c r="BJ271" s="73" t="s">
        <v>3088</v>
      </c>
      <c r="BK271" s="73" t="s">
        <v>3088</v>
      </c>
      <c r="BL271" s="73" t="s">
        <v>3088</v>
      </c>
      <c r="BM271" s="73" t="s">
        <v>3088</v>
      </c>
      <c r="BN271" s="73" t="s">
        <v>3088</v>
      </c>
      <c r="BO271" s="73" t="s">
        <v>3088</v>
      </c>
      <c r="BP271" s="73" t="s">
        <v>3088</v>
      </c>
      <c r="BQ271" s="73" t="s">
        <v>3650</v>
      </c>
      <c r="BR271" s="73" t="s">
        <v>3088</v>
      </c>
    </row>
    <row r="272" spans="1:70">
      <c r="A272" s="73" t="s">
        <v>1873</v>
      </c>
      <c r="B272" s="73" t="s">
        <v>3651</v>
      </c>
      <c r="C272" s="73" t="s">
        <v>2545</v>
      </c>
      <c r="D272" s="73" t="s">
        <v>3088</v>
      </c>
      <c r="E272" s="73" t="s">
        <v>3088</v>
      </c>
      <c r="F272" s="73" t="s">
        <v>3088</v>
      </c>
      <c r="G272" s="73" t="s">
        <v>3089</v>
      </c>
      <c r="H272" s="73" t="s">
        <v>3088</v>
      </c>
      <c r="I272" s="73" t="s">
        <v>3093</v>
      </c>
      <c r="J272" s="73" t="s">
        <v>3627</v>
      </c>
      <c r="K272" s="73" t="s">
        <v>3089</v>
      </c>
      <c r="L272" s="73" t="s">
        <v>3088</v>
      </c>
      <c r="M272" s="73" t="s">
        <v>3088</v>
      </c>
      <c r="N272" s="73" t="s">
        <v>3088</v>
      </c>
      <c r="O272" s="73" t="s">
        <v>3088</v>
      </c>
      <c r="P272" s="73" t="s">
        <v>3088</v>
      </c>
      <c r="Q272" s="73" t="s">
        <v>3088</v>
      </c>
      <c r="R272" s="73" t="s">
        <v>3088</v>
      </c>
      <c r="S272" s="73" t="s">
        <v>3088</v>
      </c>
      <c r="T272" s="73" t="s">
        <v>3088</v>
      </c>
      <c r="U272" s="73" t="s">
        <v>3088</v>
      </c>
      <c r="V272" s="73" t="s">
        <v>3088</v>
      </c>
      <c r="W272" s="73" t="s">
        <v>3088</v>
      </c>
      <c r="X272" s="73" t="s">
        <v>3088</v>
      </c>
      <c r="Y272" s="73" t="s">
        <v>3088</v>
      </c>
      <c r="Z272" s="73" t="s">
        <v>3088</v>
      </c>
      <c r="AA272" s="73" t="s">
        <v>3088</v>
      </c>
      <c r="AB272" s="73" t="s">
        <v>3088</v>
      </c>
      <c r="AC272" s="73" t="s">
        <v>3088</v>
      </c>
      <c r="AD272" s="73" t="s">
        <v>3088</v>
      </c>
      <c r="AE272" s="73" t="s">
        <v>3088</v>
      </c>
      <c r="AF272" s="73" t="s">
        <v>3088</v>
      </c>
      <c r="AG272" s="73" t="s">
        <v>3088</v>
      </c>
      <c r="AH272" s="73" t="s">
        <v>3088</v>
      </c>
      <c r="AI272" s="73" t="s">
        <v>3088</v>
      </c>
      <c r="AJ272" s="73" t="s">
        <v>3088</v>
      </c>
      <c r="AK272" s="73" t="s">
        <v>3088</v>
      </c>
      <c r="AL272" s="73" t="s">
        <v>3088</v>
      </c>
      <c r="AM272" s="73" t="s">
        <v>3088</v>
      </c>
      <c r="AN272" s="73" t="s">
        <v>3088</v>
      </c>
      <c r="AO272" s="73" t="s">
        <v>3088</v>
      </c>
      <c r="AP272" s="73" t="s">
        <v>3088</v>
      </c>
      <c r="AQ272" s="73" t="s">
        <v>3088</v>
      </c>
      <c r="AR272" s="73" t="s">
        <v>3088</v>
      </c>
      <c r="AS272" s="73" t="s">
        <v>3088</v>
      </c>
      <c r="AT272" s="73" t="s">
        <v>3088</v>
      </c>
      <c r="AU272" s="73" t="s">
        <v>3088</v>
      </c>
      <c r="AV272" s="73" t="s">
        <v>3088</v>
      </c>
      <c r="AW272" s="73" t="s">
        <v>3088</v>
      </c>
      <c r="AX272" s="73" t="s">
        <v>3088</v>
      </c>
      <c r="AY272" s="73" t="s">
        <v>3088</v>
      </c>
      <c r="AZ272" s="73" t="s">
        <v>3088</v>
      </c>
      <c r="BA272" s="73" t="s">
        <v>3088</v>
      </c>
      <c r="BB272" s="73" t="s">
        <v>3088</v>
      </c>
      <c r="BC272" s="73" t="s">
        <v>3088</v>
      </c>
      <c r="BD272" s="73" t="s">
        <v>3088</v>
      </c>
      <c r="BE272" s="73" t="s">
        <v>3088</v>
      </c>
      <c r="BF272" s="73" t="s">
        <v>3088</v>
      </c>
      <c r="BG272" s="73" t="s">
        <v>3088</v>
      </c>
      <c r="BH272" s="73" t="s">
        <v>3088</v>
      </c>
      <c r="BI272" s="73" t="s">
        <v>3088</v>
      </c>
      <c r="BJ272" s="73" t="s">
        <v>3088</v>
      </c>
      <c r="BK272" s="73" t="s">
        <v>3088</v>
      </c>
      <c r="BL272" s="73" t="s">
        <v>3088</v>
      </c>
      <c r="BM272" s="73" t="s">
        <v>3088</v>
      </c>
      <c r="BN272" s="73" t="s">
        <v>3088</v>
      </c>
      <c r="BO272" s="73" t="s">
        <v>3088</v>
      </c>
      <c r="BP272" s="73" t="s">
        <v>3088</v>
      </c>
      <c r="BQ272" s="73" t="s">
        <v>3652</v>
      </c>
      <c r="BR272" s="73" t="s">
        <v>3088</v>
      </c>
    </row>
    <row r="273" spans="1:70">
      <c r="A273" s="73" t="s">
        <v>1873</v>
      </c>
      <c r="B273" s="73" t="s">
        <v>3653</v>
      </c>
      <c r="C273" s="73" t="s">
        <v>2579</v>
      </c>
      <c r="D273" s="73" t="s">
        <v>3088</v>
      </c>
      <c r="E273" s="73" t="s">
        <v>3088</v>
      </c>
      <c r="F273" s="73" t="s">
        <v>3088</v>
      </c>
      <c r="G273" s="73" t="s">
        <v>3089</v>
      </c>
      <c r="H273" s="73" t="s">
        <v>3088</v>
      </c>
      <c r="I273" s="73" t="s">
        <v>3093</v>
      </c>
      <c r="J273" s="73" t="s">
        <v>3627</v>
      </c>
      <c r="K273" s="73" t="s">
        <v>3089</v>
      </c>
      <c r="L273" s="73" t="s">
        <v>3088</v>
      </c>
      <c r="M273" s="73" t="s">
        <v>3088</v>
      </c>
      <c r="N273" s="73" t="s">
        <v>3088</v>
      </c>
      <c r="O273" s="73" t="s">
        <v>3088</v>
      </c>
      <c r="P273" s="73" t="s">
        <v>3088</v>
      </c>
      <c r="Q273" s="73" t="s">
        <v>3088</v>
      </c>
      <c r="R273" s="73" t="s">
        <v>3088</v>
      </c>
      <c r="S273" s="73" t="s">
        <v>3088</v>
      </c>
      <c r="T273" s="73" t="s">
        <v>3088</v>
      </c>
      <c r="U273" s="73" t="s">
        <v>3088</v>
      </c>
      <c r="V273" s="73" t="s">
        <v>3088</v>
      </c>
      <c r="W273" s="73" t="s">
        <v>3088</v>
      </c>
      <c r="X273" s="73" t="s">
        <v>3088</v>
      </c>
      <c r="Y273" s="73" t="s">
        <v>3088</v>
      </c>
      <c r="Z273" s="73" t="s">
        <v>3088</v>
      </c>
      <c r="AA273" s="73" t="s">
        <v>3088</v>
      </c>
      <c r="AB273" s="73" t="s">
        <v>3088</v>
      </c>
      <c r="AC273" s="73" t="s">
        <v>3088</v>
      </c>
      <c r="AD273" s="73" t="s">
        <v>3088</v>
      </c>
      <c r="AE273" s="73" t="s">
        <v>3088</v>
      </c>
      <c r="AF273" s="73" t="s">
        <v>3088</v>
      </c>
      <c r="AG273" s="73" t="s">
        <v>3088</v>
      </c>
      <c r="AH273" s="73" t="s">
        <v>3088</v>
      </c>
      <c r="AI273" s="73" t="s">
        <v>3088</v>
      </c>
      <c r="AJ273" s="73" t="s">
        <v>3088</v>
      </c>
      <c r="AK273" s="73" t="s">
        <v>3088</v>
      </c>
      <c r="AL273" s="73" t="s">
        <v>3088</v>
      </c>
      <c r="AM273" s="73" t="s">
        <v>3088</v>
      </c>
      <c r="AN273" s="73" t="s">
        <v>3088</v>
      </c>
      <c r="AO273" s="73" t="s">
        <v>3088</v>
      </c>
      <c r="AP273" s="73" t="s">
        <v>3088</v>
      </c>
      <c r="AQ273" s="73" t="s">
        <v>3088</v>
      </c>
      <c r="AR273" s="73" t="s">
        <v>3088</v>
      </c>
      <c r="AS273" s="73" t="s">
        <v>3088</v>
      </c>
      <c r="AT273" s="73" t="s">
        <v>3088</v>
      </c>
      <c r="AU273" s="73" t="s">
        <v>3088</v>
      </c>
      <c r="AV273" s="73" t="s">
        <v>3088</v>
      </c>
      <c r="AW273" s="73" t="s">
        <v>3088</v>
      </c>
      <c r="AX273" s="73" t="s">
        <v>3088</v>
      </c>
      <c r="AY273" s="73" t="s">
        <v>3088</v>
      </c>
      <c r="AZ273" s="73" t="s">
        <v>3088</v>
      </c>
      <c r="BA273" s="73" t="s">
        <v>3088</v>
      </c>
      <c r="BB273" s="73" t="s">
        <v>3088</v>
      </c>
      <c r="BC273" s="73" t="s">
        <v>3088</v>
      </c>
      <c r="BD273" s="73" t="s">
        <v>3088</v>
      </c>
      <c r="BE273" s="73" t="s">
        <v>3088</v>
      </c>
      <c r="BF273" s="73" t="s">
        <v>3088</v>
      </c>
      <c r="BG273" s="73" t="s">
        <v>3088</v>
      </c>
      <c r="BH273" s="73" t="s">
        <v>3088</v>
      </c>
      <c r="BI273" s="73" t="s">
        <v>3088</v>
      </c>
      <c r="BJ273" s="73" t="s">
        <v>3088</v>
      </c>
      <c r="BK273" s="73" t="s">
        <v>3088</v>
      </c>
      <c r="BL273" s="73" t="s">
        <v>3088</v>
      </c>
      <c r="BM273" s="73" t="s">
        <v>3088</v>
      </c>
      <c r="BN273" s="73" t="s">
        <v>3088</v>
      </c>
      <c r="BO273" s="73" t="s">
        <v>3088</v>
      </c>
      <c r="BP273" s="73" t="s">
        <v>3088</v>
      </c>
      <c r="BQ273" s="73" t="s">
        <v>3654</v>
      </c>
      <c r="BR273" s="73" t="s">
        <v>3088</v>
      </c>
    </row>
    <row r="274" spans="1:70">
      <c r="A274" s="73" t="s">
        <v>1873</v>
      </c>
      <c r="B274" s="73" t="s">
        <v>3655</v>
      </c>
      <c r="C274" s="73" t="s">
        <v>2537</v>
      </c>
      <c r="D274" s="73" t="s">
        <v>3088</v>
      </c>
      <c r="E274" s="73" t="s">
        <v>3088</v>
      </c>
      <c r="F274" s="73" t="s">
        <v>3088</v>
      </c>
      <c r="G274" s="73" t="s">
        <v>3089</v>
      </c>
      <c r="H274" s="73" t="s">
        <v>3088</v>
      </c>
      <c r="I274" s="73" t="s">
        <v>3093</v>
      </c>
      <c r="J274" s="73" t="s">
        <v>3627</v>
      </c>
      <c r="K274" s="73" t="s">
        <v>3089</v>
      </c>
      <c r="L274" s="73" t="s">
        <v>3088</v>
      </c>
      <c r="M274" s="73" t="s">
        <v>3088</v>
      </c>
      <c r="N274" s="73" t="s">
        <v>3088</v>
      </c>
      <c r="O274" s="73" t="s">
        <v>3088</v>
      </c>
      <c r="P274" s="73" t="s">
        <v>3088</v>
      </c>
      <c r="Q274" s="73" t="s">
        <v>3088</v>
      </c>
      <c r="R274" s="73" t="s">
        <v>3088</v>
      </c>
      <c r="S274" s="73" t="s">
        <v>3088</v>
      </c>
      <c r="T274" s="73" t="s">
        <v>3088</v>
      </c>
      <c r="U274" s="73" t="s">
        <v>3088</v>
      </c>
      <c r="V274" s="73" t="s">
        <v>3088</v>
      </c>
      <c r="W274" s="73" t="s">
        <v>3088</v>
      </c>
      <c r="X274" s="73" t="s">
        <v>3088</v>
      </c>
      <c r="Y274" s="73" t="s">
        <v>3088</v>
      </c>
      <c r="Z274" s="73" t="s">
        <v>3088</v>
      </c>
      <c r="AA274" s="73" t="s">
        <v>3088</v>
      </c>
      <c r="AB274" s="73" t="s">
        <v>3088</v>
      </c>
      <c r="AC274" s="73" t="s">
        <v>3088</v>
      </c>
      <c r="AD274" s="73" t="s">
        <v>3088</v>
      </c>
      <c r="AE274" s="73" t="s">
        <v>3088</v>
      </c>
      <c r="AF274" s="73" t="s">
        <v>3088</v>
      </c>
      <c r="AG274" s="73" t="s">
        <v>3088</v>
      </c>
      <c r="AH274" s="73" t="s">
        <v>3088</v>
      </c>
      <c r="AI274" s="73" t="s">
        <v>3088</v>
      </c>
      <c r="AJ274" s="73" t="s">
        <v>3088</v>
      </c>
      <c r="AK274" s="73" t="s">
        <v>3088</v>
      </c>
      <c r="AL274" s="73" t="s">
        <v>3088</v>
      </c>
      <c r="AM274" s="73" t="s">
        <v>3088</v>
      </c>
      <c r="AN274" s="73" t="s">
        <v>3088</v>
      </c>
      <c r="AO274" s="73" t="s">
        <v>3088</v>
      </c>
      <c r="AP274" s="73" t="s">
        <v>3088</v>
      </c>
      <c r="AQ274" s="73" t="s">
        <v>3088</v>
      </c>
      <c r="AR274" s="73" t="s">
        <v>3088</v>
      </c>
      <c r="AS274" s="73" t="s">
        <v>3088</v>
      </c>
      <c r="AT274" s="73" t="s">
        <v>3088</v>
      </c>
      <c r="AU274" s="73" t="s">
        <v>3088</v>
      </c>
      <c r="AV274" s="73" t="s">
        <v>3088</v>
      </c>
      <c r="AW274" s="73" t="s">
        <v>3088</v>
      </c>
      <c r="AX274" s="73" t="s">
        <v>3088</v>
      </c>
      <c r="AY274" s="73" t="s">
        <v>3088</v>
      </c>
      <c r="AZ274" s="73" t="s">
        <v>3088</v>
      </c>
      <c r="BA274" s="73" t="s">
        <v>3088</v>
      </c>
      <c r="BB274" s="73" t="s">
        <v>3088</v>
      </c>
      <c r="BC274" s="73" t="s">
        <v>3088</v>
      </c>
      <c r="BD274" s="73" t="s">
        <v>3088</v>
      </c>
      <c r="BE274" s="73" t="s">
        <v>3088</v>
      </c>
      <c r="BF274" s="73" t="s">
        <v>3088</v>
      </c>
      <c r="BG274" s="73" t="s">
        <v>3088</v>
      </c>
      <c r="BH274" s="73" t="s">
        <v>3088</v>
      </c>
      <c r="BI274" s="73" t="s">
        <v>3088</v>
      </c>
      <c r="BJ274" s="73" t="s">
        <v>3088</v>
      </c>
      <c r="BK274" s="73" t="s">
        <v>3088</v>
      </c>
      <c r="BL274" s="73" t="s">
        <v>3088</v>
      </c>
      <c r="BM274" s="73" t="s">
        <v>3088</v>
      </c>
      <c r="BN274" s="73" t="s">
        <v>3088</v>
      </c>
      <c r="BO274" s="73" t="s">
        <v>3088</v>
      </c>
      <c r="BP274" s="73" t="s">
        <v>3088</v>
      </c>
      <c r="BQ274" s="73" t="s">
        <v>3656</v>
      </c>
      <c r="BR274" s="73" t="s">
        <v>3088</v>
      </c>
    </row>
    <row r="275" spans="1:70">
      <c r="A275" s="73" t="s">
        <v>1873</v>
      </c>
      <c r="B275" s="73" t="s">
        <v>3657</v>
      </c>
      <c r="C275" s="73" t="s">
        <v>2571</v>
      </c>
      <c r="D275" s="73" t="s">
        <v>3088</v>
      </c>
      <c r="E275" s="73" t="s">
        <v>3088</v>
      </c>
      <c r="F275" s="73" t="s">
        <v>3088</v>
      </c>
      <c r="G275" s="73" t="s">
        <v>3089</v>
      </c>
      <c r="H275" s="73" t="s">
        <v>3088</v>
      </c>
      <c r="I275" s="73" t="s">
        <v>3093</v>
      </c>
      <c r="J275" s="73" t="s">
        <v>3627</v>
      </c>
      <c r="K275" s="73" t="s">
        <v>3089</v>
      </c>
      <c r="L275" s="73" t="s">
        <v>3088</v>
      </c>
      <c r="M275" s="73" t="s">
        <v>3088</v>
      </c>
      <c r="N275" s="73" t="s">
        <v>3088</v>
      </c>
      <c r="O275" s="73" t="s">
        <v>3088</v>
      </c>
      <c r="P275" s="73" t="s">
        <v>3088</v>
      </c>
      <c r="Q275" s="73" t="s">
        <v>3088</v>
      </c>
      <c r="R275" s="73" t="s">
        <v>3088</v>
      </c>
      <c r="S275" s="73" t="s">
        <v>3088</v>
      </c>
      <c r="T275" s="73" t="s">
        <v>3088</v>
      </c>
      <c r="U275" s="73" t="s">
        <v>3088</v>
      </c>
      <c r="V275" s="73" t="s">
        <v>3088</v>
      </c>
      <c r="W275" s="73" t="s">
        <v>3088</v>
      </c>
      <c r="X275" s="73" t="s">
        <v>3088</v>
      </c>
      <c r="Y275" s="73" t="s">
        <v>3088</v>
      </c>
      <c r="Z275" s="73" t="s">
        <v>3088</v>
      </c>
      <c r="AA275" s="73" t="s">
        <v>3088</v>
      </c>
      <c r="AB275" s="73" t="s">
        <v>3088</v>
      </c>
      <c r="AC275" s="73" t="s">
        <v>3088</v>
      </c>
      <c r="AD275" s="73" t="s">
        <v>3088</v>
      </c>
      <c r="AE275" s="73" t="s">
        <v>3088</v>
      </c>
      <c r="AF275" s="73" t="s">
        <v>3088</v>
      </c>
      <c r="AG275" s="73" t="s">
        <v>3088</v>
      </c>
      <c r="AH275" s="73" t="s">
        <v>3088</v>
      </c>
      <c r="AI275" s="73" t="s">
        <v>3088</v>
      </c>
      <c r="AJ275" s="73" t="s">
        <v>3088</v>
      </c>
      <c r="AK275" s="73" t="s">
        <v>3088</v>
      </c>
      <c r="AL275" s="73" t="s">
        <v>3088</v>
      </c>
      <c r="AM275" s="73" t="s">
        <v>3088</v>
      </c>
      <c r="AN275" s="73" t="s">
        <v>3088</v>
      </c>
      <c r="AO275" s="73" t="s">
        <v>3088</v>
      </c>
      <c r="AP275" s="73" t="s">
        <v>3088</v>
      </c>
      <c r="AQ275" s="73" t="s">
        <v>3088</v>
      </c>
      <c r="AR275" s="73" t="s">
        <v>3088</v>
      </c>
      <c r="AS275" s="73" t="s">
        <v>3088</v>
      </c>
      <c r="AT275" s="73" t="s">
        <v>3088</v>
      </c>
      <c r="AU275" s="73" t="s">
        <v>3088</v>
      </c>
      <c r="AV275" s="73" t="s">
        <v>3088</v>
      </c>
      <c r="AW275" s="73" t="s">
        <v>3088</v>
      </c>
      <c r="AX275" s="73" t="s">
        <v>3088</v>
      </c>
      <c r="AY275" s="73" t="s">
        <v>3088</v>
      </c>
      <c r="AZ275" s="73" t="s">
        <v>3088</v>
      </c>
      <c r="BA275" s="73" t="s">
        <v>3088</v>
      </c>
      <c r="BB275" s="73" t="s">
        <v>3088</v>
      </c>
      <c r="BC275" s="73" t="s">
        <v>3088</v>
      </c>
      <c r="BD275" s="73" t="s">
        <v>3088</v>
      </c>
      <c r="BE275" s="73" t="s">
        <v>3088</v>
      </c>
      <c r="BF275" s="73" t="s">
        <v>3088</v>
      </c>
      <c r="BG275" s="73" t="s">
        <v>3088</v>
      </c>
      <c r="BH275" s="73" t="s">
        <v>3088</v>
      </c>
      <c r="BI275" s="73" t="s">
        <v>3088</v>
      </c>
      <c r="BJ275" s="73" t="s">
        <v>3088</v>
      </c>
      <c r="BK275" s="73" t="s">
        <v>3088</v>
      </c>
      <c r="BL275" s="73" t="s">
        <v>3088</v>
      </c>
      <c r="BM275" s="73" t="s">
        <v>3088</v>
      </c>
      <c r="BN275" s="73" t="s">
        <v>3088</v>
      </c>
      <c r="BO275" s="73" t="s">
        <v>3088</v>
      </c>
      <c r="BP275" s="73" t="s">
        <v>3088</v>
      </c>
      <c r="BQ275" s="73" t="s">
        <v>3658</v>
      </c>
      <c r="BR275" s="73" t="s">
        <v>3088</v>
      </c>
    </row>
    <row r="276" spans="1:70">
      <c r="A276" s="73" t="s">
        <v>1873</v>
      </c>
      <c r="B276" s="73" t="s">
        <v>3659</v>
      </c>
      <c r="C276" s="73" t="s">
        <v>2545</v>
      </c>
      <c r="D276" s="73" t="s">
        <v>3088</v>
      </c>
      <c r="E276" s="73" t="s">
        <v>3088</v>
      </c>
      <c r="F276" s="73" t="s">
        <v>3088</v>
      </c>
      <c r="G276" s="73" t="s">
        <v>3089</v>
      </c>
      <c r="H276" s="73" t="s">
        <v>3088</v>
      </c>
      <c r="I276" s="73" t="s">
        <v>3093</v>
      </c>
      <c r="J276" s="73" t="s">
        <v>3088</v>
      </c>
      <c r="K276" s="73" t="s">
        <v>3088</v>
      </c>
      <c r="L276" s="73" t="s">
        <v>3088</v>
      </c>
      <c r="M276" s="73" t="s">
        <v>3088</v>
      </c>
      <c r="N276" s="73" t="s">
        <v>3088</v>
      </c>
      <c r="O276" s="73" t="s">
        <v>3088</v>
      </c>
      <c r="P276" s="73" t="s">
        <v>3088</v>
      </c>
      <c r="Q276" s="73" t="s">
        <v>3088</v>
      </c>
      <c r="R276" s="73" t="s">
        <v>3088</v>
      </c>
      <c r="S276" s="73" t="s">
        <v>3088</v>
      </c>
      <c r="T276" s="73" t="s">
        <v>3088</v>
      </c>
      <c r="U276" s="73" t="s">
        <v>3088</v>
      </c>
      <c r="V276" s="73" t="s">
        <v>3088</v>
      </c>
      <c r="W276" s="73" t="s">
        <v>3088</v>
      </c>
      <c r="X276" s="73" t="s">
        <v>3088</v>
      </c>
      <c r="Y276" s="73" t="s">
        <v>3088</v>
      </c>
      <c r="Z276" s="73" t="s">
        <v>3088</v>
      </c>
      <c r="AA276" s="73" t="s">
        <v>3088</v>
      </c>
      <c r="AB276" s="73" t="s">
        <v>3088</v>
      </c>
      <c r="AC276" s="73" t="s">
        <v>3088</v>
      </c>
      <c r="AD276" s="73" t="s">
        <v>3088</v>
      </c>
      <c r="AE276" s="73" t="s">
        <v>3088</v>
      </c>
      <c r="AF276" s="73" t="s">
        <v>3088</v>
      </c>
      <c r="AG276" s="73" t="s">
        <v>3088</v>
      </c>
      <c r="AH276" s="73" t="s">
        <v>3088</v>
      </c>
      <c r="AI276" s="73" t="s">
        <v>3088</v>
      </c>
      <c r="AJ276" s="73" t="s">
        <v>3088</v>
      </c>
      <c r="AK276" s="73" t="s">
        <v>3088</v>
      </c>
      <c r="AL276" s="73" t="s">
        <v>3088</v>
      </c>
      <c r="AM276" s="73" t="s">
        <v>3088</v>
      </c>
      <c r="AN276" s="73" t="s">
        <v>3088</v>
      </c>
      <c r="AO276" s="73" t="s">
        <v>3088</v>
      </c>
      <c r="AP276" s="73" t="s">
        <v>3088</v>
      </c>
      <c r="AQ276" s="73" t="s">
        <v>3088</v>
      </c>
      <c r="AR276" s="73" t="s">
        <v>3088</v>
      </c>
      <c r="AS276" s="73" t="s">
        <v>3088</v>
      </c>
      <c r="AT276" s="73" t="s">
        <v>3088</v>
      </c>
      <c r="AU276" s="73" t="s">
        <v>3088</v>
      </c>
      <c r="AV276" s="73" t="s">
        <v>3088</v>
      </c>
      <c r="AW276" s="73" t="s">
        <v>3088</v>
      </c>
      <c r="AX276" s="73" t="s">
        <v>3088</v>
      </c>
      <c r="AY276" s="73" t="s">
        <v>3088</v>
      </c>
      <c r="AZ276" s="73" t="s">
        <v>3088</v>
      </c>
      <c r="BA276" s="73" t="s">
        <v>3088</v>
      </c>
      <c r="BB276" s="73" t="s">
        <v>3088</v>
      </c>
      <c r="BC276" s="73" t="s">
        <v>3088</v>
      </c>
      <c r="BD276" s="73" t="s">
        <v>3088</v>
      </c>
      <c r="BE276" s="73" t="s">
        <v>3088</v>
      </c>
      <c r="BF276" s="73" t="s">
        <v>3088</v>
      </c>
      <c r="BG276" s="73" t="s">
        <v>3088</v>
      </c>
      <c r="BH276" s="73" t="s">
        <v>3088</v>
      </c>
      <c r="BI276" s="73" t="s">
        <v>3088</v>
      </c>
      <c r="BJ276" s="73" t="s">
        <v>3088</v>
      </c>
      <c r="BK276" s="73" t="s">
        <v>3088</v>
      </c>
      <c r="BL276" s="73" t="s">
        <v>3088</v>
      </c>
      <c r="BM276" s="73" t="s">
        <v>3088</v>
      </c>
      <c r="BN276" s="73" t="s">
        <v>3088</v>
      </c>
      <c r="BO276" s="73" t="s">
        <v>3088</v>
      </c>
      <c r="BP276" s="73" t="s">
        <v>3088</v>
      </c>
      <c r="BQ276" s="73" t="s">
        <v>3660</v>
      </c>
      <c r="BR276" s="73" t="s">
        <v>3088</v>
      </c>
    </row>
    <row r="277" spans="1:70">
      <c r="A277" s="73" t="s">
        <v>1873</v>
      </c>
      <c r="B277" s="73" t="s">
        <v>2764</v>
      </c>
      <c r="C277" s="73" t="s">
        <v>2582</v>
      </c>
      <c r="D277" s="73" t="s">
        <v>3088</v>
      </c>
      <c r="E277" s="73" t="s">
        <v>3088</v>
      </c>
      <c r="F277" s="73" t="s">
        <v>3088</v>
      </c>
      <c r="G277" s="73" t="s">
        <v>3089</v>
      </c>
      <c r="H277" s="73" t="s">
        <v>3088</v>
      </c>
      <c r="I277" s="73" t="s">
        <v>1201</v>
      </c>
      <c r="J277" s="73" t="s">
        <v>3088</v>
      </c>
      <c r="K277" s="73" t="s">
        <v>3088</v>
      </c>
      <c r="L277" s="73" t="s">
        <v>3088</v>
      </c>
      <c r="M277" s="73" t="s">
        <v>3088</v>
      </c>
      <c r="N277" s="73" t="s">
        <v>3088</v>
      </c>
      <c r="O277" s="73" t="s">
        <v>3088</v>
      </c>
      <c r="P277" s="73" t="s">
        <v>3088</v>
      </c>
      <c r="Q277" s="73" t="s">
        <v>3088</v>
      </c>
      <c r="R277" s="73" t="s">
        <v>3088</v>
      </c>
      <c r="S277" s="73" t="s">
        <v>3088</v>
      </c>
      <c r="T277" s="73" t="s">
        <v>3088</v>
      </c>
      <c r="U277" s="73" t="s">
        <v>3088</v>
      </c>
      <c r="V277" s="73" t="s">
        <v>3088</v>
      </c>
      <c r="W277" s="73" t="s">
        <v>3088</v>
      </c>
      <c r="X277" s="73" t="s">
        <v>3088</v>
      </c>
      <c r="Y277" s="73" t="s">
        <v>3088</v>
      </c>
      <c r="Z277" s="73" t="s">
        <v>3088</v>
      </c>
      <c r="AA277" s="73" t="s">
        <v>3088</v>
      </c>
      <c r="AB277" s="73" t="s">
        <v>3088</v>
      </c>
      <c r="AC277" s="73" t="s">
        <v>3088</v>
      </c>
      <c r="AD277" s="73" t="s">
        <v>3088</v>
      </c>
      <c r="AE277" s="73" t="s">
        <v>3088</v>
      </c>
      <c r="AF277" s="73" t="s">
        <v>3088</v>
      </c>
      <c r="AG277" s="73" t="s">
        <v>3088</v>
      </c>
      <c r="AH277" s="73" t="s">
        <v>3088</v>
      </c>
      <c r="AI277" s="73" t="s">
        <v>3088</v>
      </c>
      <c r="AJ277" s="73" t="s">
        <v>3088</v>
      </c>
      <c r="AK277" s="73" t="s">
        <v>3088</v>
      </c>
      <c r="AL277" s="73" t="s">
        <v>3088</v>
      </c>
      <c r="AM277" s="73" t="s">
        <v>3088</v>
      </c>
      <c r="AN277" s="73" t="s">
        <v>3088</v>
      </c>
      <c r="AO277" s="73" t="s">
        <v>3088</v>
      </c>
      <c r="AP277" s="73" t="s">
        <v>3088</v>
      </c>
      <c r="AQ277" s="73" t="s">
        <v>3088</v>
      </c>
      <c r="AR277" s="73" t="s">
        <v>3088</v>
      </c>
      <c r="AS277" s="73" t="s">
        <v>3088</v>
      </c>
      <c r="AT277" s="73" t="s">
        <v>3088</v>
      </c>
      <c r="AU277" s="73" t="s">
        <v>3088</v>
      </c>
      <c r="AV277" s="73" t="s">
        <v>3088</v>
      </c>
      <c r="AW277" s="73" t="s">
        <v>3088</v>
      </c>
      <c r="AX277" s="73" t="s">
        <v>3088</v>
      </c>
      <c r="AY277" s="73" t="s">
        <v>3088</v>
      </c>
      <c r="AZ277" s="73" t="s">
        <v>3088</v>
      </c>
      <c r="BA277" s="73" t="s">
        <v>3088</v>
      </c>
      <c r="BB277" s="73" t="s">
        <v>3088</v>
      </c>
      <c r="BC277" s="73" t="s">
        <v>3088</v>
      </c>
      <c r="BD277" s="73" t="s">
        <v>3088</v>
      </c>
      <c r="BE277" s="73" t="s">
        <v>3088</v>
      </c>
      <c r="BF277" s="73" t="s">
        <v>3088</v>
      </c>
      <c r="BG277" s="73" t="s">
        <v>3088</v>
      </c>
      <c r="BH277" s="73" t="s">
        <v>3088</v>
      </c>
      <c r="BI277" s="73" t="s">
        <v>3088</v>
      </c>
      <c r="BJ277" s="73" t="s">
        <v>3088</v>
      </c>
      <c r="BK277" s="73" t="s">
        <v>3088</v>
      </c>
      <c r="BL277" s="73" t="s">
        <v>3088</v>
      </c>
      <c r="BM277" s="73" t="s">
        <v>3088</v>
      </c>
      <c r="BN277" s="73" t="s">
        <v>3088</v>
      </c>
      <c r="BO277" s="73" t="s">
        <v>3088</v>
      </c>
      <c r="BP277" s="73" t="s">
        <v>3088</v>
      </c>
      <c r="BQ277" s="73" t="s">
        <v>3661</v>
      </c>
      <c r="BR277" s="73" t="s">
        <v>3088</v>
      </c>
    </row>
    <row r="278" spans="1:70">
      <c r="A278" s="73" t="s">
        <v>1873</v>
      </c>
      <c r="B278" s="73" t="s">
        <v>3662</v>
      </c>
      <c r="C278" s="73" t="s">
        <v>2582</v>
      </c>
      <c r="D278" s="73" t="s">
        <v>3088</v>
      </c>
      <c r="E278" s="73" t="s">
        <v>3088</v>
      </c>
      <c r="F278" s="73" t="s">
        <v>3088</v>
      </c>
      <c r="G278" s="73" t="s">
        <v>3089</v>
      </c>
      <c r="H278" s="73" t="s">
        <v>3088</v>
      </c>
      <c r="I278" s="73" t="s">
        <v>2463</v>
      </c>
      <c r="J278" s="73" t="s">
        <v>3663</v>
      </c>
      <c r="K278" s="73" t="s">
        <v>3088</v>
      </c>
      <c r="L278" s="73" t="s">
        <v>3088</v>
      </c>
      <c r="M278" s="73" t="s">
        <v>3088</v>
      </c>
      <c r="N278" s="73" t="s">
        <v>3088</v>
      </c>
      <c r="O278" s="73" t="s">
        <v>3088</v>
      </c>
      <c r="P278" s="73" t="s">
        <v>3088</v>
      </c>
      <c r="Q278" s="73" t="s">
        <v>3088</v>
      </c>
      <c r="R278" s="73" t="s">
        <v>3088</v>
      </c>
      <c r="S278" s="73" t="s">
        <v>3088</v>
      </c>
      <c r="T278" s="73" t="s">
        <v>3088</v>
      </c>
      <c r="U278" s="73" t="s">
        <v>3088</v>
      </c>
      <c r="V278" s="73" t="s">
        <v>3088</v>
      </c>
      <c r="W278" s="73" t="s">
        <v>3088</v>
      </c>
      <c r="X278" s="73" t="s">
        <v>3088</v>
      </c>
      <c r="Y278" s="73" t="s">
        <v>3088</v>
      </c>
      <c r="Z278" s="73" t="s">
        <v>3088</v>
      </c>
      <c r="AA278" s="73" t="s">
        <v>3088</v>
      </c>
      <c r="AB278" s="73" t="s">
        <v>3088</v>
      </c>
      <c r="AC278" s="73" t="s">
        <v>3088</v>
      </c>
      <c r="AD278" s="73" t="s">
        <v>3088</v>
      </c>
      <c r="AE278" s="73" t="s">
        <v>3088</v>
      </c>
      <c r="AF278" s="73" t="s">
        <v>3088</v>
      </c>
      <c r="AG278" s="73" t="s">
        <v>3088</v>
      </c>
      <c r="AH278" s="73" t="s">
        <v>3088</v>
      </c>
      <c r="AI278" s="73" t="s">
        <v>3088</v>
      </c>
      <c r="AJ278" s="73" t="s">
        <v>3088</v>
      </c>
      <c r="AK278" s="73" t="s">
        <v>3088</v>
      </c>
      <c r="AL278" s="73" t="s">
        <v>3088</v>
      </c>
      <c r="AM278" s="73" t="s">
        <v>3088</v>
      </c>
      <c r="AN278" s="73" t="s">
        <v>3088</v>
      </c>
      <c r="AO278" s="73" t="s">
        <v>3088</v>
      </c>
      <c r="AP278" s="73" t="s">
        <v>3088</v>
      </c>
      <c r="AQ278" s="73" t="s">
        <v>3088</v>
      </c>
      <c r="AR278" s="73" t="s">
        <v>3088</v>
      </c>
      <c r="AS278" s="73" t="s">
        <v>3088</v>
      </c>
      <c r="AT278" s="73" t="s">
        <v>3088</v>
      </c>
      <c r="AU278" s="73" t="s">
        <v>3088</v>
      </c>
      <c r="AV278" s="73" t="s">
        <v>3088</v>
      </c>
      <c r="AW278" s="73" t="s">
        <v>3088</v>
      </c>
      <c r="AX278" s="73" t="s">
        <v>3088</v>
      </c>
      <c r="AY278" s="73" t="s">
        <v>3088</v>
      </c>
      <c r="AZ278" s="73" t="s">
        <v>3088</v>
      </c>
      <c r="BA278" s="73" t="s">
        <v>3088</v>
      </c>
      <c r="BB278" s="73" t="s">
        <v>3088</v>
      </c>
      <c r="BC278" s="73" t="s">
        <v>3088</v>
      </c>
      <c r="BD278" s="73" t="s">
        <v>3088</v>
      </c>
      <c r="BE278" s="73" t="s">
        <v>3088</v>
      </c>
      <c r="BF278" s="73" t="s">
        <v>3088</v>
      </c>
      <c r="BG278" s="73" t="s">
        <v>3088</v>
      </c>
      <c r="BH278" s="73" t="s">
        <v>3088</v>
      </c>
      <c r="BI278" s="73" t="s">
        <v>3088</v>
      </c>
      <c r="BJ278" s="73" t="s">
        <v>3088</v>
      </c>
      <c r="BK278" s="73" t="s">
        <v>3088</v>
      </c>
      <c r="BL278" s="73" t="s">
        <v>3088</v>
      </c>
      <c r="BM278" s="73" t="s">
        <v>3088</v>
      </c>
      <c r="BN278" s="73" t="s">
        <v>3088</v>
      </c>
      <c r="BO278" s="73" t="s">
        <v>3088</v>
      </c>
      <c r="BP278" s="73" t="s">
        <v>3088</v>
      </c>
      <c r="BQ278" s="73" t="s">
        <v>3664</v>
      </c>
      <c r="BR278" s="73" t="s">
        <v>3088</v>
      </c>
    </row>
    <row r="279" spans="1:70">
      <c r="A279" s="73" t="s">
        <v>1873</v>
      </c>
      <c r="B279" s="73" t="s">
        <v>2765</v>
      </c>
      <c r="C279" s="73" t="s">
        <v>2563</v>
      </c>
      <c r="D279" s="73" t="s">
        <v>3088</v>
      </c>
      <c r="E279" s="73" t="s">
        <v>3088</v>
      </c>
      <c r="F279" s="73" t="s">
        <v>3088</v>
      </c>
      <c r="G279" s="73" t="s">
        <v>3089</v>
      </c>
      <c r="H279" s="73" t="s">
        <v>3088</v>
      </c>
      <c r="I279" s="73" t="s">
        <v>108</v>
      </c>
      <c r="J279" s="73" t="s">
        <v>3511</v>
      </c>
      <c r="K279" s="73" t="s">
        <v>3089</v>
      </c>
      <c r="L279" s="73" t="s">
        <v>2193</v>
      </c>
      <c r="M279" s="73" t="s">
        <v>3511</v>
      </c>
      <c r="N279" s="73" t="s">
        <v>3089</v>
      </c>
      <c r="O279" s="73" t="s">
        <v>3088</v>
      </c>
      <c r="P279" s="73" t="s">
        <v>3088</v>
      </c>
      <c r="Q279" s="73" t="s">
        <v>3088</v>
      </c>
      <c r="R279" s="73" t="s">
        <v>3088</v>
      </c>
      <c r="S279" s="73" t="s">
        <v>3088</v>
      </c>
      <c r="T279" s="73" t="s">
        <v>3088</v>
      </c>
      <c r="U279" s="73" t="s">
        <v>3088</v>
      </c>
      <c r="V279" s="73" t="s">
        <v>3088</v>
      </c>
      <c r="W279" s="73" t="s">
        <v>3088</v>
      </c>
      <c r="X279" s="73" t="s">
        <v>3088</v>
      </c>
      <c r="Y279" s="73" t="s">
        <v>3088</v>
      </c>
      <c r="Z279" s="73" t="s">
        <v>3088</v>
      </c>
      <c r="AA279" s="73" t="s">
        <v>3088</v>
      </c>
      <c r="AB279" s="73" t="s">
        <v>3088</v>
      </c>
      <c r="AC279" s="73" t="s">
        <v>3088</v>
      </c>
      <c r="AD279" s="73" t="s">
        <v>3088</v>
      </c>
      <c r="AE279" s="73" t="s">
        <v>3088</v>
      </c>
      <c r="AF279" s="73" t="s">
        <v>3088</v>
      </c>
      <c r="AG279" s="73" t="s">
        <v>3088</v>
      </c>
      <c r="AH279" s="73" t="s">
        <v>3088</v>
      </c>
      <c r="AI279" s="73" t="s">
        <v>3088</v>
      </c>
      <c r="AJ279" s="73" t="s">
        <v>3088</v>
      </c>
      <c r="AK279" s="73" t="s">
        <v>3088</v>
      </c>
      <c r="AL279" s="73" t="s">
        <v>3088</v>
      </c>
      <c r="AM279" s="73" t="s">
        <v>3088</v>
      </c>
      <c r="AN279" s="73" t="s">
        <v>3088</v>
      </c>
      <c r="AO279" s="73" t="s">
        <v>3088</v>
      </c>
      <c r="AP279" s="73" t="s">
        <v>3088</v>
      </c>
      <c r="AQ279" s="73" t="s">
        <v>3088</v>
      </c>
      <c r="AR279" s="73" t="s">
        <v>3088</v>
      </c>
      <c r="AS279" s="73" t="s">
        <v>3088</v>
      </c>
      <c r="AT279" s="73" t="s">
        <v>3088</v>
      </c>
      <c r="AU279" s="73" t="s">
        <v>3088</v>
      </c>
      <c r="AV279" s="73" t="s">
        <v>3088</v>
      </c>
      <c r="AW279" s="73" t="s">
        <v>3088</v>
      </c>
      <c r="AX279" s="73" t="s">
        <v>3088</v>
      </c>
      <c r="AY279" s="73" t="s">
        <v>3088</v>
      </c>
      <c r="AZ279" s="73" t="s">
        <v>3088</v>
      </c>
      <c r="BA279" s="73" t="s">
        <v>3088</v>
      </c>
      <c r="BB279" s="73" t="s">
        <v>3088</v>
      </c>
      <c r="BC279" s="73" t="s">
        <v>3088</v>
      </c>
      <c r="BD279" s="73" t="s">
        <v>3088</v>
      </c>
      <c r="BE279" s="73" t="s">
        <v>3088</v>
      </c>
      <c r="BF279" s="73" t="s">
        <v>3088</v>
      </c>
      <c r="BG279" s="73" t="s">
        <v>3088</v>
      </c>
      <c r="BH279" s="73" t="s">
        <v>3088</v>
      </c>
      <c r="BI279" s="73" t="s">
        <v>3088</v>
      </c>
      <c r="BJ279" s="73" t="s">
        <v>3088</v>
      </c>
      <c r="BK279" s="73" t="s">
        <v>3088</v>
      </c>
      <c r="BL279" s="73" t="s">
        <v>3088</v>
      </c>
      <c r="BM279" s="73" t="s">
        <v>3088</v>
      </c>
      <c r="BN279" s="73" t="s">
        <v>3088</v>
      </c>
      <c r="BO279" s="73" t="s">
        <v>3088</v>
      </c>
      <c r="BP279" s="73" t="s">
        <v>3088</v>
      </c>
      <c r="BQ279" s="73" t="s">
        <v>3665</v>
      </c>
      <c r="BR279" s="73" t="s">
        <v>3088</v>
      </c>
    </row>
    <row r="280" spans="1:70">
      <c r="A280" s="73" t="s">
        <v>1873</v>
      </c>
      <c r="B280" s="73" t="s">
        <v>3666</v>
      </c>
      <c r="C280" s="73" t="s">
        <v>2545</v>
      </c>
      <c r="D280" s="73" t="s">
        <v>3088</v>
      </c>
      <c r="E280" s="73" t="s">
        <v>3088</v>
      </c>
      <c r="F280" s="73" t="s">
        <v>3088</v>
      </c>
      <c r="G280" s="73" t="s">
        <v>3089</v>
      </c>
      <c r="H280" s="73" t="s">
        <v>3088</v>
      </c>
      <c r="I280" s="73" t="s">
        <v>3093</v>
      </c>
      <c r="J280" s="73" t="s">
        <v>3627</v>
      </c>
      <c r="K280" s="73" t="s">
        <v>3089</v>
      </c>
      <c r="L280" s="73" t="s">
        <v>3088</v>
      </c>
      <c r="M280" s="73" t="s">
        <v>3088</v>
      </c>
      <c r="N280" s="73" t="s">
        <v>3088</v>
      </c>
      <c r="O280" s="73" t="s">
        <v>3088</v>
      </c>
      <c r="P280" s="73" t="s">
        <v>3088</v>
      </c>
      <c r="Q280" s="73" t="s">
        <v>3088</v>
      </c>
      <c r="R280" s="73" t="s">
        <v>3088</v>
      </c>
      <c r="S280" s="73" t="s">
        <v>3088</v>
      </c>
      <c r="T280" s="73" t="s">
        <v>3088</v>
      </c>
      <c r="U280" s="73" t="s">
        <v>3088</v>
      </c>
      <c r="V280" s="73" t="s">
        <v>3088</v>
      </c>
      <c r="W280" s="73" t="s">
        <v>3088</v>
      </c>
      <c r="X280" s="73" t="s">
        <v>3088</v>
      </c>
      <c r="Y280" s="73" t="s">
        <v>3088</v>
      </c>
      <c r="Z280" s="73" t="s">
        <v>3088</v>
      </c>
      <c r="AA280" s="73" t="s">
        <v>3088</v>
      </c>
      <c r="AB280" s="73" t="s">
        <v>3088</v>
      </c>
      <c r="AC280" s="73" t="s">
        <v>3088</v>
      </c>
      <c r="AD280" s="73" t="s">
        <v>3088</v>
      </c>
      <c r="AE280" s="73" t="s">
        <v>3088</v>
      </c>
      <c r="AF280" s="73" t="s">
        <v>3088</v>
      </c>
      <c r="AG280" s="73" t="s">
        <v>3088</v>
      </c>
      <c r="AH280" s="73" t="s">
        <v>3088</v>
      </c>
      <c r="AI280" s="73" t="s">
        <v>3088</v>
      </c>
      <c r="AJ280" s="73" t="s">
        <v>3088</v>
      </c>
      <c r="AK280" s="73" t="s">
        <v>3088</v>
      </c>
      <c r="AL280" s="73" t="s">
        <v>3088</v>
      </c>
      <c r="AM280" s="73" t="s">
        <v>3088</v>
      </c>
      <c r="AN280" s="73" t="s">
        <v>3088</v>
      </c>
      <c r="AO280" s="73" t="s">
        <v>3088</v>
      </c>
      <c r="AP280" s="73" t="s">
        <v>3088</v>
      </c>
      <c r="AQ280" s="73" t="s">
        <v>3088</v>
      </c>
      <c r="AR280" s="73" t="s">
        <v>3088</v>
      </c>
      <c r="AS280" s="73" t="s">
        <v>3088</v>
      </c>
      <c r="AT280" s="73" t="s">
        <v>3088</v>
      </c>
      <c r="AU280" s="73" t="s">
        <v>3088</v>
      </c>
      <c r="AV280" s="73" t="s">
        <v>3088</v>
      </c>
      <c r="AW280" s="73" t="s">
        <v>3088</v>
      </c>
      <c r="AX280" s="73" t="s">
        <v>3088</v>
      </c>
      <c r="AY280" s="73" t="s">
        <v>3088</v>
      </c>
      <c r="AZ280" s="73" t="s">
        <v>3088</v>
      </c>
      <c r="BA280" s="73" t="s">
        <v>3088</v>
      </c>
      <c r="BB280" s="73" t="s">
        <v>3088</v>
      </c>
      <c r="BC280" s="73" t="s">
        <v>3088</v>
      </c>
      <c r="BD280" s="73" t="s">
        <v>3088</v>
      </c>
      <c r="BE280" s="73" t="s">
        <v>3088</v>
      </c>
      <c r="BF280" s="73" t="s">
        <v>3088</v>
      </c>
      <c r="BG280" s="73" t="s">
        <v>3088</v>
      </c>
      <c r="BH280" s="73" t="s">
        <v>3088</v>
      </c>
      <c r="BI280" s="73" t="s">
        <v>3088</v>
      </c>
      <c r="BJ280" s="73" t="s">
        <v>3088</v>
      </c>
      <c r="BK280" s="73" t="s">
        <v>3088</v>
      </c>
      <c r="BL280" s="73" t="s">
        <v>3088</v>
      </c>
      <c r="BM280" s="73" t="s">
        <v>3088</v>
      </c>
      <c r="BN280" s="73" t="s">
        <v>3088</v>
      </c>
      <c r="BO280" s="73" t="s">
        <v>3088</v>
      </c>
      <c r="BP280" s="73" t="s">
        <v>3088</v>
      </c>
      <c r="BQ280" s="73" t="s">
        <v>3667</v>
      </c>
      <c r="BR280" s="73" t="s">
        <v>3088</v>
      </c>
    </row>
    <row r="281" spans="1:70">
      <c r="A281" s="73" t="s">
        <v>1873</v>
      </c>
      <c r="B281" s="73" t="s">
        <v>3668</v>
      </c>
      <c r="C281" s="73" t="s">
        <v>2545</v>
      </c>
      <c r="D281" s="73" t="s">
        <v>3088</v>
      </c>
      <c r="E281" s="73" t="s">
        <v>3088</v>
      </c>
      <c r="F281" s="73" t="s">
        <v>3088</v>
      </c>
      <c r="G281" s="73" t="s">
        <v>3669</v>
      </c>
      <c r="H281" s="73" t="s">
        <v>3088</v>
      </c>
      <c r="I281" s="73" t="s">
        <v>3670</v>
      </c>
      <c r="J281" s="73" t="s">
        <v>3088</v>
      </c>
      <c r="K281" s="73" t="s">
        <v>3088</v>
      </c>
      <c r="L281" s="73" t="s">
        <v>3088</v>
      </c>
      <c r="M281" s="73" t="s">
        <v>3088</v>
      </c>
      <c r="N281" s="73" t="s">
        <v>3088</v>
      </c>
      <c r="O281" s="73" t="s">
        <v>3088</v>
      </c>
      <c r="P281" s="73" t="s">
        <v>3088</v>
      </c>
      <c r="Q281" s="73" t="s">
        <v>3088</v>
      </c>
      <c r="R281" s="73" t="s">
        <v>3088</v>
      </c>
      <c r="S281" s="73" t="s">
        <v>3088</v>
      </c>
      <c r="T281" s="73" t="s">
        <v>3088</v>
      </c>
      <c r="U281" s="73" t="s">
        <v>3088</v>
      </c>
      <c r="V281" s="73" t="s">
        <v>3088</v>
      </c>
      <c r="W281" s="73" t="s">
        <v>3088</v>
      </c>
      <c r="X281" s="73" t="s">
        <v>3088</v>
      </c>
      <c r="Y281" s="73" t="s">
        <v>3088</v>
      </c>
      <c r="Z281" s="73" t="s">
        <v>3088</v>
      </c>
      <c r="AA281" s="73" t="s">
        <v>3088</v>
      </c>
      <c r="AB281" s="73" t="s">
        <v>3088</v>
      </c>
      <c r="AC281" s="73" t="s">
        <v>3088</v>
      </c>
      <c r="AD281" s="73" t="s">
        <v>3088</v>
      </c>
      <c r="AE281" s="73" t="s">
        <v>3088</v>
      </c>
      <c r="AF281" s="73" t="s">
        <v>3088</v>
      </c>
      <c r="AG281" s="73" t="s">
        <v>3088</v>
      </c>
      <c r="AH281" s="73" t="s">
        <v>3088</v>
      </c>
      <c r="AI281" s="73" t="s">
        <v>3088</v>
      </c>
      <c r="AJ281" s="73" t="s">
        <v>3088</v>
      </c>
      <c r="AK281" s="73" t="s">
        <v>3088</v>
      </c>
      <c r="AL281" s="73" t="s">
        <v>3088</v>
      </c>
      <c r="AM281" s="73" t="s">
        <v>3088</v>
      </c>
      <c r="AN281" s="73" t="s">
        <v>3088</v>
      </c>
      <c r="AO281" s="73" t="s">
        <v>3088</v>
      </c>
      <c r="AP281" s="73" t="s">
        <v>3088</v>
      </c>
      <c r="AQ281" s="73" t="s">
        <v>3088</v>
      </c>
      <c r="AR281" s="73" t="s">
        <v>3088</v>
      </c>
      <c r="AS281" s="73" t="s">
        <v>3088</v>
      </c>
      <c r="AT281" s="73" t="s">
        <v>3088</v>
      </c>
      <c r="AU281" s="73" t="s">
        <v>3088</v>
      </c>
      <c r="AV281" s="73" t="s">
        <v>3088</v>
      </c>
      <c r="AW281" s="73" t="s">
        <v>3088</v>
      </c>
      <c r="AX281" s="73" t="s">
        <v>3088</v>
      </c>
      <c r="AY281" s="73" t="s">
        <v>3088</v>
      </c>
      <c r="AZ281" s="73" t="s">
        <v>3088</v>
      </c>
      <c r="BA281" s="73" t="s">
        <v>3088</v>
      </c>
      <c r="BB281" s="73" t="s">
        <v>3088</v>
      </c>
      <c r="BC281" s="73" t="s">
        <v>3088</v>
      </c>
      <c r="BD281" s="73" t="s">
        <v>3088</v>
      </c>
      <c r="BE281" s="73" t="s">
        <v>3088</v>
      </c>
      <c r="BF281" s="73" t="s">
        <v>3088</v>
      </c>
      <c r="BG281" s="73" t="s">
        <v>3088</v>
      </c>
      <c r="BH281" s="73" t="s">
        <v>3088</v>
      </c>
      <c r="BI281" s="73" t="s">
        <v>3088</v>
      </c>
      <c r="BJ281" s="73" t="s">
        <v>3088</v>
      </c>
      <c r="BK281" s="73" t="s">
        <v>3088</v>
      </c>
      <c r="BL281" s="73" t="s">
        <v>3088</v>
      </c>
      <c r="BM281" s="73" t="s">
        <v>3088</v>
      </c>
      <c r="BN281" s="73" t="s">
        <v>3088</v>
      </c>
      <c r="BO281" s="73" t="s">
        <v>3088</v>
      </c>
      <c r="BP281" s="73" t="s">
        <v>3088</v>
      </c>
      <c r="BQ281" s="73" t="s">
        <v>3088</v>
      </c>
      <c r="BR281" s="73" t="s">
        <v>3097</v>
      </c>
    </row>
  </sheetData>
  <conditionalFormatting sqref="A2:BR281">
    <cfRule type="expression" dxfId="3"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M2:BM382 D2:D382 E2:E382 F2:F382 G2:G382 K2:K382 N2:N382 Q2:Q382 T2:T382 W2:W382 Z2:Z382 AC2:AC382 AF2:AF382 AI2:AI382 AL2:AL382 AO2:AO382 AR2:AR382 AU2:AU382 AX2:AX382 BA2:BA382 BD2:BD382 BG2:BG382 BJ2:BJ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AM2:AM382 AP2:AP382 AS2:AS382 AV2:AV382 AY2:AY382 BB2:BB382 BE2:BE382 BH2:BH382 BK2:BK382 I2:I382 L2:L382 O2:O382 R2:R382 U2:U382 X2:X382 AA2:AA382 AD2:AD382 AG2:AG382 AJ2:AJ382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R167" sqref="BR167"/>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3019</v>
      </c>
      <c r="B1" s="74" t="s">
        <v>2107</v>
      </c>
      <c r="C1" s="74" t="s">
        <v>3020</v>
      </c>
      <c r="D1" s="74" t="s">
        <v>3021</v>
      </c>
      <c r="E1" s="74" t="s">
        <v>3022</v>
      </c>
      <c r="F1" s="74" t="s">
        <v>3023</v>
      </c>
      <c r="G1" s="74" t="s">
        <v>3024</v>
      </c>
      <c r="H1" s="74" t="s">
        <v>3025</v>
      </c>
      <c r="I1" s="74" t="s">
        <v>3026</v>
      </c>
      <c r="J1" s="74" t="s">
        <v>3027</v>
      </c>
      <c r="K1" s="74" t="s">
        <v>3028</v>
      </c>
      <c r="L1" s="74" t="s">
        <v>3029</v>
      </c>
      <c r="M1" s="74" t="s">
        <v>3030</v>
      </c>
      <c r="N1" s="74" t="s">
        <v>3031</v>
      </c>
      <c r="O1" s="74" t="s">
        <v>3032</v>
      </c>
      <c r="P1" s="74" t="s">
        <v>3033</v>
      </c>
      <c r="Q1" s="74" t="s">
        <v>3034</v>
      </c>
      <c r="R1" s="74" t="s">
        <v>3035</v>
      </c>
      <c r="S1" s="74" t="s">
        <v>3036</v>
      </c>
      <c r="T1" s="74" t="s">
        <v>3037</v>
      </c>
      <c r="U1" s="74" t="s">
        <v>3038</v>
      </c>
      <c r="V1" s="74" t="s">
        <v>3039</v>
      </c>
      <c r="W1" s="74" t="s">
        <v>3040</v>
      </c>
      <c r="X1" s="74" t="s">
        <v>3041</v>
      </c>
      <c r="Y1" s="74" t="s">
        <v>3042</v>
      </c>
      <c r="Z1" s="74" t="s">
        <v>3043</v>
      </c>
      <c r="AA1" s="74" t="s">
        <v>3044</v>
      </c>
      <c r="AB1" s="74" t="s">
        <v>3045</v>
      </c>
      <c r="AC1" s="74" t="s">
        <v>3046</v>
      </c>
      <c r="AD1" s="74" t="s">
        <v>3047</v>
      </c>
      <c r="AE1" s="74" t="s">
        <v>3048</v>
      </c>
      <c r="AF1" s="74" t="s">
        <v>3049</v>
      </c>
      <c r="AG1" s="74" t="s">
        <v>3050</v>
      </c>
      <c r="AH1" s="74" t="s">
        <v>3051</v>
      </c>
      <c r="AI1" s="74" t="s">
        <v>3052</v>
      </c>
      <c r="AJ1" s="74" t="s">
        <v>3053</v>
      </c>
      <c r="AK1" s="74" t="s">
        <v>3054</v>
      </c>
      <c r="AL1" s="74" t="s">
        <v>3055</v>
      </c>
      <c r="AM1" s="74" t="s">
        <v>3056</v>
      </c>
      <c r="AN1" s="74" t="s">
        <v>3057</v>
      </c>
      <c r="AO1" s="74" t="s">
        <v>3058</v>
      </c>
      <c r="AP1" s="74" t="s">
        <v>3059</v>
      </c>
      <c r="AQ1" s="74" t="s">
        <v>3060</v>
      </c>
      <c r="AR1" s="74" t="s">
        <v>3061</v>
      </c>
      <c r="AS1" s="74" t="s">
        <v>3062</v>
      </c>
      <c r="AT1" s="74" t="s">
        <v>3063</v>
      </c>
      <c r="AU1" s="74" t="s">
        <v>3064</v>
      </c>
      <c r="AV1" s="74" t="s">
        <v>3065</v>
      </c>
      <c r="AW1" s="74" t="s">
        <v>3066</v>
      </c>
      <c r="AX1" s="74" t="s">
        <v>3067</v>
      </c>
      <c r="AY1" s="74" t="s">
        <v>3068</v>
      </c>
      <c r="AZ1" s="74" t="s">
        <v>3069</v>
      </c>
      <c r="BA1" s="74" t="s">
        <v>3070</v>
      </c>
      <c r="BB1" s="74" t="s">
        <v>3071</v>
      </c>
      <c r="BC1" s="74" t="s">
        <v>3072</v>
      </c>
      <c r="BD1" s="74" t="s">
        <v>3073</v>
      </c>
      <c r="BE1" s="74" t="s">
        <v>3074</v>
      </c>
      <c r="BF1" s="74" t="s">
        <v>3075</v>
      </c>
      <c r="BG1" s="74" t="s">
        <v>3076</v>
      </c>
      <c r="BH1" s="74" t="s">
        <v>3077</v>
      </c>
      <c r="BI1" s="74" t="s">
        <v>3078</v>
      </c>
      <c r="BJ1" s="74" t="s">
        <v>3079</v>
      </c>
      <c r="BK1" s="74" t="s">
        <v>3080</v>
      </c>
      <c r="BL1" s="74" t="s">
        <v>3081</v>
      </c>
      <c r="BM1" s="74" t="s">
        <v>3082</v>
      </c>
      <c r="BN1" s="74" t="s">
        <v>3083</v>
      </c>
      <c r="BO1" s="74" t="s">
        <v>3084</v>
      </c>
      <c r="BP1" s="74" t="s">
        <v>3085</v>
      </c>
      <c r="BQ1" s="74" t="s">
        <v>3086</v>
      </c>
      <c r="BR1" s="74" t="s">
        <v>3087</v>
      </c>
    </row>
    <row r="2" spans="1:70">
      <c r="A2" s="73" t="s">
        <v>1874</v>
      </c>
      <c r="B2" s="73" t="s">
        <v>2308</v>
      </c>
      <c r="C2" s="73" t="s">
        <v>2122</v>
      </c>
      <c r="D2" s="73" t="s">
        <v>3088</v>
      </c>
      <c r="E2" s="73" t="s">
        <v>3088</v>
      </c>
      <c r="F2" s="73" t="s">
        <v>3088</v>
      </c>
      <c r="G2" s="73" t="s">
        <v>3089</v>
      </c>
      <c r="H2" s="73" t="s">
        <v>3088</v>
      </c>
      <c r="I2" s="73" t="s">
        <v>2309</v>
      </c>
      <c r="J2" s="73" t="s">
        <v>2312</v>
      </c>
      <c r="K2" s="73" t="s">
        <v>3095</v>
      </c>
      <c r="L2" s="73" t="s">
        <v>3088</v>
      </c>
      <c r="M2" s="73" t="s">
        <v>3088</v>
      </c>
      <c r="N2" s="73" t="s">
        <v>3088</v>
      </c>
      <c r="O2" s="73" t="s">
        <v>3088</v>
      </c>
      <c r="P2" s="73" t="s">
        <v>3088</v>
      </c>
      <c r="Q2" s="73" t="s">
        <v>3088</v>
      </c>
      <c r="R2" s="73" t="s">
        <v>3088</v>
      </c>
      <c r="S2" s="73" t="s">
        <v>3088</v>
      </c>
      <c r="T2" s="73" t="s">
        <v>3088</v>
      </c>
      <c r="U2" s="73" t="s">
        <v>3088</v>
      </c>
      <c r="V2" s="73" t="s">
        <v>3088</v>
      </c>
      <c r="W2" s="73" t="s">
        <v>3088</v>
      </c>
      <c r="X2" s="73" t="s">
        <v>3088</v>
      </c>
      <c r="Y2" s="73" t="s">
        <v>3088</v>
      </c>
      <c r="Z2" s="73" t="s">
        <v>3088</v>
      </c>
      <c r="AA2" s="73" t="s">
        <v>3088</v>
      </c>
      <c r="AB2" s="73" t="s">
        <v>3088</v>
      </c>
      <c r="AC2" s="73" t="s">
        <v>3088</v>
      </c>
      <c r="AD2" s="73" t="s">
        <v>3088</v>
      </c>
      <c r="AE2" s="73" t="s">
        <v>3088</v>
      </c>
      <c r="AF2" s="73" t="s">
        <v>3088</v>
      </c>
      <c r="AG2" s="73" t="s">
        <v>3088</v>
      </c>
      <c r="AH2" s="73" t="s">
        <v>3088</v>
      </c>
      <c r="AI2" s="73" t="s">
        <v>3088</v>
      </c>
      <c r="AJ2" s="73" t="s">
        <v>3088</v>
      </c>
      <c r="AK2" s="73" t="s">
        <v>3088</v>
      </c>
      <c r="AL2" s="73" t="s">
        <v>3088</v>
      </c>
      <c r="AM2" s="73" t="s">
        <v>3088</v>
      </c>
      <c r="AN2" s="73" t="s">
        <v>3088</v>
      </c>
      <c r="AO2" s="73" t="s">
        <v>3088</v>
      </c>
      <c r="AP2" s="73" t="s">
        <v>3088</v>
      </c>
      <c r="AQ2" s="73" t="s">
        <v>3088</v>
      </c>
      <c r="AR2" s="73" t="s">
        <v>3088</v>
      </c>
      <c r="AS2" s="73" t="s">
        <v>3088</v>
      </c>
      <c r="AT2" s="73" t="s">
        <v>3088</v>
      </c>
      <c r="AU2" s="73" t="s">
        <v>3088</v>
      </c>
      <c r="AV2" s="73" t="s">
        <v>3088</v>
      </c>
      <c r="AW2" s="73" t="s">
        <v>3088</v>
      </c>
      <c r="AX2" s="73" t="s">
        <v>3088</v>
      </c>
      <c r="AY2" s="73" t="s">
        <v>3088</v>
      </c>
      <c r="AZ2" s="73" t="s">
        <v>3088</v>
      </c>
      <c r="BA2" s="73" t="s">
        <v>3088</v>
      </c>
      <c r="BB2" s="73" t="s">
        <v>3088</v>
      </c>
      <c r="BC2" s="73" t="s">
        <v>3088</v>
      </c>
      <c r="BD2" s="73" t="s">
        <v>3088</v>
      </c>
      <c r="BE2" s="73" t="s">
        <v>3088</v>
      </c>
      <c r="BF2" s="73" t="s">
        <v>3088</v>
      </c>
      <c r="BG2" s="73" t="s">
        <v>3088</v>
      </c>
      <c r="BH2" s="73" t="s">
        <v>3088</v>
      </c>
      <c r="BI2" s="73" t="s">
        <v>3088</v>
      </c>
      <c r="BJ2" s="73" t="s">
        <v>3088</v>
      </c>
      <c r="BK2" s="73" t="s">
        <v>3088</v>
      </c>
      <c r="BL2" s="73" t="s">
        <v>3088</v>
      </c>
      <c r="BM2" s="73" t="s">
        <v>3088</v>
      </c>
      <c r="BN2" s="73" t="s">
        <v>3088</v>
      </c>
      <c r="BO2" s="73" t="s">
        <v>3088</v>
      </c>
      <c r="BP2" s="73" t="s">
        <v>3088</v>
      </c>
      <c r="BQ2" s="73" t="s">
        <v>3671</v>
      </c>
      <c r="BR2" s="73" t="s">
        <v>3097</v>
      </c>
    </row>
    <row r="3" spans="1:70">
      <c r="A3" s="73" t="s">
        <v>1874</v>
      </c>
      <c r="B3" s="73" t="s">
        <v>3672</v>
      </c>
      <c r="C3" s="73" t="s">
        <v>2314</v>
      </c>
      <c r="D3" s="73" t="s">
        <v>3088</v>
      </c>
      <c r="E3" s="73" t="s">
        <v>3088</v>
      </c>
      <c r="F3" s="73" t="s">
        <v>3088</v>
      </c>
      <c r="G3" s="73" t="s">
        <v>3089</v>
      </c>
      <c r="H3" s="73" t="s">
        <v>3088</v>
      </c>
      <c r="I3" s="73" t="s">
        <v>3122</v>
      </c>
      <c r="J3" s="73" t="s">
        <v>3088</v>
      </c>
      <c r="K3" s="73" t="s">
        <v>3088</v>
      </c>
      <c r="L3" s="73" t="s">
        <v>3088</v>
      </c>
      <c r="M3" s="73" t="s">
        <v>3088</v>
      </c>
      <c r="N3" s="73" t="s">
        <v>3088</v>
      </c>
      <c r="O3" s="73" t="s">
        <v>3088</v>
      </c>
      <c r="P3" s="73" t="s">
        <v>3088</v>
      </c>
      <c r="Q3" s="73" t="s">
        <v>3088</v>
      </c>
      <c r="R3" s="73" t="s">
        <v>3088</v>
      </c>
      <c r="S3" s="73" t="s">
        <v>3088</v>
      </c>
      <c r="T3" s="73" t="s">
        <v>3088</v>
      </c>
      <c r="U3" s="73" t="s">
        <v>3088</v>
      </c>
      <c r="V3" s="73" t="s">
        <v>3088</v>
      </c>
      <c r="W3" s="73" t="s">
        <v>3088</v>
      </c>
      <c r="X3" s="73" t="s">
        <v>3088</v>
      </c>
      <c r="Y3" s="73" t="s">
        <v>3088</v>
      </c>
      <c r="Z3" s="73" t="s">
        <v>3088</v>
      </c>
      <c r="AA3" s="73" t="s">
        <v>3088</v>
      </c>
      <c r="AB3" s="73" t="s">
        <v>3088</v>
      </c>
      <c r="AC3" s="73" t="s">
        <v>3088</v>
      </c>
      <c r="AD3" s="73" t="s">
        <v>3088</v>
      </c>
      <c r="AE3" s="73" t="s">
        <v>3088</v>
      </c>
      <c r="AF3" s="73" t="s">
        <v>3088</v>
      </c>
      <c r="AG3" s="73" t="s">
        <v>3088</v>
      </c>
      <c r="AH3" s="73" t="s">
        <v>3088</v>
      </c>
      <c r="AI3" s="73" t="s">
        <v>3088</v>
      </c>
      <c r="AJ3" s="73" t="s">
        <v>3088</v>
      </c>
      <c r="AK3" s="73" t="s">
        <v>3088</v>
      </c>
      <c r="AL3" s="73" t="s">
        <v>3088</v>
      </c>
      <c r="AM3" s="73" t="s">
        <v>3088</v>
      </c>
      <c r="AN3" s="73" t="s">
        <v>3088</v>
      </c>
      <c r="AO3" s="73" t="s">
        <v>3088</v>
      </c>
      <c r="AP3" s="73" t="s">
        <v>3088</v>
      </c>
      <c r="AQ3" s="73" t="s">
        <v>3088</v>
      </c>
      <c r="AR3" s="73" t="s">
        <v>3088</v>
      </c>
      <c r="AS3" s="73" t="s">
        <v>3088</v>
      </c>
      <c r="AT3" s="73" t="s">
        <v>3088</v>
      </c>
      <c r="AU3" s="73" t="s">
        <v>3088</v>
      </c>
      <c r="AV3" s="73" t="s">
        <v>3088</v>
      </c>
      <c r="AW3" s="73" t="s">
        <v>3088</v>
      </c>
      <c r="AX3" s="73" t="s">
        <v>3088</v>
      </c>
      <c r="AY3" s="73" t="s">
        <v>3088</v>
      </c>
      <c r="AZ3" s="73" t="s">
        <v>3088</v>
      </c>
      <c r="BA3" s="73" t="s">
        <v>3088</v>
      </c>
      <c r="BB3" s="73" t="s">
        <v>3088</v>
      </c>
      <c r="BC3" s="73" t="s">
        <v>3088</v>
      </c>
      <c r="BD3" s="73" t="s">
        <v>3088</v>
      </c>
      <c r="BE3" s="73" t="s">
        <v>3088</v>
      </c>
      <c r="BF3" s="73" t="s">
        <v>3088</v>
      </c>
      <c r="BG3" s="73" t="s">
        <v>3088</v>
      </c>
      <c r="BH3" s="73" t="s">
        <v>3088</v>
      </c>
      <c r="BI3" s="73" t="s">
        <v>3088</v>
      </c>
      <c r="BJ3" s="73" t="s">
        <v>3088</v>
      </c>
      <c r="BK3" s="73" t="s">
        <v>3088</v>
      </c>
      <c r="BL3" s="73" t="s">
        <v>3088</v>
      </c>
      <c r="BM3" s="73" t="s">
        <v>3088</v>
      </c>
      <c r="BN3" s="73" t="s">
        <v>3088</v>
      </c>
      <c r="BO3" s="73" t="s">
        <v>3088</v>
      </c>
      <c r="BP3" s="73" t="s">
        <v>3088</v>
      </c>
      <c r="BQ3" s="73" t="s">
        <v>3673</v>
      </c>
      <c r="BR3" s="73" t="s">
        <v>3088</v>
      </c>
    </row>
    <row r="4" spans="1:70">
      <c r="A4" s="73" t="s">
        <v>1874</v>
      </c>
      <c r="B4" s="73" t="s">
        <v>2114</v>
      </c>
      <c r="C4" s="73" t="s">
        <v>2115</v>
      </c>
      <c r="D4" s="73" t="s">
        <v>3088</v>
      </c>
      <c r="E4" s="73" t="s">
        <v>3088</v>
      </c>
      <c r="F4" s="73" t="s">
        <v>3088</v>
      </c>
      <c r="G4" s="73" t="s">
        <v>3089</v>
      </c>
      <c r="H4" s="73" t="s">
        <v>3088</v>
      </c>
      <c r="I4" s="73" t="s">
        <v>543</v>
      </c>
      <c r="J4" s="73" t="s">
        <v>3674</v>
      </c>
      <c r="K4" s="73" t="s">
        <v>3089</v>
      </c>
      <c r="L4" s="73" t="s">
        <v>108</v>
      </c>
      <c r="M4" s="73" t="s">
        <v>3674</v>
      </c>
      <c r="N4" s="73" t="s">
        <v>3089</v>
      </c>
      <c r="O4" s="73" t="s">
        <v>3088</v>
      </c>
      <c r="P4" s="73" t="s">
        <v>3088</v>
      </c>
      <c r="Q4" s="73" t="s">
        <v>3088</v>
      </c>
      <c r="R4" s="73" t="s">
        <v>3088</v>
      </c>
      <c r="S4" s="73" t="s">
        <v>3088</v>
      </c>
      <c r="T4" s="73" t="s">
        <v>3088</v>
      </c>
      <c r="U4" s="73" t="s">
        <v>3088</v>
      </c>
      <c r="V4" s="73" t="s">
        <v>3088</v>
      </c>
      <c r="W4" s="73" t="s">
        <v>3088</v>
      </c>
      <c r="X4" s="73" t="s">
        <v>3088</v>
      </c>
      <c r="Y4" s="73" t="s">
        <v>3088</v>
      </c>
      <c r="Z4" s="73" t="s">
        <v>3088</v>
      </c>
      <c r="AA4" s="73" t="s">
        <v>3088</v>
      </c>
      <c r="AB4" s="73" t="s">
        <v>3088</v>
      </c>
      <c r="AC4" s="73" t="s">
        <v>3088</v>
      </c>
      <c r="AD4" s="73" t="s">
        <v>3088</v>
      </c>
      <c r="AE4" s="73" t="s">
        <v>3088</v>
      </c>
      <c r="AF4" s="73" t="s">
        <v>3088</v>
      </c>
      <c r="AG4" s="73" t="s">
        <v>3088</v>
      </c>
      <c r="AH4" s="73" t="s">
        <v>3088</v>
      </c>
      <c r="AI4" s="73" t="s">
        <v>3088</v>
      </c>
      <c r="AJ4" s="73" t="s">
        <v>3088</v>
      </c>
      <c r="AK4" s="73" t="s">
        <v>3088</v>
      </c>
      <c r="AL4" s="73" t="s">
        <v>3088</v>
      </c>
      <c r="AM4" s="73" t="s">
        <v>3088</v>
      </c>
      <c r="AN4" s="73" t="s">
        <v>3088</v>
      </c>
      <c r="AO4" s="73" t="s">
        <v>3088</v>
      </c>
      <c r="AP4" s="73" t="s">
        <v>3088</v>
      </c>
      <c r="AQ4" s="73" t="s">
        <v>3088</v>
      </c>
      <c r="AR4" s="73" t="s">
        <v>3088</v>
      </c>
      <c r="AS4" s="73" t="s">
        <v>3088</v>
      </c>
      <c r="AT4" s="73" t="s">
        <v>3088</v>
      </c>
      <c r="AU4" s="73" t="s">
        <v>3088</v>
      </c>
      <c r="AV4" s="73" t="s">
        <v>3088</v>
      </c>
      <c r="AW4" s="73" t="s">
        <v>3088</v>
      </c>
      <c r="AX4" s="73" t="s">
        <v>3088</v>
      </c>
      <c r="AY4" s="73" t="s">
        <v>3088</v>
      </c>
      <c r="AZ4" s="73" t="s">
        <v>3088</v>
      </c>
      <c r="BA4" s="73" t="s">
        <v>3088</v>
      </c>
      <c r="BB4" s="73" t="s">
        <v>3088</v>
      </c>
      <c r="BC4" s="73" t="s">
        <v>3088</v>
      </c>
      <c r="BD4" s="73" t="s">
        <v>3088</v>
      </c>
      <c r="BE4" s="73" t="s">
        <v>3088</v>
      </c>
      <c r="BF4" s="73" t="s">
        <v>3088</v>
      </c>
      <c r="BG4" s="73" t="s">
        <v>3088</v>
      </c>
      <c r="BH4" s="73" t="s">
        <v>3088</v>
      </c>
      <c r="BI4" s="73" t="s">
        <v>3088</v>
      </c>
      <c r="BJ4" s="73" t="s">
        <v>3088</v>
      </c>
      <c r="BK4" s="73" t="s">
        <v>3088</v>
      </c>
      <c r="BL4" s="73" t="s">
        <v>3088</v>
      </c>
      <c r="BM4" s="73" t="s">
        <v>3088</v>
      </c>
      <c r="BN4" s="73" t="s">
        <v>3088</v>
      </c>
      <c r="BO4" s="73" t="s">
        <v>3088</v>
      </c>
      <c r="BP4" s="73" t="s">
        <v>3088</v>
      </c>
      <c r="BQ4" s="73" t="s">
        <v>3675</v>
      </c>
      <c r="BR4" s="73" t="s">
        <v>3088</v>
      </c>
    </row>
    <row r="5" spans="1:70">
      <c r="A5" s="73" t="s">
        <v>1874</v>
      </c>
      <c r="B5" s="73" t="s">
        <v>2352</v>
      </c>
      <c r="C5" s="73" t="s">
        <v>3088</v>
      </c>
      <c r="D5" s="73" t="s">
        <v>3088</v>
      </c>
      <c r="E5" s="73" t="s">
        <v>3088</v>
      </c>
      <c r="F5" s="73" t="s">
        <v>3088</v>
      </c>
      <c r="G5" s="73" t="s">
        <v>3089</v>
      </c>
      <c r="H5" s="73" t="s">
        <v>3088</v>
      </c>
      <c r="I5" s="73" t="s">
        <v>1201</v>
      </c>
      <c r="J5" s="73" t="s">
        <v>3088</v>
      </c>
      <c r="K5" s="73" t="s">
        <v>3088</v>
      </c>
      <c r="L5" s="73" t="s">
        <v>3088</v>
      </c>
      <c r="M5" s="73" t="s">
        <v>3088</v>
      </c>
      <c r="N5" s="73" t="s">
        <v>3088</v>
      </c>
      <c r="O5" s="73" t="s">
        <v>3088</v>
      </c>
      <c r="P5" s="73" t="s">
        <v>3088</v>
      </c>
      <c r="Q5" s="73" t="s">
        <v>3088</v>
      </c>
      <c r="R5" s="73" t="s">
        <v>3088</v>
      </c>
      <c r="S5" s="73" t="s">
        <v>3088</v>
      </c>
      <c r="T5" s="73" t="s">
        <v>3088</v>
      </c>
      <c r="U5" s="73" t="s">
        <v>3088</v>
      </c>
      <c r="V5" s="73" t="s">
        <v>3088</v>
      </c>
      <c r="W5" s="73" t="s">
        <v>3088</v>
      </c>
      <c r="X5" s="73" t="s">
        <v>3088</v>
      </c>
      <c r="Y5" s="73" t="s">
        <v>3088</v>
      </c>
      <c r="Z5" s="73" t="s">
        <v>3088</v>
      </c>
      <c r="AA5" s="73" t="s">
        <v>3088</v>
      </c>
      <c r="AB5" s="73" t="s">
        <v>3088</v>
      </c>
      <c r="AC5" s="73" t="s">
        <v>3088</v>
      </c>
      <c r="AD5" s="73" t="s">
        <v>3088</v>
      </c>
      <c r="AE5" s="73" t="s">
        <v>3088</v>
      </c>
      <c r="AF5" s="73" t="s">
        <v>3088</v>
      </c>
      <c r="AG5" s="73" t="s">
        <v>3088</v>
      </c>
      <c r="AH5" s="73" t="s">
        <v>3088</v>
      </c>
      <c r="AI5" s="73" t="s">
        <v>3088</v>
      </c>
      <c r="AJ5" s="73" t="s">
        <v>3088</v>
      </c>
      <c r="AK5" s="73" t="s">
        <v>3088</v>
      </c>
      <c r="AL5" s="73" t="s">
        <v>3088</v>
      </c>
      <c r="AM5" s="73" t="s">
        <v>3088</v>
      </c>
      <c r="AN5" s="73" t="s">
        <v>3088</v>
      </c>
      <c r="AO5" s="73" t="s">
        <v>3088</v>
      </c>
      <c r="AP5" s="73" t="s">
        <v>3088</v>
      </c>
      <c r="AQ5" s="73" t="s">
        <v>3088</v>
      </c>
      <c r="AR5" s="73" t="s">
        <v>3088</v>
      </c>
      <c r="AS5" s="73" t="s">
        <v>3088</v>
      </c>
      <c r="AT5" s="73" t="s">
        <v>3088</v>
      </c>
      <c r="AU5" s="73" t="s">
        <v>3088</v>
      </c>
      <c r="AV5" s="73" t="s">
        <v>3088</v>
      </c>
      <c r="AW5" s="73" t="s">
        <v>3088</v>
      </c>
      <c r="AX5" s="73" t="s">
        <v>3088</v>
      </c>
      <c r="AY5" s="73" t="s">
        <v>3088</v>
      </c>
      <c r="AZ5" s="73" t="s">
        <v>3088</v>
      </c>
      <c r="BA5" s="73" t="s">
        <v>3088</v>
      </c>
      <c r="BB5" s="73" t="s">
        <v>3088</v>
      </c>
      <c r="BC5" s="73" t="s">
        <v>3088</v>
      </c>
      <c r="BD5" s="73" t="s">
        <v>3088</v>
      </c>
      <c r="BE5" s="73" t="s">
        <v>3088</v>
      </c>
      <c r="BF5" s="73" t="s">
        <v>3088</v>
      </c>
      <c r="BG5" s="73" t="s">
        <v>3088</v>
      </c>
      <c r="BH5" s="73" t="s">
        <v>3088</v>
      </c>
      <c r="BI5" s="73" t="s">
        <v>3088</v>
      </c>
      <c r="BJ5" s="73" t="s">
        <v>3088</v>
      </c>
      <c r="BK5" s="73" t="s">
        <v>3088</v>
      </c>
      <c r="BL5" s="73" t="s">
        <v>3088</v>
      </c>
      <c r="BM5" s="73" t="s">
        <v>3088</v>
      </c>
      <c r="BN5" s="73" t="s">
        <v>3088</v>
      </c>
      <c r="BO5" s="73" t="s">
        <v>3088</v>
      </c>
      <c r="BP5" s="73" t="s">
        <v>3088</v>
      </c>
      <c r="BQ5" s="73" t="s">
        <v>3676</v>
      </c>
      <c r="BR5" s="73" t="s">
        <v>3088</v>
      </c>
    </row>
    <row r="6" spans="1:70">
      <c r="A6" s="73" t="s">
        <v>1874</v>
      </c>
      <c r="B6" s="73" t="s">
        <v>2118</v>
      </c>
      <c r="C6" s="73" t="s">
        <v>3088</v>
      </c>
      <c r="D6" s="73" t="s">
        <v>3088</v>
      </c>
      <c r="E6" s="73" t="s">
        <v>3088</v>
      </c>
      <c r="F6" s="73" t="s">
        <v>3088</v>
      </c>
      <c r="G6" s="73" t="s">
        <v>3089</v>
      </c>
      <c r="H6" s="73" t="s">
        <v>3088</v>
      </c>
      <c r="I6" s="73" t="s">
        <v>1201</v>
      </c>
      <c r="J6" s="73" t="s">
        <v>3088</v>
      </c>
      <c r="K6" s="73" t="s">
        <v>3088</v>
      </c>
      <c r="L6" s="73" t="s">
        <v>108</v>
      </c>
      <c r="M6" s="73" t="s">
        <v>3088</v>
      </c>
      <c r="N6" s="73" t="s">
        <v>3088</v>
      </c>
      <c r="O6" s="73" t="s">
        <v>3088</v>
      </c>
      <c r="P6" s="73" t="s">
        <v>3088</v>
      </c>
      <c r="Q6" s="73" t="s">
        <v>3088</v>
      </c>
      <c r="R6" s="73" t="s">
        <v>3088</v>
      </c>
      <c r="S6" s="73" t="s">
        <v>3088</v>
      </c>
      <c r="T6" s="73" t="s">
        <v>3088</v>
      </c>
      <c r="U6" s="73" t="s">
        <v>3088</v>
      </c>
      <c r="V6" s="73" t="s">
        <v>3088</v>
      </c>
      <c r="W6" s="73" t="s">
        <v>3088</v>
      </c>
      <c r="X6" s="73" t="s">
        <v>3088</v>
      </c>
      <c r="Y6" s="73" t="s">
        <v>3088</v>
      </c>
      <c r="Z6" s="73" t="s">
        <v>3088</v>
      </c>
      <c r="AA6" s="73" t="s">
        <v>3088</v>
      </c>
      <c r="AB6" s="73" t="s">
        <v>3088</v>
      </c>
      <c r="AC6" s="73" t="s">
        <v>3088</v>
      </c>
      <c r="AD6" s="73" t="s">
        <v>3088</v>
      </c>
      <c r="AE6" s="73" t="s">
        <v>3088</v>
      </c>
      <c r="AF6" s="73" t="s">
        <v>3088</v>
      </c>
      <c r="AG6" s="73" t="s">
        <v>3088</v>
      </c>
      <c r="AH6" s="73" t="s">
        <v>3088</v>
      </c>
      <c r="AI6" s="73" t="s">
        <v>3088</v>
      </c>
      <c r="AJ6" s="73" t="s">
        <v>3088</v>
      </c>
      <c r="AK6" s="73" t="s">
        <v>3088</v>
      </c>
      <c r="AL6" s="73" t="s">
        <v>3088</v>
      </c>
      <c r="AM6" s="73" t="s">
        <v>3088</v>
      </c>
      <c r="AN6" s="73" t="s">
        <v>3088</v>
      </c>
      <c r="AO6" s="73" t="s">
        <v>3088</v>
      </c>
      <c r="AP6" s="73" t="s">
        <v>3088</v>
      </c>
      <c r="AQ6" s="73" t="s">
        <v>3088</v>
      </c>
      <c r="AR6" s="73" t="s">
        <v>3088</v>
      </c>
      <c r="AS6" s="73" t="s">
        <v>3088</v>
      </c>
      <c r="AT6" s="73" t="s">
        <v>3088</v>
      </c>
      <c r="AU6" s="73" t="s">
        <v>3088</v>
      </c>
      <c r="AV6" s="73" t="s">
        <v>3088</v>
      </c>
      <c r="AW6" s="73" t="s">
        <v>3088</v>
      </c>
      <c r="AX6" s="73" t="s">
        <v>3088</v>
      </c>
      <c r="AY6" s="73" t="s">
        <v>3088</v>
      </c>
      <c r="AZ6" s="73" t="s">
        <v>3088</v>
      </c>
      <c r="BA6" s="73" t="s">
        <v>3088</v>
      </c>
      <c r="BB6" s="73" t="s">
        <v>3088</v>
      </c>
      <c r="BC6" s="73" t="s">
        <v>3088</v>
      </c>
      <c r="BD6" s="73" t="s">
        <v>3088</v>
      </c>
      <c r="BE6" s="73" t="s">
        <v>3088</v>
      </c>
      <c r="BF6" s="73" t="s">
        <v>3088</v>
      </c>
      <c r="BG6" s="73" t="s">
        <v>3088</v>
      </c>
      <c r="BH6" s="73" t="s">
        <v>3088</v>
      </c>
      <c r="BI6" s="73" t="s">
        <v>3088</v>
      </c>
      <c r="BJ6" s="73" t="s">
        <v>3088</v>
      </c>
      <c r="BK6" s="73" t="s">
        <v>3088</v>
      </c>
      <c r="BL6" s="73" t="s">
        <v>3088</v>
      </c>
      <c r="BM6" s="73" t="s">
        <v>3088</v>
      </c>
      <c r="BN6" s="73" t="s">
        <v>3088</v>
      </c>
      <c r="BO6" s="73" t="s">
        <v>3088</v>
      </c>
      <c r="BP6" s="73" t="s">
        <v>3088</v>
      </c>
      <c r="BQ6" s="73" t="s">
        <v>3677</v>
      </c>
      <c r="BR6" s="73" t="s">
        <v>3088</v>
      </c>
    </row>
    <row r="7" spans="1:70">
      <c r="A7" s="73" t="s">
        <v>1874</v>
      </c>
      <c r="B7" s="73" t="s">
        <v>2121</v>
      </c>
      <c r="C7" s="73" t="s">
        <v>2122</v>
      </c>
      <c r="D7" s="73" t="s">
        <v>3088</v>
      </c>
      <c r="E7" s="73" t="s">
        <v>3088</v>
      </c>
      <c r="F7" s="73" t="s">
        <v>3088</v>
      </c>
      <c r="G7" s="73" t="s">
        <v>3089</v>
      </c>
      <c r="H7" s="73" t="s">
        <v>3088</v>
      </c>
      <c r="I7" s="73" t="s">
        <v>108</v>
      </c>
      <c r="J7" s="73" t="s">
        <v>3088</v>
      </c>
      <c r="K7" s="73" t="s">
        <v>3088</v>
      </c>
      <c r="L7" s="73" t="s">
        <v>3088</v>
      </c>
      <c r="M7" s="73" t="s">
        <v>3088</v>
      </c>
      <c r="N7" s="73" t="s">
        <v>3088</v>
      </c>
      <c r="O7" s="73" t="s">
        <v>3088</v>
      </c>
      <c r="P7" s="73" t="s">
        <v>3088</v>
      </c>
      <c r="Q7" s="73" t="s">
        <v>3088</v>
      </c>
      <c r="R7" s="73" t="s">
        <v>3088</v>
      </c>
      <c r="S7" s="73" t="s">
        <v>3088</v>
      </c>
      <c r="T7" s="73" t="s">
        <v>3088</v>
      </c>
      <c r="U7" s="73" t="s">
        <v>3088</v>
      </c>
      <c r="V7" s="73" t="s">
        <v>3088</v>
      </c>
      <c r="W7" s="73" t="s">
        <v>3088</v>
      </c>
      <c r="X7" s="73" t="s">
        <v>3088</v>
      </c>
      <c r="Y7" s="73" t="s">
        <v>3088</v>
      </c>
      <c r="Z7" s="73" t="s">
        <v>3088</v>
      </c>
      <c r="AA7" s="73" t="s">
        <v>3088</v>
      </c>
      <c r="AB7" s="73" t="s">
        <v>3088</v>
      </c>
      <c r="AC7" s="73" t="s">
        <v>3088</v>
      </c>
      <c r="AD7" s="73" t="s">
        <v>3088</v>
      </c>
      <c r="AE7" s="73" t="s">
        <v>3088</v>
      </c>
      <c r="AF7" s="73" t="s">
        <v>3088</v>
      </c>
      <c r="AG7" s="73" t="s">
        <v>3088</v>
      </c>
      <c r="AH7" s="73" t="s">
        <v>3088</v>
      </c>
      <c r="AI7" s="73" t="s">
        <v>3088</v>
      </c>
      <c r="AJ7" s="73" t="s">
        <v>3088</v>
      </c>
      <c r="AK7" s="73" t="s">
        <v>3088</v>
      </c>
      <c r="AL7" s="73" t="s">
        <v>3088</v>
      </c>
      <c r="AM7" s="73" t="s">
        <v>3088</v>
      </c>
      <c r="AN7" s="73" t="s">
        <v>3088</v>
      </c>
      <c r="AO7" s="73" t="s">
        <v>3088</v>
      </c>
      <c r="AP7" s="73" t="s">
        <v>3088</v>
      </c>
      <c r="AQ7" s="73" t="s">
        <v>3088</v>
      </c>
      <c r="AR7" s="73" t="s">
        <v>3088</v>
      </c>
      <c r="AS7" s="73" t="s">
        <v>3088</v>
      </c>
      <c r="AT7" s="73" t="s">
        <v>3088</v>
      </c>
      <c r="AU7" s="73" t="s">
        <v>3088</v>
      </c>
      <c r="AV7" s="73" t="s">
        <v>3088</v>
      </c>
      <c r="AW7" s="73" t="s">
        <v>3088</v>
      </c>
      <c r="AX7" s="73" t="s">
        <v>3088</v>
      </c>
      <c r="AY7" s="73" t="s">
        <v>3088</v>
      </c>
      <c r="AZ7" s="73" t="s">
        <v>3088</v>
      </c>
      <c r="BA7" s="73" t="s">
        <v>3088</v>
      </c>
      <c r="BB7" s="73" t="s">
        <v>3088</v>
      </c>
      <c r="BC7" s="73" t="s">
        <v>3088</v>
      </c>
      <c r="BD7" s="73" t="s">
        <v>3088</v>
      </c>
      <c r="BE7" s="73" t="s">
        <v>3088</v>
      </c>
      <c r="BF7" s="73" t="s">
        <v>3088</v>
      </c>
      <c r="BG7" s="73" t="s">
        <v>3088</v>
      </c>
      <c r="BH7" s="73" t="s">
        <v>3088</v>
      </c>
      <c r="BI7" s="73" t="s">
        <v>3088</v>
      </c>
      <c r="BJ7" s="73" t="s">
        <v>3088</v>
      </c>
      <c r="BK7" s="73" t="s">
        <v>3088</v>
      </c>
      <c r="BL7" s="73" t="s">
        <v>3088</v>
      </c>
      <c r="BM7" s="73" t="s">
        <v>3088</v>
      </c>
      <c r="BN7" s="73" t="s">
        <v>3088</v>
      </c>
      <c r="BO7" s="73" t="s">
        <v>3088</v>
      </c>
      <c r="BP7" s="73" t="s">
        <v>3088</v>
      </c>
      <c r="BQ7" s="73" t="s">
        <v>3678</v>
      </c>
      <c r="BR7" s="73" t="s">
        <v>3088</v>
      </c>
    </row>
    <row r="8" spans="1:70">
      <c r="A8" s="73" t="s">
        <v>1874</v>
      </c>
      <c r="B8" s="73" t="s">
        <v>2123</v>
      </c>
      <c r="C8" s="73" t="s">
        <v>2124</v>
      </c>
      <c r="D8" s="73" t="s">
        <v>3088</v>
      </c>
      <c r="E8" s="73" t="s">
        <v>3088</v>
      </c>
      <c r="F8" s="73" t="s">
        <v>3088</v>
      </c>
      <c r="G8" s="73" t="s">
        <v>3089</v>
      </c>
      <c r="H8" s="73" t="s">
        <v>3088</v>
      </c>
      <c r="I8" s="73" t="s">
        <v>108</v>
      </c>
      <c r="J8" s="73" t="s">
        <v>2125</v>
      </c>
      <c r="K8" s="73" t="s">
        <v>3095</v>
      </c>
      <c r="L8" s="73" t="s">
        <v>3088</v>
      </c>
      <c r="M8" s="73" t="s">
        <v>3088</v>
      </c>
      <c r="N8" s="73" t="s">
        <v>3088</v>
      </c>
      <c r="O8" s="73" t="s">
        <v>3088</v>
      </c>
      <c r="P8" s="73" t="s">
        <v>3088</v>
      </c>
      <c r="Q8" s="73" t="s">
        <v>3088</v>
      </c>
      <c r="R8" s="73" t="s">
        <v>3088</v>
      </c>
      <c r="S8" s="73" t="s">
        <v>3088</v>
      </c>
      <c r="T8" s="73" t="s">
        <v>3088</v>
      </c>
      <c r="U8" s="73" t="s">
        <v>3088</v>
      </c>
      <c r="V8" s="73" t="s">
        <v>3088</v>
      </c>
      <c r="W8" s="73" t="s">
        <v>3088</v>
      </c>
      <c r="X8" s="73" t="s">
        <v>3088</v>
      </c>
      <c r="Y8" s="73" t="s">
        <v>3088</v>
      </c>
      <c r="Z8" s="73" t="s">
        <v>3088</v>
      </c>
      <c r="AA8" s="73" t="s">
        <v>3088</v>
      </c>
      <c r="AB8" s="73" t="s">
        <v>3088</v>
      </c>
      <c r="AC8" s="73" t="s">
        <v>3088</v>
      </c>
      <c r="AD8" s="73" t="s">
        <v>3088</v>
      </c>
      <c r="AE8" s="73" t="s">
        <v>3088</v>
      </c>
      <c r="AF8" s="73" t="s">
        <v>3088</v>
      </c>
      <c r="AG8" s="73" t="s">
        <v>3088</v>
      </c>
      <c r="AH8" s="73" t="s">
        <v>3088</v>
      </c>
      <c r="AI8" s="73" t="s">
        <v>3088</v>
      </c>
      <c r="AJ8" s="73" t="s">
        <v>3088</v>
      </c>
      <c r="AK8" s="73" t="s">
        <v>3088</v>
      </c>
      <c r="AL8" s="73" t="s">
        <v>3088</v>
      </c>
      <c r="AM8" s="73" t="s">
        <v>3088</v>
      </c>
      <c r="AN8" s="73" t="s">
        <v>3088</v>
      </c>
      <c r="AO8" s="73" t="s">
        <v>3088</v>
      </c>
      <c r="AP8" s="73" t="s">
        <v>3088</v>
      </c>
      <c r="AQ8" s="73" t="s">
        <v>3088</v>
      </c>
      <c r="AR8" s="73" t="s">
        <v>3088</v>
      </c>
      <c r="AS8" s="73" t="s">
        <v>3088</v>
      </c>
      <c r="AT8" s="73" t="s">
        <v>3088</v>
      </c>
      <c r="AU8" s="73" t="s">
        <v>3088</v>
      </c>
      <c r="AV8" s="73" t="s">
        <v>3088</v>
      </c>
      <c r="AW8" s="73" t="s">
        <v>3088</v>
      </c>
      <c r="AX8" s="73" t="s">
        <v>3088</v>
      </c>
      <c r="AY8" s="73" t="s">
        <v>3088</v>
      </c>
      <c r="AZ8" s="73" t="s">
        <v>3088</v>
      </c>
      <c r="BA8" s="73" t="s">
        <v>3088</v>
      </c>
      <c r="BB8" s="73" t="s">
        <v>3088</v>
      </c>
      <c r="BC8" s="73" t="s">
        <v>3088</v>
      </c>
      <c r="BD8" s="73" t="s">
        <v>3088</v>
      </c>
      <c r="BE8" s="73" t="s">
        <v>3088</v>
      </c>
      <c r="BF8" s="73" t="s">
        <v>3088</v>
      </c>
      <c r="BG8" s="73" t="s">
        <v>3088</v>
      </c>
      <c r="BH8" s="73" t="s">
        <v>3088</v>
      </c>
      <c r="BI8" s="73" t="s">
        <v>3088</v>
      </c>
      <c r="BJ8" s="73" t="s">
        <v>3088</v>
      </c>
      <c r="BK8" s="73" t="s">
        <v>3088</v>
      </c>
      <c r="BL8" s="73" t="s">
        <v>3088</v>
      </c>
      <c r="BM8" s="73" t="s">
        <v>3088</v>
      </c>
      <c r="BN8" s="73" t="s">
        <v>3088</v>
      </c>
      <c r="BO8" s="73" t="s">
        <v>3088</v>
      </c>
      <c r="BP8" s="73" t="s">
        <v>3088</v>
      </c>
      <c r="BQ8" s="73" t="s">
        <v>3679</v>
      </c>
      <c r="BR8" s="73" t="s">
        <v>3097</v>
      </c>
    </row>
    <row r="9" spans="1:70">
      <c r="A9" s="73" t="s">
        <v>1874</v>
      </c>
      <c r="B9" s="73" t="s">
        <v>2126</v>
      </c>
      <c r="C9" s="73" t="s">
        <v>3088</v>
      </c>
      <c r="D9" s="73" t="s">
        <v>3088</v>
      </c>
      <c r="E9" s="73" t="s">
        <v>3088</v>
      </c>
      <c r="F9" s="73" t="s">
        <v>3088</v>
      </c>
      <c r="G9" s="73" t="s">
        <v>3089</v>
      </c>
      <c r="H9" s="73" t="s">
        <v>3088</v>
      </c>
      <c r="I9" s="73" t="s">
        <v>108</v>
      </c>
      <c r="J9" s="73" t="s">
        <v>3088</v>
      </c>
      <c r="K9" s="73" t="s">
        <v>3088</v>
      </c>
      <c r="L9" s="73" t="s">
        <v>3088</v>
      </c>
      <c r="M9" s="73" t="s">
        <v>3088</v>
      </c>
      <c r="N9" s="73" t="s">
        <v>3088</v>
      </c>
      <c r="O9" s="73" t="s">
        <v>3088</v>
      </c>
      <c r="P9" s="73" t="s">
        <v>3088</v>
      </c>
      <c r="Q9" s="73" t="s">
        <v>3088</v>
      </c>
      <c r="R9" s="73" t="s">
        <v>3088</v>
      </c>
      <c r="S9" s="73" t="s">
        <v>3088</v>
      </c>
      <c r="T9" s="73" t="s">
        <v>3088</v>
      </c>
      <c r="U9" s="73" t="s">
        <v>3088</v>
      </c>
      <c r="V9" s="73" t="s">
        <v>3088</v>
      </c>
      <c r="W9" s="73" t="s">
        <v>3088</v>
      </c>
      <c r="X9" s="73" t="s">
        <v>3088</v>
      </c>
      <c r="Y9" s="73" t="s">
        <v>3088</v>
      </c>
      <c r="Z9" s="73" t="s">
        <v>3088</v>
      </c>
      <c r="AA9" s="73" t="s">
        <v>3088</v>
      </c>
      <c r="AB9" s="73" t="s">
        <v>3088</v>
      </c>
      <c r="AC9" s="73" t="s">
        <v>3088</v>
      </c>
      <c r="AD9" s="73" t="s">
        <v>3088</v>
      </c>
      <c r="AE9" s="73" t="s">
        <v>3088</v>
      </c>
      <c r="AF9" s="73" t="s">
        <v>3088</v>
      </c>
      <c r="AG9" s="73" t="s">
        <v>3088</v>
      </c>
      <c r="AH9" s="73" t="s">
        <v>3088</v>
      </c>
      <c r="AI9" s="73" t="s">
        <v>3088</v>
      </c>
      <c r="AJ9" s="73" t="s">
        <v>3088</v>
      </c>
      <c r="AK9" s="73" t="s">
        <v>3088</v>
      </c>
      <c r="AL9" s="73" t="s">
        <v>3088</v>
      </c>
      <c r="AM9" s="73" t="s">
        <v>3088</v>
      </c>
      <c r="AN9" s="73" t="s">
        <v>3088</v>
      </c>
      <c r="AO9" s="73" t="s">
        <v>3088</v>
      </c>
      <c r="AP9" s="73" t="s">
        <v>3088</v>
      </c>
      <c r="AQ9" s="73" t="s">
        <v>3088</v>
      </c>
      <c r="AR9" s="73" t="s">
        <v>3088</v>
      </c>
      <c r="AS9" s="73" t="s">
        <v>3088</v>
      </c>
      <c r="AT9" s="73" t="s">
        <v>3088</v>
      </c>
      <c r="AU9" s="73" t="s">
        <v>3088</v>
      </c>
      <c r="AV9" s="73" t="s">
        <v>3088</v>
      </c>
      <c r="AW9" s="73" t="s">
        <v>3088</v>
      </c>
      <c r="AX9" s="73" t="s">
        <v>3088</v>
      </c>
      <c r="AY9" s="73" t="s">
        <v>3088</v>
      </c>
      <c r="AZ9" s="73" t="s">
        <v>3088</v>
      </c>
      <c r="BA9" s="73" t="s">
        <v>3088</v>
      </c>
      <c r="BB9" s="73" t="s">
        <v>3088</v>
      </c>
      <c r="BC9" s="73" t="s">
        <v>3088</v>
      </c>
      <c r="BD9" s="73" t="s">
        <v>3088</v>
      </c>
      <c r="BE9" s="73" t="s">
        <v>3088</v>
      </c>
      <c r="BF9" s="73" t="s">
        <v>3088</v>
      </c>
      <c r="BG9" s="73" t="s">
        <v>3088</v>
      </c>
      <c r="BH9" s="73" t="s">
        <v>3088</v>
      </c>
      <c r="BI9" s="73" t="s">
        <v>3088</v>
      </c>
      <c r="BJ9" s="73" t="s">
        <v>3088</v>
      </c>
      <c r="BK9" s="73" t="s">
        <v>3088</v>
      </c>
      <c r="BL9" s="73" t="s">
        <v>3088</v>
      </c>
      <c r="BM9" s="73" t="s">
        <v>3088</v>
      </c>
      <c r="BN9" s="73" t="s">
        <v>3088</v>
      </c>
      <c r="BO9" s="73" t="s">
        <v>3088</v>
      </c>
      <c r="BP9" s="73" t="s">
        <v>3088</v>
      </c>
      <c r="BQ9" s="73" t="s">
        <v>3680</v>
      </c>
      <c r="BR9" s="73" t="s">
        <v>3088</v>
      </c>
    </row>
    <row r="10" spans="1:70">
      <c r="A10" s="73" t="s">
        <v>1874</v>
      </c>
      <c r="B10" s="73" t="s">
        <v>3681</v>
      </c>
      <c r="C10" s="73" t="s">
        <v>2124</v>
      </c>
      <c r="D10" s="73" t="s">
        <v>3088</v>
      </c>
      <c r="E10" s="73" t="s">
        <v>3088</v>
      </c>
      <c r="F10" s="73" t="s">
        <v>3088</v>
      </c>
      <c r="G10" s="73" t="s">
        <v>3089</v>
      </c>
      <c r="H10" s="73" t="s">
        <v>3088</v>
      </c>
      <c r="I10" s="73" t="s">
        <v>3093</v>
      </c>
      <c r="J10" s="73" t="s">
        <v>3088</v>
      </c>
      <c r="K10" s="73" t="s">
        <v>3088</v>
      </c>
      <c r="L10" s="73" t="s">
        <v>3088</v>
      </c>
      <c r="M10" s="73" t="s">
        <v>3088</v>
      </c>
      <c r="N10" s="73" t="s">
        <v>3088</v>
      </c>
      <c r="O10" s="73" t="s">
        <v>3088</v>
      </c>
      <c r="P10" s="73" t="s">
        <v>3088</v>
      </c>
      <c r="Q10" s="73" t="s">
        <v>3088</v>
      </c>
      <c r="R10" s="73" t="s">
        <v>3088</v>
      </c>
      <c r="S10" s="73" t="s">
        <v>3088</v>
      </c>
      <c r="T10" s="73" t="s">
        <v>3088</v>
      </c>
      <c r="U10" s="73" t="s">
        <v>3088</v>
      </c>
      <c r="V10" s="73" t="s">
        <v>3088</v>
      </c>
      <c r="W10" s="73" t="s">
        <v>3088</v>
      </c>
      <c r="X10" s="73" t="s">
        <v>3088</v>
      </c>
      <c r="Y10" s="73" t="s">
        <v>3088</v>
      </c>
      <c r="Z10" s="73" t="s">
        <v>3088</v>
      </c>
      <c r="AA10" s="73" t="s">
        <v>3088</v>
      </c>
      <c r="AB10" s="73" t="s">
        <v>3088</v>
      </c>
      <c r="AC10" s="73" t="s">
        <v>3088</v>
      </c>
      <c r="AD10" s="73" t="s">
        <v>3088</v>
      </c>
      <c r="AE10" s="73" t="s">
        <v>3088</v>
      </c>
      <c r="AF10" s="73" t="s">
        <v>3088</v>
      </c>
      <c r="AG10" s="73" t="s">
        <v>3088</v>
      </c>
      <c r="AH10" s="73" t="s">
        <v>3088</v>
      </c>
      <c r="AI10" s="73" t="s">
        <v>3088</v>
      </c>
      <c r="AJ10" s="73" t="s">
        <v>3088</v>
      </c>
      <c r="AK10" s="73" t="s">
        <v>3088</v>
      </c>
      <c r="AL10" s="73" t="s">
        <v>3088</v>
      </c>
      <c r="AM10" s="73" t="s">
        <v>3088</v>
      </c>
      <c r="AN10" s="73" t="s">
        <v>3088</v>
      </c>
      <c r="AO10" s="73" t="s">
        <v>3088</v>
      </c>
      <c r="AP10" s="73" t="s">
        <v>3088</v>
      </c>
      <c r="AQ10" s="73" t="s">
        <v>3088</v>
      </c>
      <c r="AR10" s="73" t="s">
        <v>3088</v>
      </c>
      <c r="AS10" s="73" t="s">
        <v>3088</v>
      </c>
      <c r="AT10" s="73" t="s">
        <v>3088</v>
      </c>
      <c r="AU10" s="73" t="s">
        <v>3088</v>
      </c>
      <c r="AV10" s="73" t="s">
        <v>3088</v>
      </c>
      <c r="AW10" s="73" t="s">
        <v>3088</v>
      </c>
      <c r="AX10" s="73" t="s">
        <v>3088</v>
      </c>
      <c r="AY10" s="73" t="s">
        <v>3088</v>
      </c>
      <c r="AZ10" s="73" t="s">
        <v>3088</v>
      </c>
      <c r="BA10" s="73" t="s">
        <v>3088</v>
      </c>
      <c r="BB10" s="73" t="s">
        <v>3088</v>
      </c>
      <c r="BC10" s="73" t="s">
        <v>3088</v>
      </c>
      <c r="BD10" s="73" t="s">
        <v>3088</v>
      </c>
      <c r="BE10" s="73" t="s">
        <v>3088</v>
      </c>
      <c r="BF10" s="73" t="s">
        <v>3088</v>
      </c>
      <c r="BG10" s="73" t="s">
        <v>3088</v>
      </c>
      <c r="BH10" s="73" t="s">
        <v>3088</v>
      </c>
      <c r="BI10" s="73" t="s">
        <v>3088</v>
      </c>
      <c r="BJ10" s="73" t="s">
        <v>3088</v>
      </c>
      <c r="BK10" s="73" t="s">
        <v>3088</v>
      </c>
      <c r="BL10" s="73" t="s">
        <v>3088</v>
      </c>
      <c r="BM10" s="73" t="s">
        <v>3088</v>
      </c>
      <c r="BN10" s="73" t="s">
        <v>3088</v>
      </c>
      <c r="BO10" s="73" t="s">
        <v>3088</v>
      </c>
      <c r="BP10" s="73" t="s">
        <v>3088</v>
      </c>
      <c r="BQ10" s="73" t="s">
        <v>3682</v>
      </c>
      <c r="BR10" s="73" t="s">
        <v>3088</v>
      </c>
    </row>
    <row r="11" spans="1:70">
      <c r="A11" s="73" t="s">
        <v>1874</v>
      </c>
      <c r="B11" s="73" t="s">
        <v>3683</v>
      </c>
      <c r="C11" s="73" t="s">
        <v>3684</v>
      </c>
      <c r="D11" s="73" t="s">
        <v>3088</v>
      </c>
      <c r="E11" s="73" t="s">
        <v>3088</v>
      </c>
      <c r="F11" s="73" t="s">
        <v>3088</v>
      </c>
      <c r="G11" s="73" t="s">
        <v>3089</v>
      </c>
      <c r="H11" s="73" t="s">
        <v>3088</v>
      </c>
      <c r="I11" s="73" t="s">
        <v>3093</v>
      </c>
      <c r="J11" s="73" t="s">
        <v>3088</v>
      </c>
      <c r="K11" s="73" t="s">
        <v>3088</v>
      </c>
      <c r="L11" s="73" t="s">
        <v>3088</v>
      </c>
      <c r="M11" s="73" t="s">
        <v>3088</v>
      </c>
      <c r="N11" s="73" t="s">
        <v>3088</v>
      </c>
      <c r="O11" s="73" t="s">
        <v>3088</v>
      </c>
      <c r="P11" s="73" t="s">
        <v>3088</v>
      </c>
      <c r="Q11" s="73" t="s">
        <v>3088</v>
      </c>
      <c r="R11" s="73" t="s">
        <v>3088</v>
      </c>
      <c r="S11" s="73" t="s">
        <v>3088</v>
      </c>
      <c r="T11" s="73" t="s">
        <v>3088</v>
      </c>
      <c r="U11" s="73" t="s">
        <v>3088</v>
      </c>
      <c r="V11" s="73" t="s">
        <v>3088</v>
      </c>
      <c r="W11" s="73" t="s">
        <v>3088</v>
      </c>
      <c r="X11" s="73" t="s">
        <v>3088</v>
      </c>
      <c r="Y11" s="73" t="s">
        <v>3088</v>
      </c>
      <c r="Z11" s="73" t="s">
        <v>3088</v>
      </c>
      <c r="AA11" s="73" t="s">
        <v>3088</v>
      </c>
      <c r="AB11" s="73" t="s">
        <v>3088</v>
      </c>
      <c r="AC11" s="73" t="s">
        <v>3088</v>
      </c>
      <c r="AD11" s="73" t="s">
        <v>3088</v>
      </c>
      <c r="AE11" s="73" t="s">
        <v>3088</v>
      </c>
      <c r="AF11" s="73" t="s">
        <v>3088</v>
      </c>
      <c r="AG11" s="73" t="s">
        <v>3088</v>
      </c>
      <c r="AH11" s="73" t="s">
        <v>3088</v>
      </c>
      <c r="AI11" s="73" t="s">
        <v>3088</v>
      </c>
      <c r="AJ11" s="73" t="s">
        <v>3088</v>
      </c>
      <c r="AK11" s="73" t="s">
        <v>3088</v>
      </c>
      <c r="AL11" s="73" t="s">
        <v>3088</v>
      </c>
      <c r="AM11" s="73" t="s">
        <v>3088</v>
      </c>
      <c r="AN11" s="73" t="s">
        <v>3088</v>
      </c>
      <c r="AO11" s="73" t="s">
        <v>3088</v>
      </c>
      <c r="AP11" s="73" t="s">
        <v>3088</v>
      </c>
      <c r="AQ11" s="73" t="s">
        <v>3088</v>
      </c>
      <c r="AR11" s="73" t="s">
        <v>3088</v>
      </c>
      <c r="AS11" s="73" t="s">
        <v>3088</v>
      </c>
      <c r="AT11" s="73" t="s">
        <v>3088</v>
      </c>
      <c r="AU11" s="73" t="s">
        <v>3088</v>
      </c>
      <c r="AV11" s="73" t="s">
        <v>3088</v>
      </c>
      <c r="AW11" s="73" t="s">
        <v>3088</v>
      </c>
      <c r="AX11" s="73" t="s">
        <v>3088</v>
      </c>
      <c r="AY11" s="73" t="s">
        <v>3088</v>
      </c>
      <c r="AZ11" s="73" t="s">
        <v>3088</v>
      </c>
      <c r="BA11" s="73" t="s">
        <v>3088</v>
      </c>
      <c r="BB11" s="73" t="s">
        <v>3088</v>
      </c>
      <c r="BC11" s="73" t="s">
        <v>3088</v>
      </c>
      <c r="BD11" s="73" t="s">
        <v>3088</v>
      </c>
      <c r="BE11" s="73" t="s">
        <v>3088</v>
      </c>
      <c r="BF11" s="73" t="s">
        <v>3088</v>
      </c>
      <c r="BG11" s="73" t="s">
        <v>3088</v>
      </c>
      <c r="BH11" s="73" t="s">
        <v>3088</v>
      </c>
      <c r="BI11" s="73" t="s">
        <v>3088</v>
      </c>
      <c r="BJ11" s="73" t="s">
        <v>3088</v>
      </c>
      <c r="BK11" s="73" t="s">
        <v>3088</v>
      </c>
      <c r="BL11" s="73" t="s">
        <v>3088</v>
      </c>
      <c r="BM11" s="73" t="s">
        <v>3088</v>
      </c>
      <c r="BN11" s="73" t="s">
        <v>3088</v>
      </c>
      <c r="BO11" s="73" t="s">
        <v>3088</v>
      </c>
      <c r="BP11" s="73" t="s">
        <v>3088</v>
      </c>
      <c r="BQ11" s="73" t="s">
        <v>3685</v>
      </c>
      <c r="BR11" s="73" t="s">
        <v>3088</v>
      </c>
    </row>
    <row r="12" spans="1:70">
      <c r="A12" s="73" t="s">
        <v>1874</v>
      </c>
      <c r="B12" s="73" t="s">
        <v>2313</v>
      </c>
      <c r="C12" s="73" t="s">
        <v>2314</v>
      </c>
      <c r="D12" s="73" t="s">
        <v>3088</v>
      </c>
      <c r="E12" s="73" t="s">
        <v>3088</v>
      </c>
      <c r="F12" s="73" t="s">
        <v>3088</v>
      </c>
      <c r="G12" s="73" t="s">
        <v>3089</v>
      </c>
      <c r="H12" s="73" t="s">
        <v>3088</v>
      </c>
      <c r="I12" s="73" t="s">
        <v>2309</v>
      </c>
      <c r="J12" s="73" t="s">
        <v>3088</v>
      </c>
      <c r="K12" s="73" t="s">
        <v>3088</v>
      </c>
      <c r="L12" s="73" t="s">
        <v>3088</v>
      </c>
      <c r="M12" s="73" t="s">
        <v>3088</v>
      </c>
      <c r="N12" s="73" t="s">
        <v>3088</v>
      </c>
      <c r="O12" s="73" t="s">
        <v>3088</v>
      </c>
      <c r="P12" s="73" t="s">
        <v>3088</v>
      </c>
      <c r="Q12" s="73" t="s">
        <v>3088</v>
      </c>
      <c r="R12" s="73" t="s">
        <v>3088</v>
      </c>
      <c r="S12" s="73" t="s">
        <v>3088</v>
      </c>
      <c r="T12" s="73" t="s">
        <v>3088</v>
      </c>
      <c r="U12" s="73" t="s">
        <v>3088</v>
      </c>
      <c r="V12" s="73" t="s">
        <v>3088</v>
      </c>
      <c r="W12" s="73" t="s">
        <v>3088</v>
      </c>
      <c r="X12" s="73" t="s">
        <v>3088</v>
      </c>
      <c r="Y12" s="73" t="s">
        <v>3088</v>
      </c>
      <c r="Z12" s="73" t="s">
        <v>3088</v>
      </c>
      <c r="AA12" s="73" t="s">
        <v>3088</v>
      </c>
      <c r="AB12" s="73" t="s">
        <v>3088</v>
      </c>
      <c r="AC12" s="73" t="s">
        <v>3088</v>
      </c>
      <c r="AD12" s="73" t="s">
        <v>3088</v>
      </c>
      <c r="AE12" s="73" t="s">
        <v>3088</v>
      </c>
      <c r="AF12" s="73" t="s">
        <v>3088</v>
      </c>
      <c r="AG12" s="73" t="s">
        <v>3088</v>
      </c>
      <c r="AH12" s="73" t="s">
        <v>3088</v>
      </c>
      <c r="AI12" s="73" t="s">
        <v>3088</v>
      </c>
      <c r="AJ12" s="73" t="s">
        <v>3088</v>
      </c>
      <c r="AK12" s="73" t="s">
        <v>3088</v>
      </c>
      <c r="AL12" s="73" t="s">
        <v>3088</v>
      </c>
      <c r="AM12" s="73" t="s">
        <v>3088</v>
      </c>
      <c r="AN12" s="73" t="s">
        <v>3088</v>
      </c>
      <c r="AO12" s="73" t="s">
        <v>3088</v>
      </c>
      <c r="AP12" s="73" t="s">
        <v>3088</v>
      </c>
      <c r="AQ12" s="73" t="s">
        <v>3088</v>
      </c>
      <c r="AR12" s="73" t="s">
        <v>3088</v>
      </c>
      <c r="AS12" s="73" t="s">
        <v>3088</v>
      </c>
      <c r="AT12" s="73" t="s">
        <v>3088</v>
      </c>
      <c r="AU12" s="73" t="s">
        <v>3088</v>
      </c>
      <c r="AV12" s="73" t="s">
        <v>3088</v>
      </c>
      <c r="AW12" s="73" t="s">
        <v>3088</v>
      </c>
      <c r="AX12" s="73" t="s">
        <v>3088</v>
      </c>
      <c r="AY12" s="73" t="s">
        <v>3088</v>
      </c>
      <c r="AZ12" s="73" t="s">
        <v>3088</v>
      </c>
      <c r="BA12" s="73" t="s">
        <v>3088</v>
      </c>
      <c r="BB12" s="73" t="s">
        <v>3088</v>
      </c>
      <c r="BC12" s="73" t="s">
        <v>3088</v>
      </c>
      <c r="BD12" s="73" t="s">
        <v>3088</v>
      </c>
      <c r="BE12" s="73" t="s">
        <v>3088</v>
      </c>
      <c r="BF12" s="73" t="s">
        <v>3088</v>
      </c>
      <c r="BG12" s="73" t="s">
        <v>3088</v>
      </c>
      <c r="BH12" s="73" t="s">
        <v>3088</v>
      </c>
      <c r="BI12" s="73" t="s">
        <v>3088</v>
      </c>
      <c r="BJ12" s="73" t="s">
        <v>3088</v>
      </c>
      <c r="BK12" s="73" t="s">
        <v>3088</v>
      </c>
      <c r="BL12" s="73" t="s">
        <v>3088</v>
      </c>
      <c r="BM12" s="73" t="s">
        <v>3088</v>
      </c>
      <c r="BN12" s="73" t="s">
        <v>3088</v>
      </c>
      <c r="BO12" s="73" t="s">
        <v>3088</v>
      </c>
      <c r="BP12" s="73" t="s">
        <v>3088</v>
      </c>
      <c r="BQ12" s="78" t="s">
        <v>3686</v>
      </c>
      <c r="BR12" s="73" t="s">
        <v>3088</v>
      </c>
    </row>
    <row r="13" spans="1:70">
      <c r="A13" s="73" t="s">
        <v>1874</v>
      </c>
      <c r="B13" s="73" t="s">
        <v>2315</v>
      </c>
      <c r="C13" s="73" t="s">
        <v>2314</v>
      </c>
      <c r="D13" s="73" t="s">
        <v>3088</v>
      </c>
      <c r="E13" s="73" t="s">
        <v>3088</v>
      </c>
      <c r="F13" s="73" t="s">
        <v>3088</v>
      </c>
      <c r="G13" s="73" t="s">
        <v>3089</v>
      </c>
      <c r="H13" s="73" t="s">
        <v>3088</v>
      </c>
      <c r="I13" s="73" t="s">
        <v>2309</v>
      </c>
      <c r="J13" s="73" t="s">
        <v>3088</v>
      </c>
      <c r="K13" s="73" t="s">
        <v>3088</v>
      </c>
      <c r="L13" s="73" t="s">
        <v>3088</v>
      </c>
      <c r="M13" s="73" t="s">
        <v>3088</v>
      </c>
      <c r="N13" s="73" t="s">
        <v>3088</v>
      </c>
      <c r="O13" s="73" t="s">
        <v>3088</v>
      </c>
      <c r="P13" s="73" t="s">
        <v>3088</v>
      </c>
      <c r="Q13" s="73" t="s">
        <v>3088</v>
      </c>
      <c r="R13" s="73" t="s">
        <v>3088</v>
      </c>
      <c r="S13" s="73" t="s">
        <v>3088</v>
      </c>
      <c r="T13" s="73" t="s">
        <v>3088</v>
      </c>
      <c r="U13" s="73" t="s">
        <v>3088</v>
      </c>
      <c r="V13" s="73" t="s">
        <v>3088</v>
      </c>
      <c r="W13" s="73" t="s">
        <v>3088</v>
      </c>
      <c r="X13" s="73" t="s">
        <v>3088</v>
      </c>
      <c r="Y13" s="73" t="s">
        <v>3088</v>
      </c>
      <c r="Z13" s="73" t="s">
        <v>3088</v>
      </c>
      <c r="AA13" s="73" t="s">
        <v>3088</v>
      </c>
      <c r="AB13" s="73" t="s">
        <v>3088</v>
      </c>
      <c r="AC13" s="73" t="s">
        <v>3088</v>
      </c>
      <c r="AD13" s="73" t="s">
        <v>3088</v>
      </c>
      <c r="AE13" s="73" t="s">
        <v>3088</v>
      </c>
      <c r="AF13" s="73" t="s">
        <v>3088</v>
      </c>
      <c r="AG13" s="73" t="s">
        <v>3088</v>
      </c>
      <c r="AH13" s="73" t="s">
        <v>3088</v>
      </c>
      <c r="AI13" s="73" t="s">
        <v>3088</v>
      </c>
      <c r="AJ13" s="73" t="s">
        <v>3088</v>
      </c>
      <c r="AK13" s="73" t="s">
        <v>3088</v>
      </c>
      <c r="AL13" s="73" t="s">
        <v>3088</v>
      </c>
      <c r="AM13" s="73" t="s">
        <v>3088</v>
      </c>
      <c r="AN13" s="73" t="s">
        <v>3088</v>
      </c>
      <c r="AO13" s="73" t="s">
        <v>3088</v>
      </c>
      <c r="AP13" s="73" t="s">
        <v>3088</v>
      </c>
      <c r="AQ13" s="73" t="s">
        <v>3088</v>
      </c>
      <c r="AR13" s="73" t="s">
        <v>3088</v>
      </c>
      <c r="AS13" s="73" t="s">
        <v>3088</v>
      </c>
      <c r="AT13" s="73" t="s">
        <v>3088</v>
      </c>
      <c r="AU13" s="73" t="s">
        <v>3088</v>
      </c>
      <c r="AV13" s="73" t="s">
        <v>3088</v>
      </c>
      <c r="AW13" s="73" t="s">
        <v>3088</v>
      </c>
      <c r="AX13" s="73" t="s">
        <v>3088</v>
      </c>
      <c r="AY13" s="73" t="s">
        <v>3088</v>
      </c>
      <c r="AZ13" s="73" t="s">
        <v>3088</v>
      </c>
      <c r="BA13" s="73" t="s">
        <v>3088</v>
      </c>
      <c r="BB13" s="73" t="s">
        <v>3088</v>
      </c>
      <c r="BC13" s="73" t="s">
        <v>3088</v>
      </c>
      <c r="BD13" s="73" t="s">
        <v>3088</v>
      </c>
      <c r="BE13" s="73" t="s">
        <v>3088</v>
      </c>
      <c r="BF13" s="73" t="s">
        <v>3088</v>
      </c>
      <c r="BG13" s="73" t="s">
        <v>3088</v>
      </c>
      <c r="BH13" s="73" t="s">
        <v>3088</v>
      </c>
      <c r="BI13" s="73" t="s">
        <v>3088</v>
      </c>
      <c r="BJ13" s="73" t="s">
        <v>3088</v>
      </c>
      <c r="BK13" s="73" t="s">
        <v>3088</v>
      </c>
      <c r="BL13" s="73" t="s">
        <v>3088</v>
      </c>
      <c r="BM13" s="73" t="s">
        <v>3088</v>
      </c>
      <c r="BN13" s="73" t="s">
        <v>3088</v>
      </c>
      <c r="BO13" s="73" t="s">
        <v>3088</v>
      </c>
      <c r="BP13" s="73" t="s">
        <v>3088</v>
      </c>
      <c r="BQ13" s="73" t="s">
        <v>3687</v>
      </c>
      <c r="BR13" s="73" t="s">
        <v>3088</v>
      </c>
    </row>
    <row r="14" spans="1:70">
      <c r="A14" s="73" t="s">
        <v>1874</v>
      </c>
      <c r="B14" s="73" t="s">
        <v>2316</v>
      </c>
      <c r="C14" s="73" t="s">
        <v>2124</v>
      </c>
      <c r="D14" s="73" t="s">
        <v>3088</v>
      </c>
      <c r="E14" s="73" t="s">
        <v>3088</v>
      </c>
      <c r="F14" s="73" t="s">
        <v>3088</v>
      </c>
      <c r="G14" s="73" t="s">
        <v>3089</v>
      </c>
      <c r="H14" s="73" t="s">
        <v>3088</v>
      </c>
      <c r="I14" s="73" t="s">
        <v>2309</v>
      </c>
      <c r="J14" s="73" t="s">
        <v>3088</v>
      </c>
      <c r="K14" s="73" t="s">
        <v>3088</v>
      </c>
      <c r="L14" s="73" t="s">
        <v>3088</v>
      </c>
      <c r="M14" s="73" t="s">
        <v>3088</v>
      </c>
      <c r="N14" s="73" t="s">
        <v>3088</v>
      </c>
      <c r="O14" s="73" t="s">
        <v>3088</v>
      </c>
      <c r="P14" s="73" t="s">
        <v>3088</v>
      </c>
      <c r="Q14" s="73" t="s">
        <v>3088</v>
      </c>
      <c r="R14" s="73" t="s">
        <v>3088</v>
      </c>
      <c r="S14" s="73" t="s">
        <v>3088</v>
      </c>
      <c r="T14" s="73" t="s">
        <v>3088</v>
      </c>
      <c r="U14" s="73" t="s">
        <v>3088</v>
      </c>
      <c r="V14" s="73" t="s">
        <v>3088</v>
      </c>
      <c r="W14" s="73" t="s">
        <v>3088</v>
      </c>
      <c r="X14" s="73" t="s">
        <v>3088</v>
      </c>
      <c r="Y14" s="73" t="s">
        <v>3088</v>
      </c>
      <c r="Z14" s="73" t="s">
        <v>3088</v>
      </c>
      <c r="AA14" s="73" t="s">
        <v>3088</v>
      </c>
      <c r="AB14" s="73" t="s">
        <v>3088</v>
      </c>
      <c r="AC14" s="73" t="s">
        <v>3088</v>
      </c>
      <c r="AD14" s="73" t="s">
        <v>3088</v>
      </c>
      <c r="AE14" s="73" t="s">
        <v>3088</v>
      </c>
      <c r="AF14" s="73" t="s">
        <v>3088</v>
      </c>
      <c r="AG14" s="73" t="s">
        <v>3088</v>
      </c>
      <c r="AH14" s="73" t="s">
        <v>3088</v>
      </c>
      <c r="AI14" s="73" t="s">
        <v>3088</v>
      </c>
      <c r="AJ14" s="73" t="s">
        <v>3088</v>
      </c>
      <c r="AK14" s="73" t="s">
        <v>3088</v>
      </c>
      <c r="AL14" s="73" t="s">
        <v>3088</v>
      </c>
      <c r="AM14" s="73" t="s">
        <v>3088</v>
      </c>
      <c r="AN14" s="73" t="s">
        <v>3088</v>
      </c>
      <c r="AO14" s="73" t="s">
        <v>3088</v>
      </c>
      <c r="AP14" s="73" t="s">
        <v>3088</v>
      </c>
      <c r="AQ14" s="73" t="s">
        <v>3088</v>
      </c>
      <c r="AR14" s="73" t="s">
        <v>3088</v>
      </c>
      <c r="AS14" s="73" t="s">
        <v>3088</v>
      </c>
      <c r="AT14" s="73" t="s">
        <v>3088</v>
      </c>
      <c r="AU14" s="73" t="s">
        <v>3088</v>
      </c>
      <c r="AV14" s="73" t="s">
        <v>3088</v>
      </c>
      <c r="AW14" s="73" t="s">
        <v>3088</v>
      </c>
      <c r="AX14" s="73" t="s">
        <v>3088</v>
      </c>
      <c r="AY14" s="73" t="s">
        <v>3088</v>
      </c>
      <c r="AZ14" s="73" t="s">
        <v>3088</v>
      </c>
      <c r="BA14" s="73" t="s">
        <v>3088</v>
      </c>
      <c r="BB14" s="73" t="s">
        <v>3088</v>
      </c>
      <c r="BC14" s="73" t="s">
        <v>3088</v>
      </c>
      <c r="BD14" s="73" t="s">
        <v>3088</v>
      </c>
      <c r="BE14" s="73" t="s">
        <v>3088</v>
      </c>
      <c r="BF14" s="73" t="s">
        <v>3088</v>
      </c>
      <c r="BG14" s="73" t="s">
        <v>3088</v>
      </c>
      <c r="BH14" s="73" t="s">
        <v>3088</v>
      </c>
      <c r="BI14" s="73" t="s">
        <v>3088</v>
      </c>
      <c r="BJ14" s="73" t="s">
        <v>3088</v>
      </c>
      <c r="BK14" s="73" t="s">
        <v>3088</v>
      </c>
      <c r="BL14" s="73" t="s">
        <v>3088</v>
      </c>
      <c r="BM14" s="73" t="s">
        <v>3088</v>
      </c>
      <c r="BN14" s="73" t="s">
        <v>3088</v>
      </c>
      <c r="BO14" s="73" t="s">
        <v>3088</v>
      </c>
      <c r="BP14" s="73" t="s">
        <v>3088</v>
      </c>
      <c r="BQ14" s="73" t="s">
        <v>3688</v>
      </c>
      <c r="BR14" s="73" t="s">
        <v>3088</v>
      </c>
    </row>
    <row r="15" spans="1:70">
      <c r="A15" s="73" t="s">
        <v>1875</v>
      </c>
      <c r="B15" s="73" t="s">
        <v>3689</v>
      </c>
      <c r="C15" s="73" t="s">
        <v>3690</v>
      </c>
      <c r="D15" s="73" t="s">
        <v>3088</v>
      </c>
      <c r="E15" s="73" t="s">
        <v>3088</v>
      </c>
      <c r="F15" s="73" t="s">
        <v>3088</v>
      </c>
      <c r="G15" s="73" t="s">
        <v>3089</v>
      </c>
      <c r="H15" s="73" t="s">
        <v>3088</v>
      </c>
      <c r="I15" s="73" t="s">
        <v>3113</v>
      </c>
      <c r="J15" s="73" t="s">
        <v>3180</v>
      </c>
      <c r="K15" s="73" t="s">
        <v>3089</v>
      </c>
      <c r="L15" s="73" t="s">
        <v>3088</v>
      </c>
      <c r="M15" s="73" t="s">
        <v>3088</v>
      </c>
      <c r="N15" s="73" t="s">
        <v>3088</v>
      </c>
      <c r="O15" s="73" t="s">
        <v>3088</v>
      </c>
      <c r="P15" s="73" t="s">
        <v>3088</v>
      </c>
      <c r="Q15" s="73" t="s">
        <v>3088</v>
      </c>
      <c r="R15" s="73" t="s">
        <v>3088</v>
      </c>
      <c r="S15" s="73" t="s">
        <v>3088</v>
      </c>
      <c r="T15" s="73" t="s">
        <v>3088</v>
      </c>
      <c r="U15" s="73" t="s">
        <v>3088</v>
      </c>
      <c r="V15" s="73" t="s">
        <v>3088</v>
      </c>
      <c r="W15" s="73" t="s">
        <v>3088</v>
      </c>
      <c r="X15" s="73" t="s">
        <v>3088</v>
      </c>
      <c r="Y15" s="73" t="s">
        <v>3088</v>
      </c>
      <c r="Z15" s="73" t="s">
        <v>3088</v>
      </c>
      <c r="AA15" s="73" t="s">
        <v>3088</v>
      </c>
      <c r="AB15" s="73" t="s">
        <v>3088</v>
      </c>
      <c r="AC15" s="73" t="s">
        <v>3088</v>
      </c>
      <c r="AD15" s="73" t="s">
        <v>3088</v>
      </c>
      <c r="AE15" s="73" t="s">
        <v>3088</v>
      </c>
      <c r="AF15" s="73" t="s">
        <v>3088</v>
      </c>
      <c r="AG15" s="73" t="s">
        <v>3088</v>
      </c>
      <c r="AH15" s="73" t="s">
        <v>3088</v>
      </c>
      <c r="AI15" s="73" t="s">
        <v>3088</v>
      </c>
      <c r="AJ15" s="73" t="s">
        <v>3088</v>
      </c>
      <c r="AK15" s="73" t="s">
        <v>3088</v>
      </c>
      <c r="AL15" s="73" t="s">
        <v>3088</v>
      </c>
      <c r="AM15" s="73" t="s">
        <v>3088</v>
      </c>
      <c r="AN15" s="73" t="s">
        <v>3088</v>
      </c>
      <c r="AO15" s="73" t="s">
        <v>3088</v>
      </c>
      <c r="AP15" s="73" t="s">
        <v>3088</v>
      </c>
      <c r="AQ15" s="73" t="s">
        <v>3088</v>
      </c>
      <c r="AR15" s="73" t="s">
        <v>3088</v>
      </c>
      <c r="AS15" s="73" t="s">
        <v>3088</v>
      </c>
      <c r="AT15" s="73" t="s">
        <v>3088</v>
      </c>
      <c r="AU15" s="73" t="s">
        <v>3088</v>
      </c>
      <c r="AV15" s="73" t="s">
        <v>3088</v>
      </c>
      <c r="AW15" s="73" t="s">
        <v>3088</v>
      </c>
      <c r="AX15" s="73" t="s">
        <v>3088</v>
      </c>
      <c r="AY15" s="73" t="s">
        <v>3088</v>
      </c>
      <c r="AZ15" s="73" t="s">
        <v>3088</v>
      </c>
      <c r="BA15" s="73" t="s">
        <v>3088</v>
      </c>
      <c r="BB15" s="73" t="s">
        <v>3088</v>
      </c>
      <c r="BC15" s="73" t="s">
        <v>3088</v>
      </c>
      <c r="BD15" s="73" t="s">
        <v>3088</v>
      </c>
      <c r="BE15" s="73" t="s">
        <v>3088</v>
      </c>
      <c r="BF15" s="73" t="s">
        <v>3088</v>
      </c>
      <c r="BG15" s="73" t="s">
        <v>3088</v>
      </c>
      <c r="BH15" s="73" t="s">
        <v>3088</v>
      </c>
      <c r="BI15" s="73" t="s">
        <v>3088</v>
      </c>
      <c r="BJ15" s="73" t="s">
        <v>3088</v>
      </c>
      <c r="BK15" s="73" t="s">
        <v>3088</v>
      </c>
      <c r="BL15" s="73" t="s">
        <v>3088</v>
      </c>
      <c r="BM15" s="73" t="s">
        <v>3088</v>
      </c>
      <c r="BN15" s="73" t="s">
        <v>3088</v>
      </c>
      <c r="BO15" s="73" t="s">
        <v>3088</v>
      </c>
      <c r="BP15" s="73" t="s">
        <v>3088</v>
      </c>
      <c r="BQ15" s="73" t="s">
        <v>3691</v>
      </c>
      <c r="BR15" s="73" t="s">
        <v>3088</v>
      </c>
    </row>
    <row r="16" spans="1:70">
      <c r="A16" s="73" t="s">
        <v>1875</v>
      </c>
      <c r="B16" s="73" t="s">
        <v>2128</v>
      </c>
      <c r="C16" s="73" t="s">
        <v>2129</v>
      </c>
      <c r="D16" s="73" t="s">
        <v>3088</v>
      </c>
      <c r="E16" s="73" t="s">
        <v>3088</v>
      </c>
      <c r="F16" s="73" t="s">
        <v>3088</v>
      </c>
      <c r="G16" s="73" t="s">
        <v>3089</v>
      </c>
      <c r="H16" s="73" t="s">
        <v>3088</v>
      </c>
      <c r="I16" s="73" t="s">
        <v>108</v>
      </c>
      <c r="J16" s="73" t="s">
        <v>3088</v>
      </c>
      <c r="K16" s="73" t="s">
        <v>3088</v>
      </c>
      <c r="L16" s="73" t="s">
        <v>3088</v>
      </c>
      <c r="M16" s="73" t="s">
        <v>3088</v>
      </c>
      <c r="N16" s="73" t="s">
        <v>3088</v>
      </c>
      <c r="O16" s="73" t="s">
        <v>3088</v>
      </c>
      <c r="P16" s="73" t="s">
        <v>3088</v>
      </c>
      <c r="Q16" s="73" t="s">
        <v>3088</v>
      </c>
      <c r="R16" s="73" t="s">
        <v>3088</v>
      </c>
      <c r="S16" s="73" t="s">
        <v>3088</v>
      </c>
      <c r="T16" s="73" t="s">
        <v>3088</v>
      </c>
      <c r="U16" s="73" t="s">
        <v>3088</v>
      </c>
      <c r="V16" s="73" t="s">
        <v>3088</v>
      </c>
      <c r="W16" s="73" t="s">
        <v>3088</v>
      </c>
      <c r="X16" s="73" t="s">
        <v>3088</v>
      </c>
      <c r="Y16" s="73" t="s">
        <v>3088</v>
      </c>
      <c r="Z16" s="73" t="s">
        <v>3088</v>
      </c>
      <c r="AA16" s="73" t="s">
        <v>3088</v>
      </c>
      <c r="AB16" s="73" t="s">
        <v>3088</v>
      </c>
      <c r="AC16" s="73" t="s">
        <v>3088</v>
      </c>
      <c r="AD16" s="73" t="s">
        <v>3088</v>
      </c>
      <c r="AE16" s="73" t="s">
        <v>3088</v>
      </c>
      <c r="AF16" s="73" t="s">
        <v>3088</v>
      </c>
      <c r="AG16" s="73" t="s">
        <v>3088</v>
      </c>
      <c r="AH16" s="73" t="s">
        <v>3088</v>
      </c>
      <c r="AI16" s="73" t="s">
        <v>3088</v>
      </c>
      <c r="AJ16" s="73" t="s">
        <v>3088</v>
      </c>
      <c r="AK16" s="73" t="s">
        <v>3088</v>
      </c>
      <c r="AL16" s="73" t="s">
        <v>3088</v>
      </c>
      <c r="AM16" s="73" t="s">
        <v>3088</v>
      </c>
      <c r="AN16" s="73" t="s">
        <v>3088</v>
      </c>
      <c r="AO16" s="73" t="s">
        <v>3088</v>
      </c>
      <c r="AP16" s="73" t="s">
        <v>3088</v>
      </c>
      <c r="AQ16" s="73" t="s">
        <v>3088</v>
      </c>
      <c r="AR16" s="73" t="s">
        <v>3088</v>
      </c>
      <c r="AS16" s="73" t="s">
        <v>3088</v>
      </c>
      <c r="AT16" s="73" t="s">
        <v>3088</v>
      </c>
      <c r="AU16" s="73" t="s">
        <v>3088</v>
      </c>
      <c r="AV16" s="73" t="s">
        <v>3088</v>
      </c>
      <c r="AW16" s="73" t="s">
        <v>3088</v>
      </c>
      <c r="AX16" s="73" t="s">
        <v>3088</v>
      </c>
      <c r="AY16" s="73" t="s">
        <v>3088</v>
      </c>
      <c r="AZ16" s="73" t="s">
        <v>3088</v>
      </c>
      <c r="BA16" s="73" t="s">
        <v>3088</v>
      </c>
      <c r="BB16" s="73" t="s">
        <v>3088</v>
      </c>
      <c r="BC16" s="73" t="s">
        <v>3088</v>
      </c>
      <c r="BD16" s="73" t="s">
        <v>3088</v>
      </c>
      <c r="BE16" s="73" t="s">
        <v>3088</v>
      </c>
      <c r="BF16" s="73" t="s">
        <v>3088</v>
      </c>
      <c r="BG16" s="73" t="s">
        <v>3088</v>
      </c>
      <c r="BH16" s="73" t="s">
        <v>3088</v>
      </c>
      <c r="BI16" s="73" t="s">
        <v>3088</v>
      </c>
      <c r="BJ16" s="73" t="s">
        <v>3088</v>
      </c>
      <c r="BK16" s="73" t="s">
        <v>3088</v>
      </c>
      <c r="BL16" s="73" t="s">
        <v>3088</v>
      </c>
      <c r="BM16" s="73" t="s">
        <v>3088</v>
      </c>
      <c r="BN16" s="73" t="s">
        <v>3088</v>
      </c>
      <c r="BO16" s="73" t="s">
        <v>3088</v>
      </c>
      <c r="BP16" s="73" t="s">
        <v>3088</v>
      </c>
      <c r="BQ16" s="73" t="s">
        <v>3692</v>
      </c>
      <c r="BR16" s="73" t="s">
        <v>3088</v>
      </c>
    </row>
    <row r="17" spans="1:70">
      <c r="A17" s="73" t="s">
        <v>1875</v>
      </c>
      <c r="B17" s="73" t="s">
        <v>2130</v>
      </c>
      <c r="C17" s="73" t="s">
        <v>2131</v>
      </c>
      <c r="D17" s="73" t="s">
        <v>3088</v>
      </c>
      <c r="E17" s="73" t="s">
        <v>3088</v>
      </c>
      <c r="F17" s="73" t="s">
        <v>3088</v>
      </c>
      <c r="G17" s="73" t="s">
        <v>3089</v>
      </c>
      <c r="H17" s="73" t="s">
        <v>3088</v>
      </c>
      <c r="I17" s="73" t="s">
        <v>108</v>
      </c>
      <c r="J17" s="73" t="s">
        <v>2132</v>
      </c>
      <c r="K17" s="73" t="s">
        <v>3089</v>
      </c>
      <c r="L17" s="73" t="s">
        <v>3088</v>
      </c>
      <c r="M17" s="73" t="s">
        <v>3088</v>
      </c>
      <c r="N17" s="73" t="s">
        <v>3088</v>
      </c>
      <c r="O17" s="73" t="s">
        <v>3088</v>
      </c>
      <c r="P17" s="73" t="s">
        <v>3088</v>
      </c>
      <c r="Q17" s="73" t="s">
        <v>3088</v>
      </c>
      <c r="R17" s="73" t="s">
        <v>3088</v>
      </c>
      <c r="S17" s="73" t="s">
        <v>3088</v>
      </c>
      <c r="T17" s="73" t="s">
        <v>3088</v>
      </c>
      <c r="U17" s="73" t="s">
        <v>3088</v>
      </c>
      <c r="V17" s="73" t="s">
        <v>3088</v>
      </c>
      <c r="W17" s="73" t="s">
        <v>3088</v>
      </c>
      <c r="X17" s="73" t="s">
        <v>3088</v>
      </c>
      <c r="Y17" s="73" t="s">
        <v>3088</v>
      </c>
      <c r="Z17" s="73" t="s">
        <v>3088</v>
      </c>
      <c r="AA17" s="73" t="s">
        <v>3088</v>
      </c>
      <c r="AB17" s="73" t="s">
        <v>3088</v>
      </c>
      <c r="AC17" s="73" t="s">
        <v>3088</v>
      </c>
      <c r="AD17" s="73" t="s">
        <v>3088</v>
      </c>
      <c r="AE17" s="73" t="s">
        <v>3088</v>
      </c>
      <c r="AF17" s="73" t="s">
        <v>3088</v>
      </c>
      <c r="AG17" s="73" t="s">
        <v>3088</v>
      </c>
      <c r="AH17" s="73" t="s">
        <v>3088</v>
      </c>
      <c r="AI17" s="73" t="s">
        <v>3088</v>
      </c>
      <c r="AJ17" s="73" t="s">
        <v>3088</v>
      </c>
      <c r="AK17" s="73" t="s">
        <v>3088</v>
      </c>
      <c r="AL17" s="73" t="s">
        <v>3088</v>
      </c>
      <c r="AM17" s="73" t="s">
        <v>3088</v>
      </c>
      <c r="AN17" s="73" t="s">
        <v>3088</v>
      </c>
      <c r="AO17" s="73" t="s">
        <v>3088</v>
      </c>
      <c r="AP17" s="73" t="s">
        <v>3088</v>
      </c>
      <c r="AQ17" s="73" t="s">
        <v>3088</v>
      </c>
      <c r="AR17" s="73" t="s">
        <v>3088</v>
      </c>
      <c r="AS17" s="73" t="s">
        <v>3088</v>
      </c>
      <c r="AT17" s="73" t="s">
        <v>3088</v>
      </c>
      <c r="AU17" s="73" t="s">
        <v>3088</v>
      </c>
      <c r="AV17" s="73" t="s">
        <v>3088</v>
      </c>
      <c r="AW17" s="73" t="s">
        <v>3088</v>
      </c>
      <c r="AX17" s="73" t="s">
        <v>3088</v>
      </c>
      <c r="AY17" s="73" t="s">
        <v>3088</v>
      </c>
      <c r="AZ17" s="73" t="s">
        <v>3088</v>
      </c>
      <c r="BA17" s="73" t="s">
        <v>3088</v>
      </c>
      <c r="BB17" s="73" t="s">
        <v>3088</v>
      </c>
      <c r="BC17" s="73" t="s">
        <v>3088</v>
      </c>
      <c r="BD17" s="73" t="s">
        <v>3088</v>
      </c>
      <c r="BE17" s="73" t="s">
        <v>3088</v>
      </c>
      <c r="BF17" s="73" t="s">
        <v>3088</v>
      </c>
      <c r="BG17" s="73" t="s">
        <v>3088</v>
      </c>
      <c r="BH17" s="73" t="s">
        <v>3088</v>
      </c>
      <c r="BI17" s="73" t="s">
        <v>3088</v>
      </c>
      <c r="BJ17" s="73" t="s">
        <v>3088</v>
      </c>
      <c r="BK17" s="73" t="s">
        <v>3088</v>
      </c>
      <c r="BL17" s="73" t="s">
        <v>3088</v>
      </c>
      <c r="BM17" s="73" t="s">
        <v>3088</v>
      </c>
      <c r="BN17" s="73" t="s">
        <v>3088</v>
      </c>
      <c r="BO17" s="73" t="s">
        <v>3088</v>
      </c>
      <c r="BP17" s="73" t="s">
        <v>3088</v>
      </c>
      <c r="BQ17" s="73" t="s">
        <v>3693</v>
      </c>
      <c r="BR17" s="73" t="s">
        <v>3088</v>
      </c>
    </row>
    <row r="18" spans="1:70">
      <c r="A18" s="73" t="s">
        <v>1875</v>
      </c>
      <c r="B18" s="73" t="s">
        <v>2133</v>
      </c>
      <c r="C18" s="73" t="s">
        <v>2131</v>
      </c>
      <c r="D18" s="73" t="s">
        <v>3088</v>
      </c>
      <c r="E18" s="73" t="s">
        <v>3088</v>
      </c>
      <c r="F18" s="73" t="s">
        <v>3088</v>
      </c>
      <c r="G18" s="73" t="s">
        <v>3089</v>
      </c>
      <c r="H18" s="73" t="s">
        <v>3088</v>
      </c>
      <c r="I18" s="73" t="s">
        <v>108</v>
      </c>
      <c r="J18" s="73" t="s">
        <v>3088</v>
      </c>
      <c r="K18" s="73" t="s">
        <v>3088</v>
      </c>
      <c r="L18" s="73" t="s">
        <v>3088</v>
      </c>
      <c r="M18" s="73" t="s">
        <v>3088</v>
      </c>
      <c r="N18" s="73" t="s">
        <v>3088</v>
      </c>
      <c r="O18" s="73" t="s">
        <v>3088</v>
      </c>
      <c r="P18" s="73" t="s">
        <v>3088</v>
      </c>
      <c r="Q18" s="73" t="s">
        <v>3088</v>
      </c>
      <c r="R18" s="73" t="s">
        <v>3088</v>
      </c>
      <c r="S18" s="73" t="s">
        <v>3088</v>
      </c>
      <c r="T18" s="73" t="s">
        <v>3088</v>
      </c>
      <c r="U18" s="73" t="s">
        <v>3088</v>
      </c>
      <c r="V18" s="73" t="s">
        <v>3088</v>
      </c>
      <c r="W18" s="73" t="s">
        <v>3088</v>
      </c>
      <c r="X18" s="73" t="s">
        <v>3088</v>
      </c>
      <c r="Y18" s="73" t="s">
        <v>3088</v>
      </c>
      <c r="Z18" s="73" t="s">
        <v>3088</v>
      </c>
      <c r="AA18" s="73" t="s">
        <v>3088</v>
      </c>
      <c r="AB18" s="73" t="s">
        <v>3088</v>
      </c>
      <c r="AC18" s="73" t="s">
        <v>3088</v>
      </c>
      <c r="AD18" s="73" t="s">
        <v>3088</v>
      </c>
      <c r="AE18" s="73" t="s">
        <v>3088</v>
      </c>
      <c r="AF18" s="73" t="s">
        <v>3088</v>
      </c>
      <c r="AG18" s="73" t="s">
        <v>3088</v>
      </c>
      <c r="AH18" s="73" t="s">
        <v>3088</v>
      </c>
      <c r="AI18" s="73" t="s">
        <v>3088</v>
      </c>
      <c r="AJ18" s="73" t="s">
        <v>3088</v>
      </c>
      <c r="AK18" s="73" t="s">
        <v>3088</v>
      </c>
      <c r="AL18" s="73" t="s">
        <v>3088</v>
      </c>
      <c r="AM18" s="73" t="s">
        <v>3088</v>
      </c>
      <c r="AN18" s="73" t="s">
        <v>3088</v>
      </c>
      <c r="AO18" s="73" t="s">
        <v>3088</v>
      </c>
      <c r="AP18" s="73" t="s">
        <v>3088</v>
      </c>
      <c r="AQ18" s="73" t="s">
        <v>3088</v>
      </c>
      <c r="AR18" s="73" t="s">
        <v>3088</v>
      </c>
      <c r="AS18" s="73" t="s">
        <v>3088</v>
      </c>
      <c r="AT18" s="73" t="s">
        <v>3088</v>
      </c>
      <c r="AU18" s="73" t="s">
        <v>3088</v>
      </c>
      <c r="AV18" s="73" t="s">
        <v>3088</v>
      </c>
      <c r="AW18" s="73" t="s">
        <v>3088</v>
      </c>
      <c r="AX18" s="73" t="s">
        <v>3088</v>
      </c>
      <c r="AY18" s="73" t="s">
        <v>3088</v>
      </c>
      <c r="AZ18" s="73" t="s">
        <v>3088</v>
      </c>
      <c r="BA18" s="73" t="s">
        <v>3088</v>
      </c>
      <c r="BB18" s="73" t="s">
        <v>3088</v>
      </c>
      <c r="BC18" s="73" t="s">
        <v>3088</v>
      </c>
      <c r="BD18" s="73" t="s">
        <v>3088</v>
      </c>
      <c r="BE18" s="73" t="s">
        <v>3088</v>
      </c>
      <c r="BF18" s="73" t="s">
        <v>3088</v>
      </c>
      <c r="BG18" s="73" t="s">
        <v>3088</v>
      </c>
      <c r="BH18" s="73" t="s">
        <v>3088</v>
      </c>
      <c r="BI18" s="73" t="s">
        <v>3088</v>
      </c>
      <c r="BJ18" s="73" t="s">
        <v>3088</v>
      </c>
      <c r="BK18" s="73" t="s">
        <v>3088</v>
      </c>
      <c r="BL18" s="73" t="s">
        <v>3088</v>
      </c>
      <c r="BM18" s="73" t="s">
        <v>3088</v>
      </c>
      <c r="BN18" s="73" t="s">
        <v>3088</v>
      </c>
      <c r="BO18" s="73" t="s">
        <v>3088</v>
      </c>
      <c r="BP18" s="73" t="s">
        <v>3088</v>
      </c>
      <c r="BQ18" s="73" t="s">
        <v>3694</v>
      </c>
      <c r="BR18" s="73" t="s">
        <v>3088</v>
      </c>
    </row>
    <row r="19" spans="1:70">
      <c r="A19" s="73" t="s">
        <v>1875</v>
      </c>
      <c r="B19" s="73" t="s">
        <v>2134</v>
      </c>
      <c r="C19" s="73" t="s">
        <v>3088</v>
      </c>
      <c r="D19" s="73" t="s">
        <v>3088</v>
      </c>
      <c r="E19" s="73" t="s">
        <v>3088</v>
      </c>
      <c r="F19" s="73" t="s">
        <v>3088</v>
      </c>
      <c r="G19" s="73" t="s">
        <v>3089</v>
      </c>
      <c r="H19" s="73" t="s">
        <v>3088</v>
      </c>
      <c r="I19" s="73" t="s">
        <v>2135</v>
      </c>
      <c r="J19" s="73" t="s">
        <v>2137</v>
      </c>
      <c r="K19" s="73" t="s">
        <v>3095</v>
      </c>
      <c r="L19" s="73" t="s">
        <v>3088</v>
      </c>
      <c r="M19" s="73" t="s">
        <v>3088</v>
      </c>
      <c r="N19" s="73" t="s">
        <v>3088</v>
      </c>
      <c r="O19" s="73" t="s">
        <v>3088</v>
      </c>
      <c r="P19" s="73" t="s">
        <v>3088</v>
      </c>
      <c r="Q19" s="73" t="s">
        <v>3088</v>
      </c>
      <c r="R19" s="73" t="s">
        <v>3088</v>
      </c>
      <c r="S19" s="73" t="s">
        <v>3088</v>
      </c>
      <c r="T19" s="73" t="s">
        <v>3088</v>
      </c>
      <c r="U19" s="73" t="s">
        <v>3088</v>
      </c>
      <c r="V19" s="73" t="s">
        <v>3088</v>
      </c>
      <c r="W19" s="73" t="s">
        <v>3088</v>
      </c>
      <c r="X19" s="73" t="s">
        <v>3088</v>
      </c>
      <c r="Y19" s="73" t="s">
        <v>3088</v>
      </c>
      <c r="Z19" s="73" t="s">
        <v>3088</v>
      </c>
      <c r="AA19" s="73" t="s">
        <v>3088</v>
      </c>
      <c r="AB19" s="73" t="s">
        <v>3088</v>
      </c>
      <c r="AC19" s="73" t="s">
        <v>3088</v>
      </c>
      <c r="AD19" s="73" t="s">
        <v>3088</v>
      </c>
      <c r="AE19" s="73" t="s">
        <v>3088</v>
      </c>
      <c r="AF19" s="73" t="s">
        <v>3088</v>
      </c>
      <c r="AG19" s="73" t="s">
        <v>3088</v>
      </c>
      <c r="AH19" s="73" t="s">
        <v>3088</v>
      </c>
      <c r="AI19" s="73" t="s">
        <v>3088</v>
      </c>
      <c r="AJ19" s="73" t="s">
        <v>3088</v>
      </c>
      <c r="AK19" s="73" t="s">
        <v>3088</v>
      </c>
      <c r="AL19" s="73" t="s">
        <v>3088</v>
      </c>
      <c r="AM19" s="73" t="s">
        <v>3088</v>
      </c>
      <c r="AN19" s="73" t="s">
        <v>3088</v>
      </c>
      <c r="AO19" s="73" t="s">
        <v>3088</v>
      </c>
      <c r="AP19" s="73" t="s">
        <v>3088</v>
      </c>
      <c r="AQ19" s="73" t="s">
        <v>3088</v>
      </c>
      <c r="AR19" s="73" t="s">
        <v>3088</v>
      </c>
      <c r="AS19" s="73" t="s">
        <v>3088</v>
      </c>
      <c r="AT19" s="73" t="s">
        <v>3088</v>
      </c>
      <c r="AU19" s="73" t="s">
        <v>3088</v>
      </c>
      <c r="AV19" s="73" t="s">
        <v>3088</v>
      </c>
      <c r="AW19" s="73" t="s">
        <v>3088</v>
      </c>
      <c r="AX19" s="73" t="s">
        <v>3088</v>
      </c>
      <c r="AY19" s="73" t="s">
        <v>3088</v>
      </c>
      <c r="AZ19" s="73" t="s">
        <v>3088</v>
      </c>
      <c r="BA19" s="73" t="s">
        <v>3088</v>
      </c>
      <c r="BB19" s="73" t="s">
        <v>3088</v>
      </c>
      <c r="BC19" s="73" t="s">
        <v>3088</v>
      </c>
      <c r="BD19" s="73" t="s">
        <v>3088</v>
      </c>
      <c r="BE19" s="73" t="s">
        <v>3088</v>
      </c>
      <c r="BF19" s="73" t="s">
        <v>3088</v>
      </c>
      <c r="BG19" s="73" t="s">
        <v>3088</v>
      </c>
      <c r="BH19" s="73" t="s">
        <v>3088</v>
      </c>
      <c r="BI19" s="73" t="s">
        <v>3088</v>
      </c>
      <c r="BJ19" s="73" t="s">
        <v>3088</v>
      </c>
      <c r="BK19" s="73" t="s">
        <v>3088</v>
      </c>
      <c r="BL19" s="73" t="s">
        <v>3088</v>
      </c>
      <c r="BM19" s="73" t="s">
        <v>3088</v>
      </c>
      <c r="BN19" s="73" t="s">
        <v>3088</v>
      </c>
      <c r="BO19" s="73" t="s">
        <v>3088</v>
      </c>
      <c r="BP19" s="73" t="s">
        <v>3088</v>
      </c>
      <c r="BQ19" s="73" t="s">
        <v>3695</v>
      </c>
      <c r="BR19" s="73" t="s">
        <v>3097</v>
      </c>
    </row>
    <row r="20" spans="1:70">
      <c r="A20" s="73" t="s">
        <v>1875</v>
      </c>
      <c r="B20" s="73" t="s">
        <v>2138</v>
      </c>
      <c r="C20" s="73" t="s">
        <v>2139</v>
      </c>
      <c r="D20" s="73" t="s">
        <v>3088</v>
      </c>
      <c r="E20" s="73" t="s">
        <v>3088</v>
      </c>
      <c r="F20" s="73" t="s">
        <v>3088</v>
      </c>
      <c r="G20" s="73" t="s">
        <v>3089</v>
      </c>
      <c r="H20" s="73" t="s">
        <v>3088</v>
      </c>
      <c r="I20" s="73" t="s">
        <v>108</v>
      </c>
      <c r="J20" s="73" t="s">
        <v>2140</v>
      </c>
      <c r="K20" s="73" t="s">
        <v>3089</v>
      </c>
      <c r="L20" s="73" t="s">
        <v>3088</v>
      </c>
      <c r="M20" s="73" t="s">
        <v>3088</v>
      </c>
      <c r="N20" s="73" t="s">
        <v>3088</v>
      </c>
      <c r="O20" s="73" t="s">
        <v>3088</v>
      </c>
      <c r="P20" s="73" t="s">
        <v>3088</v>
      </c>
      <c r="Q20" s="73" t="s">
        <v>3088</v>
      </c>
      <c r="R20" s="73" t="s">
        <v>3088</v>
      </c>
      <c r="S20" s="73" t="s">
        <v>3088</v>
      </c>
      <c r="T20" s="73" t="s">
        <v>3088</v>
      </c>
      <c r="U20" s="73" t="s">
        <v>3088</v>
      </c>
      <c r="V20" s="73" t="s">
        <v>3088</v>
      </c>
      <c r="W20" s="73" t="s">
        <v>3088</v>
      </c>
      <c r="X20" s="73" t="s">
        <v>3088</v>
      </c>
      <c r="Y20" s="73" t="s">
        <v>3088</v>
      </c>
      <c r="Z20" s="73" t="s">
        <v>3088</v>
      </c>
      <c r="AA20" s="73" t="s">
        <v>3088</v>
      </c>
      <c r="AB20" s="73" t="s">
        <v>3088</v>
      </c>
      <c r="AC20" s="73" t="s">
        <v>3088</v>
      </c>
      <c r="AD20" s="73" t="s">
        <v>3088</v>
      </c>
      <c r="AE20" s="73" t="s">
        <v>3088</v>
      </c>
      <c r="AF20" s="73" t="s">
        <v>3088</v>
      </c>
      <c r="AG20" s="73" t="s">
        <v>3088</v>
      </c>
      <c r="AH20" s="73" t="s">
        <v>3088</v>
      </c>
      <c r="AI20" s="73" t="s">
        <v>3088</v>
      </c>
      <c r="AJ20" s="73" t="s">
        <v>3088</v>
      </c>
      <c r="AK20" s="73" t="s">
        <v>3088</v>
      </c>
      <c r="AL20" s="73" t="s">
        <v>3088</v>
      </c>
      <c r="AM20" s="73" t="s">
        <v>3088</v>
      </c>
      <c r="AN20" s="73" t="s">
        <v>3088</v>
      </c>
      <c r="AO20" s="73" t="s">
        <v>3088</v>
      </c>
      <c r="AP20" s="73" t="s">
        <v>3088</v>
      </c>
      <c r="AQ20" s="73" t="s">
        <v>3088</v>
      </c>
      <c r="AR20" s="73" t="s">
        <v>3088</v>
      </c>
      <c r="AS20" s="73" t="s">
        <v>3088</v>
      </c>
      <c r="AT20" s="73" t="s">
        <v>3088</v>
      </c>
      <c r="AU20" s="73" t="s">
        <v>3088</v>
      </c>
      <c r="AV20" s="73" t="s">
        <v>3088</v>
      </c>
      <c r="AW20" s="73" t="s">
        <v>3088</v>
      </c>
      <c r="AX20" s="73" t="s">
        <v>3088</v>
      </c>
      <c r="AY20" s="73" t="s">
        <v>3088</v>
      </c>
      <c r="AZ20" s="73" t="s">
        <v>3088</v>
      </c>
      <c r="BA20" s="73" t="s">
        <v>3088</v>
      </c>
      <c r="BB20" s="73" t="s">
        <v>3088</v>
      </c>
      <c r="BC20" s="73" t="s">
        <v>3088</v>
      </c>
      <c r="BD20" s="73" t="s">
        <v>3088</v>
      </c>
      <c r="BE20" s="73" t="s">
        <v>3088</v>
      </c>
      <c r="BF20" s="73" t="s">
        <v>3088</v>
      </c>
      <c r="BG20" s="73" t="s">
        <v>3088</v>
      </c>
      <c r="BH20" s="73" t="s">
        <v>3088</v>
      </c>
      <c r="BI20" s="73" t="s">
        <v>3088</v>
      </c>
      <c r="BJ20" s="73" t="s">
        <v>3088</v>
      </c>
      <c r="BK20" s="73" t="s">
        <v>3088</v>
      </c>
      <c r="BL20" s="73" t="s">
        <v>3088</v>
      </c>
      <c r="BM20" s="73" t="s">
        <v>3088</v>
      </c>
      <c r="BN20" s="73" t="s">
        <v>3088</v>
      </c>
      <c r="BO20" s="73" t="s">
        <v>3088</v>
      </c>
      <c r="BP20" s="73" t="s">
        <v>3088</v>
      </c>
      <c r="BQ20" s="73" t="s">
        <v>3696</v>
      </c>
      <c r="BR20" s="73" t="s">
        <v>3088</v>
      </c>
    </row>
    <row r="21" spans="1:70">
      <c r="A21" s="73" t="s">
        <v>3697</v>
      </c>
      <c r="B21" s="73" t="s">
        <v>3698</v>
      </c>
      <c r="C21" s="73" t="s">
        <v>2143</v>
      </c>
      <c r="D21" s="73" t="s">
        <v>3088</v>
      </c>
      <c r="E21" s="73" t="s">
        <v>3088</v>
      </c>
      <c r="F21" s="73" t="s">
        <v>3088</v>
      </c>
      <c r="G21" s="73" t="s">
        <v>3089</v>
      </c>
      <c r="H21" s="73" t="s">
        <v>3088</v>
      </c>
      <c r="I21" s="73" t="s">
        <v>3122</v>
      </c>
      <c r="J21" s="73" t="s">
        <v>3699</v>
      </c>
      <c r="K21" s="73" t="s">
        <v>3095</v>
      </c>
      <c r="L21" s="73" t="s">
        <v>3113</v>
      </c>
      <c r="M21" s="73" t="s">
        <v>3699</v>
      </c>
      <c r="N21" s="73" t="s">
        <v>3095</v>
      </c>
      <c r="O21" s="73" t="s">
        <v>3088</v>
      </c>
      <c r="P21" s="73" t="s">
        <v>3088</v>
      </c>
      <c r="Q21" s="73" t="s">
        <v>3088</v>
      </c>
      <c r="R21" s="73" t="s">
        <v>3088</v>
      </c>
      <c r="S21" s="73" t="s">
        <v>3088</v>
      </c>
      <c r="T21" s="73" t="s">
        <v>3088</v>
      </c>
      <c r="U21" s="73" t="s">
        <v>3088</v>
      </c>
      <c r="V21" s="73" t="s">
        <v>3088</v>
      </c>
      <c r="W21" s="73" t="s">
        <v>3088</v>
      </c>
      <c r="X21" s="73" t="s">
        <v>3088</v>
      </c>
      <c r="Y21" s="73" t="s">
        <v>3088</v>
      </c>
      <c r="Z21" s="73" t="s">
        <v>3088</v>
      </c>
      <c r="AA21" s="73" t="s">
        <v>3088</v>
      </c>
      <c r="AB21" s="73" t="s">
        <v>3088</v>
      </c>
      <c r="AC21" s="73" t="s">
        <v>3088</v>
      </c>
      <c r="AD21" s="73" t="s">
        <v>3088</v>
      </c>
      <c r="AE21" s="73" t="s">
        <v>3088</v>
      </c>
      <c r="AF21" s="73" t="s">
        <v>3088</v>
      </c>
      <c r="AG21" s="73" t="s">
        <v>3088</v>
      </c>
      <c r="AH21" s="73" t="s">
        <v>3088</v>
      </c>
      <c r="AI21" s="73" t="s">
        <v>3088</v>
      </c>
      <c r="AJ21" s="73" t="s">
        <v>3088</v>
      </c>
      <c r="AK21" s="73" t="s">
        <v>3088</v>
      </c>
      <c r="AL21" s="73" t="s">
        <v>3088</v>
      </c>
      <c r="AM21" s="73" t="s">
        <v>3088</v>
      </c>
      <c r="AN21" s="73" t="s">
        <v>3088</v>
      </c>
      <c r="AO21" s="73" t="s">
        <v>3088</v>
      </c>
      <c r="AP21" s="73" t="s">
        <v>3088</v>
      </c>
      <c r="AQ21" s="73" t="s">
        <v>3088</v>
      </c>
      <c r="AR21" s="73" t="s">
        <v>3088</v>
      </c>
      <c r="AS21" s="73" t="s">
        <v>3088</v>
      </c>
      <c r="AT21" s="73" t="s">
        <v>3088</v>
      </c>
      <c r="AU21" s="73" t="s">
        <v>3088</v>
      </c>
      <c r="AV21" s="73" t="s">
        <v>3088</v>
      </c>
      <c r="AW21" s="73" t="s">
        <v>3088</v>
      </c>
      <c r="AX21" s="73" t="s">
        <v>3088</v>
      </c>
      <c r="AY21" s="73" t="s">
        <v>3088</v>
      </c>
      <c r="AZ21" s="73" t="s">
        <v>3088</v>
      </c>
      <c r="BA21" s="73" t="s">
        <v>3088</v>
      </c>
      <c r="BB21" s="73" t="s">
        <v>3088</v>
      </c>
      <c r="BC21" s="73" t="s">
        <v>3088</v>
      </c>
      <c r="BD21" s="73" t="s">
        <v>3088</v>
      </c>
      <c r="BE21" s="73" t="s">
        <v>3088</v>
      </c>
      <c r="BF21" s="73" t="s">
        <v>3088</v>
      </c>
      <c r="BG21" s="73" t="s">
        <v>3088</v>
      </c>
      <c r="BH21" s="73" t="s">
        <v>3088</v>
      </c>
      <c r="BI21" s="73" t="s">
        <v>3088</v>
      </c>
      <c r="BJ21" s="73" t="s">
        <v>3088</v>
      </c>
      <c r="BK21" s="73" t="s">
        <v>3088</v>
      </c>
      <c r="BL21" s="73" t="s">
        <v>3088</v>
      </c>
      <c r="BM21" s="73" t="s">
        <v>3088</v>
      </c>
      <c r="BN21" s="73" t="s">
        <v>3088</v>
      </c>
      <c r="BO21" s="73" t="s">
        <v>3088</v>
      </c>
      <c r="BP21" s="73" t="s">
        <v>3088</v>
      </c>
      <c r="BQ21" s="73" t="s">
        <v>3700</v>
      </c>
      <c r="BR21" s="73" t="s">
        <v>3097</v>
      </c>
    </row>
    <row r="22" spans="1:70">
      <c r="A22" s="73" t="s">
        <v>3697</v>
      </c>
      <c r="B22" s="73" t="s">
        <v>2142</v>
      </c>
      <c r="C22" s="73" t="s">
        <v>2143</v>
      </c>
      <c r="D22" s="73" t="s">
        <v>3088</v>
      </c>
      <c r="E22" s="73" t="s">
        <v>3088</v>
      </c>
      <c r="F22" s="73" t="s">
        <v>3088</v>
      </c>
      <c r="G22" s="73" t="s">
        <v>3089</v>
      </c>
      <c r="H22" s="73" t="s">
        <v>3088</v>
      </c>
      <c r="I22" s="73" t="s">
        <v>108</v>
      </c>
      <c r="J22" s="73" t="s">
        <v>3088</v>
      </c>
      <c r="K22" s="73" t="s">
        <v>3088</v>
      </c>
      <c r="L22" s="73" t="s">
        <v>3088</v>
      </c>
      <c r="M22" s="73" t="s">
        <v>3088</v>
      </c>
      <c r="N22" s="73" t="s">
        <v>3088</v>
      </c>
      <c r="O22" s="73" t="s">
        <v>3088</v>
      </c>
      <c r="P22" s="73" t="s">
        <v>3088</v>
      </c>
      <c r="Q22" s="73" t="s">
        <v>3088</v>
      </c>
      <c r="R22" s="73" t="s">
        <v>3088</v>
      </c>
      <c r="S22" s="73" t="s">
        <v>3088</v>
      </c>
      <c r="T22" s="73" t="s">
        <v>3088</v>
      </c>
      <c r="U22" s="73" t="s">
        <v>3088</v>
      </c>
      <c r="V22" s="73" t="s">
        <v>3088</v>
      </c>
      <c r="W22" s="73" t="s">
        <v>3088</v>
      </c>
      <c r="X22" s="73" t="s">
        <v>3088</v>
      </c>
      <c r="Y22" s="73" t="s">
        <v>3088</v>
      </c>
      <c r="Z22" s="73" t="s">
        <v>3088</v>
      </c>
      <c r="AA22" s="73" t="s">
        <v>3088</v>
      </c>
      <c r="AB22" s="73" t="s">
        <v>3088</v>
      </c>
      <c r="AC22" s="73" t="s">
        <v>3088</v>
      </c>
      <c r="AD22" s="73" t="s">
        <v>3088</v>
      </c>
      <c r="AE22" s="73" t="s">
        <v>3088</v>
      </c>
      <c r="AF22" s="73" t="s">
        <v>3088</v>
      </c>
      <c r="AG22" s="73" t="s">
        <v>3088</v>
      </c>
      <c r="AH22" s="73" t="s">
        <v>3088</v>
      </c>
      <c r="AI22" s="73" t="s">
        <v>3088</v>
      </c>
      <c r="AJ22" s="73" t="s">
        <v>3088</v>
      </c>
      <c r="AK22" s="73" t="s">
        <v>3088</v>
      </c>
      <c r="AL22" s="73" t="s">
        <v>3088</v>
      </c>
      <c r="AM22" s="73" t="s">
        <v>3088</v>
      </c>
      <c r="AN22" s="73" t="s">
        <v>3088</v>
      </c>
      <c r="AO22" s="73" t="s">
        <v>3088</v>
      </c>
      <c r="AP22" s="73" t="s">
        <v>3088</v>
      </c>
      <c r="AQ22" s="73" t="s">
        <v>3088</v>
      </c>
      <c r="AR22" s="73" t="s">
        <v>3088</v>
      </c>
      <c r="AS22" s="73" t="s">
        <v>3088</v>
      </c>
      <c r="AT22" s="73" t="s">
        <v>3088</v>
      </c>
      <c r="AU22" s="73" t="s">
        <v>3088</v>
      </c>
      <c r="AV22" s="73" t="s">
        <v>3088</v>
      </c>
      <c r="AW22" s="73" t="s">
        <v>3088</v>
      </c>
      <c r="AX22" s="73" t="s">
        <v>3088</v>
      </c>
      <c r="AY22" s="73" t="s">
        <v>3088</v>
      </c>
      <c r="AZ22" s="73" t="s">
        <v>3088</v>
      </c>
      <c r="BA22" s="73" t="s">
        <v>3088</v>
      </c>
      <c r="BB22" s="73" t="s">
        <v>3088</v>
      </c>
      <c r="BC22" s="73" t="s">
        <v>3088</v>
      </c>
      <c r="BD22" s="73" t="s">
        <v>3088</v>
      </c>
      <c r="BE22" s="73" t="s">
        <v>3088</v>
      </c>
      <c r="BF22" s="73" t="s">
        <v>3088</v>
      </c>
      <c r="BG22" s="73" t="s">
        <v>3088</v>
      </c>
      <c r="BH22" s="73" t="s">
        <v>3088</v>
      </c>
      <c r="BI22" s="73" t="s">
        <v>3088</v>
      </c>
      <c r="BJ22" s="73" t="s">
        <v>3088</v>
      </c>
      <c r="BK22" s="73" t="s">
        <v>3088</v>
      </c>
      <c r="BL22" s="73" t="s">
        <v>3088</v>
      </c>
      <c r="BM22" s="73" t="s">
        <v>3088</v>
      </c>
      <c r="BN22" s="73" t="s">
        <v>3088</v>
      </c>
      <c r="BO22" s="73" t="s">
        <v>3088</v>
      </c>
      <c r="BP22" s="73" t="s">
        <v>3088</v>
      </c>
      <c r="BQ22" s="73" t="s">
        <v>3701</v>
      </c>
      <c r="BR22" s="73" t="s">
        <v>3088</v>
      </c>
    </row>
    <row r="23" spans="1:70">
      <c r="A23" s="73" t="s">
        <v>3697</v>
      </c>
      <c r="B23" s="73" t="s">
        <v>2144</v>
      </c>
      <c r="C23" s="73" t="s">
        <v>2143</v>
      </c>
      <c r="D23" s="73" t="s">
        <v>3088</v>
      </c>
      <c r="E23" s="73" t="s">
        <v>3088</v>
      </c>
      <c r="F23" s="73" t="s">
        <v>3088</v>
      </c>
      <c r="G23" s="73" t="s">
        <v>3089</v>
      </c>
      <c r="H23" s="73" t="s">
        <v>3088</v>
      </c>
      <c r="I23" s="73" t="s">
        <v>108</v>
      </c>
      <c r="J23" s="73" t="s">
        <v>3088</v>
      </c>
      <c r="K23" s="73" t="s">
        <v>3088</v>
      </c>
      <c r="L23" s="73" t="s">
        <v>3098</v>
      </c>
      <c r="M23" s="73" t="s">
        <v>3088</v>
      </c>
      <c r="N23" s="73" t="s">
        <v>3088</v>
      </c>
      <c r="O23" s="73" t="s">
        <v>2463</v>
      </c>
      <c r="P23" s="73" t="s">
        <v>3088</v>
      </c>
      <c r="Q23" s="73" t="s">
        <v>3088</v>
      </c>
      <c r="R23" s="73" t="s">
        <v>3702</v>
      </c>
      <c r="S23" s="73" t="s">
        <v>3088</v>
      </c>
      <c r="T23" s="73" t="s">
        <v>3088</v>
      </c>
      <c r="U23" s="73" t="s">
        <v>3088</v>
      </c>
      <c r="V23" s="73" t="s">
        <v>3088</v>
      </c>
      <c r="W23" s="73" t="s">
        <v>3088</v>
      </c>
      <c r="X23" s="73" t="s">
        <v>3088</v>
      </c>
      <c r="Y23" s="73" t="s">
        <v>3088</v>
      </c>
      <c r="Z23" s="73" t="s">
        <v>3088</v>
      </c>
      <c r="AA23" s="73" t="s">
        <v>3088</v>
      </c>
      <c r="AB23" s="73" t="s">
        <v>3088</v>
      </c>
      <c r="AC23" s="73" t="s">
        <v>3088</v>
      </c>
      <c r="AD23" s="73" t="s">
        <v>3088</v>
      </c>
      <c r="AE23" s="73" t="s">
        <v>3088</v>
      </c>
      <c r="AF23" s="73" t="s">
        <v>3088</v>
      </c>
      <c r="AG23" s="73" t="s">
        <v>3088</v>
      </c>
      <c r="AH23" s="73" t="s">
        <v>3088</v>
      </c>
      <c r="AI23" s="73" t="s">
        <v>3088</v>
      </c>
      <c r="AJ23" s="73" t="s">
        <v>3088</v>
      </c>
      <c r="AK23" s="73" t="s">
        <v>3088</v>
      </c>
      <c r="AL23" s="73" t="s">
        <v>3088</v>
      </c>
      <c r="AM23" s="73" t="s">
        <v>3088</v>
      </c>
      <c r="AN23" s="73" t="s">
        <v>3088</v>
      </c>
      <c r="AO23" s="73" t="s">
        <v>3088</v>
      </c>
      <c r="AP23" s="73" t="s">
        <v>3088</v>
      </c>
      <c r="AQ23" s="73" t="s">
        <v>3088</v>
      </c>
      <c r="AR23" s="73" t="s">
        <v>3088</v>
      </c>
      <c r="AS23" s="73" t="s">
        <v>3088</v>
      </c>
      <c r="AT23" s="73" t="s">
        <v>3088</v>
      </c>
      <c r="AU23" s="73" t="s">
        <v>3088</v>
      </c>
      <c r="AV23" s="73" t="s">
        <v>3088</v>
      </c>
      <c r="AW23" s="73" t="s">
        <v>3088</v>
      </c>
      <c r="AX23" s="73" t="s">
        <v>3088</v>
      </c>
      <c r="AY23" s="73" t="s">
        <v>3088</v>
      </c>
      <c r="AZ23" s="73" t="s">
        <v>3088</v>
      </c>
      <c r="BA23" s="73" t="s">
        <v>3088</v>
      </c>
      <c r="BB23" s="73" t="s">
        <v>3088</v>
      </c>
      <c r="BC23" s="73" t="s">
        <v>3088</v>
      </c>
      <c r="BD23" s="73" t="s">
        <v>3088</v>
      </c>
      <c r="BE23" s="73" t="s">
        <v>3088</v>
      </c>
      <c r="BF23" s="73" t="s">
        <v>3088</v>
      </c>
      <c r="BG23" s="73" t="s">
        <v>3088</v>
      </c>
      <c r="BH23" s="73" t="s">
        <v>3088</v>
      </c>
      <c r="BI23" s="73" t="s">
        <v>3088</v>
      </c>
      <c r="BJ23" s="73" t="s">
        <v>3088</v>
      </c>
      <c r="BK23" s="73" t="s">
        <v>3088</v>
      </c>
      <c r="BL23" s="73" t="s">
        <v>3088</v>
      </c>
      <c r="BM23" s="73" t="s">
        <v>3088</v>
      </c>
      <c r="BN23" s="73" t="s">
        <v>3088</v>
      </c>
      <c r="BO23" s="73" t="s">
        <v>3088</v>
      </c>
      <c r="BP23" s="73" t="s">
        <v>3088</v>
      </c>
      <c r="BQ23" s="78" t="s">
        <v>3703</v>
      </c>
      <c r="BR23" s="73" t="s">
        <v>3088</v>
      </c>
    </row>
    <row r="24" spans="1:70">
      <c r="A24" s="73" t="s">
        <v>3697</v>
      </c>
      <c r="B24" s="73" t="s">
        <v>2146</v>
      </c>
      <c r="C24" s="73" t="s">
        <v>2143</v>
      </c>
      <c r="D24" s="73" t="s">
        <v>3088</v>
      </c>
      <c r="E24" s="73" t="s">
        <v>3088</v>
      </c>
      <c r="F24" s="73" t="s">
        <v>3088</v>
      </c>
      <c r="G24" s="73" t="s">
        <v>3089</v>
      </c>
      <c r="H24" s="73" t="s">
        <v>3088</v>
      </c>
      <c r="I24" s="73" t="s">
        <v>108</v>
      </c>
      <c r="J24" s="73" t="s">
        <v>3704</v>
      </c>
      <c r="K24" s="73" t="s">
        <v>3089</v>
      </c>
      <c r="L24" s="73" t="s">
        <v>3113</v>
      </c>
      <c r="M24" s="73" t="s">
        <v>3704</v>
      </c>
      <c r="N24" s="73" t="s">
        <v>3089</v>
      </c>
      <c r="O24" s="73" t="s">
        <v>3088</v>
      </c>
      <c r="P24" s="73" t="s">
        <v>3088</v>
      </c>
      <c r="Q24" s="73" t="s">
        <v>3088</v>
      </c>
      <c r="R24" s="73" t="s">
        <v>3088</v>
      </c>
      <c r="S24" s="73" t="s">
        <v>3088</v>
      </c>
      <c r="T24" s="73" t="s">
        <v>3088</v>
      </c>
      <c r="U24" s="73" t="s">
        <v>3088</v>
      </c>
      <c r="V24" s="73" t="s">
        <v>3088</v>
      </c>
      <c r="W24" s="73" t="s">
        <v>3088</v>
      </c>
      <c r="X24" s="73" t="s">
        <v>3088</v>
      </c>
      <c r="Y24" s="73" t="s">
        <v>3088</v>
      </c>
      <c r="Z24" s="73" t="s">
        <v>3088</v>
      </c>
      <c r="AA24" s="73" t="s">
        <v>3088</v>
      </c>
      <c r="AB24" s="73" t="s">
        <v>3088</v>
      </c>
      <c r="AC24" s="73" t="s">
        <v>3088</v>
      </c>
      <c r="AD24" s="73" t="s">
        <v>3088</v>
      </c>
      <c r="AE24" s="73" t="s">
        <v>3088</v>
      </c>
      <c r="AF24" s="73" t="s">
        <v>3088</v>
      </c>
      <c r="AG24" s="73" t="s">
        <v>3088</v>
      </c>
      <c r="AH24" s="73" t="s">
        <v>3088</v>
      </c>
      <c r="AI24" s="73" t="s">
        <v>3088</v>
      </c>
      <c r="AJ24" s="73" t="s">
        <v>3088</v>
      </c>
      <c r="AK24" s="73" t="s">
        <v>3088</v>
      </c>
      <c r="AL24" s="73" t="s">
        <v>3088</v>
      </c>
      <c r="AM24" s="73" t="s">
        <v>3088</v>
      </c>
      <c r="AN24" s="73" t="s">
        <v>3088</v>
      </c>
      <c r="AO24" s="73" t="s">
        <v>3088</v>
      </c>
      <c r="AP24" s="73" t="s">
        <v>3088</v>
      </c>
      <c r="AQ24" s="73" t="s">
        <v>3088</v>
      </c>
      <c r="AR24" s="73" t="s">
        <v>3088</v>
      </c>
      <c r="AS24" s="73" t="s">
        <v>3088</v>
      </c>
      <c r="AT24" s="73" t="s">
        <v>3088</v>
      </c>
      <c r="AU24" s="73" t="s">
        <v>3088</v>
      </c>
      <c r="AV24" s="73" t="s">
        <v>3088</v>
      </c>
      <c r="AW24" s="73" t="s">
        <v>3088</v>
      </c>
      <c r="AX24" s="73" t="s">
        <v>3088</v>
      </c>
      <c r="AY24" s="73" t="s">
        <v>3088</v>
      </c>
      <c r="AZ24" s="73" t="s">
        <v>3088</v>
      </c>
      <c r="BA24" s="73" t="s">
        <v>3088</v>
      </c>
      <c r="BB24" s="73" t="s">
        <v>3088</v>
      </c>
      <c r="BC24" s="73" t="s">
        <v>3088</v>
      </c>
      <c r="BD24" s="73" t="s">
        <v>3088</v>
      </c>
      <c r="BE24" s="73" t="s">
        <v>3088</v>
      </c>
      <c r="BF24" s="73" t="s">
        <v>3088</v>
      </c>
      <c r="BG24" s="73" t="s">
        <v>3088</v>
      </c>
      <c r="BH24" s="73" t="s">
        <v>3088</v>
      </c>
      <c r="BI24" s="73" t="s">
        <v>3088</v>
      </c>
      <c r="BJ24" s="73" t="s">
        <v>3088</v>
      </c>
      <c r="BK24" s="73" t="s">
        <v>3088</v>
      </c>
      <c r="BL24" s="73" t="s">
        <v>3088</v>
      </c>
      <c r="BM24" s="73" t="s">
        <v>3088</v>
      </c>
      <c r="BN24" s="73" t="s">
        <v>3088</v>
      </c>
      <c r="BO24" s="73" t="s">
        <v>3088</v>
      </c>
      <c r="BP24" s="73" t="s">
        <v>3088</v>
      </c>
      <c r="BQ24" s="73" t="s">
        <v>3705</v>
      </c>
      <c r="BR24" s="73" t="s">
        <v>3088</v>
      </c>
    </row>
    <row r="25" spans="1:70">
      <c r="A25" s="73" t="s">
        <v>3697</v>
      </c>
      <c r="B25" s="73" t="s">
        <v>3706</v>
      </c>
      <c r="C25" s="73" t="s">
        <v>2143</v>
      </c>
      <c r="D25" s="73" t="s">
        <v>3088</v>
      </c>
      <c r="E25" s="73" t="s">
        <v>3088</v>
      </c>
      <c r="F25" s="73" t="s">
        <v>3088</v>
      </c>
      <c r="G25" s="73" t="s">
        <v>3089</v>
      </c>
      <c r="H25" s="73" t="s">
        <v>3088</v>
      </c>
      <c r="I25" s="73" t="s">
        <v>3093</v>
      </c>
      <c r="J25" s="73" t="s">
        <v>3088</v>
      </c>
      <c r="K25" s="73" t="s">
        <v>3088</v>
      </c>
      <c r="L25" s="73" t="s">
        <v>3088</v>
      </c>
      <c r="M25" s="73" t="s">
        <v>3088</v>
      </c>
      <c r="N25" s="73" t="s">
        <v>3088</v>
      </c>
      <c r="O25" s="73" t="s">
        <v>3088</v>
      </c>
      <c r="P25" s="73" t="s">
        <v>3088</v>
      </c>
      <c r="Q25" s="73" t="s">
        <v>3088</v>
      </c>
      <c r="R25" s="73" t="s">
        <v>3088</v>
      </c>
      <c r="S25" s="73" t="s">
        <v>3088</v>
      </c>
      <c r="T25" s="73" t="s">
        <v>3088</v>
      </c>
      <c r="U25" s="73" t="s">
        <v>3088</v>
      </c>
      <c r="V25" s="73" t="s">
        <v>3088</v>
      </c>
      <c r="W25" s="73" t="s">
        <v>3088</v>
      </c>
      <c r="X25" s="73" t="s">
        <v>3088</v>
      </c>
      <c r="Y25" s="73" t="s">
        <v>3088</v>
      </c>
      <c r="Z25" s="73" t="s">
        <v>3088</v>
      </c>
      <c r="AA25" s="73" t="s">
        <v>3088</v>
      </c>
      <c r="AB25" s="73" t="s">
        <v>3088</v>
      </c>
      <c r="AC25" s="73" t="s">
        <v>3088</v>
      </c>
      <c r="AD25" s="73" t="s">
        <v>3088</v>
      </c>
      <c r="AE25" s="73" t="s">
        <v>3088</v>
      </c>
      <c r="AF25" s="73" t="s">
        <v>3088</v>
      </c>
      <c r="AG25" s="73" t="s">
        <v>3088</v>
      </c>
      <c r="AH25" s="73" t="s">
        <v>3088</v>
      </c>
      <c r="AI25" s="73" t="s">
        <v>3088</v>
      </c>
      <c r="AJ25" s="73" t="s">
        <v>3088</v>
      </c>
      <c r="AK25" s="73" t="s">
        <v>3088</v>
      </c>
      <c r="AL25" s="73" t="s">
        <v>3088</v>
      </c>
      <c r="AM25" s="73" t="s">
        <v>3088</v>
      </c>
      <c r="AN25" s="73" t="s">
        <v>3088</v>
      </c>
      <c r="AO25" s="73" t="s">
        <v>3088</v>
      </c>
      <c r="AP25" s="73" t="s">
        <v>3088</v>
      </c>
      <c r="AQ25" s="73" t="s">
        <v>3088</v>
      </c>
      <c r="AR25" s="73" t="s">
        <v>3088</v>
      </c>
      <c r="AS25" s="73" t="s">
        <v>3088</v>
      </c>
      <c r="AT25" s="73" t="s">
        <v>3088</v>
      </c>
      <c r="AU25" s="73" t="s">
        <v>3088</v>
      </c>
      <c r="AV25" s="73" t="s">
        <v>3088</v>
      </c>
      <c r="AW25" s="73" t="s">
        <v>3088</v>
      </c>
      <c r="AX25" s="73" t="s">
        <v>3088</v>
      </c>
      <c r="AY25" s="73" t="s">
        <v>3088</v>
      </c>
      <c r="AZ25" s="73" t="s">
        <v>3088</v>
      </c>
      <c r="BA25" s="73" t="s">
        <v>3088</v>
      </c>
      <c r="BB25" s="73" t="s">
        <v>3088</v>
      </c>
      <c r="BC25" s="73" t="s">
        <v>3088</v>
      </c>
      <c r="BD25" s="73" t="s">
        <v>3088</v>
      </c>
      <c r="BE25" s="73" t="s">
        <v>3088</v>
      </c>
      <c r="BF25" s="73" t="s">
        <v>3088</v>
      </c>
      <c r="BG25" s="73" t="s">
        <v>3088</v>
      </c>
      <c r="BH25" s="73" t="s">
        <v>3088</v>
      </c>
      <c r="BI25" s="73" t="s">
        <v>3088</v>
      </c>
      <c r="BJ25" s="73" t="s">
        <v>3088</v>
      </c>
      <c r="BK25" s="73" t="s">
        <v>3088</v>
      </c>
      <c r="BL25" s="73" t="s">
        <v>3088</v>
      </c>
      <c r="BM25" s="73" t="s">
        <v>3088</v>
      </c>
      <c r="BN25" s="73" t="s">
        <v>3088</v>
      </c>
      <c r="BO25" s="73" t="s">
        <v>3088</v>
      </c>
      <c r="BP25" s="73" t="s">
        <v>3088</v>
      </c>
      <c r="BQ25" s="73" t="s">
        <v>3707</v>
      </c>
      <c r="BR25" s="73" t="s">
        <v>3088</v>
      </c>
    </row>
    <row r="26" spans="1:70">
      <c r="A26" s="73" t="s">
        <v>3697</v>
      </c>
      <c r="B26" s="73" t="s">
        <v>3708</v>
      </c>
      <c r="C26" s="73" t="s">
        <v>2143</v>
      </c>
      <c r="D26" s="73" t="s">
        <v>3088</v>
      </c>
      <c r="E26" s="73" t="s">
        <v>3088</v>
      </c>
      <c r="F26" s="73" t="s">
        <v>3088</v>
      </c>
      <c r="G26" s="73" t="s">
        <v>3089</v>
      </c>
      <c r="H26" s="73" t="s">
        <v>3088</v>
      </c>
      <c r="I26" s="73" t="s">
        <v>3093</v>
      </c>
      <c r="J26" s="73" t="s">
        <v>3088</v>
      </c>
      <c r="K26" s="73" t="s">
        <v>3088</v>
      </c>
      <c r="L26" s="73" t="s">
        <v>3088</v>
      </c>
      <c r="M26" s="73" t="s">
        <v>3088</v>
      </c>
      <c r="N26" s="73" t="s">
        <v>3088</v>
      </c>
      <c r="O26" s="73" t="s">
        <v>3088</v>
      </c>
      <c r="P26" s="73" t="s">
        <v>3088</v>
      </c>
      <c r="Q26" s="73" t="s">
        <v>3088</v>
      </c>
      <c r="R26" s="73" t="s">
        <v>3088</v>
      </c>
      <c r="S26" s="73" t="s">
        <v>3088</v>
      </c>
      <c r="T26" s="73" t="s">
        <v>3088</v>
      </c>
      <c r="U26" s="73" t="s">
        <v>3088</v>
      </c>
      <c r="V26" s="73" t="s">
        <v>3088</v>
      </c>
      <c r="W26" s="73" t="s">
        <v>3088</v>
      </c>
      <c r="X26" s="73" t="s">
        <v>3088</v>
      </c>
      <c r="Y26" s="73" t="s">
        <v>3088</v>
      </c>
      <c r="Z26" s="73" t="s">
        <v>3088</v>
      </c>
      <c r="AA26" s="73" t="s">
        <v>3088</v>
      </c>
      <c r="AB26" s="73" t="s">
        <v>3088</v>
      </c>
      <c r="AC26" s="73" t="s">
        <v>3088</v>
      </c>
      <c r="AD26" s="73" t="s">
        <v>3088</v>
      </c>
      <c r="AE26" s="73" t="s">
        <v>3088</v>
      </c>
      <c r="AF26" s="73" t="s">
        <v>3088</v>
      </c>
      <c r="AG26" s="73" t="s">
        <v>3088</v>
      </c>
      <c r="AH26" s="73" t="s">
        <v>3088</v>
      </c>
      <c r="AI26" s="73" t="s">
        <v>3088</v>
      </c>
      <c r="AJ26" s="73" t="s">
        <v>3088</v>
      </c>
      <c r="AK26" s="73" t="s">
        <v>3088</v>
      </c>
      <c r="AL26" s="73" t="s">
        <v>3088</v>
      </c>
      <c r="AM26" s="73" t="s">
        <v>3088</v>
      </c>
      <c r="AN26" s="73" t="s">
        <v>3088</v>
      </c>
      <c r="AO26" s="73" t="s">
        <v>3088</v>
      </c>
      <c r="AP26" s="73" t="s">
        <v>3088</v>
      </c>
      <c r="AQ26" s="73" t="s">
        <v>3088</v>
      </c>
      <c r="AR26" s="73" t="s">
        <v>3088</v>
      </c>
      <c r="AS26" s="73" t="s">
        <v>3088</v>
      </c>
      <c r="AT26" s="73" t="s">
        <v>3088</v>
      </c>
      <c r="AU26" s="73" t="s">
        <v>3088</v>
      </c>
      <c r="AV26" s="73" t="s">
        <v>3088</v>
      </c>
      <c r="AW26" s="73" t="s">
        <v>3088</v>
      </c>
      <c r="AX26" s="73" t="s">
        <v>3088</v>
      </c>
      <c r="AY26" s="73" t="s">
        <v>3088</v>
      </c>
      <c r="AZ26" s="73" t="s">
        <v>3088</v>
      </c>
      <c r="BA26" s="73" t="s">
        <v>3088</v>
      </c>
      <c r="BB26" s="73" t="s">
        <v>3088</v>
      </c>
      <c r="BC26" s="73" t="s">
        <v>3088</v>
      </c>
      <c r="BD26" s="73" t="s">
        <v>3088</v>
      </c>
      <c r="BE26" s="73" t="s">
        <v>3088</v>
      </c>
      <c r="BF26" s="73" t="s">
        <v>3088</v>
      </c>
      <c r="BG26" s="73" t="s">
        <v>3088</v>
      </c>
      <c r="BH26" s="73" t="s">
        <v>3088</v>
      </c>
      <c r="BI26" s="73" t="s">
        <v>3088</v>
      </c>
      <c r="BJ26" s="73" t="s">
        <v>3088</v>
      </c>
      <c r="BK26" s="73" t="s">
        <v>3088</v>
      </c>
      <c r="BL26" s="73" t="s">
        <v>3088</v>
      </c>
      <c r="BM26" s="73" t="s">
        <v>3088</v>
      </c>
      <c r="BN26" s="73" t="s">
        <v>3088</v>
      </c>
      <c r="BO26" s="73" t="s">
        <v>3088</v>
      </c>
      <c r="BP26" s="73" t="s">
        <v>3088</v>
      </c>
      <c r="BQ26" s="73" t="s">
        <v>3709</v>
      </c>
      <c r="BR26" s="73" t="s">
        <v>3088</v>
      </c>
    </row>
    <row r="27" spans="1:70">
      <c r="A27" s="73" t="s">
        <v>3697</v>
      </c>
      <c r="B27" s="73" t="s">
        <v>2149</v>
      </c>
      <c r="C27" s="73" t="s">
        <v>2143</v>
      </c>
      <c r="D27" s="73" t="s">
        <v>3088</v>
      </c>
      <c r="E27" s="73" t="s">
        <v>3088</v>
      </c>
      <c r="F27" s="73" t="s">
        <v>3088</v>
      </c>
      <c r="G27" s="73" t="s">
        <v>3089</v>
      </c>
      <c r="H27" s="73" t="s">
        <v>3088</v>
      </c>
      <c r="I27" s="73" t="s">
        <v>108</v>
      </c>
      <c r="J27" s="73" t="s">
        <v>3088</v>
      </c>
      <c r="K27" s="73" t="s">
        <v>3088</v>
      </c>
      <c r="L27" s="73" t="s">
        <v>3088</v>
      </c>
      <c r="M27" s="73" t="s">
        <v>3088</v>
      </c>
      <c r="N27" s="73" t="s">
        <v>3088</v>
      </c>
      <c r="O27" s="73" t="s">
        <v>3088</v>
      </c>
      <c r="P27" s="73" t="s">
        <v>3088</v>
      </c>
      <c r="Q27" s="73" t="s">
        <v>3088</v>
      </c>
      <c r="R27" s="73" t="s">
        <v>3088</v>
      </c>
      <c r="S27" s="73" t="s">
        <v>3088</v>
      </c>
      <c r="T27" s="73" t="s">
        <v>3088</v>
      </c>
      <c r="U27" s="73" t="s">
        <v>3088</v>
      </c>
      <c r="V27" s="73" t="s">
        <v>3088</v>
      </c>
      <c r="W27" s="73" t="s">
        <v>3088</v>
      </c>
      <c r="X27" s="73" t="s">
        <v>3088</v>
      </c>
      <c r="Y27" s="73" t="s">
        <v>3088</v>
      </c>
      <c r="Z27" s="73" t="s">
        <v>3088</v>
      </c>
      <c r="AA27" s="73" t="s">
        <v>3088</v>
      </c>
      <c r="AB27" s="73" t="s">
        <v>3088</v>
      </c>
      <c r="AC27" s="73" t="s">
        <v>3088</v>
      </c>
      <c r="AD27" s="73" t="s">
        <v>3088</v>
      </c>
      <c r="AE27" s="73" t="s">
        <v>3088</v>
      </c>
      <c r="AF27" s="73" t="s">
        <v>3088</v>
      </c>
      <c r="AG27" s="73" t="s">
        <v>3088</v>
      </c>
      <c r="AH27" s="73" t="s">
        <v>3088</v>
      </c>
      <c r="AI27" s="73" t="s">
        <v>3088</v>
      </c>
      <c r="AJ27" s="73" t="s">
        <v>3088</v>
      </c>
      <c r="AK27" s="73" t="s">
        <v>3088</v>
      </c>
      <c r="AL27" s="73" t="s">
        <v>3088</v>
      </c>
      <c r="AM27" s="73" t="s">
        <v>3088</v>
      </c>
      <c r="AN27" s="73" t="s">
        <v>3088</v>
      </c>
      <c r="AO27" s="73" t="s">
        <v>3088</v>
      </c>
      <c r="AP27" s="73" t="s">
        <v>3088</v>
      </c>
      <c r="AQ27" s="73" t="s">
        <v>3088</v>
      </c>
      <c r="AR27" s="73" t="s">
        <v>3088</v>
      </c>
      <c r="AS27" s="73" t="s">
        <v>3088</v>
      </c>
      <c r="AT27" s="73" t="s">
        <v>3088</v>
      </c>
      <c r="AU27" s="73" t="s">
        <v>3088</v>
      </c>
      <c r="AV27" s="73" t="s">
        <v>3088</v>
      </c>
      <c r="AW27" s="73" t="s">
        <v>3088</v>
      </c>
      <c r="AX27" s="73" t="s">
        <v>3088</v>
      </c>
      <c r="AY27" s="73" t="s">
        <v>3088</v>
      </c>
      <c r="AZ27" s="73" t="s">
        <v>3088</v>
      </c>
      <c r="BA27" s="73" t="s">
        <v>3088</v>
      </c>
      <c r="BB27" s="73" t="s">
        <v>3088</v>
      </c>
      <c r="BC27" s="73" t="s">
        <v>3088</v>
      </c>
      <c r="BD27" s="73" t="s">
        <v>3088</v>
      </c>
      <c r="BE27" s="73" t="s">
        <v>3088</v>
      </c>
      <c r="BF27" s="73" t="s">
        <v>3088</v>
      </c>
      <c r="BG27" s="73" t="s">
        <v>3088</v>
      </c>
      <c r="BH27" s="73" t="s">
        <v>3088</v>
      </c>
      <c r="BI27" s="73" t="s">
        <v>3088</v>
      </c>
      <c r="BJ27" s="73" t="s">
        <v>3088</v>
      </c>
      <c r="BK27" s="73" t="s">
        <v>3088</v>
      </c>
      <c r="BL27" s="73" t="s">
        <v>3088</v>
      </c>
      <c r="BM27" s="73" t="s">
        <v>3088</v>
      </c>
      <c r="BN27" s="73" t="s">
        <v>3088</v>
      </c>
      <c r="BO27" s="73" t="s">
        <v>3088</v>
      </c>
      <c r="BP27" s="73" t="s">
        <v>3088</v>
      </c>
      <c r="BQ27" s="73" t="s">
        <v>3710</v>
      </c>
      <c r="BR27" s="73" t="s">
        <v>3088</v>
      </c>
    </row>
    <row r="28" spans="1:70">
      <c r="A28" s="73" t="s">
        <v>1881</v>
      </c>
      <c r="B28" s="73" t="s">
        <v>2465</v>
      </c>
      <c r="C28" s="73" t="s">
        <v>2248</v>
      </c>
      <c r="D28" s="73" t="s">
        <v>3088</v>
      </c>
      <c r="E28" s="73" t="s">
        <v>3088</v>
      </c>
      <c r="F28" s="73" t="s">
        <v>3088</v>
      </c>
      <c r="G28" s="73" t="s">
        <v>3089</v>
      </c>
      <c r="H28" s="73" t="s">
        <v>3088</v>
      </c>
      <c r="I28" s="73" t="s">
        <v>3122</v>
      </c>
      <c r="J28" s="73" t="s">
        <v>3088</v>
      </c>
      <c r="K28" s="73" t="s">
        <v>3088</v>
      </c>
      <c r="L28" s="73" t="s">
        <v>2463</v>
      </c>
      <c r="M28" s="73" t="s">
        <v>3088</v>
      </c>
      <c r="N28" s="73" t="s">
        <v>3088</v>
      </c>
      <c r="O28" s="73" t="s">
        <v>3088</v>
      </c>
      <c r="P28" s="73" t="s">
        <v>3088</v>
      </c>
      <c r="Q28" s="73" t="s">
        <v>3088</v>
      </c>
      <c r="R28" s="73" t="s">
        <v>3088</v>
      </c>
      <c r="S28" s="73" t="s">
        <v>3088</v>
      </c>
      <c r="T28" s="73" t="s">
        <v>3088</v>
      </c>
      <c r="U28" s="73" t="s">
        <v>3088</v>
      </c>
      <c r="V28" s="73" t="s">
        <v>3088</v>
      </c>
      <c r="W28" s="73" t="s">
        <v>3088</v>
      </c>
      <c r="X28" s="73" t="s">
        <v>3088</v>
      </c>
      <c r="Y28" s="73" t="s">
        <v>3088</v>
      </c>
      <c r="Z28" s="73" t="s">
        <v>3088</v>
      </c>
      <c r="AA28" s="73" t="s">
        <v>3088</v>
      </c>
      <c r="AB28" s="73" t="s">
        <v>3088</v>
      </c>
      <c r="AC28" s="73" t="s">
        <v>3088</v>
      </c>
      <c r="AD28" s="73" t="s">
        <v>3088</v>
      </c>
      <c r="AE28" s="73" t="s">
        <v>3088</v>
      </c>
      <c r="AF28" s="73" t="s">
        <v>3088</v>
      </c>
      <c r="AG28" s="73" t="s">
        <v>3088</v>
      </c>
      <c r="AH28" s="73" t="s">
        <v>3088</v>
      </c>
      <c r="AI28" s="73" t="s">
        <v>3088</v>
      </c>
      <c r="AJ28" s="73" t="s">
        <v>3088</v>
      </c>
      <c r="AK28" s="73" t="s">
        <v>3088</v>
      </c>
      <c r="AL28" s="73" t="s">
        <v>3088</v>
      </c>
      <c r="AM28" s="73" t="s">
        <v>3088</v>
      </c>
      <c r="AN28" s="73" t="s">
        <v>3088</v>
      </c>
      <c r="AO28" s="73" t="s">
        <v>3088</v>
      </c>
      <c r="AP28" s="73" t="s">
        <v>3088</v>
      </c>
      <c r="AQ28" s="73" t="s">
        <v>3088</v>
      </c>
      <c r="AR28" s="73" t="s">
        <v>3088</v>
      </c>
      <c r="AS28" s="73" t="s">
        <v>3088</v>
      </c>
      <c r="AT28" s="73" t="s">
        <v>3088</v>
      </c>
      <c r="AU28" s="73" t="s">
        <v>3088</v>
      </c>
      <c r="AV28" s="73" t="s">
        <v>3088</v>
      </c>
      <c r="AW28" s="73" t="s">
        <v>3088</v>
      </c>
      <c r="AX28" s="73" t="s">
        <v>3088</v>
      </c>
      <c r="AY28" s="73" t="s">
        <v>3088</v>
      </c>
      <c r="AZ28" s="73" t="s">
        <v>3088</v>
      </c>
      <c r="BA28" s="73" t="s">
        <v>3088</v>
      </c>
      <c r="BB28" s="73" t="s">
        <v>3088</v>
      </c>
      <c r="BC28" s="73" t="s">
        <v>3088</v>
      </c>
      <c r="BD28" s="73" t="s">
        <v>3088</v>
      </c>
      <c r="BE28" s="73" t="s">
        <v>3088</v>
      </c>
      <c r="BF28" s="73" t="s">
        <v>3088</v>
      </c>
      <c r="BG28" s="73" t="s">
        <v>3088</v>
      </c>
      <c r="BH28" s="73" t="s">
        <v>3088</v>
      </c>
      <c r="BI28" s="73" t="s">
        <v>3088</v>
      </c>
      <c r="BJ28" s="73" t="s">
        <v>3088</v>
      </c>
      <c r="BK28" s="73" t="s">
        <v>3088</v>
      </c>
      <c r="BL28" s="73" t="s">
        <v>3088</v>
      </c>
      <c r="BM28" s="73" t="s">
        <v>3088</v>
      </c>
      <c r="BN28" s="73" t="s">
        <v>3088</v>
      </c>
      <c r="BO28" s="73" t="s">
        <v>3088</v>
      </c>
      <c r="BP28" s="73" t="s">
        <v>3088</v>
      </c>
      <c r="BQ28" s="73" t="s">
        <v>3711</v>
      </c>
      <c r="BR28" s="73" t="s">
        <v>3088</v>
      </c>
    </row>
    <row r="29" spans="1:70">
      <c r="A29" s="73" t="s">
        <v>1881</v>
      </c>
      <c r="B29" s="73" t="s">
        <v>3712</v>
      </c>
      <c r="C29" s="73" t="s">
        <v>2248</v>
      </c>
      <c r="D29" s="73" t="s">
        <v>3088</v>
      </c>
      <c r="E29" s="73" t="s">
        <v>3088</v>
      </c>
      <c r="F29" s="73" t="s">
        <v>3088</v>
      </c>
      <c r="G29" s="73" t="s">
        <v>3089</v>
      </c>
      <c r="H29" s="73" t="s">
        <v>3088</v>
      </c>
      <c r="I29" s="73" t="s">
        <v>3122</v>
      </c>
      <c r="J29" s="73" t="s">
        <v>3088</v>
      </c>
      <c r="K29" s="73" t="s">
        <v>3088</v>
      </c>
      <c r="L29" s="73" t="s">
        <v>3088</v>
      </c>
      <c r="M29" s="73" t="s">
        <v>3088</v>
      </c>
      <c r="N29" s="73" t="s">
        <v>3088</v>
      </c>
      <c r="O29" s="73" t="s">
        <v>3088</v>
      </c>
      <c r="P29" s="73" t="s">
        <v>3088</v>
      </c>
      <c r="Q29" s="73" t="s">
        <v>3088</v>
      </c>
      <c r="R29" s="73" t="s">
        <v>3088</v>
      </c>
      <c r="S29" s="73" t="s">
        <v>3088</v>
      </c>
      <c r="T29" s="73" t="s">
        <v>3088</v>
      </c>
      <c r="U29" s="73" t="s">
        <v>3088</v>
      </c>
      <c r="V29" s="73" t="s">
        <v>3088</v>
      </c>
      <c r="W29" s="73" t="s">
        <v>3088</v>
      </c>
      <c r="X29" s="73" t="s">
        <v>3088</v>
      </c>
      <c r="Y29" s="73" t="s">
        <v>3088</v>
      </c>
      <c r="Z29" s="73" t="s">
        <v>3088</v>
      </c>
      <c r="AA29" s="73" t="s">
        <v>3088</v>
      </c>
      <c r="AB29" s="73" t="s">
        <v>3088</v>
      </c>
      <c r="AC29" s="73" t="s">
        <v>3088</v>
      </c>
      <c r="AD29" s="73" t="s">
        <v>3088</v>
      </c>
      <c r="AE29" s="73" t="s">
        <v>3088</v>
      </c>
      <c r="AF29" s="73" t="s">
        <v>3088</v>
      </c>
      <c r="AG29" s="73" t="s">
        <v>3088</v>
      </c>
      <c r="AH29" s="73" t="s">
        <v>3088</v>
      </c>
      <c r="AI29" s="73" t="s">
        <v>3088</v>
      </c>
      <c r="AJ29" s="73" t="s">
        <v>3088</v>
      </c>
      <c r="AK29" s="73" t="s">
        <v>3088</v>
      </c>
      <c r="AL29" s="73" t="s">
        <v>3088</v>
      </c>
      <c r="AM29" s="73" t="s">
        <v>3088</v>
      </c>
      <c r="AN29" s="73" t="s">
        <v>3088</v>
      </c>
      <c r="AO29" s="73" t="s">
        <v>3088</v>
      </c>
      <c r="AP29" s="73" t="s">
        <v>3088</v>
      </c>
      <c r="AQ29" s="73" t="s">
        <v>3088</v>
      </c>
      <c r="AR29" s="73" t="s">
        <v>3088</v>
      </c>
      <c r="AS29" s="73" t="s">
        <v>3088</v>
      </c>
      <c r="AT29" s="73" t="s">
        <v>3088</v>
      </c>
      <c r="AU29" s="73" t="s">
        <v>3088</v>
      </c>
      <c r="AV29" s="73" t="s">
        <v>3088</v>
      </c>
      <c r="AW29" s="73" t="s">
        <v>3088</v>
      </c>
      <c r="AX29" s="73" t="s">
        <v>3088</v>
      </c>
      <c r="AY29" s="73" t="s">
        <v>3088</v>
      </c>
      <c r="AZ29" s="73" t="s">
        <v>3088</v>
      </c>
      <c r="BA29" s="73" t="s">
        <v>3088</v>
      </c>
      <c r="BB29" s="73" t="s">
        <v>3088</v>
      </c>
      <c r="BC29" s="73" t="s">
        <v>3088</v>
      </c>
      <c r="BD29" s="73" t="s">
        <v>3088</v>
      </c>
      <c r="BE29" s="73" t="s">
        <v>3088</v>
      </c>
      <c r="BF29" s="73" t="s">
        <v>3088</v>
      </c>
      <c r="BG29" s="73" t="s">
        <v>3088</v>
      </c>
      <c r="BH29" s="73" t="s">
        <v>3088</v>
      </c>
      <c r="BI29" s="73" t="s">
        <v>3088</v>
      </c>
      <c r="BJ29" s="73" t="s">
        <v>3088</v>
      </c>
      <c r="BK29" s="73" t="s">
        <v>3088</v>
      </c>
      <c r="BL29" s="73" t="s">
        <v>3088</v>
      </c>
      <c r="BM29" s="73" t="s">
        <v>3088</v>
      </c>
      <c r="BN29" s="73" t="s">
        <v>3088</v>
      </c>
      <c r="BO29" s="73" t="s">
        <v>3088</v>
      </c>
      <c r="BP29" s="73" t="s">
        <v>3088</v>
      </c>
      <c r="BQ29" s="73" t="s">
        <v>3713</v>
      </c>
      <c r="BR29" s="73" t="s">
        <v>3088</v>
      </c>
    </row>
    <row r="30" spans="1:70">
      <c r="A30" s="73" t="s">
        <v>1881</v>
      </c>
      <c r="B30" s="73" t="s">
        <v>2151</v>
      </c>
      <c r="C30" s="73" t="s">
        <v>2152</v>
      </c>
      <c r="D30" s="73" t="s">
        <v>3088</v>
      </c>
      <c r="E30" s="73" t="s">
        <v>3088</v>
      </c>
      <c r="F30" s="73" t="s">
        <v>3088</v>
      </c>
      <c r="G30" s="73" t="s">
        <v>3089</v>
      </c>
      <c r="H30" s="73" t="s">
        <v>3088</v>
      </c>
      <c r="I30" s="73" t="s">
        <v>3122</v>
      </c>
      <c r="J30" s="73" t="s">
        <v>3088</v>
      </c>
      <c r="K30" s="73" t="s">
        <v>3088</v>
      </c>
      <c r="L30" s="73" t="s">
        <v>108</v>
      </c>
      <c r="M30" s="73" t="s">
        <v>3088</v>
      </c>
      <c r="N30" s="73" t="s">
        <v>3088</v>
      </c>
      <c r="O30" s="73" t="s">
        <v>3113</v>
      </c>
      <c r="P30" s="73" t="s">
        <v>3088</v>
      </c>
      <c r="Q30" s="73" t="s">
        <v>3088</v>
      </c>
      <c r="R30" s="73" t="s">
        <v>3088</v>
      </c>
      <c r="S30" s="73" t="s">
        <v>3088</v>
      </c>
      <c r="T30" s="73" t="s">
        <v>3088</v>
      </c>
      <c r="U30" s="73" t="s">
        <v>3088</v>
      </c>
      <c r="V30" s="73" t="s">
        <v>3088</v>
      </c>
      <c r="W30" s="73" t="s">
        <v>3088</v>
      </c>
      <c r="X30" s="73" t="s">
        <v>3088</v>
      </c>
      <c r="Y30" s="73" t="s">
        <v>3088</v>
      </c>
      <c r="Z30" s="73" t="s">
        <v>3088</v>
      </c>
      <c r="AA30" s="73" t="s">
        <v>3088</v>
      </c>
      <c r="AB30" s="73" t="s">
        <v>3088</v>
      </c>
      <c r="AC30" s="73" t="s">
        <v>3088</v>
      </c>
      <c r="AD30" s="73" t="s">
        <v>3088</v>
      </c>
      <c r="AE30" s="73" t="s">
        <v>3088</v>
      </c>
      <c r="AF30" s="73" t="s">
        <v>3088</v>
      </c>
      <c r="AG30" s="73" t="s">
        <v>3088</v>
      </c>
      <c r="AH30" s="73" t="s">
        <v>3088</v>
      </c>
      <c r="AI30" s="73" t="s">
        <v>3088</v>
      </c>
      <c r="AJ30" s="73" t="s">
        <v>3088</v>
      </c>
      <c r="AK30" s="73" t="s">
        <v>3088</v>
      </c>
      <c r="AL30" s="73" t="s">
        <v>3088</v>
      </c>
      <c r="AM30" s="73" t="s">
        <v>3088</v>
      </c>
      <c r="AN30" s="73" t="s">
        <v>3088</v>
      </c>
      <c r="AO30" s="73" t="s">
        <v>3088</v>
      </c>
      <c r="AP30" s="73" t="s">
        <v>3088</v>
      </c>
      <c r="AQ30" s="73" t="s">
        <v>3088</v>
      </c>
      <c r="AR30" s="73" t="s">
        <v>3088</v>
      </c>
      <c r="AS30" s="73" t="s">
        <v>3088</v>
      </c>
      <c r="AT30" s="73" t="s">
        <v>3088</v>
      </c>
      <c r="AU30" s="73" t="s">
        <v>3088</v>
      </c>
      <c r="AV30" s="73" t="s">
        <v>3088</v>
      </c>
      <c r="AW30" s="73" t="s">
        <v>3088</v>
      </c>
      <c r="AX30" s="73" t="s">
        <v>3088</v>
      </c>
      <c r="AY30" s="73" t="s">
        <v>3088</v>
      </c>
      <c r="AZ30" s="73" t="s">
        <v>3088</v>
      </c>
      <c r="BA30" s="73" t="s">
        <v>3088</v>
      </c>
      <c r="BB30" s="73" t="s">
        <v>3088</v>
      </c>
      <c r="BC30" s="73" t="s">
        <v>3088</v>
      </c>
      <c r="BD30" s="73" t="s">
        <v>3088</v>
      </c>
      <c r="BE30" s="73" t="s">
        <v>3088</v>
      </c>
      <c r="BF30" s="73" t="s">
        <v>3088</v>
      </c>
      <c r="BG30" s="73" t="s">
        <v>3088</v>
      </c>
      <c r="BH30" s="73" t="s">
        <v>3088</v>
      </c>
      <c r="BI30" s="73" t="s">
        <v>3088</v>
      </c>
      <c r="BJ30" s="73" t="s">
        <v>3088</v>
      </c>
      <c r="BK30" s="73" t="s">
        <v>3088</v>
      </c>
      <c r="BL30" s="73" t="s">
        <v>3088</v>
      </c>
      <c r="BM30" s="73" t="s">
        <v>3088</v>
      </c>
      <c r="BN30" s="73" t="s">
        <v>3088</v>
      </c>
      <c r="BO30" s="73" t="s">
        <v>3088</v>
      </c>
      <c r="BP30" s="73" t="s">
        <v>3088</v>
      </c>
      <c r="BQ30" s="73" t="s">
        <v>3714</v>
      </c>
      <c r="BR30" s="73" t="s">
        <v>3088</v>
      </c>
    </row>
    <row r="31" spans="1:70">
      <c r="A31" s="73" t="s">
        <v>1881</v>
      </c>
      <c r="B31" s="73" t="s">
        <v>2358</v>
      </c>
      <c r="C31" s="73" t="s">
        <v>3088</v>
      </c>
      <c r="D31" s="73" t="s">
        <v>3088</v>
      </c>
      <c r="E31" s="73" t="s">
        <v>3088</v>
      </c>
      <c r="F31" s="73" t="s">
        <v>3088</v>
      </c>
      <c r="G31" s="73" t="s">
        <v>3089</v>
      </c>
      <c r="H31" s="73" t="s">
        <v>3088</v>
      </c>
      <c r="I31" s="73" t="s">
        <v>543</v>
      </c>
      <c r="J31" s="73" t="s">
        <v>2359</v>
      </c>
      <c r="K31" s="73" t="s">
        <v>3089</v>
      </c>
      <c r="L31" s="73" t="s">
        <v>3088</v>
      </c>
      <c r="M31" s="73" t="s">
        <v>3088</v>
      </c>
      <c r="N31" s="73" t="s">
        <v>3088</v>
      </c>
      <c r="O31" s="73" t="s">
        <v>3088</v>
      </c>
      <c r="P31" s="73" t="s">
        <v>3088</v>
      </c>
      <c r="Q31" s="73" t="s">
        <v>3088</v>
      </c>
      <c r="R31" s="73" t="s">
        <v>3088</v>
      </c>
      <c r="S31" s="73" t="s">
        <v>3088</v>
      </c>
      <c r="T31" s="73" t="s">
        <v>3088</v>
      </c>
      <c r="U31" s="73" t="s">
        <v>3088</v>
      </c>
      <c r="V31" s="73" t="s">
        <v>3088</v>
      </c>
      <c r="W31" s="73" t="s">
        <v>3088</v>
      </c>
      <c r="X31" s="73" t="s">
        <v>3088</v>
      </c>
      <c r="Y31" s="73" t="s">
        <v>3088</v>
      </c>
      <c r="Z31" s="73" t="s">
        <v>3088</v>
      </c>
      <c r="AA31" s="73" t="s">
        <v>3088</v>
      </c>
      <c r="AB31" s="73" t="s">
        <v>3088</v>
      </c>
      <c r="AC31" s="73" t="s">
        <v>3088</v>
      </c>
      <c r="AD31" s="73" t="s">
        <v>3088</v>
      </c>
      <c r="AE31" s="73" t="s">
        <v>3088</v>
      </c>
      <c r="AF31" s="73" t="s">
        <v>3088</v>
      </c>
      <c r="AG31" s="73" t="s">
        <v>3088</v>
      </c>
      <c r="AH31" s="73" t="s">
        <v>3088</v>
      </c>
      <c r="AI31" s="73" t="s">
        <v>3088</v>
      </c>
      <c r="AJ31" s="73" t="s">
        <v>3088</v>
      </c>
      <c r="AK31" s="73" t="s">
        <v>3088</v>
      </c>
      <c r="AL31" s="73" t="s">
        <v>3088</v>
      </c>
      <c r="AM31" s="73" t="s">
        <v>3088</v>
      </c>
      <c r="AN31" s="73" t="s">
        <v>3088</v>
      </c>
      <c r="AO31" s="73" t="s">
        <v>3088</v>
      </c>
      <c r="AP31" s="73" t="s">
        <v>3088</v>
      </c>
      <c r="AQ31" s="73" t="s">
        <v>3088</v>
      </c>
      <c r="AR31" s="73" t="s">
        <v>3088</v>
      </c>
      <c r="AS31" s="73" t="s">
        <v>3088</v>
      </c>
      <c r="AT31" s="73" t="s">
        <v>3088</v>
      </c>
      <c r="AU31" s="73" t="s">
        <v>3088</v>
      </c>
      <c r="AV31" s="73" t="s">
        <v>3088</v>
      </c>
      <c r="AW31" s="73" t="s">
        <v>3088</v>
      </c>
      <c r="AX31" s="73" t="s">
        <v>3088</v>
      </c>
      <c r="AY31" s="73" t="s">
        <v>3088</v>
      </c>
      <c r="AZ31" s="73" t="s">
        <v>3088</v>
      </c>
      <c r="BA31" s="73" t="s">
        <v>3088</v>
      </c>
      <c r="BB31" s="73" t="s">
        <v>3088</v>
      </c>
      <c r="BC31" s="73" t="s">
        <v>3088</v>
      </c>
      <c r="BD31" s="73" t="s">
        <v>3088</v>
      </c>
      <c r="BE31" s="73" t="s">
        <v>3088</v>
      </c>
      <c r="BF31" s="73" t="s">
        <v>3088</v>
      </c>
      <c r="BG31" s="73" t="s">
        <v>3088</v>
      </c>
      <c r="BH31" s="73" t="s">
        <v>3088</v>
      </c>
      <c r="BI31" s="73" t="s">
        <v>3088</v>
      </c>
      <c r="BJ31" s="73" t="s">
        <v>3088</v>
      </c>
      <c r="BK31" s="73" t="s">
        <v>3088</v>
      </c>
      <c r="BL31" s="73" t="s">
        <v>3088</v>
      </c>
      <c r="BM31" s="73" t="s">
        <v>3088</v>
      </c>
      <c r="BN31" s="73" t="s">
        <v>3088</v>
      </c>
      <c r="BO31" s="73" t="s">
        <v>3088</v>
      </c>
      <c r="BP31" s="73" t="s">
        <v>3088</v>
      </c>
      <c r="BQ31" s="73" t="s">
        <v>3715</v>
      </c>
      <c r="BR31" s="73" t="s">
        <v>3088</v>
      </c>
    </row>
    <row r="32" spans="1:70">
      <c r="A32" s="73" t="s">
        <v>1881</v>
      </c>
      <c r="B32" s="73" t="s">
        <v>2360</v>
      </c>
      <c r="C32" s="73" t="s">
        <v>2155</v>
      </c>
      <c r="D32" s="73" t="s">
        <v>3088</v>
      </c>
      <c r="E32" s="73" t="s">
        <v>3088</v>
      </c>
      <c r="F32" s="73" t="s">
        <v>3088</v>
      </c>
      <c r="G32" s="73" t="s">
        <v>3089</v>
      </c>
      <c r="H32" s="73" t="s">
        <v>3088</v>
      </c>
      <c r="I32" s="73" t="s">
        <v>543</v>
      </c>
      <c r="J32" s="73" t="s">
        <v>2361</v>
      </c>
      <c r="K32" s="73" t="s">
        <v>3089</v>
      </c>
      <c r="L32" s="73" t="s">
        <v>3088</v>
      </c>
      <c r="M32" s="73" t="s">
        <v>3088</v>
      </c>
      <c r="N32" s="73" t="s">
        <v>3088</v>
      </c>
      <c r="O32" s="73" t="s">
        <v>3088</v>
      </c>
      <c r="P32" s="73" t="s">
        <v>3088</v>
      </c>
      <c r="Q32" s="73" t="s">
        <v>3088</v>
      </c>
      <c r="R32" s="73" t="s">
        <v>3088</v>
      </c>
      <c r="S32" s="73" t="s">
        <v>3088</v>
      </c>
      <c r="T32" s="73" t="s">
        <v>3088</v>
      </c>
      <c r="U32" s="73" t="s">
        <v>3088</v>
      </c>
      <c r="V32" s="73" t="s">
        <v>3088</v>
      </c>
      <c r="W32" s="73" t="s">
        <v>3088</v>
      </c>
      <c r="X32" s="73" t="s">
        <v>3088</v>
      </c>
      <c r="Y32" s="73" t="s">
        <v>3088</v>
      </c>
      <c r="Z32" s="73" t="s">
        <v>3088</v>
      </c>
      <c r="AA32" s="73" t="s">
        <v>3088</v>
      </c>
      <c r="AB32" s="73" t="s">
        <v>3088</v>
      </c>
      <c r="AC32" s="73" t="s">
        <v>3088</v>
      </c>
      <c r="AD32" s="73" t="s">
        <v>3088</v>
      </c>
      <c r="AE32" s="73" t="s">
        <v>3088</v>
      </c>
      <c r="AF32" s="73" t="s">
        <v>3088</v>
      </c>
      <c r="AG32" s="73" t="s">
        <v>3088</v>
      </c>
      <c r="AH32" s="73" t="s">
        <v>3088</v>
      </c>
      <c r="AI32" s="73" t="s">
        <v>3088</v>
      </c>
      <c r="AJ32" s="73" t="s">
        <v>3088</v>
      </c>
      <c r="AK32" s="73" t="s">
        <v>3088</v>
      </c>
      <c r="AL32" s="73" t="s">
        <v>3088</v>
      </c>
      <c r="AM32" s="73" t="s">
        <v>3088</v>
      </c>
      <c r="AN32" s="73" t="s">
        <v>3088</v>
      </c>
      <c r="AO32" s="73" t="s">
        <v>3088</v>
      </c>
      <c r="AP32" s="73" t="s">
        <v>3088</v>
      </c>
      <c r="AQ32" s="73" t="s">
        <v>3088</v>
      </c>
      <c r="AR32" s="73" t="s">
        <v>3088</v>
      </c>
      <c r="AS32" s="73" t="s">
        <v>3088</v>
      </c>
      <c r="AT32" s="73" t="s">
        <v>3088</v>
      </c>
      <c r="AU32" s="73" t="s">
        <v>3088</v>
      </c>
      <c r="AV32" s="73" t="s">
        <v>3088</v>
      </c>
      <c r="AW32" s="73" t="s">
        <v>3088</v>
      </c>
      <c r="AX32" s="73" t="s">
        <v>3088</v>
      </c>
      <c r="AY32" s="73" t="s">
        <v>3088</v>
      </c>
      <c r="AZ32" s="73" t="s">
        <v>3088</v>
      </c>
      <c r="BA32" s="73" t="s">
        <v>3088</v>
      </c>
      <c r="BB32" s="73" t="s">
        <v>3088</v>
      </c>
      <c r="BC32" s="73" t="s">
        <v>3088</v>
      </c>
      <c r="BD32" s="73" t="s">
        <v>3088</v>
      </c>
      <c r="BE32" s="73" t="s">
        <v>3088</v>
      </c>
      <c r="BF32" s="73" t="s">
        <v>3088</v>
      </c>
      <c r="BG32" s="73" t="s">
        <v>3088</v>
      </c>
      <c r="BH32" s="73" t="s">
        <v>3088</v>
      </c>
      <c r="BI32" s="73" t="s">
        <v>3088</v>
      </c>
      <c r="BJ32" s="73" t="s">
        <v>3088</v>
      </c>
      <c r="BK32" s="73" t="s">
        <v>3088</v>
      </c>
      <c r="BL32" s="73" t="s">
        <v>3088</v>
      </c>
      <c r="BM32" s="73" t="s">
        <v>3088</v>
      </c>
      <c r="BN32" s="73" t="s">
        <v>3088</v>
      </c>
      <c r="BO32" s="73" t="s">
        <v>3088</v>
      </c>
      <c r="BP32" s="73" t="s">
        <v>3088</v>
      </c>
      <c r="BQ32" s="73" t="s">
        <v>3716</v>
      </c>
      <c r="BR32" s="73" t="s">
        <v>3088</v>
      </c>
    </row>
    <row r="33" spans="1:70">
      <c r="A33" s="73" t="s">
        <v>1881</v>
      </c>
      <c r="B33" s="73" t="s">
        <v>2154</v>
      </c>
      <c r="C33" s="73" t="s">
        <v>2155</v>
      </c>
      <c r="D33" s="73" t="s">
        <v>3088</v>
      </c>
      <c r="E33" s="73" t="s">
        <v>3088</v>
      </c>
      <c r="F33" s="73" t="s">
        <v>3088</v>
      </c>
      <c r="G33" s="73" t="s">
        <v>3089</v>
      </c>
      <c r="H33" s="73" t="s">
        <v>3088</v>
      </c>
      <c r="I33" s="73" t="s">
        <v>108</v>
      </c>
      <c r="J33" s="73" t="s">
        <v>3088</v>
      </c>
      <c r="K33" s="73" t="s">
        <v>3088</v>
      </c>
      <c r="L33" s="73" t="s">
        <v>3088</v>
      </c>
      <c r="M33" s="73" t="s">
        <v>3088</v>
      </c>
      <c r="N33" s="73" t="s">
        <v>3088</v>
      </c>
      <c r="O33" s="73" t="s">
        <v>3088</v>
      </c>
      <c r="P33" s="73" t="s">
        <v>3088</v>
      </c>
      <c r="Q33" s="73" t="s">
        <v>3088</v>
      </c>
      <c r="R33" s="73" t="s">
        <v>3088</v>
      </c>
      <c r="S33" s="73" t="s">
        <v>3088</v>
      </c>
      <c r="T33" s="73" t="s">
        <v>3088</v>
      </c>
      <c r="U33" s="73" t="s">
        <v>3088</v>
      </c>
      <c r="V33" s="73" t="s">
        <v>3088</v>
      </c>
      <c r="W33" s="73" t="s">
        <v>3088</v>
      </c>
      <c r="X33" s="73" t="s">
        <v>3088</v>
      </c>
      <c r="Y33" s="73" t="s">
        <v>3088</v>
      </c>
      <c r="Z33" s="73" t="s">
        <v>3088</v>
      </c>
      <c r="AA33" s="73" t="s">
        <v>3088</v>
      </c>
      <c r="AB33" s="73" t="s">
        <v>3088</v>
      </c>
      <c r="AC33" s="73" t="s">
        <v>3088</v>
      </c>
      <c r="AD33" s="73" t="s">
        <v>3088</v>
      </c>
      <c r="AE33" s="73" t="s">
        <v>3088</v>
      </c>
      <c r="AF33" s="73" t="s">
        <v>3088</v>
      </c>
      <c r="AG33" s="73" t="s">
        <v>3088</v>
      </c>
      <c r="AH33" s="73" t="s">
        <v>3088</v>
      </c>
      <c r="AI33" s="73" t="s">
        <v>3088</v>
      </c>
      <c r="AJ33" s="73" t="s">
        <v>3088</v>
      </c>
      <c r="AK33" s="73" t="s">
        <v>3088</v>
      </c>
      <c r="AL33" s="73" t="s">
        <v>3088</v>
      </c>
      <c r="AM33" s="73" t="s">
        <v>3088</v>
      </c>
      <c r="AN33" s="73" t="s">
        <v>3088</v>
      </c>
      <c r="AO33" s="73" t="s">
        <v>3088</v>
      </c>
      <c r="AP33" s="73" t="s">
        <v>3088</v>
      </c>
      <c r="AQ33" s="73" t="s">
        <v>3088</v>
      </c>
      <c r="AR33" s="73" t="s">
        <v>3088</v>
      </c>
      <c r="AS33" s="73" t="s">
        <v>3088</v>
      </c>
      <c r="AT33" s="73" t="s">
        <v>3088</v>
      </c>
      <c r="AU33" s="73" t="s">
        <v>3088</v>
      </c>
      <c r="AV33" s="73" t="s">
        <v>3088</v>
      </c>
      <c r="AW33" s="73" t="s">
        <v>3088</v>
      </c>
      <c r="AX33" s="73" t="s">
        <v>3088</v>
      </c>
      <c r="AY33" s="73" t="s">
        <v>3088</v>
      </c>
      <c r="AZ33" s="73" t="s">
        <v>3088</v>
      </c>
      <c r="BA33" s="73" t="s">
        <v>3088</v>
      </c>
      <c r="BB33" s="73" t="s">
        <v>3088</v>
      </c>
      <c r="BC33" s="73" t="s">
        <v>3088</v>
      </c>
      <c r="BD33" s="73" t="s">
        <v>3088</v>
      </c>
      <c r="BE33" s="73" t="s">
        <v>3088</v>
      </c>
      <c r="BF33" s="73" t="s">
        <v>3088</v>
      </c>
      <c r="BG33" s="73" t="s">
        <v>3088</v>
      </c>
      <c r="BH33" s="73" t="s">
        <v>3088</v>
      </c>
      <c r="BI33" s="73" t="s">
        <v>3088</v>
      </c>
      <c r="BJ33" s="73" t="s">
        <v>3088</v>
      </c>
      <c r="BK33" s="73" t="s">
        <v>3088</v>
      </c>
      <c r="BL33" s="73" t="s">
        <v>3088</v>
      </c>
      <c r="BM33" s="73" t="s">
        <v>3088</v>
      </c>
      <c r="BN33" s="73" t="s">
        <v>3088</v>
      </c>
      <c r="BO33" s="73" t="s">
        <v>3088</v>
      </c>
      <c r="BP33" s="73" t="s">
        <v>3088</v>
      </c>
      <c r="BQ33" s="73" t="s">
        <v>3717</v>
      </c>
      <c r="BR33" s="73" t="s">
        <v>3088</v>
      </c>
    </row>
    <row r="34" spans="1:70">
      <c r="A34" s="73" t="s">
        <v>1881</v>
      </c>
      <c r="B34" s="73" t="s">
        <v>2156</v>
      </c>
      <c r="C34" s="73" t="s">
        <v>2152</v>
      </c>
      <c r="D34" s="73" t="s">
        <v>3088</v>
      </c>
      <c r="E34" s="73" t="s">
        <v>3088</v>
      </c>
      <c r="F34" s="73" t="s">
        <v>3088</v>
      </c>
      <c r="G34" s="73" t="s">
        <v>3089</v>
      </c>
      <c r="H34" s="73" t="s">
        <v>3088</v>
      </c>
      <c r="I34" s="73" t="s">
        <v>108</v>
      </c>
      <c r="J34" s="73" t="s">
        <v>3088</v>
      </c>
      <c r="K34" s="73" t="s">
        <v>3088</v>
      </c>
      <c r="L34" s="73" t="s">
        <v>3122</v>
      </c>
      <c r="M34" s="73" t="s">
        <v>3088</v>
      </c>
      <c r="N34" s="73" t="s">
        <v>3088</v>
      </c>
      <c r="O34" s="73" t="s">
        <v>3113</v>
      </c>
      <c r="P34" s="73" t="s">
        <v>3088</v>
      </c>
      <c r="Q34" s="73" t="s">
        <v>3088</v>
      </c>
      <c r="R34" s="73" t="s">
        <v>3013</v>
      </c>
      <c r="S34" s="73" t="s">
        <v>3088</v>
      </c>
      <c r="T34" s="73" t="s">
        <v>3088</v>
      </c>
      <c r="U34" s="73" t="s">
        <v>3088</v>
      </c>
      <c r="V34" s="73" t="s">
        <v>3088</v>
      </c>
      <c r="W34" s="73" t="s">
        <v>3088</v>
      </c>
      <c r="X34" s="73" t="s">
        <v>3088</v>
      </c>
      <c r="Y34" s="73" t="s">
        <v>3088</v>
      </c>
      <c r="Z34" s="73" t="s">
        <v>3088</v>
      </c>
      <c r="AA34" s="73" t="s">
        <v>3088</v>
      </c>
      <c r="AB34" s="73" t="s">
        <v>3088</v>
      </c>
      <c r="AC34" s="73" t="s">
        <v>3088</v>
      </c>
      <c r="AD34" s="73" t="s">
        <v>3088</v>
      </c>
      <c r="AE34" s="73" t="s">
        <v>3088</v>
      </c>
      <c r="AF34" s="73" t="s">
        <v>3088</v>
      </c>
      <c r="AG34" s="73" t="s">
        <v>3088</v>
      </c>
      <c r="AH34" s="73" t="s">
        <v>3088</v>
      </c>
      <c r="AI34" s="73" t="s">
        <v>3088</v>
      </c>
      <c r="AJ34" s="73" t="s">
        <v>3088</v>
      </c>
      <c r="AK34" s="73" t="s">
        <v>3088</v>
      </c>
      <c r="AL34" s="73" t="s">
        <v>3088</v>
      </c>
      <c r="AM34" s="73" t="s">
        <v>3088</v>
      </c>
      <c r="AN34" s="73" t="s">
        <v>3088</v>
      </c>
      <c r="AO34" s="73" t="s">
        <v>3088</v>
      </c>
      <c r="AP34" s="73" t="s">
        <v>3088</v>
      </c>
      <c r="AQ34" s="73" t="s">
        <v>3088</v>
      </c>
      <c r="AR34" s="73" t="s">
        <v>3088</v>
      </c>
      <c r="AS34" s="73" t="s">
        <v>3088</v>
      </c>
      <c r="AT34" s="73" t="s">
        <v>3088</v>
      </c>
      <c r="AU34" s="73" t="s">
        <v>3088</v>
      </c>
      <c r="AV34" s="73" t="s">
        <v>3088</v>
      </c>
      <c r="AW34" s="73" t="s">
        <v>3088</v>
      </c>
      <c r="AX34" s="73" t="s">
        <v>3088</v>
      </c>
      <c r="AY34" s="73" t="s">
        <v>3088</v>
      </c>
      <c r="AZ34" s="73" t="s">
        <v>3088</v>
      </c>
      <c r="BA34" s="73" t="s">
        <v>3088</v>
      </c>
      <c r="BB34" s="73" t="s">
        <v>3088</v>
      </c>
      <c r="BC34" s="73" t="s">
        <v>3088</v>
      </c>
      <c r="BD34" s="73" t="s">
        <v>3088</v>
      </c>
      <c r="BE34" s="73" t="s">
        <v>3088</v>
      </c>
      <c r="BF34" s="73" t="s">
        <v>3088</v>
      </c>
      <c r="BG34" s="73" t="s">
        <v>3088</v>
      </c>
      <c r="BH34" s="73" t="s">
        <v>3088</v>
      </c>
      <c r="BI34" s="73" t="s">
        <v>3088</v>
      </c>
      <c r="BJ34" s="73" t="s">
        <v>3088</v>
      </c>
      <c r="BK34" s="73" t="s">
        <v>3088</v>
      </c>
      <c r="BL34" s="73" t="s">
        <v>3088</v>
      </c>
      <c r="BM34" s="73" t="s">
        <v>3088</v>
      </c>
      <c r="BN34" s="73" t="s">
        <v>3088</v>
      </c>
      <c r="BO34" s="73" t="s">
        <v>3088</v>
      </c>
      <c r="BP34" s="73" t="s">
        <v>3088</v>
      </c>
      <c r="BQ34" s="73" t="s">
        <v>3718</v>
      </c>
      <c r="BR34" s="73" t="s">
        <v>3088</v>
      </c>
    </row>
    <row r="35" spans="1:70">
      <c r="A35" s="73" t="s">
        <v>1881</v>
      </c>
      <c r="B35" s="73" t="s">
        <v>2158</v>
      </c>
      <c r="C35" s="73" t="s">
        <v>2155</v>
      </c>
      <c r="D35" s="73" t="s">
        <v>3088</v>
      </c>
      <c r="E35" s="73" t="s">
        <v>3088</v>
      </c>
      <c r="F35" s="73" t="s">
        <v>3088</v>
      </c>
      <c r="G35" s="73" t="s">
        <v>3089</v>
      </c>
      <c r="H35" s="73" t="s">
        <v>3088</v>
      </c>
      <c r="I35" s="73" t="s">
        <v>108</v>
      </c>
      <c r="J35" s="73" t="s">
        <v>3719</v>
      </c>
      <c r="K35" s="73" t="s">
        <v>3089</v>
      </c>
      <c r="L35" s="73" t="s">
        <v>2463</v>
      </c>
      <c r="M35" s="73" t="s">
        <v>3719</v>
      </c>
      <c r="N35" s="73" t="s">
        <v>3089</v>
      </c>
      <c r="O35" s="73" t="s">
        <v>543</v>
      </c>
      <c r="P35" s="73" t="s">
        <v>3719</v>
      </c>
      <c r="Q35" s="73" t="s">
        <v>3089</v>
      </c>
      <c r="R35" s="73" t="s">
        <v>3088</v>
      </c>
      <c r="S35" s="73" t="s">
        <v>3088</v>
      </c>
      <c r="T35" s="73" t="s">
        <v>3088</v>
      </c>
      <c r="U35" s="73" t="s">
        <v>3088</v>
      </c>
      <c r="V35" s="73" t="s">
        <v>3088</v>
      </c>
      <c r="W35" s="73" t="s">
        <v>3088</v>
      </c>
      <c r="X35" s="73" t="s">
        <v>3088</v>
      </c>
      <c r="Y35" s="73" t="s">
        <v>3088</v>
      </c>
      <c r="Z35" s="73" t="s">
        <v>3088</v>
      </c>
      <c r="AA35" s="73" t="s">
        <v>3088</v>
      </c>
      <c r="AB35" s="73" t="s">
        <v>3088</v>
      </c>
      <c r="AC35" s="73" t="s">
        <v>3088</v>
      </c>
      <c r="AD35" s="73" t="s">
        <v>3088</v>
      </c>
      <c r="AE35" s="73" t="s">
        <v>3088</v>
      </c>
      <c r="AF35" s="73" t="s">
        <v>3088</v>
      </c>
      <c r="AG35" s="73" t="s">
        <v>3088</v>
      </c>
      <c r="AH35" s="73" t="s">
        <v>3088</v>
      </c>
      <c r="AI35" s="73" t="s">
        <v>3088</v>
      </c>
      <c r="AJ35" s="73" t="s">
        <v>3088</v>
      </c>
      <c r="AK35" s="73" t="s">
        <v>3088</v>
      </c>
      <c r="AL35" s="73" t="s">
        <v>3088</v>
      </c>
      <c r="AM35" s="73" t="s">
        <v>3088</v>
      </c>
      <c r="AN35" s="73" t="s">
        <v>3088</v>
      </c>
      <c r="AO35" s="73" t="s">
        <v>3088</v>
      </c>
      <c r="AP35" s="73" t="s">
        <v>3088</v>
      </c>
      <c r="AQ35" s="73" t="s">
        <v>3088</v>
      </c>
      <c r="AR35" s="73" t="s">
        <v>3088</v>
      </c>
      <c r="AS35" s="73" t="s">
        <v>3088</v>
      </c>
      <c r="AT35" s="73" t="s">
        <v>3088</v>
      </c>
      <c r="AU35" s="73" t="s">
        <v>3088</v>
      </c>
      <c r="AV35" s="73" t="s">
        <v>3088</v>
      </c>
      <c r="AW35" s="73" t="s">
        <v>3088</v>
      </c>
      <c r="AX35" s="73" t="s">
        <v>3088</v>
      </c>
      <c r="AY35" s="73" t="s">
        <v>3088</v>
      </c>
      <c r="AZ35" s="73" t="s">
        <v>3088</v>
      </c>
      <c r="BA35" s="73" t="s">
        <v>3088</v>
      </c>
      <c r="BB35" s="73" t="s">
        <v>3088</v>
      </c>
      <c r="BC35" s="73" t="s">
        <v>3088</v>
      </c>
      <c r="BD35" s="73" t="s">
        <v>3088</v>
      </c>
      <c r="BE35" s="73" t="s">
        <v>3088</v>
      </c>
      <c r="BF35" s="73" t="s">
        <v>3088</v>
      </c>
      <c r="BG35" s="73" t="s">
        <v>3088</v>
      </c>
      <c r="BH35" s="73" t="s">
        <v>3088</v>
      </c>
      <c r="BI35" s="73" t="s">
        <v>3088</v>
      </c>
      <c r="BJ35" s="73" t="s">
        <v>3088</v>
      </c>
      <c r="BK35" s="73" t="s">
        <v>3088</v>
      </c>
      <c r="BL35" s="73" t="s">
        <v>3088</v>
      </c>
      <c r="BM35" s="73" t="s">
        <v>3088</v>
      </c>
      <c r="BN35" s="73" t="s">
        <v>3088</v>
      </c>
      <c r="BO35" s="73" t="s">
        <v>3088</v>
      </c>
      <c r="BP35" s="73" t="s">
        <v>3088</v>
      </c>
      <c r="BQ35" s="73" t="s">
        <v>3720</v>
      </c>
      <c r="BR35" s="73" t="s">
        <v>3088</v>
      </c>
    </row>
    <row r="36" spans="1:70">
      <c r="A36" s="73" t="s">
        <v>1881</v>
      </c>
      <c r="B36" s="73" t="s">
        <v>2161</v>
      </c>
      <c r="C36" s="73" t="s">
        <v>2162</v>
      </c>
      <c r="D36" s="73" t="s">
        <v>3088</v>
      </c>
      <c r="E36" s="73" t="s">
        <v>3088</v>
      </c>
      <c r="F36" s="73" t="s">
        <v>3088</v>
      </c>
      <c r="G36" s="73" t="s">
        <v>3089</v>
      </c>
      <c r="H36" s="73" t="s">
        <v>3088</v>
      </c>
      <c r="I36" s="73" t="s">
        <v>108</v>
      </c>
      <c r="J36" s="73" t="s">
        <v>2163</v>
      </c>
      <c r="K36" s="73" t="s">
        <v>3095</v>
      </c>
      <c r="L36" s="73" t="s">
        <v>3088</v>
      </c>
      <c r="M36" s="73" t="s">
        <v>3088</v>
      </c>
      <c r="N36" s="73" t="s">
        <v>3088</v>
      </c>
      <c r="O36" s="73" t="s">
        <v>3088</v>
      </c>
      <c r="P36" s="73" t="s">
        <v>3088</v>
      </c>
      <c r="Q36" s="73" t="s">
        <v>3088</v>
      </c>
      <c r="R36" s="73" t="s">
        <v>3088</v>
      </c>
      <c r="S36" s="73" t="s">
        <v>3088</v>
      </c>
      <c r="T36" s="73" t="s">
        <v>3088</v>
      </c>
      <c r="U36" s="73" t="s">
        <v>3088</v>
      </c>
      <c r="V36" s="73" t="s">
        <v>3088</v>
      </c>
      <c r="W36" s="73" t="s">
        <v>3088</v>
      </c>
      <c r="X36" s="73" t="s">
        <v>3088</v>
      </c>
      <c r="Y36" s="73" t="s">
        <v>3088</v>
      </c>
      <c r="Z36" s="73" t="s">
        <v>3088</v>
      </c>
      <c r="AA36" s="73" t="s">
        <v>3088</v>
      </c>
      <c r="AB36" s="73" t="s">
        <v>3088</v>
      </c>
      <c r="AC36" s="73" t="s">
        <v>3088</v>
      </c>
      <c r="AD36" s="73" t="s">
        <v>3088</v>
      </c>
      <c r="AE36" s="73" t="s">
        <v>3088</v>
      </c>
      <c r="AF36" s="73" t="s">
        <v>3088</v>
      </c>
      <c r="AG36" s="73" t="s">
        <v>3088</v>
      </c>
      <c r="AH36" s="73" t="s">
        <v>3088</v>
      </c>
      <c r="AI36" s="73" t="s">
        <v>3088</v>
      </c>
      <c r="AJ36" s="73" t="s">
        <v>3088</v>
      </c>
      <c r="AK36" s="73" t="s">
        <v>3088</v>
      </c>
      <c r="AL36" s="73" t="s">
        <v>3088</v>
      </c>
      <c r="AM36" s="73" t="s">
        <v>3088</v>
      </c>
      <c r="AN36" s="73" t="s">
        <v>3088</v>
      </c>
      <c r="AO36" s="73" t="s">
        <v>3088</v>
      </c>
      <c r="AP36" s="73" t="s">
        <v>3088</v>
      </c>
      <c r="AQ36" s="73" t="s">
        <v>3088</v>
      </c>
      <c r="AR36" s="73" t="s">
        <v>3088</v>
      </c>
      <c r="AS36" s="73" t="s">
        <v>3088</v>
      </c>
      <c r="AT36" s="73" t="s">
        <v>3088</v>
      </c>
      <c r="AU36" s="73" t="s">
        <v>3088</v>
      </c>
      <c r="AV36" s="73" t="s">
        <v>3088</v>
      </c>
      <c r="AW36" s="73" t="s">
        <v>3088</v>
      </c>
      <c r="AX36" s="73" t="s">
        <v>3088</v>
      </c>
      <c r="AY36" s="73" t="s">
        <v>3088</v>
      </c>
      <c r="AZ36" s="73" t="s">
        <v>3088</v>
      </c>
      <c r="BA36" s="73" t="s">
        <v>3088</v>
      </c>
      <c r="BB36" s="73" t="s">
        <v>3088</v>
      </c>
      <c r="BC36" s="73" t="s">
        <v>3088</v>
      </c>
      <c r="BD36" s="73" t="s">
        <v>3088</v>
      </c>
      <c r="BE36" s="73" t="s">
        <v>3088</v>
      </c>
      <c r="BF36" s="73" t="s">
        <v>3088</v>
      </c>
      <c r="BG36" s="73" t="s">
        <v>3088</v>
      </c>
      <c r="BH36" s="73" t="s">
        <v>3088</v>
      </c>
      <c r="BI36" s="73" t="s">
        <v>3088</v>
      </c>
      <c r="BJ36" s="73" t="s">
        <v>3088</v>
      </c>
      <c r="BK36" s="73" t="s">
        <v>3088</v>
      </c>
      <c r="BL36" s="73" t="s">
        <v>3088</v>
      </c>
      <c r="BM36" s="73" t="s">
        <v>3088</v>
      </c>
      <c r="BN36" s="73" t="s">
        <v>3088</v>
      </c>
      <c r="BO36" s="73" t="s">
        <v>3088</v>
      </c>
      <c r="BP36" s="73" t="s">
        <v>3088</v>
      </c>
      <c r="BQ36" s="73" t="s">
        <v>3721</v>
      </c>
      <c r="BR36" s="73" t="s">
        <v>3097</v>
      </c>
    </row>
    <row r="37" spans="1:70">
      <c r="A37" s="73" t="s">
        <v>1881</v>
      </c>
      <c r="B37" s="73" t="s">
        <v>2164</v>
      </c>
      <c r="C37" s="73" t="s">
        <v>2162</v>
      </c>
      <c r="D37" s="73" t="s">
        <v>3088</v>
      </c>
      <c r="E37" s="73" t="s">
        <v>3088</v>
      </c>
      <c r="F37" s="73" t="s">
        <v>3088</v>
      </c>
      <c r="G37" s="73" t="s">
        <v>3089</v>
      </c>
      <c r="H37" s="73" t="s">
        <v>3088</v>
      </c>
      <c r="I37" s="73" t="s">
        <v>108</v>
      </c>
      <c r="J37" s="73" t="s">
        <v>3088</v>
      </c>
      <c r="K37" s="73" t="s">
        <v>3088</v>
      </c>
      <c r="L37" s="73" t="s">
        <v>3088</v>
      </c>
      <c r="M37" s="73" t="s">
        <v>3088</v>
      </c>
      <c r="N37" s="73" t="s">
        <v>3088</v>
      </c>
      <c r="O37" s="73" t="s">
        <v>3088</v>
      </c>
      <c r="P37" s="73" t="s">
        <v>3088</v>
      </c>
      <c r="Q37" s="73" t="s">
        <v>3088</v>
      </c>
      <c r="R37" s="73" t="s">
        <v>3088</v>
      </c>
      <c r="S37" s="73" t="s">
        <v>3088</v>
      </c>
      <c r="T37" s="73" t="s">
        <v>3088</v>
      </c>
      <c r="U37" s="73" t="s">
        <v>3088</v>
      </c>
      <c r="V37" s="73" t="s">
        <v>3088</v>
      </c>
      <c r="W37" s="73" t="s">
        <v>3088</v>
      </c>
      <c r="X37" s="73" t="s">
        <v>3088</v>
      </c>
      <c r="Y37" s="73" t="s">
        <v>3088</v>
      </c>
      <c r="Z37" s="73" t="s">
        <v>3088</v>
      </c>
      <c r="AA37" s="73" t="s">
        <v>3088</v>
      </c>
      <c r="AB37" s="73" t="s">
        <v>3088</v>
      </c>
      <c r="AC37" s="73" t="s">
        <v>3088</v>
      </c>
      <c r="AD37" s="73" t="s">
        <v>3088</v>
      </c>
      <c r="AE37" s="73" t="s">
        <v>3088</v>
      </c>
      <c r="AF37" s="73" t="s">
        <v>3088</v>
      </c>
      <c r="AG37" s="73" t="s">
        <v>3088</v>
      </c>
      <c r="AH37" s="73" t="s">
        <v>3088</v>
      </c>
      <c r="AI37" s="73" t="s">
        <v>3088</v>
      </c>
      <c r="AJ37" s="73" t="s">
        <v>3088</v>
      </c>
      <c r="AK37" s="73" t="s">
        <v>3088</v>
      </c>
      <c r="AL37" s="73" t="s">
        <v>3088</v>
      </c>
      <c r="AM37" s="73" t="s">
        <v>3088</v>
      </c>
      <c r="AN37" s="73" t="s">
        <v>3088</v>
      </c>
      <c r="AO37" s="73" t="s">
        <v>3088</v>
      </c>
      <c r="AP37" s="73" t="s">
        <v>3088</v>
      </c>
      <c r="AQ37" s="73" t="s">
        <v>3088</v>
      </c>
      <c r="AR37" s="73" t="s">
        <v>3088</v>
      </c>
      <c r="AS37" s="73" t="s">
        <v>3088</v>
      </c>
      <c r="AT37" s="73" t="s">
        <v>3088</v>
      </c>
      <c r="AU37" s="73" t="s">
        <v>3088</v>
      </c>
      <c r="AV37" s="73" t="s">
        <v>3088</v>
      </c>
      <c r="AW37" s="73" t="s">
        <v>3088</v>
      </c>
      <c r="AX37" s="73" t="s">
        <v>3088</v>
      </c>
      <c r="AY37" s="73" t="s">
        <v>3088</v>
      </c>
      <c r="AZ37" s="73" t="s">
        <v>3088</v>
      </c>
      <c r="BA37" s="73" t="s">
        <v>3088</v>
      </c>
      <c r="BB37" s="73" t="s">
        <v>3088</v>
      </c>
      <c r="BC37" s="73" t="s">
        <v>3088</v>
      </c>
      <c r="BD37" s="73" t="s">
        <v>3088</v>
      </c>
      <c r="BE37" s="73" t="s">
        <v>3088</v>
      </c>
      <c r="BF37" s="73" t="s">
        <v>3088</v>
      </c>
      <c r="BG37" s="73" t="s">
        <v>3088</v>
      </c>
      <c r="BH37" s="73" t="s">
        <v>3088</v>
      </c>
      <c r="BI37" s="73" t="s">
        <v>3088</v>
      </c>
      <c r="BJ37" s="73" t="s">
        <v>3088</v>
      </c>
      <c r="BK37" s="73" t="s">
        <v>3088</v>
      </c>
      <c r="BL37" s="73" t="s">
        <v>3088</v>
      </c>
      <c r="BM37" s="73" t="s">
        <v>3088</v>
      </c>
      <c r="BN37" s="73" t="s">
        <v>3088</v>
      </c>
      <c r="BO37" s="73" t="s">
        <v>3088</v>
      </c>
      <c r="BP37" s="73" t="s">
        <v>3088</v>
      </c>
      <c r="BQ37" s="73" t="s">
        <v>3722</v>
      </c>
      <c r="BR37" s="73" t="s">
        <v>3088</v>
      </c>
    </row>
    <row r="38" spans="1:70">
      <c r="A38" s="73" t="s">
        <v>1882</v>
      </c>
      <c r="B38" s="73" t="s">
        <v>2166</v>
      </c>
      <c r="C38" s="73" t="s">
        <v>2167</v>
      </c>
      <c r="D38" s="73" t="s">
        <v>3088</v>
      </c>
      <c r="E38" s="73" t="s">
        <v>3088</v>
      </c>
      <c r="F38" s="73" t="s">
        <v>3088</v>
      </c>
      <c r="G38" s="73" t="s">
        <v>3089</v>
      </c>
      <c r="H38" s="73" t="s">
        <v>3088</v>
      </c>
      <c r="I38" s="73" t="s">
        <v>108</v>
      </c>
      <c r="J38" s="73" t="s">
        <v>2168</v>
      </c>
      <c r="K38" s="73" t="s">
        <v>3089</v>
      </c>
      <c r="L38" s="73" t="s">
        <v>3088</v>
      </c>
      <c r="M38" s="73" t="s">
        <v>3088</v>
      </c>
      <c r="N38" s="73" t="s">
        <v>3088</v>
      </c>
      <c r="O38" s="73" t="s">
        <v>3088</v>
      </c>
      <c r="P38" s="73" t="s">
        <v>3088</v>
      </c>
      <c r="Q38" s="73" t="s">
        <v>3088</v>
      </c>
      <c r="R38" s="73" t="s">
        <v>3088</v>
      </c>
      <c r="S38" s="73" t="s">
        <v>3088</v>
      </c>
      <c r="T38" s="73" t="s">
        <v>3088</v>
      </c>
      <c r="U38" s="73" t="s">
        <v>3088</v>
      </c>
      <c r="V38" s="73" t="s">
        <v>3088</v>
      </c>
      <c r="W38" s="73" t="s">
        <v>3088</v>
      </c>
      <c r="X38" s="73" t="s">
        <v>3088</v>
      </c>
      <c r="Y38" s="73" t="s">
        <v>3088</v>
      </c>
      <c r="Z38" s="73" t="s">
        <v>3088</v>
      </c>
      <c r="AA38" s="73" t="s">
        <v>3088</v>
      </c>
      <c r="AB38" s="73" t="s">
        <v>3088</v>
      </c>
      <c r="AC38" s="73" t="s">
        <v>3088</v>
      </c>
      <c r="AD38" s="73" t="s">
        <v>3088</v>
      </c>
      <c r="AE38" s="73" t="s">
        <v>3088</v>
      </c>
      <c r="AF38" s="73" t="s">
        <v>3088</v>
      </c>
      <c r="AG38" s="73" t="s">
        <v>3088</v>
      </c>
      <c r="AH38" s="73" t="s">
        <v>3088</v>
      </c>
      <c r="AI38" s="73" t="s">
        <v>3088</v>
      </c>
      <c r="AJ38" s="73" t="s">
        <v>3088</v>
      </c>
      <c r="AK38" s="73" t="s">
        <v>3088</v>
      </c>
      <c r="AL38" s="73" t="s">
        <v>3088</v>
      </c>
      <c r="AM38" s="73" t="s">
        <v>3088</v>
      </c>
      <c r="AN38" s="73" t="s">
        <v>3088</v>
      </c>
      <c r="AO38" s="73" t="s">
        <v>3088</v>
      </c>
      <c r="AP38" s="73" t="s">
        <v>3088</v>
      </c>
      <c r="AQ38" s="73" t="s">
        <v>3088</v>
      </c>
      <c r="AR38" s="73" t="s">
        <v>3088</v>
      </c>
      <c r="AS38" s="73" t="s">
        <v>3088</v>
      </c>
      <c r="AT38" s="73" t="s">
        <v>3088</v>
      </c>
      <c r="AU38" s="73" t="s">
        <v>3088</v>
      </c>
      <c r="AV38" s="73" t="s">
        <v>3088</v>
      </c>
      <c r="AW38" s="73" t="s">
        <v>3088</v>
      </c>
      <c r="AX38" s="73" t="s">
        <v>3088</v>
      </c>
      <c r="AY38" s="73" t="s">
        <v>3088</v>
      </c>
      <c r="AZ38" s="73" t="s">
        <v>3088</v>
      </c>
      <c r="BA38" s="73" t="s">
        <v>3088</v>
      </c>
      <c r="BB38" s="73" t="s">
        <v>3088</v>
      </c>
      <c r="BC38" s="73" t="s">
        <v>3088</v>
      </c>
      <c r="BD38" s="73" t="s">
        <v>3088</v>
      </c>
      <c r="BE38" s="73" t="s">
        <v>3088</v>
      </c>
      <c r="BF38" s="73" t="s">
        <v>3088</v>
      </c>
      <c r="BG38" s="73" t="s">
        <v>3088</v>
      </c>
      <c r="BH38" s="73" t="s">
        <v>3088</v>
      </c>
      <c r="BI38" s="73" t="s">
        <v>3088</v>
      </c>
      <c r="BJ38" s="73" t="s">
        <v>3088</v>
      </c>
      <c r="BK38" s="73" t="s">
        <v>3088</v>
      </c>
      <c r="BL38" s="73" t="s">
        <v>3088</v>
      </c>
      <c r="BM38" s="73" t="s">
        <v>3088</v>
      </c>
      <c r="BN38" s="73" t="s">
        <v>3088</v>
      </c>
      <c r="BO38" s="73" t="s">
        <v>3088</v>
      </c>
      <c r="BP38" s="73" t="s">
        <v>3088</v>
      </c>
      <c r="BQ38" s="73" t="s">
        <v>3723</v>
      </c>
      <c r="BR38" s="73" t="s">
        <v>3088</v>
      </c>
    </row>
    <row r="39" spans="1:70">
      <c r="A39" s="73" t="s">
        <v>1882</v>
      </c>
      <c r="B39" s="73" t="s">
        <v>2169</v>
      </c>
      <c r="C39" s="73" t="s">
        <v>2129</v>
      </c>
      <c r="D39" s="73" t="s">
        <v>3088</v>
      </c>
      <c r="E39" s="73" t="s">
        <v>3088</v>
      </c>
      <c r="F39" s="73" t="s">
        <v>3088</v>
      </c>
      <c r="G39" s="73" t="s">
        <v>3089</v>
      </c>
      <c r="H39" s="73" t="s">
        <v>3088</v>
      </c>
      <c r="I39" s="73" t="s">
        <v>2135</v>
      </c>
      <c r="J39" s="73" t="s">
        <v>3088</v>
      </c>
      <c r="K39" s="73" t="s">
        <v>3088</v>
      </c>
      <c r="L39" s="73" t="s">
        <v>3180</v>
      </c>
      <c r="M39" s="73" t="s">
        <v>3088</v>
      </c>
      <c r="N39" s="73" t="s">
        <v>3088</v>
      </c>
      <c r="O39" s="73" t="s">
        <v>3088</v>
      </c>
      <c r="P39" s="73" t="s">
        <v>3088</v>
      </c>
      <c r="Q39" s="73" t="s">
        <v>3088</v>
      </c>
      <c r="R39" s="73" t="s">
        <v>3088</v>
      </c>
      <c r="S39" s="73" t="s">
        <v>3088</v>
      </c>
      <c r="T39" s="73" t="s">
        <v>3088</v>
      </c>
      <c r="U39" s="73" t="s">
        <v>3088</v>
      </c>
      <c r="V39" s="73" t="s">
        <v>3088</v>
      </c>
      <c r="W39" s="73" t="s">
        <v>3088</v>
      </c>
      <c r="X39" s="73" t="s">
        <v>3088</v>
      </c>
      <c r="Y39" s="73" t="s">
        <v>3088</v>
      </c>
      <c r="Z39" s="73" t="s">
        <v>3088</v>
      </c>
      <c r="AA39" s="73" t="s">
        <v>3088</v>
      </c>
      <c r="AB39" s="73" t="s">
        <v>3088</v>
      </c>
      <c r="AC39" s="73" t="s">
        <v>3088</v>
      </c>
      <c r="AD39" s="73" t="s">
        <v>3088</v>
      </c>
      <c r="AE39" s="73" t="s">
        <v>3088</v>
      </c>
      <c r="AF39" s="73" t="s">
        <v>3088</v>
      </c>
      <c r="AG39" s="73" t="s">
        <v>3088</v>
      </c>
      <c r="AH39" s="73" t="s">
        <v>3088</v>
      </c>
      <c r="AI39" s="73" t="s">
        <v>3088</v>
      </c>
      <c r="AJ39" s="73" t="s">
        <v>3088</v>
      </c>
      <c r="AK39" s="73" t="s">
        <v>3088</v>
      </c>
      <c r="AL39" s="73" t="s">
        <v>3088</v>
      </c>
      <c r="AM39" s="73" t="s">
        <v>3088</v>
      </c>
      <c r="AN39" s="73" t="s">
        <v>3088</v>
      </c>
      <c r="AO39" s="73" t="s">
        <v>3088</v>
      </c>
      <c r="AP39" s="73" t="s">
        <v>3088</v>
      </c>
      <c r="AQ39" s="73" t="s">
        <v>3088</v>
      </c>
      <c r="AR39" s="73" t="s">
        <v>3088</v>
      </c>
      <c r="AS39" s="73" t="s">
        <v>3088</v>
      </c>
      <c r="AT39" s="73" t="s">
        <v>3088</v>
      </c>
      <c r="AU39" s="73" t="s">
        <v>3088</v>
      </c>
      <c r="AV39" s="73" t="s">
        <v>3088</v>
      </c>
      <c r="AW39" s="73" t="s">
        <v>3088</v>
      </c>
      <c r="AX39" s="73" t="s">
        <v>3088</v>
      </c>
      <c r="AY39" s="73" t="s">
        <v>3088</v>
      </c>
      <c r="AZ39" s="73" t="s">
        <v>3088</v>
      </c>
      <c r="BA39" s="73" t="s">
        <v>3088</v>
      </c>
      <c r="BB39" s="73" t="s">
        <v>3088</v>
      </c>
      <c r="BC39" s="73" t="s">
        <v>3088</v>
      </c>
      <c r="BD39" s="73" t="s">
        <v>3088</v>
      </c>
      <c r="BE39" s="73" t="s">
        <v>3088</v>
      </c>
      <c r="BF39" s="73" t="s">
        <v>3088</v>
      </c>
      <c r="BG39" s="73" t="s">
        <v>3088</v>
      </c>
      <c r="BH39" s="73" t="s">
        <v>3088</v>
      </c>
      <c r="BI39" s="73" t="s">
        <v>3088</v>
      </c>
      <c r="BJ39" s="73" t="s">
        <v>3088</v>
      </c>
      <c r="BK39" s="73" t="s">
        <v>3088</v>
      </c>
      <c r="BL39" s="73" t="s">
        <v>3088</v>
      </c>
      <c r="BM39" s="73" t="s">
        <v>3088</v>
      </c>
      <c r="BN39" s="73" t="s">
        <v>3088</v>
      </c>
      <c r="BO39" s="73" t="s">
        <v>3088</v>
      </c>
      <c r="BP39" s="73" t="s">
        <v>3088</v>
      </c>
      <c r="BQ39" s="73" t="s">
        <v>3724</v>
      </c>
      <c r="BR39" s="73" t="s">
        <v>3088</v>
      </c>
    </row>
    <row r="40" spans="1:70">
      <c r="A40" s="73" t="s">
        <v>1882</v>
      </c>
      <c r="B40" s="73" t="s">
        <v>2171</v>
      </c>
      <c r="C40" s="73" t="s">
        <v>2129</v>
      </c>
      <c r="D40" s="73" t="s">
        <v>3088</v>
      </c>
      <c r="E40" s="73" t="s">
        <v>3088</v>
      </c>
      <c r="F40" s="73" t="s">
        <v>3088</v>
      </c>
      <c r="G40" s="73" t="s">
        <v>3089</v>
      </c>
      <c r="H40" s="73" t="s">
        <v>3088</v>
      </c>
      <c r="I40" s="73" t="s">
        <v>2135</v>
      </c>
      <c r="J40" s="73" t="s">
        <v>3088</v>
      </c>
      <c r="K40" s="73" t="s">
        <v>3088</v>
      </c>
      <c r="L40" s="73" t="s">
        <v>3088</v>
      </c>
      <c r="M40" s="73" t="s">
        <v>3088</v>
      </c>
      <c r="N40" s="73" t="s">
        <v>3088</v>
      </c>
      <c r="O40" s="73" t="s">
        <v>3088</v>
      </c>
      <c r="P40" s="73" t="s">
        <v>3088</v>
      </c>
      <c r="Q40" s="73" t="s">
        <v>3088</v>
      </c>
      <c r="R40" s="73" t="s">
        <v>3088</v>
      </c>
      <c r="S40" s="73" t="s">
        <v>3088</v>
      </c>
      <c r="T40" s="73" t="s">
        <v>3088</v>
      </c>
      <c r="U40" s="73" t="s">
        <v>3088</v>
      </c>
      <c r="V40" s="73" t="s">
        <v>3088</v>
      </c>
      <c r="W40" s="73" t="s">
        <v>3088</v>
      </c>
      <c r="X40" s="73" t="s">
        <v>3088</v>
      </c>
      <c r="Y40" s="73" t="s">
        <v>3088</v>
      </c>
      <c r="Z40" s="73" t="s">
        <v>3088</v>
      </c>
      <c r="AA40" s="73" t="s">
        <v>3088</v>
      </c>
      <c r="AB40" s="73" t="s">
        <v>3088</v>
      </c>
      <c r="AC40" s="73" t="s">
        <v>3088</v>
      </c>
      <c r="AD40" s="73" t="s">
        <v>3088</v>
      </c>
      <c r="AE40" s="73" t="s">
        <v>3088</v>
      </c>
      <c r="AF40" s="73" t="s">
        <v>3088</v>
      </c>
      <c r="AG40" s="73" t="s">
        <v>3088</v>
      </c>
      <c r="AH40" s="73" t="s">
        <v>3088</v>
      </c>
      <c r="AI40" s="73" t="s">
        <v>3088</v>
      </c>
      <c r="AJ40" s="73" t="s">
        <v>3088</v>
      </c>
      <c r="AK40" s="73" t="s">
        <v>3088</v>
      </c>
      <c r="AL40" s="73" t="s">
        <v>3088</v>
      </c>
      <c r="AM40" s="73" t="s">
        <v>3088</v>
      </c>
      <c r="AN40" s="73" t="s">
        <v>3088</v>
      </c>
      <c r="AO40" s="73" t="s">
        <v>3088</v>
      </c>
      <c r="AP40" s="73" t="s">
        <v>3088</v>
      </c>
      <c r="AQ40" s="73" t="s">
        <v>3088</v>
      </c>
      <c r="AR40" s="73" t="s">
        <v>3088</v>
      </c>
      <c r="AS40" s="73" t="s">
        <v>3088</v>
      </c>
      <c r="AT40" s="73" t="s">
        <v>3088</v>
      </c>
      <c r="AU40" s="73" t="s">
        <v>3088</v>
      </c>
      <c r="AV40" s="73" t="s">
        <v>3088</v>
      </c>
      <c r="AW40" s="73" t="s">
        <v>3088</v>
      </c>
      <c r="AX40" s="73" t="s">
        <v>3088</v>
      </c>
      <c r="AY40" s="73" t="s">
        <v>3088</v>
      </c>
      <c r="AZ40" s="73" t="s">
        <v>3088</v>
      </c>
      <c r="BA40" s="73" t="s">
        <v>3088</v>
      </c>
      <c r="BB40" s="73" t="s">
        <v>3088</v>
      </c>
      <c r="BC40" s="73" t="s">
        <v>3088</v>
      </c>
      <c r="BD40" s="73" t="s">
        <v>3088</v>
      </c>
      <c r="BE40" s="73" t="s">
        <v>3088</v>
      </c>
      <c r="BF40" s="73" t="s">
        <v>3088</v>
      </c>
      <c r="BG40" s="73" t="s">
        <v>3088</v>
      </c>
      <c r="BH40" s="73" t="s">
        <v>3088</v>
      </c>
      <c r="BI40" s="73" t="s">
        <v>3088</v>
      </c>
      <c r="BJ40" s="73" t="s">
        <v>3088</v>
      </c>
      <c r="BK40" s="73" t="s">
        <v>3088</v>
      </c>
      <c r="BL40" s="73" t="s">
        <v>3088</v>
      </c>
      <c r="BM40" s="73" t="s">
        <v>3088</v>
      </c>
      <c r="BN40" s="73" t="s">
        <v>3088</v>
      </c>
      <c r="BO40" s="73" t="s">
        <v>3088</v>
      </c>
      <c r="BP40" s="73" t="s">
        <v>3088</v>
      </c>
      <c r="BQ40" s="73" t="s">
        <v>3725</v>
      </c>
      <c r="BR40" s="73" t="s">
        <v>3088</v>
      </c>
    </row>
    <row r="41" spans="1:70">
      <c r="A41" s="73" t="s">
        <v>1882</v>
      </c>
      <c r="B41" s="73" t="s">
        <v>2172</v>
      </c>
      <c r="C41" s="73" t="s">
        <v>2129</v>
      </c>
      <c r="D41" s="73" t="s">
        <v>3088</v>
      </c>
      <c r="E41" s="73" t="s">
        <v>3088</v>
      </c>
      <c r="F41" s="73" t="s">
        <v>3088</v>
      </c>
      <c r="G41" s="73" t="s">
        <v>3089</v>
      </c>
      <c r="H41" s="73" t="s">
        <v>3088</v>
      </c>
      <c r="I41" s="73" t="s">
        <v>2135</v>
      </c>
      <c r="J41" s="73" t="s">
        <v>3088</v>
      </c>
      <c r="K41" s="73" t="s">
        <v>3088</v>
      </c>
      <c r="L41" s="73" t="s">
        <v>3088</v>
      </c>
      <c r="M41" s="73" t="s">
        <v>3088</v>
      </c>
      <c r="N41" s="73" t="s">
        <v>3088</v>
      </c>
      <c r="O41" s="73" t="s">
        <v>3088</v>
      </c>
      <c r="P41" s="73" t="s">
        <v>3088</v>
      </c>
      <c r="Q41" s="73" t="s">
        <v>3088</v>
      </c>
      <c r="R41" s="73" t="s">
        <v>3088</v>
      </c>
      <c r="S41" s="73" t="s">
        <v>3088</v>
      </c>
      <c r="T41" s="73" t="s">
        <v>3088</v>
      </c>
      <c r="U41" s="73" t="s">
        <v>3088</v>
      </c>
      <c r="V41" s="73" t="s">
        <v>3088</v>
      </c>
      <c r="W41" s="73" t="s">
        <v>3088</v>
      </c>
      <c r="X41" s="73" t="s">
        <v>3088</v>
      </c>
      <c r="Y41" s="73" t="s">
        <v>3088</v>
      </c>
      <c r="Z41" s="73" t="s">
        <v>3088</v>
      </c>
      <c r="AA41" s="73" t="s">
        <v>3088</v>
      </c>
      <c r="AB41" s="73" t="s">
        <v>3088</v>
      </c>
      <c r="AC41" s="73" t="s">
        <v>3088</v>
      </c>
      <c r="AD41" s="73" t="s">
        <v>3088</v>
      </c>
      <c r="AE41" s="73" t="s">
        <v>3088</v>
      </c>
      <c r="AF41" s="73" t="s">
        <v>3088</v>
      </c>
      <c r="AG41" s="73" t="s">
        <v>3088</v>
      </c>
      <c r="AH41" s="73" t="s">
        <v>3088</v>
      </c>
      <c r="AI41" s="73" t="s">
        <v>3088</v>
      </c>
      <c r="AJ41" s="73" t="s">
        <v>3088</v>
      </c>
      <c r="AK41" s="73" t="s">
        <v>3088</v>
      </c>
      <c r="AL41" s="73" t="s">
        <v>3088</v>
      </c>
      <c r="AM41" s="73" t="s">
        <v>3088</v>
      </c>
      <c r="AN41" s="73" t="s">
        <v>3088</v>
      </c>
      <c r="AO41" s="73" t="s">
        <v>3088</v>
      </c>
      <c r="AP41" s="73" t="s">
        <v>3088</v>
      </c>
      <c r="AQ41" s="73" t="s">
        <v>3088</v>
      </c>
      <c r="AR41" s="73" t="s">
        <v>3088</v>
      </c>
      <c r="AS41" s="73" t="s">
        <v>3088</v>
      </c>
      <c r="AT41" s="73" t="s">
        <v>3088</v>
      </c>
      <c r="AU41" s="73" t="s">
        <v>3088</v>
      </c>
      <c r="AV41" s="73" t="s">
        <v>3088</v>
      </c>
      <c r="AW41" s="73" t="s">
        <v>3088</v>
      </c>
      <c r="AX41" s="73" t="s">
        <v>3088</v>
      </c>
      <c r="AY41" s="73" t="s">
        <v>3088</v>
      </c>
      <c r="AZ41" s="73" t="s">
        <v>3088</v>
      </c>
      <c r="BA41" s="73" t="s">
        <v>3088</v>
      </c>
      <c r="BB41" s="73" t="s">
        <v>3088</v>
      </c>
      <c r="BC41" s="73" t="s">
        <v>3088</v>
      </c>
      <c r="BD41" s="73" t="s">
        <v>3088</v>
      </c>
      <c r="BE41" s="73" t="s">
        <v>3088</v>
      </c>
      <c r="BF41" s="73" t="s">
        <v>3088</v>
      </c>
      <c r="BG41" s="73" t="s">
        <v>3088</v>
      </c>
      <c r="BH41" s="73" t="s">
        <v>3088</v>
      </c>
      <c r="BI41" s="73" t="s">
        <v>3088</v>
      </c>
      <c r="BJ41" s="73" t="s">
        <v>3088</v>
      </c>
      <c r="BK41" s="73" t="s">
        <v>3088</v>
      </c>
      <c r="BL41" s="73" t="s">
        <v>3088</v>
      </c>
      <c r="BM41" s="73" t="s">
        <v>3088</v>
      </c>
      <c r="BN41" s="73" t="s">
        <v>3088</v>
      </c>
      <c r="BO41" s="73" t="s">
        <v>3088</v>
      </c>
      <c r="BP41" s="73" t="s">
        <v>3088</v>
      </c>
      <c r="BQ41" s="73" t="s">
        <v>3726</v>
      </c>
      <c r="BR41" s="73" t="s">
        <v>3088</v>
      </c>
    </row>
    <row r="42" spans="1:70">
      <c r="A42" s="73" t="s">
        <v>1882</v>
      </c>
      <c r="B42" s="73" t="s">
        <v>2173</v>
      </c>
      <c r="C42" s="73" t="s">
        <v>2174</v>
      </c>
      <c r="D42" s="73" t="s">
        <v>3088</v>
      </c>
      <c r="E42" s="73" t="s">
        <v>3088</v>
      </c>
      <c r="F42" s="73" t="s">
        <v>3088</v>
      </c>
      <c r="G42" s="73" t="s">
        <v>3089</v>
      </c>
      <c r="H42" s="73" t="s">
        <v>3088</v>
      </c>
      <c r="I42" s="73" t="s">
        <v>2135</v>
      </c>
      <c r="J42" s="73" t="s">
        <v>3088</v>
      </c>
      <c r="K42" s="73" t="s">
        <v>3088</v>
      </c>
      <c r="L42" s="73" t="s">
        <v>3088</v>
      </c>
      <c r="M42" s="73" t="s">
        <v>3088</v>
      </c>
      <c r="N42" s="73" t="s">
        <v>3088</v>
      </c>
      <c r="O42" s="73" t="s">
        <v>3088</v>
      </c>
      <c r="P42" s="73" t="s">
        <v>3088</v>
      </c>
      <c r="Q42" s="73" t="s">
        <v>3088</v>
      </c>
      <c r="R42" s="73" t="s">
        <v>3088</v>
      </c>
      <c r="S42" s="73" t="s">
        <v>3088</v>
      </c>
      <c r="T42" s="73" t="s">
        <v>3088</v>
      </c>
      <c r="U42" s="73" t="s">
        <v>3088</v>
      </c>
      <c r="V42" s="73" t="s">
        <v>3088</v>
      </c>
      <c r="W42" s="73" t="s">
        <v>3088</v>
      </c>
      <c r="X42" s="73" t="s">
        <v>3088</v>
      </c>
      <c r="Y42" s="73" t="s">
        <v>3088</v>
      </c>
      <c r="Z42" s="73" t="s">
        <v>3088</v>
      </c>
      <c r="AA42" s="73" t="s">
        <v>3088</v>
      </c>
      <c r="AB42" s="73" t="s">
        <v>3088</v>
      </c>
      <c r="AC42" s="73" t="s">
        <v>3088</v>
      </c>
      <c r="AD42" s="73" t="s">
        <v>3088</v>
      </c>
      <c r="AE42" s="73" t="s">
        <v>3088</v>
      </c>
      <c r="AF42" s="73" t="s">
        <v>3088</v>
      </c>
      <c r="AG42" s="73" t="s">
        <v>3088</v>
      </c>
      <c r="AH42" s="73" t="s">
        <v>3088</v>
      </c>
      <c r="AI42" s="73" t="s">
        <v>3088</v>
      </c>
      <c r="AJ42" s="73" t="s">
        <v>3088</v>
      </c>
      <c r="AK42" s="73" t="s">
        <v>3088</v>
      </c>
      <c r="AL42" s="73" t="s">
        <v>3088</v>
      </c>
      <c r="AM42" s="73" t="s">
        <v>3088</v>
      </c>
      <c r="AN42" s="73" t="s">
        <v>3088</v>
      </c>
      <c r="AO42" s="73" t="s">
        <v>3088</v>
      </c>
      <c r="AP42" s="73" t="s">
        <v>3088</v>
      </c>
      <c r="AQ42" s="73" t="s">
        <v>3088</v>
      </c>
      <c r="AR42" s="73" t="s">
        <v>3088</v>
      </c>
      <c r="AS42" s="73" t="s">
        <v>3088</v>
      </c>
      <c r="AT42" s="73" t="s">
        <v>3088</v>
      </c>
      <c r="AU42" s="73" t="s">
        <v>3088</v>
      </c>
      <c r="AV42" s="73" t="s">
        <v>3088</v>
      </c>
      <c r="AW42" s="73" t="s">
        <v>3088</v>
      </c>
      <c r="AX42" s="73" t="s">
        <v>3088</v>
      </c>
      <c r="AY42" s="73" t="s">
        <v>3088</v>
      </c>
      <c r="AZ42" s="73" t="s">
        <v>3088</v>
      </c>
      <c r="BA42" s="73" t="s">
        <v>3088</v>
      </c>
      <c r="BB42" s="73" t="s">
        <v>3088</v>
      </c>
      <c r="BC42" s="73" t="s">
        <v>3088</v>
      </c>
      <c r="BD42" s="73" t="s">
        <v>3088</v>
      </c>
      <c r="BE42" s="73" t="s">
        <v>3088</v>
      </c>
      <c r="BF42" s="73" t="s">
        <v>3088</v>
      </c>
      <c r="BG42" s="73" t="s">
        <v>3088</v>
      </c>
      <c r="BH42" s="73" t="s">
        <v>3088</v>
      </c>
      <c r="BI42" s="73" t="s">
        <v>3088</v>
      </c>
      <c r="BJ42" s="73" t="s">
        <v>3088</v>
      </c>
      <c r="BK42" s="73" t="s">
        <v>3088</v>
      </c>
      <c r="BL42" s="73" t="s">
        <v>3088</v>
      </c>
      <c r="BM42" s="73" t="s">
        <v>3088</v>
      </c>
      <c r="BN42" s="73" t="s">
        <v>3088</v>
      </c>
      <c r="BO42" s="73" t="s">
        <v>3088</v>
      </c>
      <c r="BP42" s="73" t="s">
        <v>3088</v>
      </c>
      <c r="BQ42" s="73" t="s">
        <v>3727</v>
      </c>
      <c r="BR42" s="73" t="s">
        <v>3088</v>
      </c>
    </row>
    <row r="43" spans="1:70">
      <c r="A43" s="73" t="s">
        <v>1882</v>
      </c>
      <c r="B43" s="73" t="s">
        <v>2175</v>
      </c>
      <c r="C43" s="73" t="s">
        <v>3088</v>
      </c>
      <c r="D43" s="73" t="s">
        <v>3088</v>
      </c>
      <c r="E43" s="73" t="s">
        <v>3088</v>
      </c>
      <c r="F43" s="73" t="s">
        <v>3088</v>
      </c>
      <c r="G43" s="73" t="s">
        <v>3089</v>
      </c>
      <c r="H43" s="73" t="s">
        <v>3088</v>
      </c>
      <c r="I43" s="73" t="s">
        <v>2135</v>
      </c>
      <c r="J43" s="73" t="s">
        <v>3088</v>
      </c>
      <c r="K43" s="73" t="s">
        <v>3088</v>
      </c>
      <c r="L43" s="73" t="s">
        <v>3088</v>
      </c>
      <c r="M43" s="73" t="s">
        <v>3088</v>
      </c>
      <c r="N43" s="73" t="s">
        <v>3088</v>
      </c>
      <c r="O43" s="73" t="s">
        <v>3088</v>
      </c>
      <c r="P43" s="73" t="s">
        <v>3088</v>
      </c>
      <c r="Q43" s="73" t="s">
        <v>3088</v>
      </c>
      <c r="R43" s="73" t="s">
        <v>3088</v>
      </c>
      <c r="S43" s="73" t="s">
        <v>3088</v>
      </c>
      <c r="T43" s="73" t="s">
        <v>3088</v>
      </c>
      <c r="U43" s="73" t="s">
        <v>3088</v>
      </c>
      <c r="V43" s="73" t="s">
        <v>3088</v>
      </c>
      <c r="W43" s="73" t="s">
        <v>3088</v>
      </c>
      <c r="X43" s="73" t="s">
        <v>3088</v>
      </c>
      <c r="Y43" s="73" t="s">
        <v>3088</v>
      </c>
      <c r="Z43" s="73" t="s">
        <v>3088</v>
      </c>
      <c r="AA43" s="73" t="s">
        <v>3088</v>
      </c>
      <c r="AB43" s="73" t="s">
        <v>3088</v>
      </c>
      <c r="AC43" s="73" t="s">
        <v>3088</v>
      </c>
      <c r="AD43" s="73" t="s">
        <v>3088</v>
      </c>
      <c r="AE43" s="73" t="s">
        <v>3088</v>
      </c>
      <c r="AF43" s="73" t="s">
        <v>3088</v>
      </c>
      <c r="AG43" s="73" t="s">
        <v>3088</v>
      </c>
      <c r="AH43" s="73" t="s">
        <v>3088</v>
      </c>
      <c r="AI43" s="73" t="s">
        <v>3088</v>
      </c>
      <c r="AJ43" s="73" t="s">
        <v>3088</v>
      </c>
      <c r="AK43" s="73" t="s">
        <v>3088</v>
      </c>
      <c r="AL43" s="73" t="s">
        <v>3088</v>
      </c>
      <c r="AM43" s="73" t="s">
        <v>3088</v>
      </c>
      <c r="AN43" s="73" t="s">
        <v>3088</v>
      </c>
      <c r="AO43" s="73" t="s">
        <v>3088</v>
      </c>
      <c r="AP43" s="73" t="s">
        <v>3088</v>
      </c>
      <c r="AQ43" s="73" t="s">
        <v>3088</v>
      </c>
      <c r="AR43" s="73" t="s">
        <v>3088</v>
      </c>
      <c r="AS43" s="73" t="s">
        <v>3088</v>
      </c>
      <c r="AT43" s="73" t="s">
        <v>3088</v>
      </c>
      <c r="AU43" s="73" t="s">
        <v>3088</v>
      </c>
      <c r="AV43" s="73" t="s">
        <v>3088</v>
      </c>
      <c r="AW43" s="73" t="s">
        <v>3088</v>
      </c>
      <c r="AX43" s="73" t="s">
        <v>3088</v>
      </c>
      <c r="AY43" s="73" t="s">
        <v>3088</v>
      </c>
      <c r="AZ43" s="73" t="s">
        <v>3088</v>
      </c>
      <c r="BA43" s="73" t="s">
        <v>3088</v>
      </c>
      <c r="BB43" s="73" t="s">
        <v>3088</v>
      </c>
      <c r="BC43" s="73" t="s">
        <v>3088</v>
      </c>
      <c r="BD43" s="73" t="s">
        <v>3088</v>
      </c>
      <c r="BE43" s="73" t="s">
        <v>3088</v>
      </c>
      <c r="BF43" s="73" t="s">
        <v>3088</v>
      </c>
      <c r="BG43" s="73" t="s">
        <v>3088</v>
      </c>
      <c r="BH43" s="73" t="s">
        <v>3088</v>
      </c>
      <c r="BI43" s="73" t="s">
        <v>3088</v>
      </c>
      <c r="BJ43" s="73" t="s">
        <v>3088</v>
      </c>
      <c r="BK43" s="73" t="s">
        <v>3088</v>
      </c>
      <c r="BL43" s="73" t="s">
        <v>3088</v>
      </c>
      <c r="BM43" s="73" t="s">
        <v>3088</v>
      </c>
      <c r="BN43" s="73" t="s">
        <v>3088</v>
      </c>
      <c r="BO43" s="73" t="s">
        <v>3088</v>
      </c>
      <c r="BP43" s="73" t="s">
        <v>3088</v>
      </c>
      <c r="BQ43" s="73" t="s">
        <v>3728</v>
      </c>
      <c r="BR43" s="73" t="s">
        <v>3088</v>
      </c>
    </row>
    <row r="44" spans="1:70">
      <c r="A44" s="73" t="s">
        <v>1882</v>
      </c>
      <c r="B44" s="73" t="s">
        <v>2176</v>
      </c>
      <c r="C44" s="73" t="s">
        <v>3088</v>
      </c>
      <c r="D44" s="73" t="s">
        <v>3088</v>
      </c>
      <c r="E44" s="73" t="s">
        <v>3088</v>
      </c>
      <c r="F44" s="73" t="s">
        <v>3088</v>
      </c>
      <c r="G44" s="73" t="s">
        <v>3089</v>
      </c>
      <c r="H44" s="73" t="s">
        <v>3088</v>
      </c>
      <c r="I44" s="73" t="s">
        <v>2135</v>
      </c>
      <c r="J44" s="73" t="s">
        <v>3088</v>
      </c>
      <c r="K44" s="73" t="s">
        <v>3088</v>
      </c>
      <c r="L44" s="73" t="s">
        <v>3088</v>
      </c>
      <c r="M44" s="73" t="s">
        <v>3088</v>
      </c>
      <c r="N44" s="73" t="s">
        <v>3088</v>
      </c>
      <c r="O44" s="73" t="s">
        <v>3088</v>
      </c>
      <c r="P44" s="73" t="s">
        <v>3088</v>
      </c>
      <c r="Q44" s="73" t="s">
        <v>3088</v>
      </c>
      <c r="R44" s="73" t="s">
        <v>3088</v>
      </c>
      <c r="S44" s="73" t="s">
        <v>3088</v>
      </c>
      <c r="T44" s="73" t="s">
        <v>3088</v>
      </c>
      <c r="U44" s="73" t="s">
        <v>3088</v>
      </c>
      <c r="V44" s="73" t="s">
        <v>3088</v>
      </c>
      <c r="W44" s="73" t="s">
        <v>3088</v>
      </c>
      <c r="X44" s="73" t="s">
        <v>3088</v>
      </c>
      <c r="Y44" s="73" t="s">
        <v>3088</v>
      </c>
      <c r="Z44" s="73" t="s">
        <v>3088</v>
      </c>
      <c r="AA44" s="73" t="s">
        <v>3088</v>
      </c>
      <c r="AB44" s="73" t="s">
        <v>3088</v>
      </c>
      <c r="AC44" s="73" t="s">
        <v>3088</v>
      </c>
      <c r="AD44" s="73" t="s">
        <v>3088</v>
      </c>
      <c r="AE44" s="73" t="s">
        <v>3088</v>
      </c>
      <c r="AF44" s="73" t="s">
        <v>3088</v>
      </c>
      <c r="AG44" s="73" t="s">
        <v>3088</v>
      </c>
      <c r="AH44" s="73" t="s">
        <v>3088</v>
      </c>
      <c r="AI44" s="73" t="s">
        <v>3088</v>
      </c>
      <c r="AJ44" s="73" t="s">
        <v>3088</v>
      </c>
      <c r="AK44" s="73" t="s">
        <v>3088</v>
      </c>
      <c r="AL44" s="73" t="s">
        <v>3088</v>
      </c>
      <c r="AM44" s="73" t="s">
        <v>3088</v>
      </c>
      <c r="AN44" s="73" t="s">
        <v>3088</v>
      </c>
      <c r="AO44" s="73" t="s">
        <v>3088</v>
      </c>
      <c r="AP44" s="73" t="s">
        <v>3088</v>
      </c>
      <c r="AQ44" s="73" t="s">
        <v>3088</v>
      </c>
      <c r="AR44" s="73" t="s">
        <v>3088</v>
      </c>
      <c r="AS44" s="73" t="s">
        <v>3088</v>
      </c>
      <c r="AT44" s="73" t="s">
        <v>3088</v>
      </c>
      <c r="AU44" s="73" t="s">
        <v>3088</v>
      </c>
      <c r="AV44" s="73" t="s">
        <v>3088</v>
      </c>
      <c r="AW44" s="73" t="s">
        <v>3088</v>
      </c>
      <c r="AX44" s="73" t="s">
        <v>3088</v>
      </c>
      <c r="AY44" s="73" t="s">
        <v>3088</v>
      </c>
      <c r="AZ44" s="73" t="s">
        <v>3088</v>
      </c>
      <c r="BA44" s="73" t="s">
        <v>3088</v>
      </c>
      <c r="BB44" s="73" t="s">
        <v>3088</v>
      </c>
      <c r="BC44" s="73" t="s">
        <v>3088</v>
      </c>
      <c r="BD44" s="73" t="s">
        <v>3088</v>
      </c>
      <c r="BE44" s="73" t="s">
        <v>3088</v>
      </c>
      <c r="BF44" s="73" t="s">
        <v>3088</v>
      </c>
      <c r="BG44" s="73" t="s">
        <v>3088</v>
      </c>
      <c r="BH44" s="73" t="s">
        <v>3088</v>
      </c>
      <c r="BI44" s="73" t="s">
        <v>3088</v>
      </c>
      <c r="BJ44" s="73" t="s">
        <v>3088</v>
      </c>
      <c r="BK44" s="73" t="s">
        <v>3088</v>
      </c>
      <c r="BL44" s="73" t="s">
        <v>3088</v>
      </c>
      <c r="BM44" s="73" t="s">
        <v>3088</v>
      </c>
      <c r="BN44" s="73" t="s">
        <v>3088</v>
      </c>
      <c r="BO44" s="73" t="s">
        <v>3088</v>
      </c>
      <c r="BP44" s="73" t="s">
        <v>3088</v>
      </c>
      <c r="BQ44" s="73" t="s">
        <v>3729</v>
      </c>
      <c r="BR44" s="73" t="s">
        <v>3088</v>
      </c>
    </row>
    <row r="45" spans="1:70">
      <c r="A45" s="73" t="s">
        <v>1882</v>
      </c>
      <c r="B45" s="73" t="s">
        <v>2177</v>
      </c>
      <c r="C45" s="73" t="s">
        <v>3088</v>
      </c>
      <c r="D45" s="73" t="s">
        <v>3088</v>
      </c>
      <c r="E45" s="73" t="s">
        <v>3088</v>
      </c>
      <c r="F45" s="73" t="s">
        <v>3088</v>
      </c>
      <c r="G45" s="73" t="s">
        <v>3089</v>
      </c>
      <c r="H45" s="73" t="s">
        <v>3088</v>
      </c>
      <c r="I45" s="73" t="s">
        <v>2135</v>
      </c>
      <c r="J45" s="73" t="s">
        <v>3088</v>
      </c>
      <c r="K45" s="73" t="s">
        <v>3088</v>
      </c>
      <c r="L45" s="73" t="s">
        <v>3088</v>
      </c>
      <c r="M45" s="73" t="s">
        <v>3088</v>
      </c>
      <c r="N45" s="73" t="s">
        <v>3088</v>
      </c>
      <c r="O45" s="73" t="s">
        <v>3088</v>
      </c>
      <c r="P45" s="73" t="s">
        <v>3088</v>
      </c>
      <c r="Q45" s="73" t="s">
        <v>3088</v>
      </c>
      <c r="R45" s="73" t="s">
        <v>3088</v>
      </c>
      <c r="S45" s="73" t="s">
        <v>3088</v>
      </c>
      <c r="T45" s="73" t="s">
        <v>3088</v>
      </c>
      <c r="U45" s="73" t="s">
        <v>3088</v>
      </c>
      <c r="V45" s="73" t="s">
        <v>3088</v>
      </c>
      <c r="W45" s="73" t="s">
        <v>3088</v>
      </c>
      <c r="X45" s="73" t="s">
        <v>3088</v>
      </c>
      <c r="Y45" s="73" t="s">
        <v>3088</v>
      </c>
      <c r="Z45" s="73" t="s">
        <v>3088</v>
      </c>
      <c r="AA45" s="73" t="s">
        <v>3088</v>
      </c>
      <c r="AB45" s="73" t="s">
        <v>3088</v>
      </c>
      <c r="AC45" s="73" t="s">
        <v>3088</v>
      </c>
      <c r="AD45" s="73" t="s">
        <v>3088</v>
      </c>
      <c r="AE45" s="73" t="s">
        <v>3088</v>
      </c>
      <c r="AF45" s="73" t="s">
        <v>3088</v>
      </c>
      <c r="AG45" s="73" t="s">
        <v>3088</v>
      </c>
      <c r="AH45" s="73" t="s">
        <v>3088</v>
      </c>
      <c r="AI45" s="73" t="s">
        <v>3088</v>
      </c>
      <c r="AJ45" s="73" t="s">
        <v>3088</v>
      </c>
      <c r="AK45" s="73" t="s">
        <v>3088</v>
      </c>
      <c r="AL45" s="73" t="s">
        <v>3088</v>
      </c>
      <c r="AM45" s="73" t="s">
        <v>3088</v>
      </c>
      <c r="AN45" s="73" t="s">
        <v>3088</v>
      </c>
      <c r="AO45" s="73" t="s">
        <v>3088</v>
      </c>
      <c r="AP45" s="73" t="s">
        <v>3088</v>
      </c>
      <c r="AQ45" s="73" t="s">
        <v>3088</v>
      </c>
      <c r="AR45" s="73" t="s">
        <v>3088</v>
      </c>
      <c r="AS45" s="73" t="s">
        <v>3088</v>
      </c>
      <c r="AT45" s="73" t="s">
        <v>3088</v>
      </c>
      <c r="AU45" s="73" t="s">
        <v>3088</v>
      </c>
      <c r="AV45" s="73" t="s">
        <v>3088</v>
      </c>
      <c r="AW45" s="73" t="s">
        <v>3088</v>
      </c>
      <c r="AX45" s="73" t="s">
        <v>3088</v>
      </c>
      <c r="AY45" s="73" t="s">
        <v>3088</v>
      </c>
      <c r="AZ45" s="73" t="s">
        <v>3088</v>
      </c>
      <c r="BA45" s="73" t="s">
        <v>3088</v>
      </c>
      <c r="BB45" s="73" t="s">
        <v>3088</v>
      </c>
      <c r="BC45" s="73" t="s">
        <v>3088</v>
      </c>
      <c r="BD45" s="73" t="s">
        <v>3088</v>
      </c>
      <c r="BE45" s="73" t="s">
        <v>3088</v>
      </c>
      <c r="BF45" s="73" t="s">
        <v>3088</v>
      </c>
      <c r="BG45" s="73" t="s">
        <v>3088</v>
      </c>
      <c r="BH45" s="73" t="s">
        <v>3088</v>
      </c>
      <c r="BI45" s="73" t="s">
        <v>3088</v>
      </c>
      <c r="BJ45" s="73" t="s">
        <v>3088</v>
      </c>
      <c r="BK45" s="73" t="s">
        <v>3088</v>
      </c>
      <c r="BL45" s="73" t="s">
        <v>3088</v>
      </c>
      <c r="BM45" s="73" t="s">
        <v>3088</v>
      </c>
      <c r="BN45" s="73" t="s">
        <v>3088</v>
      </c>
      <c r="BO45" s="73" t="s">
        <v>3088</v>
      </c>
      <c r="BP45" s="73" t="s">
        <v>3088</v>
      </c>
      <c r="BQ45" s="73" t="s">
        <v>3730</v>
      </c>
      <c r="BR45" s="73" t="s">
        <v>3088</v>
      </c>
    </row>
    <row r="46" spans="1:70">
      <c r="A46" s="73" t="s">
        <v>1884</v>
      </c>
      <c r="B46" s="73" t="s">
        <v>3731</v>
      </c>
      <c r="C46" s="73" t="s">
        <v>2180</v>
      </c>
      <c r="D46" s="73" t="s">
        <v>3088</v>
      </c>
      <c r="E46" s="73" t="s">
        <v>3088</v>
      </c>
      <c r="F46" s="73" t="s">
        <v>3088</v>
      </c>
      <c r="G46" s="73" t="s">
        <v>3089</v>
      </c>
      <c r="H46" s="73" t="s">
        <v>3088</v>
      </c>
      <c r="I46" s="73" t="s">
        <v>3113</v>
      </c>
      <c r="J46" s="73" t="s">
        <v>3180</v>
      </c>
      <c r="K46" s="73" t="s">
        <v>3089</v>
      </c>
      <c r="L46" s="73" t="s">
        <v>3088</v>
      </c>
      <c r="M46" s="73" t="s">
        <v>3088</v>
      </c>
      <c r="N46" s="73" t="s">
        <v>3088</v>
      </c>
      <c r="O46" s="73" t="s">
        <v>3088</v>
      </c>
      <c r="P46" s="73" t="s">
        <v>3088</v>
      </c>
      <c r="Q46" s="73" t="s">
        <v>3088</v>
      </c>
      <c r="R46" s="73" t="s">
        <v>3088</v>
      </c>
      <c r="S46" s="73" t="s">
        <v>3088</v>
      </c>
      <c r="T46" s="73" t="s">
        <v>3088</v>
      </c>
      <c r="U46" s="73" t="s">
        <v>3088</v>
      </c>
      <c r="V46" s="73" t="s">
        <v>3088</v>
      </c>
      <c r="W46" s="73" t="s">
        <v>3088</v>
      </c>
      <c r="X46" s="73" t="s">
        <v>3088</v>
      </c>
      <c r="Y46" s="73" t="s">
        <v>3088</v>
      </c>
      <c r="Z46" s="73" t="s">
        <v>3088</v>
      </c>
      <c r="AA46" s="73" t="s">
        <v>3088</v>
      </c>
      <c r="AB46" s="73" t="s">
        <v>3088</v>
      </c>
      <c r="AC46" s="73" t="s">
        <v>3088</v>
      </c>
      <c r="AD46" s="73" t="s">
        <v>3088</v>
      </c>
      <c r="AE46" s="73" t="s">
        <v>3088</v>
      </c>
      <c r="AF46" s="73" t="s">
        <v>3088</v>
      </c>
      <c r="AG46" s="73" t="s">
        <v>3088</v>
      </c>
      <c r="AH46" s="73" t="s">
        <v>3088</v>
      </c>
      <c r="AI46" s="73" t="s">
        <v>3088</v>
      </c>
      <c r="AJ46" s="73" t="s">
        <v>3088</v>
      </c>
      <c r="AK46" s="73" t="s">
        <v>3088</v>
      </c>
      <c r="AL46" s="73" t="s">
        <v>3088</v>
      </c>
      <c r="AM46" s="73" t="s">
        <v>3088</v>
      </c>
      <c r="AN46" s="73" t="s">
        <v>3088</v>
      </c>
      <c r="AO46" s="73" t="s">
        <v>3088</v>
      </c>
      <c r="AP46" s="73" t="s">
        <v>3088</v>
      </c>
      <c r="AQ46" s="73" t="s">
        <v>3088</v>
      </c>
      <c r="AR46" s="73" t="s">
        <v>3088</v>
      </c>
      <c r="AS46" s="73" t="s">
        <v>3088</v>
      </c>
      <c r="AT46" s="73" t="s">
        <v>3088</v>
      </c>
      <c r="AU46" s="73" t="s">
        <v>3088</v>
      </c>
      <c r="AV46" s="73" t="s">
        <v>3088</v>
      </c>
      <c r="AW46" s="73" t="s">
        <v>3088</v>
      </c>
      <c r="AX46" s="73" t="s">
        <v>3088</v>
      </c>
      <c r="AY46" s="73" t="s">
        <v>3088</v>
      </c>
      <c r="AZ46" s="73" t="s">
        <v>3088</v>
      </c>
      <c r="BA46" s="73" t="s">
        <v>3088</v>
      </c>
      <c r="BB46" s="73" t="s">
        <v>3088</v>
      </c>
      <c r="BC46" s="73" t="s">
        <v>3088</v>
      </c>
      <c r="BD46" s="73" t="s">
        <v>3088</v>
      </c>
      <c r="BE46" s="73" t="s">
        <v>3088</v>
      </c>
      <c r="BF46" s="73" t="s">
        <v>3088</v>
      </c>
      <c r="BG46" s="73" t="s">
        <v>3088</v>
      </c>
      <c r="BH46" s="73" t="s">
        <v>3088</v>
      </c>
      <c r="BI46" s="73" t="s">
        <v>3088</v>
      </c>
      <c r="BJ46" s="73" t="s">
        <v>3088</v>
      </c>
      <c r="BK46" s="73" t="s">
        <v>3088</v>
      </c>
      <c r="BL46" s="73" t="s">
        <v>3088</v>
      </c>
      <c r="BM46" s="73" t="s">
        <v>3088</v>
      </c>
      <c r="BN46" s="73" t="s">
        <v>3088</v>
      </c>
      <c r="BO46" s="73" t="s">
        <v>3088</v>
      </c>
      <c r="BP46" s="73" t="s">
        <v>3088</v>
      </c>
      <c r="BQ46" s="73" t="s">
        <v>3732</v>
      </c>
      <c r="BR46" s="73" t="s">
        <v>3088</v>
      </c>
    </row>
    <row r="47" spans="1:70">
      <c r="A47" s="73" t="s">
        <v>1884</v>
      </c>
      <c r="B47" s="73" t="s">
        <v>3733</v>
      </c>
      <c r="C47" s="73" t="s">
        <v>2182</v>
      </c>
      <c r="D47" s="73" t="s">
        <v>3088</v>
      </c>
      <c r="E47" s="73" t="s">
        <v>3088</v>
      </c>
      <c r="F47" s="73" t="s">
        <v>3088</v>
      </c>
      <c r="G47" s="73" t="s">
        <v>3089</v>
      </c>
      <c r="H47" s="73" t="s">
        <v>3088</v>
      </c>
      <c r="I47" s="73" t="s">
        <v>3113</v>
      </c>
      <c r="J47" s="73" t="s">
        <v>3180</v>
      </c>
      <c r="K47" s="73" t="s">
        <v>3089</v>
      </c>
      <c r="L47" s="73" t="s">
        <v>3088</v>
      </c>
      <c r="M47" s="73" t="s">
        <v>3088</v>
      </c>
      <c r="N47" s="73" t="s">
        <v>3088</v>
      </c>
      <c r="O47" s="73" t="s">
        <v>3088</v>
      </c>
      <c r="P47" s="73" t="s">
        <v>3088</v>
      </c>
      <c r="Q47" s="73" t="s">
        <v>3088</v>
      </c>
      <c r="R47" s="73" t="s">
        <v>3088</v>
      </c>
      <c r="S47" s="73" t="s">
        <v>3088</v>
      </c>
      <c r="T47" s="73" t="s">
        <v>3088</v>
      </c>
      <c r="U47" s="73" t="s">
        <v>3088</v>
      </c>
      <c r="V47" s="73" t="s">
        <v>3088</v>
      </c>
      <c r="W47" s="73" t="s">
        <v>3088</v>
      </c>
      <c r="X47" s="73" t="s">
        <v>3088</v>
      </c>
      <c r="Y47" s="73" t="s">
        <v>3088</v>
      </c>
      <c r="Z47" s="73" t="s">
        <v>3088</v>
      </c>
      <c r="AA47" s="73" t="s">
        <v>3088</v>
      </c>
      <c r="AB47" s="73" t="s">
        <v>3088</v>
      </c>
      <c r="AC47" s="73" t="s">
        <v>3088</v>
      </c>
      <c r="AD47" s="73" t="s">
        <v>3088</v>
      </c>
      <c r="AE47" s="73" t="s">
        <v>3088</v>
      </c>
      <c r="AF47" s="73" t="s">
        <v>3088</v>
      </c>
      <c r="AG47" s="73" t="s">
        <v>3088</v>
      </c>
      <c r="AH47" s="73" t="s">
        <v>3088</v>
      </c>
      <c r="AI47" s="73" t="s">
        <v>3088</v>
      </c>
      <c r="AJ47" s="73" t="s">
        <v>3088</v>
      </c>
      <c r="AK47" s="73" t="s">
        <v>3088</v>
      </c>
      <c r="AL47" s="73" t="s">
        <v>3088</v>
      </c>
      <c r="AM47" s="73" t="s">
        <v>3088</v>
      </c>
      <c r="AN47" s="73" t="s">
        <v>3088</v>
      </c>
      <c r="AO47" s="73" t="s">
        <v>3088</v>
      </c>
      <c r="AP47" s="73" t="s">
        <v>3088</v>
      </c>
      <c r="AQ47" s="73" t="s">
        <v>3088</v>
      </c>
      <c r="AR47" s="73" t="s">
        <v>3088</v>
      </c>
      <c r="AS47" s="73" t="s">
        <v>3088</v>
      </c>
      <c r="AT47" s="73" t="s">
        <v>3088</v>
      </c>
      <c r="AU47" s="73" t="s">
        <v>3088</v>
      </c>
      <c r="AV47" s="73" t="s">
        <v>3088</v>
      </c>
      <c r="AW47" s="73" t="s">
        <v>3088</v>
      </c>
      <c r="AX47" s="73" t="s">
        <v>3088</v>
      </c>
      <c r="AY47" s="73" t="s">
        <v>3088</v>
      </c>
      <c r="AZ47" s="73" t="s">
        <v>3088</v>
      </c>
      <c r="BA47" s="73" t="s">
        <v>3088</v>
      </c>
      <c r="BB47" s="73" t="s">
        <v>3088</v>
      </c>
      <c r="BC47" s="73" t="s">
        <v>3088</v>
      </c>
      <c r="BD47" s="73" t="s">
        <v>3088</v>
      </c>
      <c r="BE47" s="73" t="s">
        <v>3088</v>
      </c>
      <c r="BF47" s="73" t="s">
        <v>3088</v>
      </c>
      <c r="BG47" s="73" t="s">
        <v>3088</v>
      </c>
      <c r="BH47" s="73" t="s">
        <v>3088</v>
      </c>
      <c r="BI47" s="73" t="s">
        <v>3088</v>
      </c>
      <c r="BJ47" s="73" t="s">
        <v>3088</v>
      </c>
      <c r="BK47" s="73" t="s">
        <v>3088</v>
      </c>
      <c r="BL47" s="73" t="s">
        <v>3088</v>
      </c>
      <c r="BM47" s="73" t="s">
        <v>3088</v>
      </c>
      <c r="BN47" s="73" t="s">
        <v>3088</v>
      </c>
      <c r="BO47" s="73" t="s">
        <v>3088</v>
      </c>
      <c r="BP47" s="73" t="s">
        <v>3088</v>
      </c>
      <c r="BQ47" s="73" t="s">
        <v>3734</v>
      </c>
      <c r="BR47" s="73" t="s">
        <v>3088</v>
      </c>
    </row>
    <row r="48" spans="1:70">
      <c r="A48" s="73" t="s">
        <v>1884</v>
      </c>
      <c r="B48" s="73" t="s">
        <v>3735</v>
      </c>
      <c r="C48" s="73" t="s">
        <v>2180</v>
      </c>
      <c r="D48" s="73" t="s">
        <v>3088</v>
      </c>
      <c r="E48" s="73" t="s">
        <v>3088</v>
      </c>
      <c r="F48" s="73" t="s">
        <v>3088</v>
      </c>
      <c r="G48" s="73" t="s">
        <v>3089</v>
      </c>
      <c r="H48" s="73" t="s">
        <v>3088</v>
      </c>
      <c r="I48" s="73" t="s">
        <v>3122</v>
      </c>
      <c r="J48" s="73" t="s">
        <v>3180</v>
      </c>
      <c r="K48" s="73" t="s">
        <v>3089</v>
      </c>
      <c r="L48" s="73" t="s">
        <v>3113</v>
      </c>
      <c r="M48" s="73" t="s">
        <v>3180</v>
      </c>
      <c r="N48" s="73" t="s">
        <v>3089</v>
      </c>
      <c r="O48" s="73" t="s">
        <v>3088</v>
      </c>
      <c r="P48" s="73" t="s">
        <v>3088</v>
      </c>
      <c r="Q48" s="73" t="s">
        <v>3088</v>
      </c>
      <c r="R48" s="73" t="s">
        <v>3088</v>
      </c>
      <c r="S48" s="73" t="s">
        <v>3088</v>
      </c>
      <c r="T48" s="73" t="s">
        <v>3088</v>
      </c>
      <c r="U48" s="73" t="s">
        <v>3088</v>
      </c>
      <c r="V48" s="73" t="s">
        <v>3088</v>
      </c>
      <c r="W48" s="73" t="s">
        <v>3088</v>
      </c>
      <c r="X48" s="73" t="s">
        <v>3088</v>
      </c>
      <c r="Y48" s="73" t="s">
        <v>3088</v>
      </c>
      <c r="Z48" s="73" t="s">
        <v>3088</v>
      </c>
      <c r="AA48" s="73" t="s">
        <v>3088</v>
      </c>
      <c r="AB48" s="73" t="s">
        <v>3088</v>
      </c>
      <c r="AC48" s="73" t="s">
        <v>3088</v>
      </c>
      <c r="AD48" s="73" t="s">
        <v>3088</v>
      </c>
      <c r="AE48" s="73" t="s">
        <v>3088</v>
      </c>
      <c r="AF48" s="73" t="s">
        <v>3088</v>
      </c>
      <c r="AG48" s="73" t="s">
        <v>3088</v>
      </c>
      <c r="AH48" s="73" t="s">
        <v>3088</v>
      </c>
      <c r="AI48" s="73" t="s">
        <v>3088</v>
      </c>
      <c r="AJ48" s="73" t="s">
        <v>3088</v>
      </c>
      <c r="AK48" s="73" t="s">
        <v>3088</v>
      </c>
      <c r="AL48" s="73" t="s">
        <v>3088</v>
      </c>
      <c r="AM48" s="73" t="s">
        <v>3088</v>
      </c>
      <c r="AN48" s="73" t="s">
        <v>3088</v>
      </c>
      <c r="AO48" s="73" t="s">
        <v>3088</v>
      </c>
      <c r="AP48" s="73" t="s">
        <v>3088</v>
      </c>
      <c r="AQ48" s="73" t="s">
        <v>3088</v>
      </c>
      <c r="AR48" s="73" t="s">
        <v>3088</v>
      </c>
      <c r="AS48" s="73" t="s">
        <v>3088</v>
      </c>
      <c r="AT48" s="73" t="s">
        <v>3088</v>
      </c>
      <c r="AU48" s="73" t="s">
        <v>3088</v>
      </c>
      <c r="AV48" s="73" t="s">
        <v>3088</v>
      </c>
      <c r="AW48" s="73" t="s">
        <v>3088</v>
      </c>
      <c r="AX48" s="73" t="s">
        <v>3088</v>
      </c>
      <c r="AY48" s="73" t="s">
        <v>3088</v>
      </c>
      <c r="AZ48" s="73" t="s">
        <v>3088</v>
      </c>
      <c r="BA48" s="73" t="s">
        <v>3088</v>
      </c>
      <c r="BB48" s="73" t="s">
        <v>3088</v>
      </c>
      <c r="BC48" s="73" t="s">
        <v>3088</v>
      </c>
      <c r="BD48" s="73" t="s">
        <v>3088</v>
      </c>
      <c r="BE48" s="73" t="s">
        <v>3088</v>
      </c>
      <c r="BF48" s="73" t="s">
        <v>3088</v>
      </c>
      <c r="BG48" s="73" t="s">
        <v>3088</v>
      </c>
      <c r="BH48" s="73" t="s">
        <v>3088</v>
      </c>
      <c r="BI48" s="73" t="s">
        <v>3088</v>
      </c>
      <c r="BJ48" s="73" t="s">
        <v>3088</v>
      </c>
      <c r="BK48" s="73" t="s">
        <v>3088</v>
      </c>
      <c r="BL48" s="73" t="s">
        <v>3088</v>
      </c>
      <c r="BM48" s="73" t="s">
        <v>3088</v>
      </c>
      <c r="BN48" s="73" t="s">
        <v>3088</v>
      </c>
      <c r="BO48" s="73" t="s">
        <v>3088</v>
      </c>
      <c r="BP48" s="73" t="s">
        <v>3088</v>
      </c>
      <c r="BQ48" s="73" t="s">
        <v>3736</v>
      </c>
      <c r="BR48" s="73" t="s">
        <v>3088</v>
      </c>
    </row>
    <row r="49" spans="1:70">
      <c r="A49" s="73" t="s">
        <v>1884</v>
      </c>
      <c r="B49" s="73" t="s">
        <v>2179</v>
      </c>
      <c r="C49" s="73" t="s">
        <v>2180</v>
      </c>
      <c r="D49" s="73" t="s">
        <v>3088</v>
      </c>
      <c r="E49" s="73" t="s">
        <v>3088</v>
      </c>
      <c r="F49" s="73" t="s">
        <v>3088</v>
      </c>
      <c r="G49" s="73" t="s">
        <v>3089</v>
      </c>
      <c r="H49" s="73" t="s">
        <v>3088</v>
      </c>
      <c r="I49" s="73" t="s">
        <v>108</v>
      </c>
      <c r="J49" s="73" t="s">
        <v>3088</v>
      </c>
      <c r="K49" s="73" t="s">
        <v>3088</v>
      </c>
      <c r="L49" s="73" t="s">
        <v>3088</v>
      </c>
      <c r="M49" s="73" t="s">
        <v>3088</v>
      </c>
      <c r="N49" s="73" t="s">
        <v>3088</v>
      </c>
      <c r="O49" s="73" t="s">
        <v>3088</v>
      </c>
      <c r="P49" s="73" t="s">
        <v>3088</v>
      </c>
      <c r="Q49" s="73" t="s">
        <v>3088</v>
      </c>
      <c r="R49" s="73" t="s">
        <v>3088</v>
      </c>
      <c r="S49" s="73" t="s">
        <v>3088</v>
      </c>
      <c r="T49" s="73" t="s">
        <v>3088</v>
      </c>
      <c r="U49" s="73" t="s">
        <v>3088</v>
      </c>
      <c r="V49" s="73" t="s">
        <v>3088</v>
      </c>
      <c r="W49" s="73" t="s">
        <v>3088</v>
      </c>
      <c r="X49" s="73" t="s">
        <v>3088</v>
      </c>
      <c r="Y49" s="73" t="s">
        <v>3088</v>
      </c>
      <c r="Z49" s="73" t="s">
        <v>3088</v>
      </c>
      <c r="AA49" s="73" t="s">
        <v>3088</v>
      </c>
      <c r="AB49" s="73" t="s">
        <v>3088</v>
      </c>
      <c r="AC49" s="73" t="s">
        <v>3088</v>
      </c>
      <c r="AD49" s="73" t="s">
        <v>3088</v>
      </c>
      <c r="AE49" s="73" t="s">
        <v>3088</v>
      </c>
      <c r="AF49" s="73" t="s">
        <v>3088</v>
      </c>
      <c r="AG49" s="73" t="s">
        <v>3088</v>
      </c>
      <c r="AH49" s="73" t="s">
        <v>3088</v>
      </c>
      <c r="AI49" s="73" t="s">
        <v>3088</v>
      </c>
      <c r="AJ49" s="73" t="s">
        <v>3088</v>
      </c>
      <c r="AK49" s="73" t="s">
        <v>3088</v>
      </c>
      <c r="AL49" s="73" t="s">
        <v>3088</v>
      </c>
      <c r="AM49" s="73" t="s">
        <v>3088</v>
      </c>
      <c r="AN49" s="73" t="s">
        <v>3088</v>
      </c>
      <c r="AO49" s="73" t="s">
        <v>3088</v>
      </c>
      <c r="AP49" s="73" t="s">
        <v>3088</v>
      </c>
      <c r="AQ49" s="73" t="s">
        <v>3088</v>
      </c>
      <c r="AR49" s="73" t="s">
        <v>3088</v>
      </c>
      <c r="AS49" s="73" t="s">
        <v>3088</v>
      </c>
      <c r="AT49" s="73" t="s">
        <v>3088</v>
      </c>
      <c r="AU49" s="73" t="s">
        <v>3088</v>
      </c>
      <c r="AV49" s="73" t="s">
        <v>3088</v>
      </c>
      <c r="AW49" s="73" t="s">
        <v>3088</v>
      </c>
      <c r="AX49" s="73" t="s">
        <v>3088</v>
      </c>
      <c r="AY49" s="73" t="s">
        <v>3088</v>
      </c>
      <c r="AZ49" s="73" t="s">
        <v>3088</v>
      </c>
      <c r="BA49" s="73" t="s">
        <v>3088</v>
      </c>
      <c r="BB49" s="73" t="s">
        <v>3088</v>
      </c>
      <c r="BC49" s="73" t="s">
        <v>3088</v>
      </c>
      <c r="BD49" s="73" t="s">
        <v>3088</v>
      </c>
      <c r="BE49" s="73" t="s">
        <v>3088</v>
      </c>
      <c r="BF49" s="73" t="s">
        <v>3088</v>
      </c>
      <c r="BG49" s="73" t="s">
        <v>3088</v>
      </c>
      <c r="BH49" s="73" t="s">
        <v>3088</v>
      </c>
      <c r="BI49" s="73" t="s">
        <v>3088</v>
      </c>
      <c r="BJ49" s="73" t="s">
        <v>3088</v>
      </c>
      <c r="BK49" s="73" t="s">
        <v>3088</v>
      </c>
      <c r="BL49" s="73" t="s">
        <v>3088</v>
      </c>
      <c r="BM49" s="73" t="s">
        <v>3088</v>
      </c>
      <c r="BN49" s="73" t="s">
        <v>3088</v>
      </c>
      <c r="BO49" s="73" t="s">
        <v>3088</v>
      </c>
      <c r="BP49" s="73" t="s">
        <v>3088</v>
      </c>
      <c r="BQ49" s="73" t="s">
        <v>3737</v>
      </c>
      <c r="BR49" s="73" t="s">
        <v>3088</v>
      </c>
    </row>
    <row r="50" spans="1:70">
      <c r="A50" s="73" t="s">
        <v>1884</v>
      </c>
      <c r="B50" s="73" t="s">
        <v>2181</v>
      </c>
      <c r="C50" s="73" t="s">
        <v>2182</v>
      </c>
      <c r="D50" s="73" t="s">
        <v>3088</v>
      </c>
      <c r="E50" s="73" t="s">
        <v>3088</v>
      </c>
      <c r="F50" s="73" t="s">
        <v>3088</v>
      </c>
      <c r="G50" s="73" t="s">
        <v>3089</v>
      </c>
      <c r="H50" s="73" t="s">
        <v>3088</v>
      </c>
      <c r="I50" s="73" t="s">
        <v>108</v>
      </c>
      <c r="J50" s="73" t="s">
        <v>3088</v>
      </c>
      <c r="K50" s="73" t="s">
        <v>3088</v>
      </c>
      <c r="L50" s="73" t="s">
        <v>3088</v>
      </c>
      <c r="M50" s="73" t="s">
        <v>3088</v>
      </c>
      <c r="N50" s="73" t="s">
        <v>3088</v>
      </c>
      <c r="O50" s="73" t="s">
        <v>3088</v>
      </c>
      <c r="P50" s="73" t="s">
        <v>3088</v>
      </c>
      <c r="Q50" s="73" t="s">
        <v>3088</v>
      </c>
      <c r="R50" s="73" t="s">
        <v>3088</v>
      </c>
      <c r="S50" s="73" t="s">
        <v>3088</v>
      </c>
      <c r="T50" s="73" t="s">
        <v>3088</v>
      </c>
      <c r="U50" s="73" t="s">
        <v>3088</v>
      </c>
      <c r="V50" s="73" t="s">
        <v>3088</v>
      </c>
      <c r="W50" s="73" t="s">
        <v>3088</v>
      </c>
      <c r="X50" s="73" t="s">
        <v>3088</v>
      </c>
      <c r="Y50" s="73" t="s">
        <v>3088</v>
      </c>
      <c r="Z50" s="73" t="s">
        <v>3088</v>
      </c>
      <c r="AA50" s="73" t="s">
        <v>3088</v>
      </c>
      <c r="AB50" s="73" t="s">
        <v>3088</v>
      </c>
      <c r="AC50" s="73" t="s">
        <v>3088</v>
      </c>
      <c r="AD50" s="73" t="s">
        <v>3088</v>
      </c>
      <c r="AE50" s="73" t="s">
        <v>3088</v>
      </c>
      <c r="AF50" s="73" t="s">
        <v>3088</v>
      </c>
      <c r="AG50" s="73" t="s">
        <v>3088</v>
      </c>
      <c r="AH50" s="73" t="s">
        <v>3088</v>
      </c>
      <c r="AI50" s="73" t="s">
        <v>3088</v>
      </c>
      <c r="AJ50" s="73" t="s">
        <v>3088</v>
      </c>
      <c r="AK50" s="73" t="s">
        <v>3088</v>
      </c>
      <c r="AL50" s="73" t="s">
        <v>3088</v>
      </c>
      <c r="AM50" s="73" t="s">
        <v>3088</v>
      </c>
      <c r="AN50" s="73" t="s">
        <v>3088</v>
      </c>
      <c r="AO50" s="73" t="s">
        <v>3088</v>
      </c>
      <c r="AP50" s="73" t="s">
        <v>3088</v>
      </c>
      <c r="AQ50" s="73" t="s">
        <v>3088</v>
      </c>
      <c r="AR50" s="73" t="s">
        <v>3088</v>
      </c>
      <c r="AS50" s="73" t="s">
        <v>3088</v>
      </c>
      <c r="AT50" s="73" t="s">
        <v>3088</v>
      </c>
      <c r="AU50" s="73" t="s">
        <v>3088</v>
      </c>
      <c r="AV50" s="73" t="s">
        <v>3088</v>
      </c>
      <c r="AW50" s="73" t="s">
        <v>3088</v>
      </c>
      <c r="AX50" s="73" t="s">
        <v>3088</v>
      </c>
      <c r="AY50" s="73" t="s">
        <v>3088</v>
      </c>
      <c r="AZ50" s="73" t="s">
        <v>3088</v>
      </c>
      <c r="BA50" s="73" t="s">
        <v>3088</v>
      </c>
      <c r="BB50" s="73" t="s">
        <v>3088</v>
      </c>
      <c r="BC50" s="73" t="s">
        <v>3088</v>
      </c>
      <c r="BD50" s="73" t="s">
        <v>3088</v>
      </c>
      <c r="BE50" s="73" t="s">
        <v>3088</v>
      </c>
      <c r="BF50" s="73" t="s">
        <v>3088</v>
      </c>
      <c r="BG50" s="73" t="s">
        <v>3088</v>
      </c>
      <c r="BH50" s="73" t="s">
        <v>3088</v>
      </c>
      <c r="BI50" s="73" t="s">
        <v>3088</v>
      </c>
      <c r="BJ50" s="73" t="s">
        <v>3088</v>
      </c>
      <c r="BK50" s="73" t="s">
        <v>3088</v>
      </c>
      <c r="BL50" s="73" t="s">
        <v>3088</v>
      </c>
      <c r="BM50" s="73" t="s">
        <v>3088</v>
      </c>
      <c r="BN50" s="73" t="s">
        <v>3088</v>
      </c>
      <c r="BO50" s="73" t="s">
        <v>3088</v>
      </c>
      <c r="BP50" s="73" t="s">
        <v>3088</v>
      </c>
      <c r="BQ50" s="73" t="s">
        <v>3738</v>
      </c>
      <c r="BR50" s="73" t="s">
        <v>3088</v>
      </c>
    </row>
    <row r="51" spans="1:70">
      <c r="A51" s="73" t="s">
        <v>1884</v>
      </c>
      <c r="B51" s="73" t="s">
        <v>2183</v>
      </c>
      <c r="C51" s="73" t="s">
        <v>2182</v>
      </c>
      <c r="D51" s="73" t="s">
        <v>3088</v>
      </c>
      <c r="E51" s="73" t="s">
        <v>3088</v>
      </c>
      <c r="F51" s="73" t="s">
        <v>3088</v>
      </c>
      <c r="G51" s="73" t="s">
        <v>3089</v>
      </c>
      <c r="H51" s="73" t="s">
        <v>3088</v>
      </c>
      <c r="I51" s="73" t="s">
        <v>108</v>
      </c>
      <c r="J51" s="73" t="s">
        <v>3739</v>
      </c>
      <c r="K51" s="73" t="s">
        <v>3095</v>
      </c>
      <c r="L51" s="73" t="s">
        <v>801</v>
      </c>
      <c r="M51" s="73" t="s">
        <v>3739</v>
      </c>
      <c r="N51" s="73" t="s">
        <v>3095</v>
      </c>
      <c r="O51" s="73" t="s">
        <v>3088</v>
      </c>
      <c r="P51" s="73" t="s">
        <v>3088</v>
      </c>
      <c r="Q51" s="73" t="s">
        <v>3088</v>
      </c>
      <c r="R51" s="73" t="s">
        <v>3088</v>
      </c>
      <c r="S51" s="73" t="s">
        <v>3088</v>
      </c>
      <c r="T51" s="73" t="s">
        <v>3088</v>
      </c>
      <c r="U51" s="73" t="s">
        <v>3088</v>
      </c>
      <c r="V51" s="73" t="s">
        <v>3088</v>
      </c>
      <c r="W51" s="73" t="s">
        <v>3088</v>
      </c>
      <c r="X51" s="73" t="s">
        <v>3088</v>
      </c>
      <c r="Y51" s="73" t="s">
        <v>3088</v>
      </c>
      <c r="Z51" s="73" t="s">
        <v>3088</v>
      </c>
      <c r="AA51" s="73" t="s">
        <v>3088</v>
      </c>
      <c r="AB51" s="73" t="s">
        <v>3088</v>
      </c>
      <c r="AC51" s="73" t="s">
        <v>3088</v>
      </c>
      <c r="AD51" s="73" t="s">
        <v>3088</v>
      </c>
      <c r="AE51" s="73" t="s">
        <v>3088</v>
      </c>
      <c r="AF51" s="73" t="s">
        <v>3088</v>
      </c>
      <c r="AG51" s="73" t="s">
        <v>3088</v>
      </c>
      <c r="AH51" s="73" t="s">
        <v>3088</v>
      </c>
      <c r="AI51" s="73" t="s">
        <v>3088</v>
      </c>
      <c r="AJ51" s="73" t="s">
        <v>3088</v>
      </c>
      <c r="AK51" s="73" t="s">
        <v>3088</v>
      </c>
      <c r="AL51" s="73" t="s">
        <v>3088</v>
      </c>
      <c r="AM51" s="73" t="s">
        <v>3088</v>
      </c>
      <c r="AN51" s="73" t="s">
        <v>3088</v>
      </c>
      <c r="AO51" s="73" t="s">
        <v>3088</v>
      </c>
      <c r="AP51" s="73" t="s">
        <v>3088</v>
      </c>
      <c r="AQ51" s="73" t="s">
        <v>3088</v>
      </c>
      <c r="AR51" s="73" t="s">
        <v>3088</v>
      </c>
      <c r="AS51" s="73" t="s">
        <v>3088</v>
      </c>
      <c r="AT51" s="73" t="s">
        <v>3088</v>
      </c>
      <c r="AU51" s="73" t="s">
        <v>3088</v>
      </c>
      <c r="AV51" s="73" t="s">
        <v>3088</v>
      </c>
      <c r="AW51" s="73" t="s">
        <v>3088</v>
      </c>
      <c r="AX51" s="73" t="s">
        <v>3088</v>
      </c>
      <c r="AY51" s="73" t="s">
        <v>3088</v>
      </c>
      <c r="AZ51" s="73" t="s">
        <v>3088</v>
      </c>
      <c r="BA51" s="73" t="s">
        <v>3088</v>
      </c>
      <c r="BB51" s="73" t="s">
        <v>3088</v>
      </c>
      <c r="BC51" s="73" t="s">
        <v>3088</v>
      </c>
      <c r="BD51" s="73" t="s">
        <v>3088</v>
      </c>
      <c r="BE51" s="73" t="s">
        <v>3088</v>
      </c>
      <c r="BF51" s="73" t="s">
        <v>3088</v>
      </c>
      <c r="BG51" s="73" t="s">
        <v>3088</v>
      </c>
      <c r="BH51" s="73" t="s">
        <v>3088</v>
      </c>
      <c r="BI51" s="73" t="s">
        <v>3088</v>
      </c>
      <c r="BJ51" s="73" t="s">
        <v>3088</v>
      </c>
      <c r="BK51" s="73" t="s">
        <v>3088</v>
      </c>
      <c r="BL51" s="73" t="s">
        <v>3088</v>
      </c>
      <c r="BM51" s="73" t="s">
        <v>3088</v>
      </c>
      <c r="BN51" s="73" t="s">
        <v>3088</v>
      </c>
      <c r="BO51" s="73" t="s">
        <v>3088</v>
      </c>
      <c r="BP51" s="73" t="s">
        <v>3088</v>
      </c>
      <c r="BQ51" s="73" t="s">
        <v>3740</v>
      </c>
      <c r="BR51" s="73" t="s">
        <v>3097</v>
      </c>
    </row>
    <row r="52" spans="1:70">
      <c r="A52" s="73" t="s">
        <v>1884</v>
      </c>
      <c r="B52" s="73" t="s">
        <v>2186</v>
      </c>
      <c r="C52" s="73" t="s">
        <v>2187</v>
      </c>
      <c r="D52" s="73" t="s">
        <v>3088</v>
      </c>
      <c r="E52" s="73" t="s">
        <v>3088</v>
      </c>
      <c r="F52" s="73" t="s">
        <v>3088</v>
      </c>
      <c r="G52" s="73" t="s">
        <v>3089</v>
      </c>
      <c r="H52" s="73" t="s">
        <v>3088</v>
      </c>
      <c r="I52" s="73" t="s">
        <v>108</v>
      </c>
      <c r="J52" s="73" t="s">
        <v>3088</v>
      </c>
      <c r="K52" s="73" t="s">
        <v>3088</v>
      </c>
      <c r="L52" s="73" t="s">
        <v>3088</v>
      </c>
      <c r="M52" s="73" t="s">
        <v>3088</v>
      </c>
      <c r="N52" s="73" t="s">
        <v>3088</v>
      </c>
      <c r="O52" s="73" t="s">
        <v>3088</v>
      </c>
      <c r="P52" s="73" t="s">
        <v>3088</v>
      </c>
      <c r="Q52" s="73" t="s">
        <v>3088</v>
      </c>
      <c r="R52" s="73" t="s">
        <v>3088</v>
      </c>
      <c r="S52" s="73" t="s">
        <v>3088</v>
      </c>
      <c r="T52" s="73" t="s">
        <v>3088</v>
      </c>
      <c r="U52" s="73" t="s">
        <v>3088</v>
      </c>
      <c r="V52" s="73" t="s">
        <v>3088</v>
      </c>
      <c r="W52" s="73" t="s">
        <v>3088</v>
      </c>
      <c r="X52" s="73" t="s">
        <v>3088</v>
      </c>
      <c r="Y52" s="73" t="s">
        <v>3088</v>
      </c>
      <c r="Z52" s="73" t="s">
        <v>3088</v>
      </c>
      <c r="AA52" s="73" t="s">
        <v>3088</v>
      </c>
      <c r="AB52" s="73" t="s">
        <v>3088</v>
      </c>
      <c r="AC52" s="73" t="s">
        <v>3088</v>
      </c>
      <c r="AD52" s="73" t="s">
        <v>3088</v>
      </c>
      <c r="AE52" s="73" t="s">
        <v>3088</v>
      </c>
      <c r="AF52" s="73" t="s">
        <v>3088</v>
      </c>
      <c r="AG52" s="73" t="s">
        <v>3088</v>
      </c>
      <c r="AH52" s="73" t="s">
        <v>3088</v>
      </c>
      <c r="AI52" s="73" t="s">
        <v>3088</v>
      </c>
      <c r="AJ52" s="73" t="s">
        <v>3088</v>
      </c>
      <c r="AK52" s="73" t="s">
        <v>3088</v>
      </c>
      <c r="AL52" s="73" t="s">
        <v>3088</v>
      </c>
      <c r="AM52" s="73" t="s">
        <v>3088</v>
      </c>
      <c r="AN52" s="73" t="s">
        <v>3088</v>
      </c>
      <c r="AO52" s="73" t="s">
        <v>3088</v>
      </c>
      <c r="AP52" s="73" t="s">
        <v>3088</v>
      </c>
      <c r="AQ52" s="73" t="s">
        <v>3088</v>
      </c>
      <c r="AR52" s="73" t="s">
        <v>3088</v>
      </c>
      <c r="AS52" s="73" t="s">
        <v>3088</v>
      </c>
      <c r="AT52" s="73" t="s">
        <v>3088</v>
      </c>
      <c r="AU52" s="73" t="s">
        <v>3088</v>
      </c>
      <c r="AV52" s="73" t="s">
        <v>3088</v>
      </c>
      <c r="AW52" s="73" t="s">
        <v>3088</v>
      </c>
      <c r="AX52" s="73" t="s">
        <v>3088</v>
      </c>
      <c r="AY52" s="73" t="s">
        <v>3088</v>
      </c>
      <c r="AZ52" s="73" t="s">
        <v>3088</v>
      </c>
      <c r="BA52" s="73" t="s">
        <v>3088</v>
      </c>
      <c r="BB52" s="73" t="s">
        <v>3088</v>
      </c>
      <c r="BC52" s="73" t="s">
        <v>3088</v>
      </c>
      <c r="BD52" s="73" t="s">
        <v>3088</v>
      </c>
      <c r="BE52" s="73" t="s">
        <v>3088</v>
      </c>
      <c r="BF52" s="73" t="s">
        <v>3088</v>
      </c>
      <c r="BG52" s="73" t="s">
        <v>3088</v>
      </c>
      <c r="BH52" s="73" t="s">
        <v>3088</v>
      </c>
      <c r="BI52" s="73" t="s">
        <v>3088</v>
      </c>
      <c r="BJ52" s="73" t="s">
        <v>3088</v>
      </c>
      <c r="BK52" s="73" t="s">
        <v>3088</v>
      </c>
      <c r="BL52" s="73" t="s">
        <v>3088</v>
      </c>
      <c r="BM52" s="73" t="s">
        <v>3088</v>
      </c>
      <c r="BN52" s="73" t="s">
        <v>3088</v>
      </c>
      <c r="BO52" s="73" t="s">
        <v>3088</v>
      </c>
      <c r="BP52" s="73" t="s">
        <v>3088</v>
      </c>
      <c r="BQ52" s="73" t="s">
        <v>3741</v>
      </c>
      <c r="BR52" s="73" t="s">
        <v>3088</v>
      </c>
    </row>
    <row r="53" spans="1:70">
      <c r="A53" s="73" t="s">
        <v>1884</v>
      </c>
      <c r="B53" s="73" t="s">
        <v>2188</v>
      </c>
      <c r="C53" s="73" t="s">
        <v>3088</v>
      </c>
      <c r="D53" s="73" t="s">
        <v>3088</v>
      </c>
      <c r="E53" s="73" t="s">
        <v>3088</v>
      </c>
      <c r="F53" s="73" t="s">
        <v>3088</v>
      </c>
      <c r="G53" s="73" t="s">
        <v>3089</v>
      </c>
      <c r="H53" s="73" t="s">
        <v>3088</v>
      </c>
      <c r="I53" s="73" t="s">
        <v>108</v>
      </c>
      <c r="J53" s="73" t="s">
        <v>3088</v>
      </c>
      <c r="K53" s="73" t="s">
        <v>3088</v>
      </c>
      <c r="L53" s="73" t="s">
        <v>2400</v>
      </c>
      <c r="M53" s="73" t="s">
        <v>3088</v>
      </c>
      <c r="N53" s="73" t="s">
        <v>3088</v>
      </c>
      <c r="O53" s="73" t="s">
        <v>3088</v>
      </c>
      <c r="P53" s="73" t="s">
        <v>3088</v>
      </c>
      <c r="Q53" s="73" t="s">
        <v>3088</v>
      </c>
      <c r="R53" s="73" t="s">
        <v>3088</v>
      </c>
      <c r="S53" s="73" t="s">
        <v>3088</v>
      </c>
      <c r="T53" s="73" t="s">
        <v>3088</v>
      </c>
      <c r="U53" s="73" t="s">
        <v>3088</v>
      </c>
      <c r="V53" s="73" t="s">
        <v>3088</v>
      </c>
      <c r="W53" s="73" t="s">
        <v>3088</v>
      </c>
      <c r="X53" s="73" t="s">
        <v>3088</v>
      </c>
      <c r="Y53" s="73" t="s">
        <v>3088</v>
      </c>
      <c r="Z53" s="73" t="s">
        <v>3088</v>
      </c>
      <c r="AA53" s="73" t="s">
        <v>3088</v>
      </c>
      <c r="AB53" s="73" t="s">
        <v>3088</v>
      </c>
      <c r="AC53" s="73" t="s">
        <v>3088</v>
      </c>
      <c r="AD53" s="73" t="s">
        <v>3088</v>
      </c>
      <c r="AE53" s="73" t="s">
        <v>3088</v>
      </c>
      <c r="AF53" s="73" t="s">
        <v>3088</v>
      </c>
      <c r="AG53" s="73" t="s">
        <v>3088</v>
      </c>
      <c r="AH53" s="73" t="s">
        <v>3088</v>
      </c>
      <c r="AI53" s="73" t="s">
        <v>3088</v>
      </c>
      <c r="AJ53" s="73" t="s">
        <v>3088</v>
      </c>
      <c r="AK53" s="73" t="s">
        <v>3088</v>
      </c>
      <c r="AL53" s="73" t="s">
        <v>3088</v>
      </c>
      <c r="AM53" s="73" t="s">
        <v>3088</v>
      </c>
      <c r="AN53" s="73" t="s">
        <v>3088</v>
      </c>
      <c r="AO53" s="73" t="s">
        <v>3088</v>
      </c>
      <c r="AP53" s="73" t="s">
        <v>3088</v>
      </c>
      <c r="AQ53" s="73" t="s">
        <v>3088</v>
      </c>
      <c r="AR53" s="73" t="s">
        <v>3088</v>
      </c>
      <c r="AS53" s="73" t="s">
        <v>3088</v>
      </c>
      <c r="AT53" s="73" t="s">
        <v>3088</v>
      </c>
      <c r="AU53" s="73" t="s">
        <v>3088</v>
      </c>
      <c r="AV53" s="73" t="s">
        <v>3088</v>
      </c>
      <c r="AW53" s="73" t="s">
        <v>3088</v>
      </c>
      <c r="AX53" s="73" t="s">
        <v>3088</v>
      </c>
      <c r="AY53" s="73" t="s">
        <v>3088</v>
      </c>
      <c r="AZ53" s="73" t="s">
        <v>3088</v>
      </c>
      <c r="BA53" s="73" t="s">
        <v>3088</v>
      </c>
      <c r="BB53" s="73" t="s">
        <v>3088</v>
      </c>
      <c r="BC53" s="73" t="s">
        <v>3088</v>
      </c>
      <c r="BD53" s="73" t="s">
        <v>3088</v>
      </c>
      <c r="BE53" s="73" t="s">
        <v>3088</v>
      </c>
      <c r="BF53" s="73" t="s">
        <v>3088</v>
      </c>
      <c r="BG53" s="73" t="s">
        <v>3088</v>
      </c>
      <c r="BH53" s="73" t="s">
        <v>3088</v>
      </c>
      <c r="BI53" s="73" t="s">
        <v>3088</v>
      </c>
      <c r="BJ53" s="73" t="s">
        <v>3088</v>
      </c>
      <c r="BK53" s="73" t="s">
        <v>3088</v>
      </c>
      <c r="BL53" s="73" t="s">
        <v>3088</v>
      </c>
      <c r="BM53" s="73" t="s">
        <v>3088</v>
      </c>
      <c r="BN53" s="73" t="s">
        <v>3088</v>
      </c>
      <c r="BO53" s="73" t="s">
        <v>3088</v>
      </c>
      <c r="BP53" s="73" t="s">
        <v>3088</v>
      </c>
      <c r="BQ53" s="73" t="s">
        <v>3742</v>
      </c>
      <c r="BR53" s="73" t="s">
        <v>3088</v>
      </c>
    </row>
    <row r="54" spans="1:70">
      <c r="A54" s="73" t="s">
        <v>1884</v>
      </c>
      <c r="B54" s="73" t="s">
        <v>2323</v>
      </c>
      <c r="C54" s="73" t="s">
        <v>2180</v>
      </c>
      <c r="D54" s="73" t="s">
        <v>3088</v>
      </c>
      <c r="E54" s="73" t="s">
        <v>3088</v>
      </c>
      <c r="F54" s="73" t="s">
        <v>3088</v>
      </c>
      <c r="G54" s="73" t="s">
        <v>3089</v>
      </c>
      <c r="H54" s="73" t="s">
        <v>3088</v>
      </c>
      <c r="I54" s="73" t="s">
        <v>2324</v>
      </c>
      <c r="J54" s="73" t="s">
        <v>3088</v>
      </c>
      <c r="K54" s="73" t="s">
        <v>3088</v>
      </c>
      <c r="L54" s="73" t="s">
        <v>3088</v>
      </c>
      <c r="M54" s="73" t="s">
        <v>3088</v>
      </c>
      <c r="N54" s="73" t="s">
        <v>3088</v>
      </c>
      <c r="O54" s="73" t="s">
        <v>3088</v>
      </c>
      <c r="P54" s="73" t="s">
        <v>3088</v>
      </c>
      <c r="Q54" s="73" t="s">
        <v>3088</v>
      </c>
      <c r="R54" s="73" t="s">
        <v>3088</v>
      </c>
      <c r="S54" s="73" t="s">
        <v>3088</v>
      </c>
      <c r="T54" s="73" t="s">
        <v>3088</v>
      </c>
      <c r="U54" s="73" t="s">
        <v>3088</v>
      </c>
      <c r="V54" s="73" t="s">
        <v>3088</v>
      </c>
      <c r="W54" s="73" t="s">
        <v>3088</v>
      </c>
      <c r="X54" s="73" t="s">
        <v>3088</v>
      </c>
      <c r="Y54" s="73" t="s">
        <v>3088</v>
      </c>
      <c r="Z54" s="73" t="s">
        <v>3088</v>
      </c>
      <c r="AA54" s="73" t="s">
        <v>3088</v>
      </c>
      <c r="AB54" s="73" t="s">
        <v>3088</v>
      </c>
      <c r="AC54" s="73" t="s">
        <v>3088</v>
      </c>
      <c r="AD54" s="73" t="s">
        <v>3088</v>
      </c>
      <c r="AE54" s="73" t="s">
        <v>3088</v>
      </c>
      <c r="AF54" s="73" t="s">
        <v>3088</v>
      </c>
      <c r="AG54" s="73" t="s">
        <v>3088</v>
      </c>
      <c r="AH54" s="73" t="s">
        <v>3088</v>
      </c>
      <c r="AI54" s="73" t="s">
        <v>3088</v>
      </c>
      <c r="AJ54" s="73" t="s">
        <v>3088</v>
      </c>
      <c r="AK54" s="73" t="s">
        <v>3088</v>
      </c>
      <c r="AL54" s="73" t="s">
        <v>3088</v>
      </c>
      <c r="AM54" s="73" t="s">
        <v>3088</v>
      </c>
      <c r="AN54" s="73" t="s">
        <v>3088</v>
      </c>
      <c r="AO54" s="73" t="s">
        <v>3088</v>
      </c>
      <c r="AP54" s="73" t="s">
        <v>3088</v>
      </c>
      <c r="AQ54" s="73" t="s">
        <v>3088</v>
      </c>
      <c r="AR54" s="73" t="s">
        <v>3088</v>
      </c>
      <c r="AS54" s="73" t="s">
        <v>3088</v>
      </c>
      <c r="AT54" s="73" t="s">
        <v>3088</v>
      </c>
      <c r="AU54" s="73" t="s">
        <v>3088</v>
      </c>
      <c r="AV54" s="73" t="s">
        <v>3088</v>
      </c>
      <c r="AW54" s="73" t="s">
        <v>3088</v>
      </c>
      <c r="AX54" s="73" t="s">
        <v>3088</v>
      </c>
      <c r="AY54" s="73" t="s">
        <v>3088</v>
      </c>
      <c r="AZ54" s="73" t="s">
        <v>3088</v>
      </c>
      <c r="BA54" s="73" t="s">
        <v>3088</v>
      </c>
      <c r="BB54" s="73" t="s">
        <v>3088</v>
      </c>
      <c r="BC54" s="73" t="s">
        <v>3088</v>
      </c>
      <c r="BD54" s="73" t="s">
        <v>3088</v>
      </c>
      <c r="BE54" s="73" t="s">
        <v>3088</v>
      </c>
      <c r="BF54" s="73" t="s">
        <v>3088</v>
      </c>
      <c r="BG54" s="73" t="s">
        <v>3088</v>
      </c>
      <c r="BH54" s="73" t="s">
        <v>3088</v>
      </c>
      <c r="BI54" s="73" t="s">
        <v>3088</v>
      </c>
      <c r="BJ54" s="73" t="s">
        <v>3088</v>
      </c>
      <c r="BK54" s="73" t="s">
        <v>3088</v>
      </c>
      <c r="BL54" s="73" t="s">
        <v>3088</v>
      </c>
      <c r="BM54" s="73" t="s">
        <v>3088</v>
      </c>
      <c r="BN54" s="73" t="s">
        <v>3088</v>
      </c>
      <c r="BO54" s="73" t="s">
        <v>3088</v>
      </c>
      <c r="BP54" s="73" t="s">
        <v>3088</v>
      </c>
      <c r="BQ54" s="73" t="s">
        <v>3743</v>
      </c>
      <c r="BR54" s="73" t="s">
        <v>3088</v>
      </c>
    </row>
    <row r="55" spans="1:70">
      <c r="A55" s="73" t="s">
        <v>1884</v>
      </c>
      <c r="B55" s="73" t="s">
        <v>3744</v>
      </c>
      <c r="C55" s="73" t="s">
        <v>3745</v>
      </c>
      <c r="D55" s="73" t="s">
        <v>3088</v>
      </c>
      <c r="E55" s="73" t="s">
        <v>3088</v>
      </c>
      <c r="F55" s="73" t="s">
        <v>3088</v>
      </c>
      <c r="G55" s="73" t="s">
        <v>3089</v>
      </c>
      <c r="H55" s="73" t="s">
        <v>3088</v>
      </c>
      <c r="I55" s="73" t="s">
        <v>3093</v>
      </c>
      <c r="J55" s="73" t="s">
        <v>3088</v>
      </c>
      <c r="K55" s="73" t="s">
        <v>3088</v>
      </c>
      <c r="L55" s="73" t="s">
        <v>3088</v>
      </c>
      <c r="M55" s="73" t="s">
        <v>3088</v>
      </c>
      <c r="N55" s="73" t="s">
        <v>3088</v>
      </c>
      <c r="O55" s="73" t="s">
        <v>3088</v>
      </c>
      <c r="P55" s="73" t="s">
        <v>3088</v>
      </c>
      <c r="Q55" s="73" t="s">
        <v>3088</v>
      </c>
      <c r="R55" s="73" t="s">
        <v>3088</v>
      </c>
      <c r="S55" s="73" t="s">
        <v>3088</v>
      </c>
      <c r="T55" s="73" t="s">
        <v>3088</v>
      </c>
      <c r="U55" s="73" t="s">
        <v>3088</v>
      </c>
      <c r="V55" s="73" t="s">
        <v>3088</v>
      </c>
      <c r="W55" s="73" t="s">
        <v>3088</v>
      </c>
      <c r="X55" s="73" t="s">
        <v>3088</v>
      </c>
      <c r="Y55" s="73" t="s">
        <v>3088</v>
      </c>
      <c r="Z55" s="73" t="s">
        <v>3088</v>
      </c>
      <c r="AA55" s="73" t="s">
        <v>3088</v>
      </c>
      <c r="AB55" s="73" t="s">
        <v>3088</v>
      </c>
      <c r="AC55" s="73" t="s">
        <v>3088</v>
      </c>
      <c r="AD55" s="73" t="s">
        <v>3088</v>
      </c>
      <c r="AE55" s="73" t="s">
        <v>3088</v>
      </c>
      <c r="AF55" s="73" t="s">
        <v>3088</v>
      </c>
      <c r="AG55" s="73" t="s">
        <v>3088</v>
      </c>
      <c r="AH55" s="73" t="s">
        <v>3088</v>
      </c>
      <c r="AI55" s="73" t="s">
        <v>3088</v>
      </c>
      <c r="AJ55" s="73" t="s">
        <v>3088</v>
      </c>
      <c r="AK55" s="73" t="s">
        <v>3088</v>
      </c>
      <c r="AL55" s="73" t="s">
        <v>3088</v>
      </c>
      <c r="AM55" s="73" t="s">
        <v>3088</v>
      </c>
      <c r="AN55" s="73" t="s">
        <v>3088</v>
      </c>
      <c r="AO55" s="73" t="s">
        <v>3088</v>
      </c>
      <c r="AP55" s="73" t="s">
        <v>3088</v>
      </c>
      <c r="AQ55" s="73" t="s">
        <v>3088</v>
      </c>
      <c r="AR55" s="73" t="s">
        <v>3088</v>
      </c>
      <c r="AS55" s="73" t="s">
        <v>3088</v>
      </c>
      <c r="AT55" s="73" t="s">
        <v>3088</v>
      </c>
      <c r="AU55" s="73" t="s">
        <v>3088</v>
      </c>
      <c r="AV55" s="73" t="s">
        <v>3088</v>
      </c>
      <c r="AW55" s="73" t="s">
        <v>3088</v>
      </c>
      <c r="AX55" s="73" t="s">
        <v>3088</v>
      </c>
      <c r="AY55" s="73" t="s">
        <v>3088</v>
      </c>
      <c r="AZ55" s="73" t="s">
        <v>3088</v>
      </c>
      <c r="BA55" s="73" t="s">
        <v>3088</v>
      </c>
      <c r="BB55" s="73" t="s">
        <v>3088</v>
      </c>
      <c r="BC55" s="73" t="s">
        <v>3088</v>
      </c>
      <c r="BD55" s="73" t="s">
        <v>3088</v>
      </c>
      <c r="BE55" s="73" t="s">
        <v>3088</v>
      </c>
      <c r="BF55" s="73" t="s">
        <v>3088</v>
      </c>
      <c r="BG55" s="73" t="s">
        <v>3088</v>
      </c>
      <c r="BH55" s="73" t="s">
        <v>3088</v>
      </c>
      <c r="BI55" s="73" t="s">
        <v>3088</v>
      </c>
      <c r="BJ55" s="73" t="s">
        <v>3088</v>
      </c>
      <c r="BK55" s="73" t="s">
        <v>3088</v>
      </c>
      <c r="BL55" s="73" t="s">
        <v>3088</v>
      </c>
      <c r="BM55" s="73" t="s">
        <v>3088</v>
      </c>
      <c r="BN55" s="73" t="s">
        <v>3088</v>
      </c>
      <c r="BO55" s="73" t="s">
        <v>3088</v>
      </c>
      <c r="BP55" s="73" t="s">
        <v>3088</v>
      </c>
      <c r="BQ55" s="73" t="s">
        <v>3746</v>
      </c>
      <c r="BR55" s="73" t="s">
        <v>3088</v>
      </c>
    </row>
    <row r="56" spans="1:70">
      <c r="A56" s="73" t="s">
        <v>1884</v>
      </c>
      <c r="B56" s="73" t="s">
        <v>3747</v>
      </c>
      <c r="C56" s="73" t="s">
        <v>3745</v>
      </c>
      <c r="D56" s="73" t="s">
        <v>3088</v>
      </c>
      <c r="E56" s="73" t="s">
        <v>3088</v>
      </c>
      <c r="F56" s="73" t="s">
        <v>3088</v>
      </c>
      <c r="G56" s="73" t="s">
        <v>3089</v>
      </c>
      <c r="H56" s="73" t="s">
        <v>3088</v>
      </c>
      <c r="I56" s="73" t="s">
        <v>3093</v>
      </c>
      <c r="J56" s="73" t="s">
        <v>3088</v>
      </c>
      <c r="K56" s="73" t="s">
        <v>3088</v>
      </c>
      <c r="L56" s="73" t="s">
        <v>3088</v>
      </c>
      <c r="M56" s="73" t="s">
        <v>3088</v>
      </c>
      <c r="N56" s="73" t="s">
        <v>3088</v>
      </c>
      <c r="O56" s="73" t="s">
        <v>3088</v>
      </c>
      <c r="P56" s="73" t="s">
        <v>3088</v>
      </c>
      <c r="Q56" s="73" t="s">
        <v>3088</v>
      </c>
      <c r="R56" s="73" t="s">
        <v>3088</v>
      </c>
      <c r="S56" s="73" t="s">
        <v>3088</v>
      </c>
      <c r="T56" s="73" t="s">
        <v>3088</v>
      </c>
      <c r="U56" s="73" t="s">
        <v>3088</v>
      </c>
      <c r="V56" s="73" t="s">
        <v>3088</v>
      </c>
      <c r="W56" s="73" t="s">
        <v>3088</v>
      </c>
      <c r="X56" s="73" t="s">
        <v>3088</v>
      </c>
      <c r="Y56" s="73" t="s">
        <v>3088</v>
      </c>
      <c r="Z56" s="73" t="s">
        <v>3088</v>
      </c>
      <c r="AA56" s="73" t="s">
        <v>3088</v>
      </c>
      <c r="AB56" s="73" t="s">
        <v>3088</v>
      </c>
      <c r="AC56" s="73" t="s">
        <v>3088</v>
      </c>
      <c r="AD56" s="73" t="s">
        <v>3088</v>
      </c>
      <c r="AE56" s="73" t="s">
        <v>3088</v>
      </c>
      <c r="AF56" s="73" t="s">
        <v>3088</v>
      </c>
      <c r="AG56" s="73" t="s">
        <v>3088</v>
      </c>
      <c r="AH56" s="73" t="s">
        <v>3088</v>
      </c>
      <c r="AI56" s="73" t="s">
        <v>3088</v>
      </c>
      <c r="AJ56" s="73" t="s">
        <v>3088</v>
      </c>
      <c r="AK56" s="73" t="s">
        <v>3088</v>
      </c>
      <c r="AL56" s="73" t="s">
        <v>3088</v>
      </c>
      <c r="AM56" s="73" t="s">
        <v>3088</v>
      </c>
      <c r="AN56" s="73" t="s">
        <v>3088</v>
      </c>
      <c r="AO56" s="73" t="s">
        <v>3088</v>
      </c>
      <c r="AP56" s="73" t="s">
        <v>3088</v>
      </c>
      <c r="AQ56" s="73" t="s">
        <v>3088</v>
      </c>
      <c r="AR56" s="73" t="s">
        <v>3088</v>
      </c>
      <c r="AS56" s="73" t="s">
        <v>3088</v>
      </c>
      <c r="AT56" s="73" t="s">
        <v>3088</v>
      </c>
      <c r="AU56" s="73" t="s">
        <v>3088</v>
      </c>
      <c r="AV56" s="73" t="s">
        <v>3088</v>
      </c>
      <c r="AW56" s="73" t="s">
        <v>3088</v>
      </c>
      <c r="AX56" s="73" t="s">
        <v>3088</v>
      </c>
      <c r="AY56" s="73" t="s">
        <v>3088</v>
      </c>
      <c r="AZ56" s="73" t="s">
        <v>3088</v>
      </c>
      <c r="BA56" s="73" t="s">
        <v>3088</v>
      </c>
      <c r="BB56" s="73" t="s">
        <v>3088</v>
      </c>
      <c r="BC56" s="73" t="s">
        <v>3088</v>
      </c>
      <c r="BD56" s="73" t="s">
        <v>3088</v>
      </c>
      <c r="BE56" s="73" t="s">
        <v>3088</v>
      </c>
      <c r="BF56" s="73" t="s">
        <v>3088</v>
      </c>
      <c r="BG56" s="73" t="s">
        <v>3088</v>
      </c>
      <c r="BH56" s="73" t="s">
        <v>3088</v>
      </c>
      <c r="BI56" s="73" t="s">
        <v>3088</v>
      </c>
      <c r="BJ56" s="73" t="s">
        <v>3088</v>
      </c>
      <c r="BK56" s="73" t="s">
        <v>3088</v>
      </c>
      <c r="BL56" s="73" t="s">
        <v>3088</v>
      </c>
      <c r="BM56" s="73" t="s">
        <v>3088</v>
      </c>
      <c r="BN56" s="73" t="s">
        <v>3088</v>
      </c>
      <c r="BO56" s="73" t="s">
        <v>3088</v>
      </c>
      <c r="BP56" s="73" t="s">
        <v>3088</v>
      </c>
      <c r="BQ56" s="73" t="s">
        <v>3748</v>
      </c>
      <c r="BR56" s="73" t="s">
        <v>3088</v>
      </c>
    </row>
    <row r="57" spans="1:70">
      <c r="A57" s="73" t="s">
        <v>1884</v>
      </c>
      <c r="B57" s="73" t="s">
        <v>3749</v>
      </c>
      <c r="C57" s="73" t="s">
        <v>2180</v>
      </c>
      <c r="D57" s="73" t="s">
        <v>3088</v>
      </c>
      <c r="E57" s="73" t="s">
        <v>3088</v>
      </c>
      <c r="F57" s="73" t="s">
        <v>3088</v>
      </c>
      <c r="G57" s="73" t="s">
        <v>3089</v>
      </c>
      <c r="H57" s="73" t="s">
        <v>3088</v>
      </c>
      <c r="I57" s="73" t="s">
        <v>3093</v>
      </c>
      <c r="J57" s="73" t="s">
        <v>3088</v>
      </c>
      <c r="K57" s="73" t="s">
        <v>3088</v>
      </c>
      <c r="L57" s="73" t="s">
        <v>3088</v>
      </c>
      <c r="M57" s="73" t="s">
        <v>3088</v>
      </c>
      <c r="N57" s="73" t="s">
        <v>3088</v>
      </c>
      <c r="O57" s="73" t="s">
        <v>3088</v>
      </c>
      <c r="P57" s="73" t="s">
        <v>3088</v>
      </c>
      <c r="Q57" s="73" t="s">
        <v>3088</v>
      </c>
      <c r="R57" s="73" t="s">
        <v>3088</v>
      </c>
      <c r="S57" s="73" t="s">
        <v>3088</v>
      </c>
      <c r="T57" s="73" t="s">
        <v>3088</v>
      </c>
      <c r="U57" s="73" t="s">
        <v>3088</v>
      </c>
      <c r="V57" s="73" t="s">
        <v>3088</v>
      </c>
      <c r="W57" s="73" t="s">
        <v>3088</v>
      </c>
      <c r="X57" s="73" t="s">
        <v>3088</v>
      </c>
      <c r="Y57" s="73" t="s">
        <v>3088</v>
      </c>
      <c r="Z57" s="73" t="s">
        <v>3088</v>
      </c>
      <c r="AA57" s="73" t="s">
        <v>3088</v>
      </c>
      <c r="AB57" s="73" t="s">
        <v>3088</v>
      </c>
      <c r="AC57" s="73" t="s">
        <v>3088</v>
      </c>
      <c r="AD57" s="73" t="s">
        <v>3088</v>
      </c>
      <c r="AE57" s="73" t="s">
        <v>3088</v>
      </c>
      <c r="AF57" s="73" t="s">
        <v>3088</v>
      </c>
      <c r="AG57" s="73" t="s">
        <v>3088</v>
      </c>
      <c r="AH57" s="73" t="s">
        <v>3088</v>
      </c>
      <c r="AI57" s="73" t="s">
        <v>3088</v>
      </c>
      <c r="AJ57" s="73" t="s">
        <v>3088</v>
      </c>
      <c r="AK57" s="73" t="s">
        <v>3088</v>
      </c>
      <c r="AL57" s="73" t="s">
        <v>3088</v>
      </c>
      <c r="AM57" s="73" t="s">
        <v>3088</v>
      </c>
      <c r="AN57" s="73" t="s">
        <v>3088</v>
      </c>
      <c r="AO57" s="73" t="s">
        <v>3088</v>
      </c>
      <c r="AP57" s="73" t="s">
        <v>3088</v>
      </c>
      <c r="AQ57" s="73" t="s">
        <v>3088</v>
      </c>
      <c r="AR57" s="73" t="s">
        <v>3088</v>
      </c>
      <c r="AS57" s="73" t="s">
        <v>3088</v>
      </c>
      <c r="AT57" s="73" t="s">
        <v>3088</v>
      </c>
      <c r="AU57" s="73" t="s">
        <v>3088</v>
      </c>
      <c r="AV57" s="73" t="s">
        <v>3088</v>
      </c>
      <c r="AW57" s="73" t="s">
        <v>3088</v>
      </c>
      <c r="AX57" s="73" t="s">
        <v>3088</v>
      </c>
      <c r="AY57" s="73" t="s">
        <v>3088</v>
      </c>
      <c r="AZ57" s="73" t="s">
        <v>3088</v>
      </c>
      <c r="BA57" s="73" t="s">
        <v>3088</v>
      </c>
      <c r="BB57" s="73" t="s">
        <v>3088</v>
      </c>
      <c r="BC57" s="73" t="s">
        <v>3088</v>
      </c>
      <c r="BD57" s="73" t="s">
        <v>3088</v>
      </c>
      <c r="BE57" s="73" t="s">
        <v>3088</v>
      </c>
      <c r="BF57" s="73" t="s">
        <v>3088</v>
      </c>
      <c r="BG57" s="73" t="s">
        <v>3088</v>
      </c>
      <c r="BH57" s="73" t="s">
        <v>3088</v>
      </c>
      <c r="BI57" s="73" t="s">
        <v>3088</v>
      </c>
      <c r="BJ57" s="73" t="s">
        <v>3088</v>
      </c>
      <c r="BK57" s="73" t="s">
        <v>3088</v>
      </c>
      <c r="BL57" s="73" t="s">
        <v>3088</v>
      </c>
      <c r="BM57" s="73" t="s">
        <v>3088</v>
      </c>
      <c r="BN57" s="73" t="s">
        <v>3088</v>
      </c>
      <c r="BO57" s="73" t="s">
        <v>3088</v>
      </c>
      <c r="BP57" s="73" t="s">
        <v>3088</v>
      </c>
      <c r="BQ57" s="73" t="s">
        <v>3750</v>
      </c>
      <c r="BR57" s="73" t="s">
        <v>3088</v>
      </c>
    </row>
    <row r="58" spans="1:70">
      <c r="A58" s="73" t="s">
        <v>1884</v>
      </c>
      <c r="B58" s="73" t="s">
        <v>3751</v>
      </c>
      <c r="C58" s="73" t="s">
        <v>2180</v>
      </c>
      <c r="D58" s="73" t="s">
        <v>3088</v>
      </c>
      <c r="E58" s="73" t="s">
        <v>3088</v>
      </c>
      <c r="F58" s="73" t="s">
        <v>3088</v>
      </c>
      <c r="G58" s="73" t="s">
        <v>3089</v>
      </c>
      <c r="H58" s="73" t="s">
        <v>3088</v>
      </c>
      <c r="I58" s="73" t="s">
        <v>3093</v>
      </c>
      <c r="J58" s="73" t="s">
        <v>3088</v>
      </c>
      <c r="K58" s="73" t="s">
        <v>3088</v>
      </c>
      <c r="L58" s="73" t="s">
        <v>3088</v>
      </c>
      <c r="M58" s="73" t="s">
        <v>3088</v>
      </c>
      <c r="N58" s="73" t="s">
        <v>3088</v>
      </c>
      <c r="O58" s="73" t="s">
        <v>3088</v>
      </c>
      <c r="P58" s="73" t="s">
        <v>3088</v>
      </c>
      <c r="Q58" s="73" t="s">
        <v>3088</v>
      </c>
      <c r="R58" s="73" t="s">
        <v>3088</v>
      </c>
      <c r="S58" s="73" t="s">
        <v>3088</v>
      </c>
      <c r="T58" s="73" t="s">
        <v>3088</v>
      </c>
      <c r="U58" s="73" t="s">
        <v>3088</v>
      </c>
      <c r="V58" s="73" t="s">
        <v>3088</v>
      </c>
      <c r="W58" s="73" t="s">
        <v>3088</v>
      </c>
      <c r="X58" s="73" t="s">
        <v>3088</v>
      </c>
      <c r="Y58" s="73" t="s">
        <v>3088</v>
      </c>
      <c r="Z58" s="73" t="s">
        <v>3088</v>
      </c>
      <c r="AA58" s="73" t="s">
        <v>3088</v>
      </c>
      <c r="AB58" s="73" t="s">
        <v>3088</v>
      </c>
      <c r="AC58" s="73" t="s">
        <v>3088</v>
      </c>
      <c r="AD58" s="73" t="s">
        <v>3088</v>
      </c>
      <c r="AE58" s="73" t="s">
        <v>3088</v>
      </c>
      <c r="AF58" s="73" t="s">
        <v>3088</v>
      </c>
      <c r="AG58" s="73" t="s">
        <v>3088</v>
      </c>
      <c r="AH58" s="73" t="s">
        <v>3088</v>
      </c>
      <c r="AI58" s="73" t="s">
        <v>3088</v>
      </c>
      <c r="AJ58" s="73" t="s">
        <v>3088</v>
      </c>
      <c r="AK58" s="73" t="s">
        <v>3088</v>
      </c>
      <c r="AL58" s="73" t="s">
        <v>3088</v>
      </c>
      <c r="AM58" s="73" t="s">
        <v>3088</v>
      </c>
      <c r="AN58" s="73" t="s">
        <v>3088</v>
      </c>
      <c r="AO58" s="73" t="s">
        <v>3088</v>
      </c>
      <c r="AP58" s="73" t="s">
        <v>3088</v>
      </c>
      <c r="AQ58" s="73" t="s">
        <v>3088</v>
      </c>
      <c r="AR58" s="73" t="s">
        <v>3088</v>
      </c>
      <c r="AS58" s="73" t="s">
        <v>3088</v>
      </c>
      <c r="AT58" s="73" t="s">
        <v>3088</v>
      </c>
      <c r="AU58" s="73" t="s">
        <v>3088</v>
      </c>
      <c r="AV58" s="73" t="s">
        <v>3088</v>
      </c>
      <c r="AW58" s="73" t="s">
        <v>3088</v>
      </c>
      <c r="AX58" s="73" t="s">
        <v>3088</v>
      </c>
      <c r="AY58" s="73" t="s">
        <v>3088</v>
      </c>
      <c r="AZ58" s="73" t="s">
        <v>3088</v>
      </c>
      <c r="BA58" s="73" t="s">
        <v>3088</v>
      </c>
      <c r="BB58" s="73" t="s">
        <v>3088</v>
      </c>
      <c r="BC58" s="73" t="s">
        <v>3088</v>
      </c>
      <c r="BD58" s="73" t="s">
        <v>3088</v>
      </c>
      <c r="BE58" s="73" t="s">
        <v>3088</v>
      </c>
      <c r="BF58" s="73" t="s">
        <v>3088</v>
      </c>
      <c r="BG58" s="73" t="s">
        <v>3088</v>
      </c>
      <c r="BH58" s="73" t="s">
        <v>3088</v>
      </c>
      <c r="BI58" s="73" t="s">
        <v>3088</v>
      </c>
      <c r="BJ58" s="73" t="s">
        <v>3088</v>
      </c>
      <c r="BK58" s="73" t="s">
        <v>3088</v>
      </c>
      <c r="BL58" s="73" t="s">
        <v>3088</v>
      </c>
      <c r="BM58" s="73" t="s">
        <v>3088</v>
      </c>
      <c r="BN58" s="73" t="s">
        <v>3088</v>
      </c>
      <c r="BO58" s="73" t="s">
        <v>3088</v>
      </c>
      <c r="BP58" s="73" t="s">
        <v>3088</v>
      </c>
      <c r="BQ58" s="73" t="s">
        <v>3752</v>
      </c>
      <c r="BR58" s="73" t="s">
        <v>3088</v>
      </c>
    </row>
    <row r="59" spans="1:70">
      <c r="A59" s="73" t="s">
        <v>1884</v>
      </c>
      <c r="B59" s="73" t="s">
        <v>3753</v>
      </c>
      <c r="C59" s="73" t="s">
        <v>2182</v>
      </c>
      <c r="D59" s="73" t="s">
        <v>3088</v>
      </c>
      <c r="E59" s="73" t="s">
        <v>3088</v>
      </c>
      <c r="F59" s="73" t="s">
        <v>3088</v>
      </c>
      <c r="G59" s="73" t="s">
        <v>3089</v>
      </c>
      <c r="H59" s="73" t="s">
        <v>3088</v>
      </c>
      <c r="I59" s="73" t="s">
        <v>3093</v>
      </c>
      <c r="J59" s="73" t="s">
        <v>3088</v>
      </c>
      <c r="K59" s="73" t="s">
        <v>3088</v>
      </c>
      <c r="L59" s="73" t="s">
        <v>3088</v>
      </c>
      <c r="M59" s="73" t="s">
        <v>3088</v>
      </c>
      <c r="N59" s="73" t="s">
        <v>3088</v>
      </c>
      <c r="O59" s="73" t="s">
        <v>3088</v>
      </c>
      <c r="P59" s="73" t="s">
        <v>3088</v>
      </c>
      <c r="Q59" s="73" t="s">
        <v>3088</v>
      </c>
      <c r="R59" s="73" t="s">
        <v>3088</v>
      </c>
      <c r="S59" s="73" t="s">
        <v>3088</v>
      </c>
      <c r="T59" s="73" t="s">
        <v>3088</v>
      </c>
      <c r="U59" s="73" t="s">
        <v>3088</v>
      </c>
      <c r="V59" s="73" t="s">
        <v>3088</v>
      </c>
      <c r="W59" s="73" t="s">
        <v>3088</v>
      </c>
      <c r="X59" s="73" t="s">
        <v>3088</v>
      </c>
      <c r="Y59" s="73" t="s">
        <v>3088</v>
      </c>
      <c r="Z59" s="73" t="s">
        <v>3088</v>
      </c>
      <c r="AA59" s="73" t="s">
        <v>3088</v>
      </c>
      <c r="AB59" s="73" t="s">
        <v>3088</v>
      </c>
      <c r="AC59" s="73" t="s">
        <v>3088</v>
      </c>
      <c r="AD59" s="73" t="s">
        <v>3088</v>
      </c>
      <c r="AE59" s="73" t="s">
        <v>3088</v>
      </c>
      <c r="AF59" s="73" t="s">
        <v>3088</v>
      </c>
      <c r="AG59" s="73" t="s">
        <v>3088</v>
      </c>
      <c r="AH59" s="73" t="s">
        <v>3088</v>
      </c>
      <c r="AI59" s="73" t="s">
        <v>3088</v>
      </c>
      <c r="AJ59" s="73" t="s">
        <v>3088</v>
      </c>
      <c r="AK59" s="73" t="s">
        <v>3088</v>
      </c>
      <c r="AL59" s="73" t="s">
        <v>3088</v>
      </c>
      <c r="AM59" s="73" t="s">
        <v>3088</v>
      </c>
      <c r="AN59" s="73" t="s">
        <v>3088</v>
      </c>
      <c r="AO59" s="73" t="s">
        <v>3088</v>
      </c>
      <c r="AP59" s="73" t="s">
        <v>3088</v>
      </c>
      <c r="AQ59" s="73" t="s">
        <v>3088</v>
      </c>
      <c r="AR59" s="73" t="s">
        <v>3088</v>
      </c>
      <c r="AS59" s="73" t="s">
        <v>3088</v>
      </c>
      <c r="AT59" s="73" t="s">
        <v>3088</v>
      </c>
      <c r="AU59" s="73" t="s">
        <v>3088</v>
      </c>
      <c r="AV59" s="73" t="s">
        <v>3088</v>
      </c>
      <c r="AW59" s="73" t="s">
        <v>3088</v>
      </c>
      <c r="AX59" s="73" t="s">
        <v>3088</v>
      </c>
      <c r="AY59" s="73" t="s">
        <v>3088</v>
      </c>
      <c r="AZ59" s="73" t="s">
        <v>3088</v>
      </c>
      <c r="BA59" s="73" t="s">
        <v>3088</v>
      </c>
      <c r="BB59" s="73" t="s">
        <v>3088</v>
      </c>
      <c r="BC59" s="73" t="s">
        <v>3088</v>
      </c>
      <c r="BD59" s="73" t="s">
        <v>3088</v>
      </c>
      <c r="BE59" s="73" t="s">
        <v>3088</v>
      </c>
      <c r="BF59" s="73" t="s">
        <v>3088</v>
      </c>
      <c r="BG59" s="73" t="s">
        <v>3088</v>
      </c>
      <c r="BH59" s="73" t="s">
        <v>3088</v>
      </c>
      <c r="BI59" s="73" t="s">
        <v>3088</v>
      </c>
      <c r="BJ59" s="73" t="s">
        <v>3088</v>
      </c>
      <c r="BK59" s="73" t="s">
        <v>3088</v>
      </c>
      <c r="BL59" s="73" t="s">
        <v>3088</v>
      </c>
      <c r="BM59" s="73" t="s">
        <v>3088</v>
      </c>
      <c r="BN59" s="73" t="s">
        <v>3088</v>
      </c>
      <c r="BO59" s="73" t="s">
        <v>3088</v>
      </c>
      <c r="BP59" s="73" t="s">
        <v>3088</v>
      </c>
      <c r="BQ59" s="73" t="s">
        <v>3754</v>
      </c>
      <c r="BR59" s="73" t="s">
        <v>3088</v>
      </c>
    </row>
    <row r="60" spans="1:70">
      <c r="A60" s="73" t="s">
        <v>1884</v>
      </c>
      <c r="B60" s="73" t="s">
        <v>3755</v>
      </c>
      <c r="C60" s="73" t="s">
        <v>2182</v>
      </c>
      <c r="D60" s="73" t="s">
        <v>3088</v>
      </c>
      <c r="E60" s="73" t="s">
        <v>3088</v>
      </c>
      <c r="F60" s="73" t="s">
        <v>3088</v>
      </c>
      <c r="G60" s="73" t="s">
        <v>3089</v>
      </c>
      <c r="H60" s="73" t="s">
        <v>3088</v>
      </c>
      <c r="I60" s="73" t="s">
        <v>3093</v>
      </c>
      <c r="J60" s="73" t="s">
        <v>3088</v>
      </c>
      <c r="K60" s="73" t="s">
        <v>3088</v>
      </c>
      <c r="L60" s="73" t="s">
        <v>3088</v>
      </c>
      <c r="M60" s="73" t="s">
        <v>3088</v>
      </c>
      <c r="N60" s="73" t="s">
        <v>3088</v>
      </c>
      <c r="O60" s="73" t="s">
        <v>3088</v>
      </c>
      <c r="P60" s="73" t="s">
        <v>3088</v>
      </c>
      <c r="Q60" s="73" t="s">
        <v>3088</v>
      </c>
      <c r="R60" s="73" t="s">
        <v>3088</v>
      </c>
      <c r="S60" s="73" t="s">
        <v>3088</v>
      </c>
      <c r="T60" s="73" t="s">
        <v>3088</v>
      </c>
      <c r="U60" s="73" t="s">
        <v>3088</v>
      </c>
      <c r="V60" s="73" t="s">
        <v>3088</v>
      </c>
      <c r="W60" s="73" t="s">
        <v>3088</v>
      </c>
      <c r="X60" s="73" t="s">
        <v>3088</v>
      </c>
      <c r="Y60" s="73" t="s">
        <v>3088</v>
      </c>
      <c r="Z60" s="73" t="s">
        <v>3088</v>
      </c>
      <c r="AA60" s="73" t="s">
        <v>3088</v>
      </c>
      <c r="AB60" s="73" t="s">
        <v>3088</v>
      </c>
      <c r="AC60" s="73" t="s">
        <v>3088</v>
      </c>
      <c r="AD60" s="73" t="s">
        <v>3088</v>
      </c>
      <c r="AE60" s="73" t="s">
        <v>3088</v>
      </c>
      <c r="AF60" s="73" t="s">
        <v>3088</v>
      </c>
      <c r="AG60" s="73" t="s">
        <v>3088</v>
      </c>
      <c r="AH60" s="73" t="s">
        <v>3088</v>
      </c>
      <c r="AI60" s="73" t="s">
        <v>3088</v>
      </c>
      <c r="AJ60" s="73" t="s">
        <v>3088</v>
      </c>
      <c r="AK60" s="73" t="s">
        <v>3088</v>
      </c>
      <c r="AL60" s="73" t="s">
        <v>3088</v>
      </c>
      <c r="AM60" s="73" t="s">
        <v>3088</v>
      </c>
      <c r="AN60" s="73" t="s">
        <v>3088</v>
      </c>
      <c r="AO60" s="73" t="s">
        <v>3088</v>
      </c>
      <c r="AP60" s="73" t="s">
        <v>3088</v>
      </c>
      <c r="AQ60" s="73" t="s">
        <v>3088</v>
      </c>
      <c r="AR60" s="73" t="s">
        <v>3088</v>
      </c>
      <c r="AS60" s="73" t="s">
        <v>3088</v>
      </c>
      <c r="AT60" s="73" t="s">
        <v>3088</v>
      </c>
      <c r="AU60" s="73" t="s">
        <v>3088</v>
      </c>
      <c r="AV60" s="73" t="s">
        <v>3088</v>
      </c>
      <c r="AW60" s="73" t="s">
        <v>3088</v>
      </c>
      <c r="AX60" s="73" t="s">
        <v>3088</v>
      </c>
      <c r="AY60" s="73" t="s">
        <v>3088</v>
      </c>
      <c r="AZ60" s="73" t="s">
        <v>3088</v>
      </c>
      <c r="BA60" s="73" t="s">
        <v>3088</v>
      </c>
      <c r="BB60" s="73" t="s">
        <v>3088</v>
      </c>
      <c r="BC60" s="73" t="s">
        <v>3088</v>
      </c>
      <c r="BD60" s="73" t="s">
        <v>3088</v>
      </c>
      <c r="BE60" s="73" t="s">
        <v>3088</v>
      </c>
      <c r="BF60" s="73" t="s">
        <v>3088</v>
      </c>
      <c r="BG60" s="73" t="s">
        <v>3088</v>
      </c>
      <c r="BH60" s="73" t="s">
        <v>3088</v>
      </c>
      <c r="BI60" s="73" t="s">
        <v>3088</v>
      </c>
      <c r="BJ60" s="73" t="s">
        <v>3088</v>
      </c>
      <c r="BK60" s="73" t="s">
        <v>3088</v>
      </c>
      <c r="BL60" s="73" t="s">
        <v>3088</v>
      </c>
      <c r="BM60" s="73" t="s">
        <v>3088</v>
      </c>
      <c r="BN60" s="73" t="s">
        <v>3088</v>
      </c>
      <c r="BO60" s="73" t="s">
        <v>3088</v>
      </c>
      <c r="BP60" s="73" t="s">
        <v>3088</v>
      </c>
      <c r="BQ60" s="73" t="s">
        <v>3756</v>
      </c>
      <c r="BR60" s="73" t="s">
        <v>3088</v>
      </c>
    </row>
    <row r="61" spans="1:70">
      <c r="A61" s="73" t="s">
        <v>1884</v>
      </c>
      <c r="B61" s="73" t="s">
        <v>2190</v>
      </c>
      <c r="C61" s="73" t="s">
        <v>3088</v>
      </c>
      <c r="D61" s="73" t="s">
        <v>3088</v>
      </c>
      <c r="E61" s="73" t="s">
        <v>3088</v>
      </c>
      <c r="F61" s="73" t="s">
        <v>3088</v>
      </c>
      <c r="G61" s="73" t="s">
        <v>3089</v>
      </c>
      <c r="H61" s="73" t="s">
        <v>3088</v>
      </c>
      <c r="I61" s="73" t="s">
        <v>2135</v>
      </c>
      <c r="J61" s="73" t="s">
        <v>3088</v>
      </c>
      <c r="K61" s="73" t="s">
        <v>3088</v>
      </c>
      <c r="L61" s="73" t="s">
        <v>3088</v>
      </c>
      <c r="M61" s="73" t="s">
        <v>3088</v>
      </c>
      <c r="N61" s="73" t="s">
        <v>3088</v>
      </c>
      <c r="O61" s="73" t="s">
        <v>3088</v>
      </c>
      <c r="P61" s="73" t="s">
        <v>3088</v>
      </c>
      <c r="Q61" s="73" t="s">
        <v>3088</v>
      </c>
      <c r="R61" s="73" t="s">
        <v>3088</v>
      </c>
      <c r="S61" s="73" t="s">
        <v>3088</v>
      </c>
      <c r="T61" s="73" t="s">
        <v>3088</v>
      </c>
      <c r="U61" s="73" t="s">
        <v>3088</v>
      </c>
      <c r="V61" s="73" t="s">
        <v>3088</v>
      </c>
      <c r="W61" s="73" t="s">
        <v>3088</v>
      </c>
      <c r="X61" s="73" t="s">
        <v>3088</v>
      </c>
      <c r="Y61" s="73" t="s">
        <v>3088</v>
      </c>
      <c r="Z61" s="73" t="s">
        <v>3088</v>
      </c>
      <c r="AA61" s="73" t="s">
        <v>3088</v>
      </c>
      <c r="AB61" s="73" t="s">
        <v>3088</v>
      </c>
      <c r="AC61" s="73" t="s">
        <v>3088</v>
      </c>
      <c r="AD61" s="73" t="s">
        <v>3088</v>
      </c>
      <c r="AE61" s="73" t="s">
        <v>3088</v>
      </c>
      <c r="AF61" s="73" t="s">
        <v>3088</v>
      </c>
      <c r="AG61" s="73" t="s">
        <v>3088</v>
      </c>
      <c r="AH61" s="73" t="s">
        <v>3088</v>
      </c>
      <c r="AI61" s="73" t="s">
        <v>3088</v>
      </c>
      <c r="AJ61" s="73" t="s">
        <v>3088</v>
      </c>
      <c r="AK61" s="73" t="s">
        <v>3088</v>
      </c>
      <c r="AL61" s="73" t="s">
        <v>3088</v>
      </c>
      <c r="AM61" s="73" t="s">
        <v>3088</v>
      </c>
      <c r="AN61" s="73" t="s">
        <v>3088</v>
      </c>
      <c r="AO61" s="73" t="s">
        <v>3088</v>
      </c>
      <c r="AP61" s="73" t="s">
        <v>3088</v>
      </c>
      <c r="AQ61" s="73" t="s">
        <v>3088</v>
      </c>
      <c r="AR61" s="73" t="s">
        <v>3088</v>
      </c>
      <c r="AS61" s="73" t="s">
        <v>3088</v>
      </c>
      <c r="AT61" s="73" t="s">
        <v>3088</v>
      </c>
      <c r="AU61" s="73" t="s">
        <v>3088</v>
      </c>
      <c r="AV61" s="73" t="s">
        <v>3088</v>
      </c>
      <c r="AW61" s="73" t="s">
        <v>3088</v>
      </c>
      <c r="AX61" s="73" t="s">
        <v>3088</v>
      </c>
      <c r="AY61" s="73" t="s">
        <v>3088</v>
      </c>
      <c r="AZ61" s="73" t="s">
        <v>3088</v>
      </c>
      <c r="BA61" s="73" t="s">
        <v>3088</v>
      </c>
      <c r="BB61" s="73" t="s">
        <v>3088</v>
      </c>
      <c r="BC61" s="73" t="s">
        <v>3088</v>
      </c>
      <c r="BD61" s="73" t="s">
        <v>3088</v>
      </c>
      <c r="BE61" s="73" t="s">
        <v>3088</v>
      </c>
      <c r="BF61" s="73" t="s">
        <v>3088</v>
      </c>
      <c r="BG61" s="73" t="s">
        <v>3088</v>
      </c>
      <c r="BH61" s="73" t="s">
        <v>3088</v>
      </c>
      <c r="BI61" s="73" t="s">
        <v>3088</v>
      </c>
      <c r="BJ61" s="73" t="s">
        <v>3088</v>
      </c>
      <c r="BK61" s="73" t="s">
        <v>3088</v>
      </c>
      <c r="BL61" s="73" t="s">
        <v>3088</v>
      </c>
      <c r="BM61" s="73" t="s">
        <v>3088</v>
      </c>
      <c r="BN61" s="73" t="s">
        <v>3088</v>
      </c>
      <c r="BO61" s="73" t="s">
        <v>3088</v>
      </c>
      <c r="BP61" s="73" t="s">
        <v>3088</v>
      </c>
      <c r="BQ61" s="73" t="s">
        <v>3757</v>
      </c>
      <c r="BR61" s="73" t="s">
        <v>3088</v>
      </c>
    </row>
    <row r="62" spans="1:70">
      <c r="A62" s="73" t="s">
        <v>1884</v>
      </c>
      <c r="B62" s="73" t="s">
        <v>2191</v>
      </c>
      <c r="C62" s="73" t="s">
        <v>3088</v>
      </c>
      <c r="D62" s="73" t="s">
        <v>3088</v>
      </c>
      <c r="E62" s="73" t="s">
        <v>3088</v>
      </c>
      <c r="F62" s="73" t="s">
        <v>3088</v>
      </c>
      <c r="G62" s="73" t="s">
        <v>3089</v>
      </c>
      <c r="H62" s="73" t="s">
        <v>3088</v>
      </c>
      <c r="I62" s="73" t="s">
        <v>2135</v>
      </c>
      <c r="J62" s="73" t="s">
        <v>3088</v>
      </c>
      <c r="K62" s="73" t="s">
        <v>3088</v>
      </c>
      <c r="L62" s="73" t="s">
        <v>3088</v>
      </c>
      <c r="M62" s="73" t="s">
        <v>3088</v>
      </c>
      <c r="N62" s="73" t="s">
        <v>3088</v>
      </c>
      <c r="O62" s="73" t="s">
        <v>3088</v>
      </c>
      <c r="P62" s="73" t="s">
        <v>3088</v>
      </c>
      <c r="Q62" s="73" t="s">
        <v>3088</v>
      </c>
      <c r="R62" s="73" t="s">
        <v>3088</v>
      </c>
      <c r="S62" s="73" t="s">
        <v>3088</v>
      </c>
      <c r="T62" s="73" t="s">
        <v>3088</v>
      </c>
      <c r="U62" s="73" t="s">
        <v>3088</v>
      </c>
      <c r="V62" s="73" t="s">
        <v>3088</v>
      </c>
      <c r="W62" s="73" t="s">
        <v>3088</v>
      </c>
      <c r="X62" s="73" t="s">
        <v>3088</v>
      </c>
      <c r="Y62" s="73" t="s">
        <v>3088</v>
      </c>
      <c r="Z62" s="73" t="s">
        <v>3088</v>
      </c>
      <c r="AA62" s="73" t="s">
        <v>3088</v>
      </c>
      <c r="AB62" s="73" t="s">
        <v>3088</v>
      </c>
      <c r="AC62" s="73" t="s">
        <v>3088</v>
      </c>
      <c r="AD62" s="73" t="s">
        <v>3088</v>
      </c>
      <c r="AE62" s="73" t="s">
        <v>3088</v>
      </c>
      <c r="AF62" s="73" t="s">
        <v>3088</v>
      </c>
      <c r="AG62" s="73" t="s">
        <v>3088</v>
      </c>
      <c r="AH62" s="73" t="s">
        <v>3088</v>
      </c>
      <c r="AI62" s="73" t="s">
        <v>3088</v>
      </c>
      <c r="AJ62" s="73" t="s">
        <v>3088</v>
      </c>
      <c r="AK62" s="73" t="s">
        <v>3088</v>
      </c>
      <c r="AL62" s="73" t="s">
        <v>3088</v>
      </c>
      <c r="AM62" s="73" t="s">
        <v>3088</v>
      </c>
      <c r="AN62" s="73" t="s">
        <v>3088</v>
      </c>
      <c r="AO62" s="73" t="s">
        <v>3088</v>
      </c>
      <c r="AP62" s="73" t="s">
        <v>3088</v>
      </c>
      <c r="AQ62" s="73" t="s">
        <v>3088</v>
      </c>
      <c r="AR62" s="73" t="s">
        <v>3088</v>
      </c>
      <c r="AS62" s="73" t="s">
        <v>3088</v>
      </c>
      <c r="AT62" s="73" t="s">
        <v>3088</v>
      </c>
      <c r="AU62" s="73" t="s">
        <v>3088</v>
      </c>
      <c r="AV62" s="73" t="s">
        <v>3088</v>
      </c>
      <c r="AW62" s="73" t="s">
        <v>3088</v>
      </c>
      <c r="AX62" s="73" t="s">
        <v>3088</v>
      </c>
      <c r="AY62" s="73" t="s">
        <v>3088</v>
      </c>
      <c r="AZ62" s="73" t="s">
        <v>3088</v>
      </c>
      <c r="BA62" s="73" t="s">
        <v>3088</v>
      </c>
      <c r="BB62" s="73" t="s">
        <v>3088</v>
      </c>
      <c r="BC62" s="73" t="s">
        <v>3088</v>
      </c>
      <c r="BD62" s="73" t="s">
        <v>3088</v>
      </c>
      <c r="BE62" s="73" t="s">
        <v>3088</v>
      </c>
      <c r="BF62" s="73" t="s">
        <v>3088</v>
      </c>
      <c r="BG62" s="73" t="s">
        <v>3088</v>
      </c>
      <c r="BH62" s="73" t="s">
        <v>3088</v>
      </c>
      <c r="BI62" s="73" t="s">
        <v>3088</v>
      </c>
      <c r="BJ62" s="73" t="s">
        <v>3088</v>
      </c>
      <c r="BK62" s="73" t="s">
        <v>3088</v>
      </c>
      <c r="BL62" s="73" t="s">
        <v>3088</v>
      </c>
      <c r="BM62" s="73" t="s">
        <v>3088</v>
      </c>
      <c r="BN62" s="73" t="s">
        <v>3088</v>
      </c>
      <c r="BO62" s="73" t="s">
        <v>3088</v>
      </c>
      <c r="BP62" s="73" t="s">
        <v>3088</v>
      </c>
      <c r="BQ62" s="73" t="s">
        <v>3758</v>
      </c>
      <c r="BR62" s="73" t="s">
        <v>3088</v>
      </c>
    </row>
    <row r="63" spans="1:70">
      <c r="A63" s="73" t="s">
        <v>1884</v>
      </c>
      <c r="B63" s="73" t="s">
        <v>2192</v>
      </c>
      <c r="C63" s="73" t="s">
        <v>2182</v>
      </c>
      <c r="D63" s="73" t="s">
        <v>3088</v>
      </c>
      <c r="E63" s="73" t="s">
        <v>3088</v>
      </c>
      <c r="F63" s="73" t="s">
        <v>3088</v>
      </c>
      <c r="G63" s="73" t="s">
        <v>3089</v>
      </c>
      <c r="H63" s="73" t="s">
        <v>3088</v>
      </c>
      <c r="I63" s="73" t="s">
        <v>2193</v>
      </c>
      <c r="J63" s="73" t="s">
        <v>3088</v>
      </c>
      <c r="K63" s="73" t="s">
        <v>3088</v>
      </c>
      <c r="L63" s="73" t="s">
        <v>3088</v>
      </c>
      <c r="M63" s="73" t="s">
        <v>3088</v>
      </c>
      <c r="N63" s="73" t="s">
        <v>3088</v>
      </c>
      <c r="O63" s="73" t="s">
        <v>3088</v>
      </c>
      <c r="P63" s="73" t="s">
        <v>3088</v>
      </c>
      <c r="Q63" s="73" t="s">
        <v>3088</v>
      </c>
      <c r="R63" s="73" t="s">
        <v>3088</v>
      </c>
      <c r="S63" s="73" t="s">
        <v>3088</v>
      </c>
      <c r="T63" s="73" t="s">
        <v>3088</v>
      </c>
      <c r="U63" s="73" t="s">
        <v>3088</v>
      </c>
      <c r="V63" s="73" t="s">
        <v>3088</v>
      </c>
      <c r="W63" s="73" t="s">
        <v>3088</v>
      </c>
      <c r="X63" s="73" t="s">
        <v>3088</v>
      </c>
      <c r="Y63" s="73" t="s">
        <v>3088</v>
      </c>
      <c r="Z63" s="73" t="s">
        <v>3088</v>
      </c>
      <c r="AA63" s="73" t="s">
        <v>3088</v>
      </c>
      <c r="AB63" s="73" t="s">
        <v>3088</v>
      </c>
      <c r="AC63" s="73" t="s">
        <v>3088</v>
      </c>
      <c r="AD63" s="73" t="s">
        <v>3088</v>
      </c>
      <c r="AE63" s="73" t="s">
        <v>3088</v>
      </c>
      <c r="AF63" s="73" t="s">
        <v>3088</v>
      </c>
      <c r="AG63" s="73" t="s">
        <v>3088</v>
      </c>
      <c r="AH63" s="73" t="s">
        <v>3088</v>
      </c>
      <c r="AI63" s="73" t="s">
        <v>3088</v>
      </c>
      <c r="AJ63" s="73" t="s">
        <v>3088</v>
      </c>
      <c r="AK63" s="73" t="s">
        <v>3088</v>
      </c>
      <c r="AL63" s="73" t="s">
        <v>3088</v>
      </c>
      <c r="AM63" s="73" t="s">
        <v>3088</v>
      </c>
      <c r="AN63" s="73" t="s">
        <v>3088</v>
      </c>
      <c r="AO63" s="73" t="s">
        <v>3088</v>
      </c>
      <c r="AP63" s="73" t="s">
        <v>3088</v>
      </c>
      <c r="AQ63" s="73" t="s">
        <v>3088</v>
      </c>
      <c r="AR63" s="73" t="s">
        <v>3088</v>
      </c>
      <c r="AS63" s="73" t="s">
        <v>3088</v>
      </c>
      <c r="AT63" s="73" t="s">
        <v>3088</v>
      </c>
      <c r="AU63" s="73" t="s">
        <v>3088</v>
      </c>
      <c r="AV63" s="73" t="s">
        <v>3088</v>
      </c>
      <c r="AW63" s="73" t="s">
        <v>3088</v>
      </c>
      <c r="AX63" s="73" t="s">
        <v>3088</v>
      </c>
      <c r="AY63" s="73" t="s">
        <v>3088</v>
      </c>
      <c r="AZ63" s="73" t="s">
        <v>3088</v>
      </c>
      <c r="BA63" s="73" t="s">
        <v>3088</v>
      </c>
      <c r="BB63" s="73" t="s">
        <v>3088</v>
      </c>
      <c r="BC63" s="73" t="s">
        <v>3088</v>
      </c>
      <c r="BD63" s="73" t="s">
        <v>3088</v>
      </c>
      <c r="BE63" s="73" t="s">
        <v>3088</v>
      </c>
      <c r="BF63" s="73" t="s">
        <v>3088</v>
      </c>
      <c r="BG63" s="73" t="s">
        <v>3088</v>
      </c>
      <c r="BH63" s="73" t="s">
        <v>3088</v>
      </c>
      <c r="BI63" s="73" t="s">
        <v>3088</v>
      </c>
      <c r="BJ63" s="73" t="s">
        <v>3088</v>
      </c>
      <c r="BK63" s="73" t="s">
        <v>3088</v>
      </c>
      <c r="BL63" s="73" t="s">
        <v>3088</v>
      </c>
      <c r="BM63" s="73" t="s">
        <v>3088</v>
      </c>
      <c r="BN63" s="73" t="s">
        <v>3088</v>
      </c>
      <c r="BO63" s="73" t="s">
        <v>3088</v>
      </c>
      <c r="BP63" s="73" t="s">
        <v>3088</v>
      </c>
      <c r="BQ63" s="73" t="s">
        <v>3759</v>
      </c>
      <c r="BR63" s="73" t="s">
        <v>3088</v>
      </c>
    </row>
    <row r="64" spans="1:70">
      <c r="A64" s="73" t="s">
        <v>1884</v>
      </c>
      <c r="B64" s="73" t="s">
        <v>2194</v>
      </c>
      <c r="C64" s="73" t="s">
        <v>2187</v>
      </c>
      <c r="D64" s="73" t="s">
        <v>3088</v>
      </c>
      <c r="E64" s="73" t="s">
        <v>3088</v>
      </c>
      <c r="F64" s="73" t="s">
        <v>3088</v>
      </c>
      <c r="G64" s="73" t="s">
        <v>3089</v>
      </c>
      <c r="H64" s="73" t="s">
        <v>3088</v>
      </c>
      <c r="I64" s="73" t="s">
        <v>108</v>
      </c>
      <c r="J64" s="73" t="s">
        <v>3088</v>
      </c>
      <c r="K64" s="73" t="s">
        <v>3088</v>
      </c>
      <c r="L64" s="73" t="s">
        <v>3088</v>
      </c>
      <c r="M64" s="73" t="s">
        <v>3088</v>
      </c>
      <c r="N64" s="73" t="s">
        <v>3088</v>
      </c>
      <c r="O64" s="73" t="s">
        <v>3088</v>
      </c>
      <c r="P64" s="73" t="s">
        <v>3088</v>
      </c>
      <c r="Q64" s="73" t="s">
        <v>3088</v>
      </c>
      <c r="R64" s="73" t="s">
        <v>3088</v>
      </c>
      <c r="S64" s="73" t="s">
        <v>3088</v>
      </c>
      <c r="T64" s="73" t="s">
        <v>3088</v>
      </c>
      <c r="U64" s="73" t="s">
        <v>3088</v>
      </c>
      <c r="V64" s="73" t="s">
        <v>3088</v>
      </c>
      <c r="W64" s="73" t="s">
        <v>3088</v>
      </c>
      <c r="X64" s="73" t="s">
        <v>3088</v>
      </c>
      <c r="Y64" s="73" t="s">
        <v>3088</v>
      </c>
      <c r="Z64" s="73" t="s">
        <v>3088</v>
      </c>
      <c r="AA64" s="73" t="s">
        <v>3088</v>
      </c>
      <c r="AB64" s="73" t="s">
        <v>3088</v>
      </c>
      <c r="AC64" s="73" t="s">
        <v>3088</v>
      </c>
      <c r="AD64" s="73" t="s">
        <v>3088</v>
      </c>
      <c r="AE64" s="73" t="s">
        <v>3088</v>
      </c>
      <c r="AF64" s="73" t="s">
        <v>3088</v>
      </c>
      <c r="AG64" s="73" t="s">
        <v>3088</v>
      </c>
      <c r="AH64" s="73" t="s">
        <v>3088</v>
      </c>
      <c r="AI64" s="73" t="s">
        <v>3088</v>
      </c>
      <c r="AJ64" s="73" t="s">
        <v>3088</v>
      </c>
      <c r="AK64" s="73" t="s">
        <v>3088</v>
      </c>
      <c r="AL64" s="73" t="s">
        <v>3088</v>
      </c>
      <c r="AM64" s="73" t="s">
        <v>3088</v>
      </c>
      <c r="AN64" s="73" t="s">
        <v>3088</v>
      </c>
      <c r="AO64" s="73" t="s">
        <v>3088</v>
      </c>
      <c r="AP64" s="73" t="s">
        <v>3088</v>
      </c>
      <c r="AQ64" s="73" t="s">
        <v>3088</v>
      </c>
      <c r="AR64" s="73" t="s">
        <v>3088</v>
      </c>
      <c r="AS64" s="73" t="s">
        <v>3088</v>
      </c>
      <c r="AT64" s="73" t="s">
        <v>3088</v>
      </c>
      <c r="AU64" s="73" t="s">
        <v>3088</v>
      </c>
      <c r="AV64" s="73" t="s">
        <v>3088</v>
      </c>
      <c r="AW64" s="73" t="s">
        <v>3088</v>
      </c>
      <c r="AX64" s="73" t="s">
        <v>3088</v>
      </c>
      <c r="AY64" s="73" t="s">
        <v>3088</v>
      </c>
      <c r="AZ64" s="73" t="s">
        <v>3088</v>
      </c>
      <c r="BA64" s="73" t="s">
        <v>3088</v>
      </c>
      <c r="BB64" s="73" t="s">
        <v>3088</v>
      </c>
      <c r="BC64" s="73" t="s">
        <v>3088</v>
      </c>
      <c r="BD64" s="73" t="s">
        <v>3088</v>
      </c>
      <c r="BE64" s="73" t="s">
        <v>3088</v>
      </c>
      <c r="BF64" s="73" t="s">
        <v>3088</v>
      </c>
      <c r="BG64" s="73" t="s">
        <v>3088</v>
      </c>
      <c r="BH64" s="73" t="s">
        <v>3088</v>
      </c>
      <c r="BI64" s="73" t="s">
        <v>3088</v>
      </c>
      <c r="BJ64" s="73" t="s">
        <v>3088</v>
      </c>
      <c r="BK64" s="73" t="s">
        <v>3088</v>
      </c>
      <c r="BL64" s="73" t="s">
        <v>3088</v>
      </c>
      <c r="BM64" s="73" t="s">
        <v>3088</v>
      </c>
      <c r="BN64" s="73" t="s">
        <v>3088</v>
      </c>
      <c r="BO64" s="73" t="s">
        <v>3088</v>
      </c>
      <c r="BP64" s="73" t="s">
        <v>3088</v>
      </c>
      <c r="BQ64" s="73" t="s">
        <v>3760</v>
      </c>
      <c r="BR64" s="73" t="s">
        <v>3088</v>
      </c>
    </row>
    <row r="65" spans="1:70">
      <c r="A65" s="73" t="s">
        <v>1884</v>
      </c>
      <c r="B65" s="73" t="s">
        <v>3761</v>
      </c>
      <c r="C65" s="73" t="s">
        <v>3088</v>
      </c>
      <c r="D65" s="73" t="s">
        <v>3088</v>
      </c>
      <c r="E65" s="73" t="s">
        <v>3088</v>
      </c>
      <c r="F65" s="73" t="s">
        <v>3088</v>
      </c>
      <c r="G65" s="73" t="s">
        <v>3089</v>
      </c>
      <c r="H65" s="73" t="s">
        <v>3088</v>
      </c>
      <c r="I65" s="73" t="s">
        <v>3762</v>
      </c>
      <c r="J65" s="73" t="s">
        <v>3763</v>
      </c>
      <c r="K65" s="73" t="s">
        <v>3095</v>
      </c>
      <c r="L65" s="73" t="s">
        <v>3441</v>
      </c>
      <c r="M65" s="73" t="s">
        <v>3763</v>
      </c>
      <c r="N65" s="73" t="s">
        <v>3095</v>
      </c>
      <c r="O65" s="73" t="s">
        <v>3088</v>
      </c>
      <c r="P65" s="73" t="s">
        <v>3088</v>
      </c>
      <c r="Q65" s="73" t="s">
        <v>3088</v>
      </c>
      <c r="R65" s="73" t="s">
        <v>3088</v>
      </c>
      <c r="S65" s="73" t="s">
        <v>3088</v>
      </c>
      <c r="T65" s="73" t="s">
        <v>3088</v>
      </c>
      <c r="U65" s="73" t="s">
        <v>3088</v>
      </c>
      <c r="V65" s="73" t="s">
        <v>3088</v>
      </c>
      <c r="W65" s="73" t="s">
        <v>3088</v>
      </c>
      <c r="X65" s="73" t="s">
        <v>3088</v>
      </c>
      <c r="Y65" s="73" t="s">
        <v>3088</v>
      </c>
      <c r="Z65" s="73" t="s">
        <v>3088</v>
      </c>
      <c r="AA65" s="73" t="s">
        <v>3088</v>
      </c>
      <c r="AB65" s="73" t="s">
        <v>3088</v>
      </c>
      <c r="AC65" s="73" t="s">
        <v>3088</v>
      </c>
      <c r="AD65" s="73" t="s">
        <v>3088</v>
      </c>
      <c r="AE65" s="73" t="s">
        <v>3088</v>
      </c>
      <c r="AF65" s="73" t="s">
        <v>3088</v>
      </c>
      <c r="AG65" s="73" t="s">
        <v>3088</v>
      </c>
      <c r="AH65" s="73" t="s">
        <v>3088</v>
      </c>
      <c r="AI65" s="73" t="s">
        <v>3088</v>
      </c>
      <c r="AJ65" s="73" t="s">
        <v>3088</v>
      </c>
      <c r="AK65" s="73" t="s">
        <v>3088</v>
      </c>
      <c r="AL65" s="73" t="s">
        <v>3088</v>
      </c>
      <c r="AM65" s="73" t="s">
        <v>3088</v>
      </c>
      <c r="AN65" s="73" t="s">
        <v>3088</v>
      </c>
      <c r="AO65" s="73" t="s">
        <v>3088</v>
      </c>
      <c r="AP65" s="73" t="s">
        <v>3088</v>
      </c>
      <c r="AQ65" s="73" t="s">
        <v>3088</v>
      </c>
      <c r="AR65" s="73" t="s">
        <v>3088</v>
      </c>
      <c r="AS65" s="73" t="s">
        <v>3088</v>
      </c>
      <c r="AT65" s="73" t="s">
        <v>3088</v>
      </c>
      <c r="AU65" s="73" t="s">
        <v>3088</v>
      </c>
      <c r="AV65" s="73" t="s">
        <v>3088</v>
      </c>
      <c r="AW65" s="73" t="s">
        <v>3088</v>
      </c>
      <c r="AX65" s="73" t="s">
        <v>3088</v>
      </c>
      <c r="AY65" s="73" t="s">
        <v>3088</v>
      </c>
      <c r="AZ65" s="73" t="s">
        <v>3088</v>
      </c>
      <c r="BA65" s="73" t="s">
        <v>3088</v>
      </c>
      <c r="BB65" s="73" t="s">
        <v>3088</v>
      </c>
      <c r="BC65" s="73" t="s">
        <v>3088</v>
      </c>
      <c r="BD65" s="73" t="s">
        <v>3088</v>
      </c>
      <c r="BE65" s="73" t="s">
        <v>3088</v>
      </c>
      <c r="BF65" s="73" t="s">
        <v>3088</v>
      </c>
      <c r="BG65" s="73" t="s">
        <v>3088</v>
      </c>
      <c r="BH65" s="73" t="s">
        <v>3088</v>
      </c>
      <c r="BI65" s="73" t="s">
        <v>3088</v>
      </c>
      <c r="BJ65" s="73" t="s">
        <v>3088</v>
      </c>
      <c r="BK65" s="73" t="s">
        <v>3088</v>
      </c>
      <c r="BL65" s="73" t="s">
        <v>3088</v>
      </c>
      <c r="BM65" s="73" t="s">
        <v>3088</v>
      </c>
      <c r="BN65" s="73" t="s">
        <v>3088</v>
      </c>
      <c r="BO65" s="73" t="s">
        <v>3088</v>
      </c>
      <c r="BP65" s="73" t="s">
        <v>3088</v>
      </c>
      <c r="BQ65" s="73" t="s">
        <v>3764</v>
      </c>
      <c r="BR65" s="73" t="s">
        <v>3097</v>
      </c>
    </row>
    <row r="66" spans="1:70">
      <c r="A66" s="73" t="s">
        <v>1884</v>
      </c>
      <c r="B66" s="73" t="s">
        <v>2364</v>
      </c>
      <c r="C66" s="73" t="s">
        <v>3088</v>
      </c>
      <c r="D66" s="73" t="s">
        <v>3088</v>
      </c>
      <c r="E66" s="73" t="s">
        <v>3088</v>
      </c>
      <c r="F66" s="73" t="s">
        <v>3088</v>
      </c>
      <c r="G66" s="73" t="s">
        <v>3089</v>
      </c>
      <c r="H66" s="73" t="s">
        <v>3088</v>
      </c>
      <c r="I66" s="73" t="s">
        <v>543</v>
      </c>
      <c r="J66" s="73" t="s">
        <v>2365</v>
      </c>
      <c r="K66" s="73" t="s">
        <v>3095</v>
      </c>
      <c r="L66" s="73" t="s">
        <v>3088</v>
      </c>
      <c r="M66" s="73" t="s">
        <v>3088</v>
      </c>
      <c r="N66" s="73" t="s">
        <v>3088</v>
      </c>
      <c r="O66" s="73" t="s">
        <v>3088</v>
      </c>
      <c r="P66" s="73" t="s">
        <v>3088</v>
      </c>
      <c r="Q66" s="73" t="s">
        <v>3088</v>
      </c>
      <c r="R66" s="73" t="s">
        <v>3088</v>
      </c>
      <c r="S66" s="73" t="s">
        <v>3088</v>
      </c>
      <c r="T66" s="73" t="s">
        <v>3088</v>
      </c>
      <c r="U66" s="73" t="s">
        <v>3088</v>
      </c>
      <c r="V66" s="73" t="s">
        <v>3088</v>
      </c>
      <c r="W66" s="73" t="s">
        <v>3088</v>
      </c>
      <c r="X66" s="73" t="s">
        <v>3088</v>
      </c>
      <c r="Y66" s="73" t="s">
        <v>3088</v>
      </c>
      <c r="Z66" s="73" t="s">
        <v>3088</v>
      </c>
      <c r="AA66" s="73" t="s">
        <v>3088</v>
      </c>
      <c r="AB66" s="73" t="s">
        <v>3088</v>
      </c>
      <c r="AC66" s="73" t="s">
        <v>3088</v>
      </c>
      <c r="AD66" s="73" t="s">
        <v>3088</v>
      </c>
      <c r="AE66" s="73" t="s">
        <v>3088</v>
      </c>
      <c r="AF66" s="73" t="s">
        <v>3088</v>
      </c>
      <c r="AG66" s="73" t="s">
        <v>3088</v>
      </c>
      <c r="AH66" s="73" t="s">
        <v>3088</v>
      </c>
      <c r="AI66" s="73" t="s">
        <v>3088</v>
      </c>
      <c r="AJ66" s="73" t="s">
        <v>3088</v>
      </c>
      <c r="AK66" s="73" t="s">
        <v>3088</v>
      </c>
      <c r="AL66" s="73" t="s">
        <v>3088</v>
      </c>
      <c r="AM66" s="73" t="s">
        <v>3088</v>
      </c>
      <c r="AN66" s="73" t="s">
        <v>3088</v>
      </c>
      <c r="AO66" s="73" t="s">
        <v>3088</v>
      </c>
      <c r="AP66" s="73" t="s">
        <v>3088</v>
      </c>
      <c r="AQ66" s="73" t="s">
        <v>3088</v>
      </c>
      <c r="AR66" s="73" t="s">
        <v>3088</v>
      </c>
      <c r="AS66" s="73" t="s">
        <v>3088</v>
      </c>
      <c r="AT66" s="73" t="s">
        <v>3088</v>
      </c>
      <c r="AU66" s="73" t="s">
        <v>3088</v>
      </c>
      <c r="AV66" s="73" t="s">
        <v>3088</v>
      </c>
      <c r="AW66" s="73" t="s">
        <v>3088</v>
      </c>
      <c r="AX66" s="73" t="s">
        <v>3088</v>
      </c>
      <c r="AY66" s="73" t="s">
        <v>3088</v>
      </c>
      <c r="AZ66" s="73" t="s">
        <v>3088</v>
      </c>
      <c r="BA66" s="73" t="s">
        <v>3088</v>
      </c>
      <c r="BB66" s="73" t="s">
        <v>3088</v>
      </c>
      <c r="BC66" s="73" t="s">
        <v>3088</v>
      </c>
      <c r="BD66" s="73" t="s">
        <v>3088</v>
      </c>
      <c r="BE66" s="73" t="s">
        <v>3088</v>
      </c>
      <c r="BF66" s="73" t="s">
        <v>3088</v>
      </c>
      <c r="BG66" s="73" t="s">
        <v>3088</v>
      </c>
      <c r="BH66" s="73" t="s">
        <v>3088</v>
      </c>
      <c r="BI66" s="73" t="s">
        <v>3088</v>
      </c>
      <c r="BJ66" s="73" t="s">
        <v>3088</v>
      </c>
      <c r="BK66" s="73" t="s">
        <v>3088</v>
      </c>
      <c r="BL66" s="73" t="s">
        <v>3088</v>
      </c>
      <c r="BM66" s="73" t="s">
        <v>3088</v>
      </c>
      <c r="BN66" s="73" t="s">
        <v>3088</v>
      </c>
      <c r="BO66" s="73" t="s">
        <v>3088</v>
      </c>
      <c r="BP66" s="73" t="s">
        <v>3088</v>
      </c>
      <c r="BQ66" s="73" t="s">
        <v>3765</v>
      </c>
      <c r="BR66" s="73" t="s">
        <v>3097</v>
      </c>
    </row>
    <row r="67" spans="1:70">
      <c r="A67" s="73" t="s">
        <v>1889</v>
      </c>
      <c r="B67" s="73" t="s">
        <v>3766</v>
      </c>
      <c r="C67" s="73" t="s">
        <v>2167</v>
      </c>
      <c r="D67" s="73" t="s">
        <v>3088</v>
      </c>
      <c r="E67" s="73" t="s">
        <v>3088</v>
      </c>
      <c r="F67" s="73" t="s">
        <v>3088</v>
      </c>
      <c r="G67" s="73" t="s">
        <v>3089</v>
      </c>
      <c r="H67" s="73" t="s">
        <v>3088</v>
      </c>
      <c r="I67" s="73" t="s">
        <v>3122</v>
      </c>
      <c r="J67" s="73" t="s">
        <v>3767</v>
      </c>
      <c r="K67" s="73" t="s">
        <v>3089</v>
      </c>
      <c r="L67" s="73" t="s">
        <v>3088</v>
      </c>
      <c r="M67" s="73" t="s">
        <v>3088</v>
      </c>
      <c r="N67" s="73" t="s">
        <v>3088</v>
      </c>
      <c r="O67" s="73" t="s">
        <v>3088</v>
      </c>
      <c r="P67" s="73" t="s">
        <v>3088</v>
      </c>
      <c r="Q67" s="73" t="s">
        <v>3088</v>
      </c>
      <c r="R67" s="73" t="s">
        <v>3088</v>
      </c>
      <c r="S67" s="73" t="s">
        <v>3088</v>
      </c>
      <c r="T67" s="73" t="s">
        <v>3088</v>
      </c>
      <c r="U67" s="73" t="s">
        <v>3088</v>
      </c>
      <c r="V67" s="73" t="s">
        <v>3088</v>
      </c>
      <c r="W67" s="73" t="s">
        <v>3088</v>
      </c>
      <c r="X67" s="73" t="s">
        <v>3088</v>
      </c>
      <c r="Y67" s="73" t="s">
        <v>3088</v>
      </c>
      <c r="Z67" s="73" t="s">
        <v>3088</v>
      </c>
      <c r="AA67" s="73" t="s">
        <v>3088</v>
      </c>
      <c r="AB67" s="73" t="s">
        <v>3088</v>
      </c>
      <c r="AC67" s="73" t="s">
        <v>3088</v>
      </c>
      <c r="AD67" s="73" t="s">
        <v>3088</v>
      </c>
      <c r="AE67" s="73" t="s">
        <v>3088</v>
      </c>
      <c r="AF67" s="73" t="s">
        <v>3088</v>
      </c>
      <c r="AG67" s="73" t="s">
        <v>3088</v>
      </c>
      <c r="AH67" s="73" t="s">
        <v>3088</v>
      </c>
      <c r="AI67" s="73" t="s">
        <v>3088</v>
      </c>
      <c r="AJ67" s="73" t="s">
        <v>3088</v>
      </c>
      <c r="AK67" s="73" t="s">
        <v>3088</v>
      </c>
      <c r="AL67" s="73" t="s">
        <v>3088</v>
      </c>
      <c r="AM67" s="73" t="s">
        <v>3088</v>
      </c>
      <c r="AN67" s="73" t="s">
        <v>3088</v>
      </c>
      <c r="AO67" s="73" t="s">
        <v>3088</v>
      </c>
      <c r="AP67" s="73" t="s">
        <v>3088</v>
      </c>
      <c r="AQ67" s="73" t="s">
        <v>3088</v>
      </c>
      <c r="AR67" s="73" t="s">
        <v>3088</v>
      </c>
      <c r="AS67" s="73" t="s">
        <v>3088</v>
      </c>
      <c r="AT67" s="73" t="s">
        <v>3088</v>
      </c>
      <c r="AU67" s="73" t="s">
        <v>3088</v>
      </c>
      <c r="AV67" s="73" t="s">
        <v>3088</v>
      </c>
      <c r="AW67" s="73" t="s">
        <v>3088</v>
      </c>
      <c r="AX67" s="73" t="s">
        <v>3088</v>
      </c>
      <c r="AY67" s="73" t="s">
        <v>3088</v>
      </c>
      <c r="AZ67" s="73" t="s">
        <v>3088</v>
      </c>
      <c r="BA67" s="73" t="s">
        <v>3088</v>
      </c>
      <c r="BB67" s="73" t="s">
        <v>3088</v>
      </c>
      <c r="BC67" s="73" t="s">
        <v>3088</v>
      </c>
      <c r="BD67" s="73" t="s">
        <v>3088</v>
      </c>
      <c r="BE67" s="73" t="s">
        <v>3088</v>
      </c>
      <c r="BF67" s="73" t="s">
        <v>3088</v>
      </c>
      <c r="BG67" s="73" t="s">
        <v>3088</v>
      </c>
      <c r="BH67" s="73" t="s">
        <v>3088</v>
      </c>
      <c r="BI67" s="73" t="s">
        <v>3088</v>
      </c>
      <c r="BJ67" s="73" t="s">
        <v>3088</v>
      </c>
      <c r="BK67" s="73" t="s">
        <v>3088</v>
      </c>
      <c r="BL67" s="73" t="s">
        <v>3088</v>
      </c>
      <c r="BM67" s="73" t="s">
        <v>3088</v>
      </c>
      <c r="BN67" s="73" t="s">
        <v>3088</v>
      </c>
      <c r="BO67" s="73" t="s">
        <v>3088</v>
      </c>
      <c r="BP67" s="73" t="s">
        <v>3088</v>
      </c>
      <c r="BQ67" s="73" t="s">
        <v>3768</v>
      </c>
      <c r="BR67" s="73" t="s">
        <v>3088</v>
      </c>
    </row>
    <row r="68" spans="1:70">
      <c r="A68" s="73" t="s">
        <v>1889</v>
      </c>
      <c r="B68" s="73" t="s">
        <v>3769</v>
      </c>
      <c r="C68" s="73" t="s">
        <v>2248</v>
      </c>
      <c r="D68" s="73" t="s">
        <v>3088</v>
      </c>
      <c r="E68" s="73" t="s">
        <v>3088</v>
      </c>
      <c r="F68" s="73" t="s">
        <v>3088</v>
      </c>
      <c r="G68" s="73" t="s">
        <v>3089</v>
      </c>
      <c r="H68" s="73" t="s">
        <v>3088</v>
      </c>
      <c r="I68" s="73" t="s">
        <v>3122</v>
      </c>
      <c r="J68" s="73" t="s">
        <v>3770</v>
      </c>
      <c r="K68" s="73" t="s">
        <v>3095</v>
      </c>
      <c r="L68" s="73" t="s">
        <v>3088</v>
      </c>
      <c r="M68" s="73" t="s">
        <v>3088</v>
      </c>
      <c r="N68" s="73" t="s">
        <v>3088</v>
      </c>
      <c r="O68" s="73" t="s">
        <v>3088</v>
      </c>
      <c r="P68" s="73" t="s">
        <v>3088</v>
      </c>
      <c r="Q68" s="73" t="s">
        <v>3088</v>
      </c>
      <c r="R68" s="73" t="s">
        <v>3088</v>
      </c>
      <c r="S68" s="73" t="s">
        <v>3088</v>
      </c>
      <c r="T68" s="73" t="s">
        <v>3088</v>
      </c>
      <c r="U68" s="73" t="s">
        <v>3088</v>
      </c>
      <c r="V68" s="73" t="s">
        <v>3088</v>
      </c>
      <c r="W68" s="73" t="s">
        <v>3088</v>
      </c>
      <c r="X68" s="73" t="s">
        <v>3088</v>
      </c>
      <c r="Y68" s="73" t="s">
        <v>3088</v>
      </c>
      <c r="Z68" s="73" t="s">
        <v>3088</v>
      </c>
      <c r="AA68" s="73" t="s">
        <v>3088</v>
      </c>
      <c r="AB68" s="73" t="s">
        <v>3088</v>
      </c>
      <c r="AC68" s="73" t="s">
        <v>3088</v>
      </c>
      <c r="AD68" s="73" t="s">
        <v>3088</v>
      </c>
      <c r="AE68" s="73" t="s">
        <v>3088</v>
      </c>
      <c r="AF68" s="73" t="s">
        <v>3088</v>
      </c>
      <c r="AG68" s="73" t="s">
        <v>3088</v>
      </c>
      <c r="AH68" s="73" t="s">
        <v>3088</v>
      </c>
      <c r="AI68" s="73" t="s">
        <v>3088</v>
      </c>
      <c r="AJ68" s="73" t="s">
        <v>3088</v>
      </c>
      <c r="AK68" s="73" t="s">
        <v>3088</v>
      </c>
      <c r="AL68" s="73" t="s">
        <v>3088</v>
      </c>
      <c r="AM68" s="73" t="s">
        <v>3088</v>
      </c>
      <c r="AN68" s="73" t="s">
        <v>3088</v>
      </c>
      <c r="AO68" s="73" t="s">
        <v>3088</v>
      </c>
      <c r="AP68" s="73" t="s">
        <v>3088</v>
      </c>
      <c r="AQ68" s="73" t="s">
        <v>3088</v>
      </c>
      <c r="AR68" s="73" t="s">
        <v>3088</v>
      </c>
      <c r="AS68" s="73" t="s">
        <v>3088</v>
      </c>
      <c r="AT68" s="73" t="s">
        <v>3088</v>
      </c>
      <c r="AU68" s="73" t="s">
        <v>3088</v>
      </c>
      <c r="AV68" s="73" t="s">
        <v>3088</v>
      </c>
      <c r="AW68" s="73" t="s">
        <v>3088</v>
      </c>
      <c r="AX68" s="73" t="s">
        <v>3088</v>
      </c>
      <c r="AY68" s="73" t="s">
        <v>3088</v>
      </c>
      <c r="AZ68" s="73" t="s">
        <v>3088</v>
      </c>
      <c r="BA68" s="73" t="s">
        <v>3088</v>
      </c>
      <c r="BB68" s="73" t="s">
        <v>3088</v>
      </c>
      <c r="BC68" s="73" t="s">
        <v>3088</v>
      </c>
      <c r="BD68" s="73" t="s">
        <v>3088</v>
      </c>
      <c r="BE68" s="73" t="s">
        <v>3088</v>
      </c>
      <c r="BF68" s="73" t="s">
        <v>3088</v>
      </c>
      <c r="BG68" s="73" t="s">
        <v>3088</v>
      </c>
      <c r="BH68" s="73" t="s">
        <v>3088</v>
      </c>
      <c r="BI68" s="73" t="s">
        <v>3088</v>
      </c>
      <c r="BJ68" s="73" t="s">
        <v>3088</v>
      </c>
      <c r="BK68" s="73" t="s">
        <v>3088</v>
      </c>
      <c r="BL68" s="73" t="s">
        <v>3088</v>
      </c>
      <c r="BM68" s="73" t="s">
        <v>3088</v>
      </c>
      <c r="BN68" s="73" t="s">
        <v>3088</v>
      </c>
      <c r="BO68" s="73" t="s">
        <v>3088</v>
      </c>
      <c r="BP68" s="73" t="s">
        <v>3088</v>
      </c>
      <c r="BQ68" s="73" t="s">
        <v>3771</v>
      </c>
      <c r="BR68" s="73" t="s">
        <v>3097</v>
      </c>
    </row>
    <row r="69" spans="1:70">
      <c r="A69" s="73" t="s">
        <v>1889</v>
      </c>
      <c r="B69" s="73" t="s">
        <v>2488</v>
      </c>
      <c r="C69" s="73" t="s">
        <v>2182</v>
      </c>
      <c r="D69" s="73" t="s">
        <v>3088</v>
      </c>
      <c r="E69" s="73" t="s">
        <v>3088</v>
      </c>
      <c r="F69" s="73" t="s">
        <v>3088</v>
      </c>
      <c r="G69" s="73" t="s">
        <v>3089</v>
      </c>
      <c r="H69" s="73" t="s">
        <v>3088</v>
      </c>
      <c r="I69" s="73" t="s">
        <v>3113</v>
      </c>
      <c r="J69" s="73" t="s">
        <v>3088</v>
      </c>
      <c r="K69" s="73" t="s">
        <v>3088</v>
      </c>
      <c r="L69" s="73" t="s">
        <v>1997</v>
      </c>
      <c r="M69" s="73" t="s">
        <v>3088</v>
      </c>
      <c r="N69" s="73" t="s">
        <v>3088</v>
      </c>
      <c r="O69" s="73" t="s">
        <v>3088</v>
      </c>
      <c r="P69" s="73" t="s">
        <v>3088</v>
      </c>
      <c r="Q69" s="73" t="s">
        <v>3088</v>
      </c>
      <c r="R69" s="73" t="s">
        <v>3088</v>
      </c>
      <c r="S69" s="73" t="s">
        <v>3088</v>
      </c>
      <c r="T69" s="73" t="s">
        <v>3088</v>
      </c>
      <c r="U69" s="73" t="s">
        <v>3088</v>
      </c>
      <c r="V69" s="73" t="s">
        <v>3088</v>
      </c>
      <c r="W69" s="73" t="s">
        <v>3088</v>
      </c>
      <c r="X69" s="73" t="s">
        <v>3088</v>
      </c>
      <c r="Y69" s="73" t="s">
        <v>3088</v>
      </c>
      <c r="Z69" s="73" t="s">
        <v>3088</v>
      </c>
      <c r="AA69" s="73" t="s">
        <v>3088</v>
      </c>
      <c r="AB69" s="73" t="s">
        <v>3088</v>
      </c>
      <c r="AC69" s="73" t="s">
        <v>3088</v>
      </c>
      <c r="AD69" s="73" t="s">
        <v>3088</v>
      </c>
      <c r="AE69" s="73" t="s">
        <v>3088</v>
      </c>
      <c r="AF69" s="73" t="s">
        <v>3088</v>
      </c>
      <c r="AG69" s="73" t="s">
        <v>3088</v>
      </c>
      <c r="AH69" s="73" t="s">
        <v>3088</v>
      </c>
      <c r="AI69" s="73" t="s">
        <v>3088</v>
      </c>
      <c r="AJ69" s="73" t="s">
        <v>3088</v>
      </c>
      <c r="AK69" s="73" t="s">
        <v>3088</v>
      </c>
      <c r="AL69" s="73" t="s">
        <v>3088</v>
      </c>
      <c r="AM69" s="73" t="s">
        <v>3088</v>
      </c>
      <c r="AN69" s="73" t="s">
        <v>3088</v>
      </c>
      <c r="AO69" s="73" t="s">
        <v>3088</v>
      </c>
      <c r="AP69" s="73" t="s">
        <v>3088</v>
      </c>
      <c r="AQ69" s="73" t="s">
        <v>3088</v>
      </c>
      <c r="AR69" s="73" t="s">
        <v>3088</v>
      </c>
      <c r="AS69" s="73" t="s">
        <v>3088</v>
      </c>
      <c r="AT69" s="73" t="s">
        <v>3088</v>
      </c>
      <c r="AU69" s="73" t="s">
        <v>3088</v>
      </c>
      <c r="AV69" s="73" t="s">
        <v>3088</v>
      </c>
      <c r="AW69" s="73" t="s">
        <v>3088</v>
      </c>
      <c r="AX69" s="73" t="s">
        <v>3088</v>
      </c>
      <c r="AY69" s="73" t="s">
        <v>3088</v>
      </c>
      <c r="AZ69" s="73" t="s">
        <v>3088</v>
      </c>
      <c r="BA69" s="73" t="s">
        <v>3088</v>
      </c>
      <c r="BB69" s="73" t="s">
        <v>3088</v>
      </c>
      <c r="BC69" s="73" t="s">
        <v>3088</v>
      </c>
      <c r="BD69" s="73" t="s">
        <v>3088</v>
      </c>
      <c r="BE69" s="73" t="s">
        <v>3088</v>
      </c>
      <c r="BF69" s="73" t="s">
        <v>3088</v>
      </c>
      <c r="BG69" s="73" t="s">
        <v>3088</v>
      </c>
      <c r="BH69" s="73" t="s">
        <v>3088</v>
      </c>
      <c r="BI69" s="73" t="s">
        <v>3088</v>
      </c>
      <c r="BJ69" s="73" t="s">
        <v>3088</v>
      </c>
      <c r="BK69" s="73" t="s">
        <v>3088</v>
      </c>
      <c r="BL69" s="73" t="s">
        <v>3088</v>
      </c>
      <c r="BM69" s="73" t="s">
        <v>3088</v>
      </c>
      <c r="BN69" s="73" t="s">
        <v>3088</v>
      </c>
      <c r="BO69" s="73" t="s">
        <v>3088</v>
      </c>
      <c r="BP69" s="73" t="s">
        <v>3088</v>
      </c>
      <c r="BQ69" s="73" t="s">
        <v>3772</v>
      </c>
      <c r="BR69" s="73" t="s">
        <v>3088</v>
      </c>
    </row>
    <row r="70" spans="1:70">
      <c r="A70" s="73" t="s">
        <v>1889</v>
      </c>
      <c r="B70" s="73" t="s">
        <v>2490</v>
      </c>
      <c r="C70" s="73" t="s">
        <v>2174</v>
      </c>
      <c r="D70" s="73" t="s">
        <v>3088</v>
      </c>
      <c r="E70" s="73" t="s">
        <v>3088</v>
      </c>
      <c r="F70" s="73" t="s">
        <v>3088</v>
      </c>
      <c r="G70" s="73" t="s">
        <v>3089</v>
      </c>
      <c r="H70" s="73" t="s">
        <v>3088</v>
      </c>
      <c r="I70" s="73" t="s">
        <v>3113</v>
      </c>
      <c r="J70" s="73" t="s">
        <v>3088</v>
      </c>
      <c r="K70" s="73" t="s">
        <v>3088</v>
      </c>
      <c r="L70" s="73" t="s">
        <v>1997</v>
      </c>
      <c r="M70" s="73" t="s">
        <v>3088</v>
      </c>
      <c r="N70" s="73" t="s">
        <v>3088</v>
      </c>
      <c r="O70" s="73" t="s">
        <v>3088</v>
      </c>
      <c r="P70" s="73" t="s">
        <v>3088</v>
      </c>
      <c r="Q70" s="73" t="s">
        <v>3088</v>
      </c>
      <c r="R70" s="73" t="s">
        <v>3088</v>
      </c>
      <c r="S70" s="73" t="s">
        <v>3088</v>
      </c>
      <c r="T70" s="73" t="s">
        <v>3088</v>
      </c>
      <c r="U70" s="73" t="s">
        <v>3088</v>
      </c>
      <c r="V70" s="73" t="s">
        <v>3088</v>
      </c>
      <c r="W70" s="73" t="s">
        <v>3088</v>
      </c>
      <c r="X70" s="73" t="s">
        <v>3088</v>
      </c>
      <c r="Y70" s="73" t="s">
        <v>3088</v>
      </c>
      <c r="Z70" s="73" t="s">
        <v>3088</v>
      </c>
      <c r="AA70" s="73" t="s">
        <v>3088</v>
      </c>
      <c r="AB70" s="73" t="s">
        <v>3088</v>
      </c>
      <c r="AC70" s="73" t="s">
        <v>3088</v>
      </c>
      <c r="AD70" s="73" t="s">
        <v>3088</v>
      </c>
      <c r="AE70" s="73" t="s">
        <v>3088</v>
      </c>
      <c r="AF70" s="73" t="s">
        <v>3088</v>
      </c>
      <c r="AG70" s="73" t="s">
        <v>3088</v>
      </c>
      <c r="AH70" s="73" t="s">
        <v>3088</v>
      </c>
      <c r="AI70" s="73" t="s">
        <v>3088</v>
      </c>
      <c r="AJ70" s="73" t="s">
        <v>3088</v>
      </c>
      <c r="AK70" s="73" t="s">
        <v>3088</v>
      </c>
      <c r="AL70" s="73" t="s">
        <v>3088</v>
      </c>
      <c r="AM70" s="73" t="s">
        <v>3088</v>
      </c>
      <c r="AN70" s="73" t="s">
        <v>3088</v>
      </c>
      <c r="AO70" s="73" t="s">
        <v>3088</v>
      </c>
      <c r="AP70" s="73" t="s">
        <v>3088</v>
      </c>
      <c r="AQ70" s="73" t="s">
        <v>3088</v>
      </c>
      <c r="AR70" s="73" t="s">
        <v>3088</v>
      </c>
      <c r="AS70" s="73" t="s">
        <v>3088</v>
      </c>
      <c r="AT70" s="73" t="s">
        <v>3088</v>
      </c>
      <c r="AU70" s="73" t="s">
        <v>3088</v>
      </c>
      <c r="AV70" s="73" t="s">
        <v>3088</v>
      </c>
      <c r="AW70" s="73" t="s">
        <v>3088</v>
      </c>
      <c r="AX70" s="73" t="s">
        <v>3088</v>
      </c>
      <c r="AY70" s="73" t="s">
        <v>3088</v>
      </c>
      <c r="AZ70" s="73" t="s">
        <v>3088</v>
      </c>
      <c r="BA70" s="73" t="s">
        <v>3088</v>
      </c>
      <c r="BB70" s="73" t="s">
        <v>3088</v>
      </c>
      <c r="BC70" s="73" t="s">
        <v>3088</v>
      </c>
      <c r="BD70" s="73" t="s">
        <v>3088</v>
      </c>
      <c r="BE70" s="73" t="s">
        <v>3088</v>
      </c>
      <c r="BF70" s="73" t="s">
        <v>3088</v>
      </c>
      <c r="BG70" s="73" t="s">
        <v>3088</v>
      </c>
      <c r="BH70" s="73" t="s">
        <v>3088</v>
      </c>
      <c r="BI70" s="73" t="s">
        <v>3088</v>
      </c>
      <c r="BJ70" s="73" t="s">
        <v>3088</v>
      </c>
      <c r="BK70" s="73" t="s">
        <v>3088</v>
      </c>
      <c r="BL70" s="73" t="s">
        <v>3088</v>
      </c>
      <c r="BM70" s="73" t="s">
        <v>3088</v>
      </c>
      <c r="BN70" s="73" t="s">
        <v>3088</v>
      </c>
      <c r="BO70" s="73" t="s">
        <v>3088</v>
      </c>
      <c r="BP70" s="73" t="s">
        <v>3088</v>
      </c>
      <c r="BQ70" s="73" t="s">
        <v>3773</v>
      </c>
      <c r="BR70" s="73" t="s">
        <v>3088</v>
      </c>
    </row>
    <row r="71" spans="1:70">
      <c r="A71" s="73" t="s">
        <v>1889</v>
      </c>
      <c r="B71" s="73" t="s">
        <v>2196</v>
      </c>
      <c r="C71" s="73" t="s">
        <v>3088</v>
      </c>
      <c r="D71" s="73" t="s">
        <v>3088</v>
      </c>
      <c r="E71" s="73" t="s">
        <v>3088</v>
      </c>
      <c r="F71" s="73" t="s">
        <v>3088</v>
      </c>
      <c r="G71" s="73" t="s">
        <v>3089</v>
      </c>
      <c r="H71" s="73" t="s">
        <v>3088</v>
      </c>
      <c r="I71" s="73" t="s">
        <v>2193</v>
      </c>
      <c r="J71" s="73" t="s">
        <v>3088</v>
      </c>
      <c r="K71" s="73" t="s">
        <v>3088</v>
      </c>
      <c r="L71" s="73" t="s">
        <v>3088</v>
      </c>
      <c r="M71" s="73" t="s">
        <v>3088</v>
      </c>
      <c r="N71" s="73" t="s">
        <v>3088</v>
      </c>
      <c r="O71" s="73" t="s">
        <v>3088</v>
      </c>
      <c r="P71" s="73" t="s">
        <v>3088</v>
      </c>
      <c r="Q71" s="73" t="s">
        <v>3088</v>
      </c>
      <c r="R71" s="73" t="s">
        <v>3088</v>
      </c>
      <c r="S71" s="73" t="s">
        <v>3088</v>
      </c>
      <c r="T71" s="73" t="s">
        <v>3088</v>
      </c>
      <c r="U71" s="73" t="s">
        <v>3088</v>
      </c>
      <c r="V71" s="73" t="s">
        <v>3088</v>
      </c>
      <c r="W71" s="73" t="s">
        <v>3088</v>
      </c>
      <c r="X71" s="73" t="s">
        <v>3088</v>
      </c>
      <c r="Y71" s="73" t="s">
        <v>3088</v>
      </c>
      <c r="Z71" s="73" t="s">
        <v>3088</v>
      </c>
      <c r="AA71" s="73" t="s">
        <v>3088</v>
      </c>
      <c r="AB71" s="73" t="s">
        <v>3088</v>
      </c>
      <c r="AC71" s="73" t="s">
        <v>3088</v>
      </c>
      <c r="AD71" s="73" t="s">
        <v>3088</v>
      </c>
      <c r="AE71" s="73" t="s">
        <v>3088</v>
      </c>
      <c r="AF71" s="73" t="s">
        <v>3088</v>
      </c>
      <c r="AG71" s="73" t="s">
        <v>3088</v>
      </c>
      <c r="AH71" s="73" t="s">
        <v>3088</v>
      </c>
      <c r="AI71" s="73" t="s">
        <v>3088</v>
      </c>
      <c r="AJ71" s="73" t="s">
        <v>3088</v>
      </c>
      <c r="AK71" s="73" t="s">
        <v>3088</v>
      </c>
      <c r="AL71" s="73" t="s">
        <v>3088</v>
      </c>
      <c r="AM71" s="73" t="s">
        <v>3088</v>
      </c>
      <c r="AN71" s="73" t="s">
        <v>3088</v>
      </c>
      <c r="AO71" s="73" t="s">
        <v>3088</v>
      </c>
      <c r="AP71" s="73" t="s">
        <v>3088</v>
      </c>
      <c r="AQ71" s="73" t="s">
        <v>3088</v>
      </c>
      <c r="AR71" s="73" t="s">
        <v>3088</v>
      </c>
      <c r="AS71" s="73" t="s">
        <v>3088</v>
      </c>
      <c r="AT71" s="73" t="s">
        <v>3088</v>
      </c>
      <c r="AU71" s="73" t="s">
        <v>3088</v>
      </c>
      <c r="AV71" s="73" t="s">
        <v>3088</v>
      </c>
      <c r="AW71" s="73" t="s">
        <v>3088</v>
      </c>
      <c r="AX71" s="73" t="s">
        <v>3088</v>
      </c>
      <c r="AY71" s="73" t="s">
        <v>3088</v>
      </c>
      <c r="AZ71" s="73" t="s">
        <v>3088</v>
      </c>
      <c r="BA71" s="73" t="s">
        <v>3088</v>
      </c>
      <c r="BB71" s="73" t="s">
        <v>3088</v>
      </c>
      <c r="BC71" s="73" t="s">
        <v>3088</v>
      </c>
      <c r="BD71" s="73" t="s">
        <v>3088</v>
      </c>
      <c r="BE71" s="73" t="s">
        <v>3088</v>
      </c>
      <c r="BF71" s="73" t="s">
        <v>3088</v>
      </c>
      <c r="BG71" s="73" t="s">
        <v>3088</v>
      </c>
      <c r="BH71" s="73" t="s">
        <v>3088</v>
      </c>
      <c r="BI71" s="73" t="s">
        <v>3088</v>
      </c>
      <c r="BJ71" s="73" t="s">
        <v>3088</v>
      </c>
      <c r="BK71" s="73" t="s">
        <v>3088</v>
      </c>
      <c r="BL71" s="73" t="s">
        <v>3088</v>
      </c>
      <c r="BM71" s="73" t="s">
        <v>3088</v>
      </c>
      <c r="BN71" s="73" t="s">
        <v>3088</v>
      </c>
      <c r="BO71" s="73" t="s">
        <v>3088</v>
      </c>
      <c r="BP71" s="73" t="s">
        <v>3088</v>
      </c>
      <c r="BQ71" s="73" t="s">
        <v>3774</v>
      </c>
      <c r="BR71" s="73" t="s">
        <v>3088</v>
      </c>
    </row>
    <row r="72" spans="1:70">
      <c r="A72" s="73" t="s">
        <v>1889</v>
      </c>
      <c r="B72" s="73" t="s">
        <v>2197</v>
      </c>
      <c r="C72" s="73" t="s">
        <v>3088</v>
      </c>
      <c r="D72" s="73" t="s">
        <v>3088</v>
      </c>
      <c r="E72" s="73" t="s">
        <v>3088</v>
      </c>
      <c r="F72" s="73" t="s">
        <v>3088</v>
      </c>
      <c r="G72" s="73" t="s">
        <v>3089</v>
      </c>
      <c r="H72" s="73" t="s">
        <v>3088</v>
      </c>
      <c r="I72" s="73" t="s">
        <v>2193</v>
      </c>
      <c r="J72" s="73" t="s">
        <v>3088</v>
      </c>
      <c r="K72" s="73" t="s">
        <v>3088</v>
      </c>
      <c r="L72" s="73" t="s">
        <v>3088</v>
      </c>
      <c r="M72" s="73" t="s">
        <v>3088</v>
      </c>
      <c r="N72" s="73" t="s">
        <v>3088</v>
      </c>
      <c r="O72" s="73" t="s">
        <v>3088</v>
      </c>
      <c r="P72" s="73" t="s">
        <v>3088</v>
      </c>
      <c r="Q72" s="73" t="s">
        <v>3088</v>
      </c>
      <c r="R72" s="73" t="s">
        <v>3088</v>
      </c>
      <c r="S72" s="73" t="s">
        <v>3088</v>
      </c>
      <c r="T72" s="73" t="s">
        <v>3088</v>
      </c>
      <c r="U72" s="73" t="s">
        <v>3088</v>
      </c>
      <c r="V72" s="73" t="s">
        <v>3088</v>
      </c>
      <c r="W72" s="73" t="s">
        <v>3088</v>
      </c>
      <c r="X72" s="73" t="s">
        <v>3088</v>
      </c>
      <c r="Y72" s="73" t="s">
        <v>3088</v>
      </c>
      <c r="Z72" s="73" t="s">
        <v>3088</v>
      </c>
      <c r="AA72" s="73" t="s">
        <v>3088</v>
      </c>
      <c r="AB72" s="73" t="s">
        <v>3088</v>
      </c>
      <c r="AC72" s="73" t="s">
        <v>3088</v>
      </c>
      <c r="AD72" s="73" t="s">
        <v>3088</v>
      </c>
      <c r="AE72" s="73" t="s">
        <v>3088</v>
      </c>
      <c r="AF72" s="73" t="s">
        <v>3088</v>
      </c>
      <c r="AG72" s="73" t="s">
        <v>3088</v>
      </c>
      <c r="AH72" s="73" t="s">
        <v>3088</v>
      </c>
      <c r="AI72" s="73" t="s">
        <v>3088</v>
      </c>
      <c r="AJ72" s="73" t="s">
        <v>3088</v>
      </c>
      <c r="AK72" s="73" t="s">
        <v>3088</v>
      </c>
      <c r="AL72" s="73" t="s">
        <v>3088</v>
      </c>
      <c r="AM72" s="73" t="s">
        <v>3088</v>
      </c>
      <c r="AN72" s="73" t="s">
        <v>3088</v>
      </c>
      <c r="AO72" s="73" t="s">
        <v>3088</v>
      </c>
      <c r="AP72" s="73" t="s">
        <v>3088</v>
      </c>
      <c r="AQ72" s="73" t="s">
        <v>3088</v>
      </c>
      <c r="AR72" s="73" t="s">
        <v>3088</v>
      </c>
      <c r="AS72" s="73" t="s">
        <v>3088</v>
      </c>
      <c r="AT72" s="73" t="s">
        <v>3088</v>
      </c>
      <c r="AU72" s="73" t="s">
        <v>3088</v>
      </c>
      <c r="AV72" s="73" t="s">
        <v>3088</v>
      </c>
      <c r="AW72" s="73" t="s">
        <v>3088</v>
      </c>
      <c r="AX72" s="73" t="s">
        <v>3088</v>
      </c>
      <c r="AY72" s="73" t="s">
        <v>3088</v>
      </c>
      <c r="AZ72" s="73" t="s">
        <v>3088</v>
      </c>
      <c r="BA72" s="73" t="s">
        <v>3088</v>
      </c>
      <c r="BB72" s="73" t="s">
        <v>3088</v>
      </c>
      <c r="BC72" s="73" t="s">
        <v>3088</v>
      </c>
      <c r="BD72" s="73" t="s">
        <v>3088</v>
      </c>
      <c r="BE72" s="73" t="s">
        <v>3088</v>
      </c>
      <c r="BF72" s="73" t="s">
        <v>3088</v>
      </c>
      <c r="BG72" s="73" t="s">
        <v>3088</v>
      </c>
      <c r="BH72" s="73" t="s">
        <v>3088</v>
      </c>
      <c r="BI72" s="73" t="s">
        <v>3088</v>
      </c>
      <c r="BJ72" s="73" t="s">
        <v>3088</v>
      </c>
      <c r="BK72" s="73" t="s">
        <v>3088</v>
      </c>
      <c r="BL72" s="73" t="s">
        <v>3088</v>
      </c>
      <c r="BM72" s="73" t="s">
        <v>3088</v>
      </c>
      <c r="BN72" s="73" t="s">
        <v>3088</v>
      </c>
      <c r="BO72" s="73" t="s">
        <v>3088</v>
      </c>
      <c r="BP72" s="73" t="s">
        <v>3088</v>
      </c>
      <c r="BQ72" s="73" t="s">
        <v>3775</v>
      </c>
      <c r="BR72" s="73" t="s">
        <v>3088</v>
      </c>
    </row>
    <row r="73" spans="1:70">
      <c r="A73" s="73" t="s">
        <v>1889</v>
      </c>
      <c r="B73" s="73" t="s">
        <v>2198</v>
      </c>
      <c r="C73" s="73" t="s">
        <v>3088</v>
      </c>
      <c r="D73" s="73" t="s">
        <v>3088</v>
      </c>
      <c r="E73" s="73" t="s">
        <v>3088</v>
      </c>
      <c r="F73" s="73" t="s">
        <v>3088</v>
      </c>
      <c r="G73" s="73" t="s">
        <v>3089</v>
      </c>
      <c r="H73" s="73" t="s">
        <v>3088</v>
      </c>
      <c r="I73" s="73" t="s">
        <v>2193</v>
      </c>
      <c r="J73" s="73" t="s">
        <v>3088</v>
      </c>
      <c r="K73" s="73" t="s">
        <v>3088</v>
      </c>
      <c r="L73" s="73" t="s">
        <v>543</v>
      </c>
      <c r="M73" s="73" t="s">
        <v>3088</v>
      </c>
      <c r="N73" s="73" t="s">
        <v>3088</v>
      </c>
      <c r="O73" s="73" t="s">
        <v>3088</v>
      </c>
      <c r="P73" s="73" t="s">
        <v>3088</v>
      </c>
      <c r="Q73" s="73" t="s">
        <v>3088</v>
      </c>
      <c r="R73" s="73" t="s">
        <v>3088</v>
      </c>
      <c r="S73" s="73" t="s">
        <v>3088</v>
      </c>
      <c r="T73" s="73" t="s">
        <v>3088</v>
      </c>
      <c r="U73" s="73" t="s">
        <v>3088</v>
      </c>
      <c r="V73" s="73" t="s">
        <v>3088</v>
      </c>
      <c r="W73" s="73" t="s">
        <v>3088</v>
      </c>
      <c r="X73" s="73" t="s">
        <v>3088</v>
      </c>
      <c r="Y73" s="73" t="s">
        <v>3088</v>
      </c>
      <c r="Z73" s="73" t="s">
        <v>3088</v>
      </c>
      <c r="AA73" s="73" t="s">
        <v>3088</v>
      </c>
      <c r="AB73" s="73" t="s">
        <v>3088</v>
      </c>
      <c r="AC73" s="73" t="s">
        <v>3088</v>
      </c>
      <c r="AD73" s="73" t="s">
        <v>3088</v>
      </c>
      <c r="AE73" s="73" t="s">
        <v>3088</v>
      </c>
      <c r="AF73" s="73" t="s">
        <v>3088</v>
      </c>
      <c r="AG73" s="73" t="s">
        <v>3088</v>
      </c>
      <c r="AH73" s="73" t="s">
        <v>3088</v>
      </c>
      <c r="AI73" s="73" t="s">
        <v>3088</v>
      </c>
      <c r="AJ73" s="73" t="s">
        <v>3088</v>
      </c>
      <c r="AK73" s="73" t="s">
        <v>3088</v>
      </c>
      <c r="AL73" s="73" t="s">
        <v>3088</v>
      </c>
      <c r="AM73" s="73" t="s">
        <v>3088</v>
      </c>
      <c r="AN73" s="73" t="s">
        <v>3088</v>
      </c>
      <c r="AO73" s="73" t="s">
        <v>3088</v>
      </c>
      <c r="AP73" s="73" t="s">
        <v>3088</v>
      </c>
      <c r="AQ73" s="73" t="s">
        <v>3088</v>
      </c>
      <c r="AR73" s="73" t="s">
        <v>3088</v>
      </c>
      <c r="AS73" s="73" t="s">
        <v>3088</v>
      </c>
      <c r="AT73" s="73" t="s">
        <v>3088</v>
      </c>
      <c r="AU73" s="73" t="s">
        <v>3088</v>
      </c>
      <c r="AV73" s="73" t="s">
        <v>3088</v>
      </c>
      <c r="AW73" s="73" t="s">
        <v>3088</v>
      </c>
      <c r="AX73" s="73" t="s">
        <v>3088</v>
      </c>
      <c r="AY73" s="73" t="s">
        <v>3088</v>
      </c>
      <c r="AZ73" s="73" t="s">
        <v>3088</v>
      </c>
      <c r="BA73" s="73" t="s">
        <v>3088</v>
      </c>
      <c r="BB73" s="73" t="s">
        <v>3088</v>
      </c>
      <c r="BC73" s="73" t="s">
        <v>3088</v>
      </c>
      <c r="BD73" s="73" t="s">
        <v>3088</v>
      </c>
      <c r="BE73" s="73" t="s">
        <v>3088</v>
      </c>
      <c r="BF73" s="73" t="s">
        <v>3088</v>
      </c>
      <c r="BG73" s="73" t="s">
        <v>3088</v>
      </c>
      <c r="BH73" s="73" t="s">
        <v>3088</v>
      </c>
      <c r="BI73" s="73" t="s">
        <v>3088</v>
      </c>
      <c r="BJ73" s="73" t="s">
        <v>3088</v>
      </c>
      <c r="BK73" s="73" t="s">
        <v>3088</v>
      </c>
      <c r="BL73" s="73" t="s">
        <v>3088</v>
      </c>
      <c r="BM73" s="73" t="s">
        <v>3088</v>
      </c>
      <c r="BN73" s="73" t="s">
        <v>3088</v>
      </c>
      <c r="BO73" s="73" t="s">
        <v>3088</v>
      </c>
      <c r="BP73" s="73" t="s">
        <v>3088</v>
      </c>
      <c r="BQ73" s="73" t="s">
        <v>3776</v>
      </c>
      <c r="BR73" s="73" t="s">
        <v>3088</v>
      </c>
    </row>
    <row r="74" spans="1:70">
      <c r="A74" s="73" t="s">
        <v>1889</v>
      </c>
      <c r="B74" s="73" t="s">
        <v>2200</v>
      </c>
      <c r="C74" s="73" t="s">
        <v>2182</v>
      </c>
      <c r="D74" s="73" t="s">
        <v>3088</v>
      </c>
      <c r="E74" s="73" t="s">
        <v>3088</v>
      </c>
      <c r="F74" s="73" t="s">
        <v>3088</v>
      </c>
      <c r="G74" s="73" t="s">
        <v>3089</v>
      </c>
      <c r="H74" s="73" t="s">
        <v>3088</v>
      </c>
      <c r="I74" s="73" t="s">
        <v>108</v>
      </c>
      <c r="J74" s="73" t="s">
        <v>3088</v>
      </c>
      <c r="K74" s="73" t="s">
        <v>3088</v>
      </c>
      <c r="L74" s="73" t="s">
        <v>3088</v>
      </c>
      <c r="M74" s="73" t="s">
        <v>3088</v>
      </c>
      <c r="N74" s="73" t="s">
        <v>3088</v>
      </c>
      <c r="O74" s="73" t="s">
        <v>3088</v>
      </c>
      <c r="P74" s="73" t="s">
        <v>3088</v>
      </c>
      <c r="Q74" s="73" t="s">
        <v>3088</v>
      </c>
      <c r="R74" s="73" t="s">
        <v>3088</v>
      </c>
      <c r="S74" s="73" t="s">
        <v>3088</v>
      </c>
      <c r="T74" s="73" t="s">
        <v>3088</v>
      </c>
      <c r="U74" s="73" t="s">
        <v>3088</v>
      </c>
      <c r="V74" s="73" t="s">
        <v>3088</v>
      </c>
      <c r="W74" s="73" t="s">
        <v>3088</v>
      </c>
      <c r="X74" s="73" t="s">
        <v>3088</v>
      </c>
      <c r="Y74" s="73" t="s">
        <v>3088</v>
      </c>
      <c r="Z74" s="73" t="s">
        <v>3088</v>
      </c>
      <c r="AA74" s="73" t="s">
        <v>3088</v>
      </c>
      <c r="AB74" s="73" t="s">
        <v>3088</v>
      </c>
      <c r="AC74" s="73" t="s">
        <v>3088</v>
      </c>
      <c r="AD74" s="73" t="s">
        <v>3088</v>
      </c>
      <c r="AE74" s="73" t="s">
        <v>3088</v>
      </c>
      <c r="AF74" s="73" t="s">
        <v>3088</v>
      </c>
      <c r="AG74" s="73" t="s">
        <v>3088</v>
      </c>
      <c r="AH74" s="73" t="s">
        <v>3088</v>
      </c>
      <c r="AI74" s="73" t="s">
        <v>3088</v>
      </c>
      <c r="AJ74" s="73" t="s">
        <v>3088</v>
      </c>
      <c r="AK74" s="73" t="s">
        <v>3088</v>
      </c>
      <c r="AL74" s="73" t="s">
        <v>3088</v>
      </c>
      <c r="AM74" s="73" t="s">
        <v>3088</v>
      </c>
      <c r="AN74" s="73" t="s">
        <v>3088</v>
      </c>
      <c r="AO74" s="73" t="s">
        <v>3088</v>
      </c>
      <c r="AP74" s="73" t="s">
        <v>3088</v>
      </c>
      <c r="AQ74" s="73" t="s">
        <v>3088</v>
      </c>
      <c r="AR74" s="73" t="s">
        <v>3088</v>
      </c>
      <c r="AS74" s="73" t="s">
        <v>3088</v>
      </c>
      <c r="AT74" s="73" t="s">
        <v>3088</v>
      </c>
      <c r="AU74" s="73" t="s">
        <v>3088</v>
      </c>
      <c r="AV74" s="73" t="s">
        <v>3088</v>
      </c>
      <c r="AW74" s="73" t="s">
        <v>3088</v>
      </c>
      <c r="AX74" s="73" t="s">
        <v>3088</v>
      </c>
      <c r="AY74" s="73" t="s">
        <v>3088</v>
      </c>
      <c r="AZ74" s="73" t="s">
        <v>3088</v>
      </c>
      <c r="BA74" s="73" t="s">
        <v>3088</v>
      </c>
      <c r="BB74" s="73" t="s">
        <v>3088</v>
      </c>
      <c r="BC74" s="73" t="s">
        <v>3088</v>
      </c>
      <c r="BD74" s="73" t="s">
        <v>3088</v>
      </c>
      <c r="BE74" s="73" t="s">
        <v>3088</v>
      </c>
      <c r="BF74" s="73" t="s">
        <v>3088</v>
      </c>
      <c r="BG74" s="73" t="s">
        <v>3088</v>
      </c>
      <c r="BH74" s="73" t="s">
        <v>3088</v>
      </c>
      <c r="BI74" s="73" t="s">
        <v>3088</v>
      </c>
      <c r="BJ74" s="73" t="s">
        <v>3088</v>
      </c>
      <c r="BK74" s="73" t="s">
        <v>3088</v>
      </c>
      <c r="BL74" s="73" t="s">
        <v>3088</v>
      </c>
      <c r="BM74" s="73" t="s">
        <v>3088</v>
      </c>
      <c r="BN74" s="73" t="s">
        <v>3088</v>
      </c>
      <c r="BO74" s="73" t="s">
        <v>3088</v>
      </c>
      <c r="BP74" s="73" t="s">
        <v>3088</v>
      </c>
      <c r="BQ74" s="73" t="s">
        <v>3777</v>
      </c>
      <c r="BR74" s="73" t="s">
        <v>3088</v>
      </c>
    </row>
    <row r="75" spans="1:70">
      <c r="A75" s="73" t="s">
        <v>1889</v>
      </c>
      <c r="B75" s="73" t="s">
        <v>2201</v>
      </c>
      <c r="C75" s="73" t="s">
        <v>2182</v>
      </c>
      <c r="D75" s="73" t="s">
        <v>3088</v>
      </c>
      <c r="E75" s="73" t="s">
        <v>3088</v>
      </c>
      <c r="F75" s="73" t="s">
        <v>3088</v>
      </c>
      <c r="G75" s="73" t="s">
        <v>3089</v>
      </c>
      <c r="H75" s="73" t="s">
        <v>3088</v>
      </c>
      <c r="I75" s="73" t="s">
        <v>108</v>
      </c>
      <c r="J75" s="73" t="s">
        <v>3088</v>
      </c>
      <c r="K75" s="73" t="s">
        <v>3088</v>
      </c>
      <c r="L75" s="73" t="s">
        <v>3088</v>
      </c>
      <c r="M75" s="73" t="s">
        <v>3088</v>
      </c>
      <c r="N75" s="73" t="s">
        <v>3088</v>
      </c>
      <c r="O75" s="73" t="s">
        <v>3088</v>
      </c>
      <c r="P75" s="73" t="s">
        <v>3088</v>
      </c>
      <c r="Q75" s="73" t="s">
        <v>3088</v>
      </c>
      <c r="R75" s="73" t="s">
        <v>3088</v>
      </c>
      <c r="S75" s="73" t="s">
        <v>3088</v>
      </c>
      <c r="T75" s="73" t="s">
        <v>3088</v>
      </c>
      <c r="U75" s="73" t="s">
        <v>3088</v>
      </c>
      <c r="V75" s="73" t="s">
        <v>3088</v>
      </c>
      <c r="W75" s="73" t="s">
        <v>3088</v>
      </c>
      <c r="X75" s="73" t="s">
        <v>3088</v>
      </c>
      <c r="Y75" s="73" t="s">
        <v>3088</v>
      </c>
      <c r="Z75" s="73" t="s">
        <v>3088</v>
      </c>
      <c r="AA75" s="73" t="s">
        <v>3088</v>
      </c>
      <c r="AB75" s="73" t="s">
        <v>3088</v>
      </c>
      <c r="AC75" s="73" t="s">
        <v>3088</v>
      </c>
      <c r="AD75" s="73" t="s">
        <v>3088</v>
      </c>
      <c r="AE75" s="73" t="s">
        <v>3088</v>
      </c>
      <c r="AF75" s="73" t="s">
        <v>3088</v>
      </c>
      <c r="AG75" s="73" t="s">
        <v>3088</v>
      </c>
      <c r="AH75" s="73" t="s">
        <v>3088</v>
      </c>
      <c r="AI75" s="73" t="s">
        <v>3088</v>
      </c>
      <c r="AJ75" s="73" t="s">
        <v>3088</v>
      </c>
      <c r="AK75" s="73" t="s">
        <v>3088</v>
      </c>
      <c r="AL75" s="73" t="s">
        <v>3088</v>
      </c>
      <c r="AM75" s="73" t="s">
        <v>3088</v>
      </c>
      <c r="AN75" s="73" t="s">
        <v>3088</v>
      </c>
      <c r="AO75" s="73" t="s">
        <v>3088</v>
      </c>
      <c r="AP75" s="73" t="s">
        <v>3088</v>
      </c>
      <c r="AQ75" s="73" t="s">
        <v>3088</v>
      </c>
      <c r="AR75" s="73" t="s">
        <v>3088</v>
      </c>
      <c r="AS75" s="73" t="s">
        <v>3088</v>
      </c>
      <c r="AT75" s="73" t="s">
        <v>3088</v>
      </c>
      <c r="AU75" s="73" t="s">
        <v>3088</v>
      </c>
      <c r="AV75" s="73" t="s">
        <v>3088</v>
      </c>
      <c r="AW75" s="73" t="s">
        <v>3088</v>
      </c>
      <c r="AX75" s="73" t="s">
        <v>3088</v>
      </c>
      <c r="AY75" s="73" t="s">
        <v>3088</v>
      </c>
      <c r="AZ75" s="73" t="s">
        <v>3088</v>
      </c>
      <c r="BA75" s="73" t="s">
        <v>3088</v>
      </c>
      <c r="BB75" s="73" t="s">
        <v>3088</v>
      </c>
      <c r="BC75" s="73" t="s">
        <v>3088</v>
      </c>
      <c r="BD75" s="73" t="s">
        <v>3088</v>
      </c>
      <c r="BE75" s="73" t="s">
        <v>3088</v>
      </c>
      <c r="BF75" s="73" t="s">
        <v>3088</v>
      </c>
      <c r="BG75" s="73" t="s">
        <v>3088</v>
      </c>
      <c r="BH75" s="73" t="s">
        <v>3088</v>
      </c>
      <c r="BI75" s="73" t="s">
        <v>3088</v>
      </c>
      <c r="BJ75" s="73" t="s">
        <v>3088</v>
      </c>
      <c r="BK75" s="73" t="s">
        <v>3088</v>
      </c>
      <c r="BL75" s="73" t="s">
        <v>3088</v>
      </c>
      <c r="BM75" s="73" t="s">
        <v>3088</v>
      </c>
      <c r="BN75" s="73" t="s">
        <v>3088</v>
      </c>
      <c r="BO75" s="73" t="s">
        <v>3088</v>
      </c>
      <c r="BP75" s="73" t="s">
        <v>3088</v>
      </c>
      <c r="BQ75" s="73" t="s">
        <v>3778</v>
      </c>
      <c r="BR75" s="73" t="s">
        <v>3088</v>
      </c>
    </row>
    <row r="76" spans="1:70">
      <c r="A76" s="73" t="s">
        <v>1889</v>
      </c>
      <c r="B76" s="73" t="s">
        <v>2202</v>
      </c>
      <c r="C76" s="73" t="s">
        <v>2174</v>
      </c>
      <c r="D76" s="73" t="s">
        <v>3088</v>
      </c>
      <c r="E76" s="73" t="s">
        <v>3088</v>
      </c>
      <c r="F76" s="73" t="s">
        <v>3088</v>
      </c>
      <c r="G76" s="73" t="s">
        <v>3089</v>
      </c>
      <c r="H76" s="73" t="s">
        <v>3088</v>
      </c>
      <c r="I76" s="73" t="s">
        <v>108</v>
      </c>
      <c r="J76" s="73" t="s">
        <v>3088</v>
      </c>
      <c r="K76" s="73" t="s">
        <v>3088</v>
      </c>
      <c r="L76" s="73" t="s">
        <v>3088</v>
      </c>
      <c r="M76" s="73" t="s">
        <v>3088</v>
      </c>
      <c r="N76" s="73" t="s">
        <v>3088</v>
      </c>
      <c r="O76" s="73" t="s">
        <v>3088</v>
      </c>
      <c r="P76" s="73" t="s">
        <v>3088</v>
      </c>
      <c r="Q76" s="73" t="s">
        <v>3088</v>
      </c>
      <c r="R76" s="73" t="s">
        <v>3088</v>
      </c>
      <c r="S76" s="73" t="s">
        <v>3088</v>
      </c>
      <c r="T76" s="73" t="s">
        <v>3088</v>
      </c>
      <c r="U76" s="73" t="s">
        <v>3088</v>
      </c>
      <c r="V76" s="73" t="s">
        <v>3088</v>
      </c>
      <c r="W76" s="73" t="s">
        <v>3088</v>
      </c>
      <c r="X76" s="73" t="s">
        <v>3088</v>
      </c>
      <c r="Y76" s="73" t="s">
        <v>3088</v>
      </c>
      <c r="Z76" s="73" t="s">
        <v>3088</v>
      </c>
      <c r="AA76" s="73" t="s">
        <v>3088</v>
      </c>
      <c r="AB76" s="73" t="s">
        <v>3088</v>
      </c>
      <c r="AC76" s="73" t="s">
        <v>3088</v>
      </c>
      <c r="AD76" s="73" t="s">
        <v>3088</v>
      </c>
      <c r="AE76" s="73" t="s">
        <v>3088</v>
      </c>
      <c r="AF76" s="73" t="s">
        <v>3088</v>
      </c>
      <c r="AG76" s="73" t="s">
        <v>3088</v>
      </c>
      <c r="AH76" s="73" t="s">
        <v>3088</v>
      </c>
      <c r="AI76" s="73" t="s">
        <v>3088</v>
      </c>
      <c r="AJ76" s="73" t="s">
        <v>3088</v>
      </c>
      <c r="AK76" s="73" t="s">
        <v>3088</v>
      </c>
      <c r="AL76" s="73" t="s">
        <v>3088</v>
      </c>
      <c r="AM76" s="73" t="s">
        <v>3088</v>
      </c>
      <c r="AN76" s="73" t="s">
        <v>3088</v>
      </c>
      <c r="AO76" s="73" t="s">
        <v>3088</v>
      </c>
      <c r="AP76" s="73" t="s">
        <v>3088</v>
      </c>
      <c r="AQ76" s="73" t="s">
        <v>3088</v>
      </c>
      <c r="AR76" s="73" t="s">
        <v>3088</v>
      </c>
      <c r="AS76" s="73" t="s">
        <v>3088</v>
      </c>
      <c r="AT76" s="73" t="s">
        <v>3088</v>
      </c>
      <c r="AU76" s="73" t="s">
        <v>3088</v>
      </c>
      <c r="AV76" s="73" t="s">
        <v>3088</v>
      </c>
      <c r="AW76" s="73" t="s">
        <v>3088</v>
      </c>
      <c r="AX76" s="73" t="s">
        <v>3088</v>
      </c>
      <c r="AY76" s="73" t="s">
        <v>3088</v>
      </c>
      <c r="AZ76" s="73" t="s">
        <v>3088</v>
      </c>
      <c r="BA76" s="73" t="s">
        <v>3088</v>
      </c>
      <c r="BB76" s="73" t="s">
        <v>3088</v>
      </c>
      <c r="BC76" s="73" t="s">
        <v>3088</v>
      </c>
      <c r="BD76" s="73" t="s">
        <v>3088</v>
      </c>
      <c r="BE76" s="73" t="s">
        <v>3088</v>
      </c>
      <c r="BF76" s="73" t="s">
        <v>3088</v>
      </c>
      <c r="BG76" s="73" t="s">
        <v>3088</v>
      </c>
      <c r="BH76" s="73" t="s">
        <v>3088</v>
      </c>
      <c r="BI76" s="73" t="s">
        <v>3088</v>
      </c>
      <c r="BJ76" s="73" t="s">
        <v>3088</v>
      </c>
      <c r="BK76" s="73" t="s">
        <v>3088</v>
      </c>
      <c r="BL76" s="73" t="s">
        <v>3088</v>
      </c>
      <c r="BM76" s="73" t="s">
        <v>3088</v>
      </c>
      <c r="BN76" s="73" t="s">
        <v>3088</v>
      </c>
      <c r="BO76" s="73" t="s">
        <v>3088</v>
      </c>
      <c r="BP76" s="73" t="s">
        <v>3088</v>
      </c>
      <c r="BQ76" s="73" t="s">
        <v>3779</v>
      </c>
      <c r="BR76" s="73" t="s">
        <v>3088</v>
      </c>
    </row>
    <row r="77" spans="1:70">
      <c r="A77" s="73" t="s">
        <v>1889</v>
      </c>
      <c r="B77" s="73" t="s">
        <v>2203</v>
      </c>
      <c r="C77" s="73" t="s">
        <v>2204</v>
      </c>
      <c r="D77" s="73" t="s">
        <v>3088</v>
      </c>
      <c r="E77" s="73" t="s">
        <v>3088</v>
      </c>
      <c r="F77" s="73" t="s">
        <v>3088</v>
      </c>
      <c r="G77" s="73" t="s">
        <v>3089</v>
      </c>
      <c r="H77" s="73" t="s">
        <v>3088</v>
      </c>
      <c r="I77" s="73" t="s">
        <v>2193</v>
      </c>
      <c r="J77" s="73" t="s">
        <v>3088</v>
      </c>
      <c r="K77" s="73" t="s">
        <v>3088</v>
      </c>
      <c r="L77" s="73" t="s">
        <v>3088</v>
      </c>
      <c r="M77" s="73" t="s">
        <v>3088</v>
      </c>
      <c r="N77" s="73" t="s">
        <v>3088</v>
      </c>
      <c r="O77" s="73" t="s">
        <v>3088</v>
      </c>
      <c r="P77" s="73" t="s">
        <v>3088</v>
      </c>
      <c r="Q77" s="73" t="s">
        <v>3088</v>
      </c>
      <c r="R77" s="73" t="s">
        <v>3088</v>
      </c>
      <c r="S77" s="73" t="s">
        <v>3088</v>
      </c>
      <c r="T77" s="73" t="s">
        <v>3088</v>
      </c>
      <c r="U77" s="73" t="s">
        <v>3088</v>
      </c>
      <c r="V77" s="73" t="s">
        <v>3088</v>
      </c>
      <c r="W77" s="73" t="s">
        <v>3088</v>
      </c>
      <c r="X77" s="73" t="s">
        <v>3088</v>
      </c>
      <c r="Y77" s="73" t="s">
        <v>3088</v>
      </c>
      <c r="Z77" s="73" t="s">
        <v>3088</v>
      </c>
      <c r="AA77" s="73" t="s">
        <v>3088</v>
      </c>
      <c r="AB77" s="73" t="s">
        <v>3088</v>
      </c>
      <c r="AC77" s="73" t="s">
        <v>3088</v>
      </c>
      <c r="AD77" s="73" t="s">
        <v>3088</v>
      </c>
      <c r="AE77" s="73" t="s">
        <v>3088</v>
      </c>
      <c r="AF77" s="73" t="s">
        <v>3088</v>
      </c>
      <c r="AG77" s="73" t="s">
        <v>3088</v>
      </c>
      <c r="AH77" s="73" t="s">
        <v>3088</v>
      </c>
      <c r="AI77" s="73" t="s">
        <v>3088</v>
      </c>
      <c r="AJ77" s="73" t="s">
        <v>3088</v>
      </c>
      <c r="AK77" s="73" t="s">
        <v>3088</v>
      </c>
      <c r="AL77" s="73" t="s">
        <v>3088</v>
      </c>
      <c r="AM77" s="73" t="s">
        <v>3088</v>
      </c>
      <c r="AN77" s="73" t="s">
        <v>3088</v>
      </c>
      <c r="AO77" s="73" t="s">
        <v>3088</v>
      </c>
      <c r="AP77" s="73" t="s">
        <v>3088</v>
      </c>
      <c r="AQ77" s="73" t="s">
        <v>3088</v>
      </c>
      <c r="AR77" s="73" t="s">
        <v>3088</v>
      </c>
      <c r="AS77" s="73" t="s">
        <v>3088</v>
      </c>
      <c r="AT77" s="73" t="s">
        <v>3088</v>
      </c>
      <c r="AU77" s="73" t="s">
        <v>3088</v>
      </c>
      <c r="AV77" s="73" t="s">
        <v>3088</v>
      </c>
      <c r="AW77" s="73" t="s">
        <v>3088</v>
      </c>
      <c r="AX77" s="73" t="s">
        <v>3088</v>
      </c>
      <c r="AY77" s="73" t="s">
        <v>3088</v>
      </c>
      <c r="AZ77" s="73" t="s">
        <v>3088</v>
      </c>
      <c r="BA77" s="73" t="s">
        <v>3088</v>
      </c>
      <c r="BB77" s="73" t="s">
        <v>3088</v>
      </c>
      <c r="BC77" s="73" t="s">
        <v>3088</v>
      </c>
      <c r="BD77" s="73" t="s">
        <v>3088</v>
      </c>
      <c r="BE77" s="73" t="s">
        <v>3088</v>
      </c>
      <c r="BF77" s="73" t="s">
        <v>3088</v>
      </c>
      <c r="BG77" s="73" t="s">
        <v>3088</v>
      </c>
      <c r="BH77" s="73" t="s">
        <v>3088</v>
      </c>
      <c r="BI77" s="73" t="s">
        <v>3088</v>
      </c>
      <c r="BJ77" s="73" t="s">
        <v>3088</v>
      </c>
      <c r="BK77" s="73" t="s">
        <v>3088</v>
      </c>
      <c r="BL77" s="73" t="s">
        <v>3088</v>
      </c>
      <c r="BM77" s="73" t="s">
        <v>3088</v>
      </c>
      <c r="BN77" s="73" t="s">
        <v>3088</v>
      </c>
      <c r="BO77" s="73" t="s">
        <v>3088</v>
      </c>
      <c r="BP77" s="73" t="s">
        <v>3088</v>
      </c>
      <c r="BQ77" s="73" t="s">
        <v>3780</v>
      </c>
      <c r="BR77" s="73" t="s">
        <v>3088</v>
      </c>
    </row>
    <row r="78" spans="1:70">
      <c r="A78" s="73" t="s">
        <v>1889</v>
      </c>
      <c r="B78" s="73" t="s">
        <v>2205</v>
      </c>
      <c r="C78" s="73" t="s">
        <v>2204</v>
      </c>
      <c r="D78" s="73" t="s">
        <v>3088</v>
      </c>
      <c r="E78" s="73" t="s">
        <v>3088</v>
      </c>
      <c r="F78" s="73" t="s">
        <v>3088</v>
      </c>
      <c r="G78" s="73" t="s">
        <v>3089</v>
      </c>
      <c r="H78" s="73" t="s">
        <v>3088</v>
      </c>
      <c r="I78" s="73" t="s">
        <v>2193</v>
      </c>
      <c r="J78" s="73" t="s">
        <v>3088</v>
      </c>
      <c r="K78" s="73" t="s">
        <v>3088</v>
      </c>
      <c r="L78" s="73" t="s">
        <v>3088</v>
      </c>
      <c r="M78" s="73" t="s">
        <v>3088</v>
      </c>
      <c r="N78" s="73" t="s">
        <v>3088</v>
      </c>
      <c r="O78" s="73" t="s">
        <v>3088</v>
      </c>
      <c r="P78" s="73" t="s">
        <v>3088</v>
      </c>
      <c r="Q78" s="73" t="s">
        <v>3088</v>
      </c>
      <c r="R78" s="73" t="s">
        <v>3088</v>
      </c>
      <c r="S78" s="73" t="s">
        <v>3088</v>
      </c>
      <c r="T78" s="73" t="s">
        <v>3088</v>
      </c>
      <c r="U78" s="73" t="s">
        <v>3088</v>
      </c>
      <c r="V78" s="73" t="s">
        <v>3088</v>
      </c>
      <c r="W78" s="73" t="s">
        <v>3088</v>
      </c>
      <c r="X78" s="73" t="s">
        <v>3088</v>
      </c>
      <c r="Y78" s="73" t="s">
        <v>3088</v>
      </c>
      <c r="Z78" s="73" t="s">
        <v>3088</v>
      </c>
      <c r="AA78" s="73" t="s">
        <v>3088</v>
      </c>
      <c r="AB78" s="73" t="s">
        <v>3088</v>
      </c>
      <c r="AC78" s="73" t="s">
        <v>3088</v>
      </c>
      <c r="AD78" s="73" t="s">
        <v>3088</v>
      </c>
      <c r="AE78" s="73" t="s">
        <v>3088</v>
      </c>
      <c r="AF78" s="73" t="s">
        <v>3088</v>
      </c>
      <c r="AG78" s="73" t="s">
        <v>3088</v>
      </c>
      <c r="AH78" s="73" t="s">
        <v>3088</v>
      </c>
      <c r="AI78" s="73" t="s">
        <v>3088</v>
      </c>
      <c r="AJ78" s="73" t="s">
        <v>3088</v>
      </c>
      <c r="AK78" s="73" t="s">
        <v>3088</v>
      </c>
      <c r="AL78" s="73" t="s">
        <v>3088</v>
      </c>
      <c r="AM78" s="73" t="s">
        <v>3088</v>
      </c>
      <c r="AN78" s="73" t="s">
        <v>3088</v>
      </c>
      <c r="AO78" s="73" t="s">
        <v>3088</v>
      </c>
      <c r="AP78" s="73" t="s">
        <v>3088</v>
      </c>
      <c r="AQ78" s="73" t="s">
        <v>3088</v>
      </c>
      <c r="AR78" s="73" t="s">
        <v>3088</v>
      </c>
      <c r="AS78" s="73" t="s">
        <v>3088</v>
      </c>
      <c r="AT78" s="73" t="s">
        <v>3088</v>
      </c>
      <c r="AU78" s="73" t="s">
        <v>3088</v>
      </c>
      <c r="AV78" s="73" t="s">
        <v>3088</v>
      </c>
      <c r="AW78" s="73" t="s">
        <v>3088</v>
      </c>
      <c r="AX78" s="73" t="s">
        <v>3088</v>
      </c>
      <c r="AY78" s="73" t="s">
        <v>3088</v>
      </c>
      <c r="AZ78" s="73" t="s">
        <v>3088</v>
      </c>
      <c r="BA78" s="73" t="s">
        <v>3088</v>
      </c>
      <c r="BB78" s="73" t="s">
        <v>3088</v>
      </c>
      <c r="BC78" s="73" t="s">
        <v>3088</v>
      </c>
      <c r="BD78" s="73" t="s">
        <v>3088</v>
      </c>
      <c r="BE78" s="73" t="s">
        <v>3088</v>
      </c>
      <c r="BF78" s="73" t="s">
        <v>3088</v>
      </c>
      <c r="BG78" s="73" t="s">
        <v>3088</v>
      </c>
      <c r="BH78" s="73" t="s">
        <v>3088</v>
      </c>
      <c r="BI78" s="73" t="s">
        <v>3088</v>
      </c>
      <c r="BJ78" s="73" t="s">
        <v>3088</v>
      </c>
      <c r="BK78" s="73" t="s">
        <v>3088</v>
      </c>
      <c r="BL78" s="73" t="s">
        <v>3088</v>
      </c>
      <c r="BM78" s="73" t="s">
        <v>3088</v>
      </c>
      <c r="BN78" s="73" t="s">
        <v>3088</v>
      </c>
      <c r="BO78" s="73" t="s">
        <v>3088</v>
      </c>
      <c r="BP78" s="73" t="s">
        <v>3088</v>
      </c>
      <c r="BQ78" s="73" t="s">
        <v>3781</v>
      </c>
      <c r="BR78" s="73" t="s">
        <v>3088</v>
      </c>
    </row>
    <row r="79" spans="1:70">
      <c r="A79" s="73" t="s">
        <v>1889</v>
      </c>
      <c r="B79" s="73" t="s">
        <v>3782</v>
      </c>
      <c r="C79" s="73" t="s">
        <v>2167</v>
      </c>
      <c r="D79" s="73" t="s">
        <v>3088</v>
      </c>
      <c r="E79" s="73" t="s">
        <v>3088</v>
      </c>
      <c r="F79" s="73" t="s">
        <v>3088</v>
      </c>
      <c r="G79" s="73" t="s">
        <v>3089</v>
      </c>
      <c r="H79" s="73" t="s">
        <v>3088</v>
      </c>
      <c r="I79" s="73" t="s">
        <v>3093</v>
      </c>
      <c r="J79" s="73" t="s">
        <v>3088</v>
      </c>
      <c r="K79" s="73" t="s">
        <v>3088</v>
      </c>
      <c r="L79" s="73" t="s">
        <v>3088</v>
      </c>
      <c r="M79" s="73" t="s">
        <v>3088</v>
      </c>
      <c r="N79" s="73" t="s">
        <v>3088</v>
      </c>
      <c r="O79" s="73" t="s">
        <v>3088</v>
      </c>
      <c r="P79" s="73" t="s">
        <v>3088</v>
      </c>
      <c r="Q79" s="73" t="s">
        <v>3088</v>
      </c>
      <c r="R79" s="73" t="s">
        <v>3088</v>
      </c>
      <c r="S79" s="73" t="s">
        <v>3088</v>
      </c>
      <c r="T79" s="73" t="s">
        <v>3088</v>
      </c>
      <c r="U79" s="73" t="s">
        <v>3088</v>
      </c>
      <c r="V79" s="73" t="s">
        <v>3088</v>
      </c>
      <c r="W79" s="73" t="s">
        <v>3088</v>
      </c>
      <c r="X79" s="73" t="s">
        <v>3088</v>
      </c>
      <c r="Y79" s="73" t="s">
        <v>3088</v>
      </c>
      <c r="Z79" s="73" t="s">
        <v>3088</v>
      </c>
      <c r="AA79" s="73" t="s">
        <v>3088</v>
      </c>
      <c r="AB79" s="73" t="s">
        <v>3088</v>
      </c>
      <c r="AC79" s="73" t="s">
        <v>3088</v>
      </c>
      <c r="AD79" s="73" t="s">
        <v>3088</v>
      </c>
      <c r="AE79" s="73" t="s">
        <v>3088</v>
      </c>
      <c r="AF79" s="73" t="s">
        <v>3088</v>
      </c>
      <c r="AG79" s="73" t="s">
        <v>3088</v>
      </c>
      <c r="AH79" s="73" t="s">
        <v>3088</v>
      </c>
      <c r="AI79" s="73" t="s">
        <v>3088</v>
      </c>
      <c r="AJ79" s="73" t="s">
        <v>3088</v>
      </c>
      <c r="AK79" s="73" t="s">
        <v>3088</v>
      </c>
      <c r="AL79" s="73" t="s">
        <v>3088</v>
      </c>
      <c r="AM79" s="73" t="s">
        <v>3088</v>
      </c>
      <c r="AN79" s="73" t="s">
        <v>3088</v>
      </c>
      <c r="AO79" s="73" t="s">
        <v>3088</v>
      </c>
      <c r="AP79" s="73" t="s">
        <v>3088</v>
      </c>
      <c r="AQ79" s="73" t="s">
        <v>3088</v>
      </c>
      <c r="AR79" s="73" t="s">
        <v>3088</v>
      </c>
      <c r="AS79" s="73" t="s">
        <v>3088</v>
      </c>
      <c r="AT79" s="73" t="s">
        <v>3088</v>
      </c>
      <c r="AU79" s="73" t="s">
        <v>3088</v>
      </c>
      <c r="AV79" s="73" t="s">
        <v>3088</v>
      </c>
      <c r="AW79" s="73" t="s">
        <v>3088</v>
      </c>
      <c r="AX79" s="73" t="s">
        <v>3088</v>
      </c>
      <c r="AY79" s="73" t="s">
        <v>3088</v>
      </c>
      <c r="AZ79" s="73" t="s">
        <v>3088</v>
      </c>
      <c r="BA79" s="73" t="s">
        <v>3088</v>
      </c>
      <c r="BB79" s="73" t="s">
        <v>3088</v>
      </c>
      <c r="BC79" s="73" t="s">
        <v>3088</v>
      </c>
      <c r="BD79" s="73" t="s">
        <v>3088</v>
      </c>
      <c r="BE79" s="73" t="s">
        <v>3088</v>
      </c>
      <c r="BF79" s="73" t="s">
        <v>3088</v>
      </c>
      <c r="BG79" s="73" t="s">
        <v>3088</v>
      </c>
      <c r="BH79" s="73" t="s">
        <v>3088</v>
      </c>
      <c r="BI79" s="73" t="s">
        <v>3088</v>
      </c>
      <c r="BJ79" s="73" t="s">
        <v>3088</v>
      </c>
      <c r="BK79" s="73" t="s">
        <v>3088</v>
      </c>
      <c r="BL79" s="73" t="s">
        <v>3088</v>
      </c>
      <c r="BM79" s="73" t="s">
        <v>3088</v>
      </c>
      <c r="BN79" s="73" t="s">
        <v>3088</v>
      </c>
      <c r="BO79" s="73" t="s">
        <v>3088</v>
      </c>
      <c r="BP79" s="73" t="s">
        <v>3088</v>
      </c>
      <c r="BQ79" s="73" t="s">
        <v>3783</v>
      </c>
      <c r="BR79" s="73" t="s">
        <v>3088</v>
      </c>
    </row>
    <row r="80" spans="1:70">
      <c r="A80" s="73" t="s">
        <v>1889</v>
      </c>
      <c r="B80" s="73" t="s">
        <v>2206</v>
      </c>
      <c r="C80" s="73" t="s">
        <v>3088</v>
      </c>
      <c r="D80" s="73" t="s">
        <v>3088</v>
      </c>
      <c r="E80" s="73" t="s">
        <v>3088</v>
      </c>
      <c r="F80" s="73" t="s">
        <v>3088</v>
      </c>
      <c r="G80" s="73" t="s">
        <v>3089</v>
      </c>
      <c r="H80" s="73" t="s">
        <v>3088</v>
      </c>
      <c r="I80" s="73" t="s">
        <v>2135</v>
      </c>
      <c r="J80" s="73" t="s">
        <v>3088</v>
      </c>
      <c r="K80" s="73" t="s">
        <v>3088</v>
      </c>
      <c r="L80" s="73" t="s">
        <v>3088</v>
      </c>
      <c r="M80" s="73" t="s">
        <v>3088</v>
      </c>
      <c r="N80" s="73" t="s">
        <v>3088</v>
      </c>
      <c r="O80" s="73" t="s">
        <v>3088</v>
      </c>
      <c r="P80" s="73" t="s">
        <v>3088</v>
      </c>
      <c r="Q80" s="73" t="s">
        <v>3088</v>
      </c>
      <c r="R80" s="73" t="s">
        <v>3088</v>
      </c>
      <c r="S80" s="73" t="s">
        <v>3088</v>
      </c>
      <c r="T80" s="73" t="s">
        <v>3088</v>
      </c>
      <c r="U80" s="73" t="s">
        <v>3088</v>
      </c>
      <c r="V80" s="73" t="s">
        <v>3088</v>
      </c>
      <c r="W80" s="73" t="s">
        <v>3088</v>
      </c>
      <c r="X80" s="73" t="s">
        <v>3088</v>
      </c>
      <c r="Y80" s="73" t="s">
        <v>3088</v>
      </c>
      <c r="Z80" s="73" t="s">
        <v>3088</v>
      </c>
      <c r="AA80" s="73" t="s">
        <v>3088</v>
      </c>
      <c r="AB80" s="73" t="s">
        <v>3088</v>
      </c>
      <c r="AC80" s="73" t="s">
        <v>3088</v>
      </c>
      <c r="AD80" s="73" t="s">
        <v>3088</v>
      </c>
      <c r="AE80" s="73" t="s">
        <v>3088</v>
      </c>
      <c r="AF80" s="73" t="s">
        <v>3088</v>
      </c>
      <c r="AG80" s="73" t="s">
        <v>3088</v>
      </c>
      <c r="AH80" s="73" t="s">
        <v>3088</v>
      </c>
      <c r="AI80" s="73" t="s">
        <v>3088</v>
      </c>
      <c r="AJ80" s="73" t="s">
        <v>3088</v>
      </c>
      <c r="AK80" s="73" t="s">
        <v>3088</v>
      </c>
      <c r="AL80" s="73" t="s">
        <v>3088</v>
      </c>
      <c r="AM80" s="73" t="s">
        <v>3088</v>
      </c>
      <c r="AN80" s="73" t="s">
        <v>3088</v>
      </c>
      <c r="AO80" s="73" t="s">
        <v>3088</v>
      </c>
      <c r="AP80" s="73" t="s">
        <v>3088</v>
      </c>
      <c r="AQ80" s="73" t="s">
        <v>3088</v>
      </c>
      <c r="AR80" s="73" t="s">
        <v>3088</v>
      </c>
      <c r="AS80" s="73" t="s">
        <v>3088</v>
      </c>
      <c r="AT80" s="73" t="s">
        <v>3088</v>
      </c>
      <c r="AU80" s="73" t="s">
        <v>3088</v>
      </c>
      <c r="AV80" s="73" t="s">
        <v>3088</v>
      </c>
      <c r="AW80" s="73" t="s">
        <v>3088</v>
      </c>
      <c r="AX80" s="73" t="s">
        <v>3088</v>
      </c>
      <c r="AY80" s="73" t="s">
        <v>3088</v>
      </c>
      <c r="AZ80" s="73" t="s">
        <v>3088</v>
      </c>
      <c r="BA80" s="73" t="s">
        <v>3088</v>
      </c>
      <c r="BB80" s="73" t="s">
        <v>3088</v>
      </c>
      <c r="BC80" s="73" t="s">
        <v>3088</v>
      </c>
      <c r="BD80" s="73" t="s">
        <v>3088</v>
      </c>
      <c r="BE80" s="73" t="s">
        <v>3088</v>
      </c>
      <c r="BF80" s="73" t="s">
        <v>3088</v>
      </c>
      <c r="BG80" s="73" t="s">
        <v>3088</v>
      </c>
      <c r="BH80" s="73" t="s">
        <v>3088</v>
      </c>
      <c r="BI80" s="73" t="s">
        <v>3088</v>
      </c>
      <c r="BJ80" s="73" t="s">
        <v>3088</v>
      </c>
      <c r="BK80" s="73" t="s">
        <v>3088</v>
      </c>
      <c r="BL80" s="73" t="s">
        <v>3088</v>
      </c>
      <c r="BM80" s="73" t="s">
        <v>3088</v>
      </c>
      <c r="BN80" s="73" t="s">
        <v>3088</v>
      </c>
      <c r="BO80" s="73" t="s">
        <v>3088</v>
      </c>
      <c r="BP80" s="73" t="s">
        <v>3088</v>
      </c>
      <c r="BQ80" s="73" t="s">
        <v>3784</v>
      </c>
      <c r="BR80" s="73" t="s">
        <v>3088</v>
      </c>
    </row>
    <row r="81" spans="1:70">
      <c r="A81" s="73" t="s">
        <v>1889</v>
      </c>
      <c r="B81" s="73" t="s">
        <v>2207</v>
      </c>
      <c r="C81" s="73" t="s">
        <v>2204</v>
      </c>
      <c r="D81" s="73" t="s">
        <v>3088</v>
      </c>
      <c r="E81" s="73" t="s">
        <v>3088</v>
      </c>
      <c r="F81" s="73" t="s">
        <v>3088</v>
      </c>
      <c r="G81" s="73" t="s">
        <v>3089</v>
      </c>
      <c r="H81" s="73" t="s">
        <v>3088</v>
      </c>
      <c r="I81" s="73" t="s">
        <v>108</v>
      </c>
      <c r="J81" s="73" t="s">
        <v>2208</v>
      </c>
      <c r="K81" s="73" t="s">
        <v>3089</v>
      </c>
      <c r="L81" s="73" t="s">
        <v>3088</v>
      </c>
      <c r="M81" s="73" t="s">
        <v>3088</v>
      </c>
      <c r="N81" s="73" t="s">
        <v>3088</v>
      </c>
      <c r="O81" s="73" t="s">
        <v>3088</v>
      </c>
      <c r="P81" s="73" t="s">
        <v>3088</v>
      </c>
      <c r="Q81" s="73" t="s">
        <v>3088</v>
      </c>
      <c r="R81" s="73" t="s">
        <v>3088</v>
      </c>
      <c r="S81" s="73" t="s">
        <v>3088</v>
      </c>
      <c r="T81" s="73" t="s">
        <v>3088</v>
      </c>
      <c r="U81" s="73" t="s">
        <v>3088</v>
      </c>
      <c r="V81" s="73" t="s">
        <v>3088</v>
      </c>
      <c r="W81" s="73" t="s">
        <v>3088</v>
      </c>
      <c r="X81" s="73" t="s">
        <v>3088</v>
      </c>
      <c r="Y81" s="73" t="s">
        <v>3088</v>
      </c>
      <c r="Z81" s="73" t="s">
        <v>3088</v>
      </c>
      <c r="AA81" s="73" t="s">
        <v>3088</v>
      </c>
      <c r="AB81" s="73" t="s">
        <v>3088</v>
      </c>
      <c r="AC81" s="73" t="s">
        <v>3088</v>
      </c>
      <c r="AD81" s="73" t="s">
        <v>3088</v>
      </c>
      <c r="AE81" s="73" t="s">
        <v>3088</v>
      </c>
      <c r="AF81" s="73" t="s">
        <v>3088</v>
      </c>
      <c r="AG81" s="73" t="s">
        <v>3088</v>
      </c>
      <c r="AH81" s="73" t="s">
        <v>3088</v>
      </c>
      <c r="AI81" s="73" t="s">
        <v>3088</v>
      </c>
      <c r="AJ81" s="73" t="s">
        <v>3088</v>
      </c>
      <c r="AK81" s="73" t="s">
        <v>3088</v>
      </c>
      <c r="AL81" s="73" t="s">
        <v>3088</v>
      </c>
      <c r="AM81" s="73" t="s">
        <v>3088</v>
      </c>
      <c r="AN81" s="73" t="s">
        <v>3088</v>
      </c>
      <c r="AO81" s="73" t="s">
        <v>3088</v>
      </c>
      <c r="AP81" s="73" t="s">
        <v>3088</v>
      </c>
      <c r="AQ81" s="73" t="s">
        <v>3088</v>
      </c>
      <c r="AR81" s="73" t="s">
        <v>3088</v>
      </c>
      <c r="AS81" s="73" t="s">
        <v>3088</v>
      </c>
      <c r="AT81" s="73" t="s">
        <v>3088</v>
      </c>
      <c r="AU81" s="73" t="s">
        <v>3088</v>
      </c>
      <c r="AV81" s="73" t="s">
        <v>3088</v>
      </c>
      <c r="AW81" s="73" t="s">
        <v>3088</v>
      </c>
      <c r="AX81" s="73" t="s">
        <v>3088</v>
      </c>
      <c r="AY81" s="73" t="s">
        <v>3088</v>
      </c>
      <c r="AZ81" s="73" t="s">
        <v>3088</v>
      </c>
      <c r="BA81" s="73" t="s">
        <v>3088</v>
      </c>
      <c r="BB81" s="73" t="s">
        <v>3088</v>
      </c>
      <c r="BC81" s="73" t="s">
        <v>3088</v>
      </c>
      <c r="BD81" s="73" t="s">
        <v>3088</v>
      </c>
      <c r="BE81" s="73" t="s">
        <v>3088</v>
      </c>
      <c r="BF81" s="73" t="s">
        <v>3088</v>
      </c>
      <c r="BG81" s="73" t="s">
        <v>3088</v>
      </c>
      <c r="BH81" s="73" t="s">
        <v>3088</v>
      </c>
      <c r="BI81" s="73" t="s">
        <v>3088</v>
      </c>
      <c r="BJ81" s="73" t="s">
        <v>3088</v>
      </c>
      <c r="BK81" s="73" t="s">
        <v>3088</v>
      </c>
      <c r="BL81" s="73" t="s">
        <v>3088</v>
      </c>
      <c r="BM81" s="73" t="s">
        <v>3088</v>
      </c>
      <c r="BN81" s="73" t="s">
        <v>3088</v>
      </c>
      <c r="BO81" s="73" t="s">
        <v>3088</v>
      </c>
      <c r="BP81" s="73" t="s">
        <v>3088</v>
      </c>
      <c r="BQ81" s="73" t="s">
        <v>3785</v>
      </c>
      <c r="BR81" s="73" t="s">
        <v>3088</v>
      </c>
    </row>
    <row r="82" spans="1:70">
      <c r="A82" s="73" t="s">
        <v>1889</v>
      </c>
      <c r="B82" s="73" t="s">
        <v>3786</v>
      </c>
      <c r="C82" s="73" t="s">
        <v>2204</v>
      </c>
      <c r="D82" s="73" t="s">
        <v>3088</v>
      </c>
      <c r="E82" s="73" t="s">
        <v>3088</v>
      </c>
      <c r="F82" s="73" t="s">
        <v>3088</v>
      </c>
      <c r="G82" s="73" t="s">
        <v>3089</v>
      </c>
      <c r="H82" s="73" t="s">
        <v>3088</v>
      </c>
      <c r="I82" s="73" t="s">
        <v>3093</v>
      </c>
      <c r="J82" s="73" t="s">
        <v>3088</v>
      </c>
      <c r="K82" s="73" t="s">
        <v>3088</v>
      </c>
      <c r="L82" s="73" t="s">
        <v>3088</v>
      </c>
      <c r="M82" s="73" t="s">
        <v>3088</v>
      </c>
      <c r="N82" s="73" t="s">
        <v>3088</v>
      </c>
      <c r="O82" s="73" t="s">
        <v>3088</v>
      </c>
      <c r="P82" s="73" t="s">
        <v>3088</v>
      </c>
      <c r="Q82" s="73" t="s">
        <v>3088</v>
      </c>
      <c r="R82" s="73" t="s">
        <v>3088</v>
      </c>
      <c r="S82" s="73" t="s">
        <v>3088</v>
      </c>
      <c r="T82" s="73" t="s">
        <v>3088</v>
      </c>
      <c r="U82" s="73" t="s">
        <v>3088</v>
      </c>
      <c r="V82" s="73" t="s">
        <v>3088</v>
      </c>
      <c r="W82" s="73" t="s">
        <v>3088</v>
      </c>
      <c r="X82" s="73" t="s">
        <v>3088</v>
      </c>
      <c r="Y82" s="73" t="s">
        <v>3088</v>
      </c>
      <c r="Z82" s="73" t="s">
        <v>3088</v>
      </c>
      <c r="AA82" s="73" t="s">
        <v>3088</v>
      </c>
      <c r="AB82" s="73" t="s">
        <v>3088</v>
      </c>
      <c r="AC82" s="73" t="s">
        <v>3088</v>
      </c>
      <c r="AD82" s="73" t="s">
        <v>3088</v>
      </c>
      <c r="AE82" s="73" t="s">
        <v>3088</v>
      </c>
      <c r="AF82" s="73" t="s">
        <v>3088</v>
      </c>
      <c r="AG82" s="73" t="s">
        <v>3088</v>
      </c>
      <c r="AH82" s="73" t="s">
        <v>3088</v>
      </c>
      <c r="AI82" s="73" t="s">
        <v>3088</v>
      </c>
      <c r="AJ82" s="73" t="s">
        <v>3088</v>
      </c>
      <c r="AK82" s="73" t="s">
        <v>3088</v>
      </c>
      <c r="AL82" s="73" t="s">
        <v>3088</v>
      </c>
      <c r="AM82" s="73" t="s">
        <v>3088</v>
      </c>
      <c r="AN82" s="73" t="s">
        <v>3088</v>
      </c>
      <c r="AO82" s="73" t="s">
        <v>3088</v>
      </c>
      <c r="AP82" s="73" t="s">
        <v>3088</v>
      </c>
      <c r="AQ82" s="73" t="s">
        <v>3088</v>
      </c>
      <c r="AR82" s="73" t="s">
        <v>3088</v>
      </c>
      <c r="AS82" s="73" t="s">
        <v>3088</v>
      </c>
      <c r="AT82" s="73" t="s">
        <v>3088</v>
      </c>
      <c r="AU82" s="73" t="s">
        <v>3088</v>
      </c>
      <c r="AV82" s="73" t="s">
        <v>3088</v>
      </c>
      <c r="AW82" s="73" t="s">
        <v>3088</v>
      </c>
      <c r="AX82" s="73" t="s">
        <v>3088</v>
      </c>
      <c r="AY82" s="73" t="s">
        <v>3088</v>
      </c>
      <c r="AZ82" s="73" t="s">
        <v>3088</v>
      </c>
      <c r="BA82" s="73" t="s">
        <v>3088</v>
      </c>
      <c r="BB82" s="73" t="s">
        <v>3088</v>
      </c>
      <c r="BC82" s="73" t="s">
        <v>3088</v>
      </c>
      <c r="BD82" s="73" t="s">
        <v>3088</v>
      </c>
      <c r="BE82" s="73" t="s">
        <v>3088</v>
      </c>
      <c r="BF82" s="73" t="s">
        <v>3088</v>
      </c>
      <c r="BG82" s="73" t="s">
        <v>3088</v>
      </c>
      <c r="BH82" s="73" t="s">
        <v>3088</v>
      </c>
      <c r="BI82" s="73" t="s">
        <v>3088</v>
      </c>
      <c r="BJ82" s="73" t="s">
        <v>3088</v>
      </c>
      <c r="BK82" s="73" t="s">
        <v>3088</v>
      </c>
      <c r="BL82" s="73" t="s">
        <v>3088</v>
      </c>
      <c r="BM82" s="73" t="s">
        <v>3088</v>
      </c>
      <c r="BN82" s="73" t="s">
        <v>3088</v>
      </c>
      <c r="BO82" s="73" t="s">
        <v>3088</v>
      </c>
      <c r="BP82" s="73" t="s">
        <v>3088</v>
      </c>
      <c r="BQ82" s="73" t="s">
        <v>3787</v>
      </c>
      <c r="BR82" s="73" t="s">
        <v>3088</v>
      </c>
    </row>
    <row r="83" spans="1:70">
      <c r="A83" s="73" t="s">
        <v>1891</v>
      </c>
      <c r="B83" s="73" t="s">
        <v>3788</v>
      </c>
      <c r="C83" s="73" t="s">
        <v>2223</v>
      </c>
      <c r="D83" s="73" t="s">
        <v>3088</v>
      </c>
      <c r="E83" s="73" t="s">
        <v>3088</v>
      </c>
      <c r="F83" s="73" t="s">
        <v>3088</v>
      </c>
      <c r="G83" s="73" t="s">
        <v>3089</v>
      </c>
      <c r="H83" s="73" t="s">
        <v>3088</v>
      </c>
      <c r="I83" s="73" t="s">
        <v>3122</v>
      </c>
      <c r="J83" s="73" t="s">
        <v>3789</v>
      </c>
      <c r="K83" s="73" t="s">
        <v>3089</v>
      </c>
      <c r="L83" s="73" t="s">
        <v>3088</v>
      </c>
      <c r="M83" s="73" t="s">
        <v>3088</v>
      </c>
      <c r="N83" s="73" t="s">
        <v>3088</v>
      </c>
      <c r="O83" s="73" t="s">
        <v>3088</v>
      </c>
      <c r="P83" s="73" t="s">
        <v>3088</v>
      </c>
      <c r="Q83" s="73" t="s">
        <v>3088</v>
      </c>
      <c r="R83" s="73" t="s">
        <v>3088</v>
      </c>
      <c r="S83" s="73" t="s">
        <v>3088</v>
      </c>
      <c r="T83" s="73" t="s">
        <v>3088</v>
      </c>
      <c r="U83" s="73" t="s">
        <v>3088</v>
      </c>
      <c r="V83" s="73" t="s">
        <v>3088</v>
      </c>
      <c r="W83" s="73" t="s">
        <v>3088</v>
      </c>
      <c r="X83" s="73" t="s">
        <v>3088</v>
      </c>
      <c r="Y83" s="73" t="s">
        <v>3088</v>
      </c>
      <c r="Z83" s="73" t="s">
        <v>3088</v>
      </c>
      <c r="AA83" s="73" t="s">
        <v>3088</v>
      </c>
      <c r="AB83" s="73" t="s">
        <v>3088</v>
      </c>
      <c r="AC83" s="73" t="s">
        <v>3088</v>
      </c>
      <c r="AD83" s="73" t="s">
        <v>3088</v>
      </c>
      <c r="AE83" s="73" t="s">
        <v>3088</v>
      </c>
      <c r="AF83" s="73" t="s">
        <v>3088</v>
      </c>
      <c r="AG83" s="73" t="s">
        <v>3088</v>
      </c>
      <c r="AH83" s="73" t="s">
        <v>3088</v>
      </c>
      <c r="AI83" s="73" t="s">
        <v>3088</v>
      </c>
      <c r="AJ83" s="73" t="s">
        <v>3088</v>
      </c>
      <c r="AK83" s="73" t="s">
        <v>3088</v>
      </c>
      <c r="AL83" s="73" t="s">
        <v>3088</v>
      </c>
      <c r="AM83" s="73" t="s">
        <v>3088</v>
      </c>
      <c r="AN83" s="73" t="s">
        <v>3088</v>
      </c>
      <c r="AO83" s="73" t="s">
        <v>3088</v>
      </c>
      <c r="AP83" s="73" t="s">
        <v>3088</v>
      </c>
      <c r="AQ83" s="73" t="s">
        <v>3088</v>
      </c>
      <c r="AR83" s="73" t="s">
        <v>3088</v>
      </c>
      <c r="AS83" s="73" t="s">
        <v>3088</v>
      </c>
      <c r="AT83" s="73" t="s">
        <v>3088</v>
      </c>
      <c r="AU83" s="73" t="s">
        <v>3088</v>
      </c>
      <c r="AV83" s="73" t="s">
        <v>3088</v>
      </c>
      <c r="AW83" s="73" t="s">
        <v>3088</v>
      </c>
      <c r="AX83" s="73" t="s">
        <v>3088</v>
      </c>
      <c r="AY83" s="73" t="s">
        <v>3088</v>
      </c>
      <c r="AZ83" s="73" t="s">
        <v>3088</v>
      </c>
      <c r="BA83" s="73" t="s">
        <v>3088</v>
      </c>
      <c r="BB83" s="73" t="s">
        <v>3088</v>
      </c>
      <c r="BC83" s="73" t="s">
        <v>3088</v>
      </c>
      <c r="BD83" s="73" t="s">
        <v>3088</v>
      </c>
      <c r="BE83" s="73" t="s">
        <v>3088</v>
      </c>
      <c r="BF83" s="73" t="s">
        <v>3088</v>
      </c>
      <c r="BG83" s="73" t="s">
        <v>3088</v>
      </c>
      <c r="BH83" s="73" t="s">
        <v>3088</v>
      </c>
      <c r="BI83" s="73" t="s">
        <v>3088</v>
      </c>
      <c r="BJ83" s="73" t="s">
        <v>3088</v>
      </c>
      <c r="BK83" s="73" t="s">
        <v>3088</v>
      </c>
      <c r="BL83" s="73" t="s">
        <v>3088</v>
      </c>
      <c r="BM83" s="73" t="s">
        <v>3088</v>
      </c>
      <c r="BN83" s="73" t="s">
        <v>3088</v>
      </c>
      <c r="BO83" s="73" t="s">
        <v>3088</v>
      </c>
      <c r="BP83" s="73" t="s">
        <v>3088</v>
      </c>
      <c r="BQ83" s="73" t="s">
        <v>3790</v>
      </c>
      <c r="BR83" s="73" t="s">
        <v>3088</v>
      </c>
    </row>
    <row r="84" spans="1:70">
      <c r="A84" s="73" t="s">
        <v>1891</v>
      </c>
      <c r="B84" s="73" t="s">
        <v>2210</v>
      </c>
      <c r="C84" s="73" t="s">
        <v>2211</v>
      </c>
      <c r="D84" s="73" t="s">
        <v>3088</v>
      </c>
      <c r="E84" s="73" t="s">
        <v>3088</v>
      </c>
      <c r="F84" s="73" t="s">
        <v>3088</v>
      </c>
      <c r="G84" s="73" t="s">
        <v>3089</v>
      </c>
      <c r="H84" s="73" t="s">
        <v>3088</v>
      </c>
      <c r="I84" s="73" t="s">
        <v>108</v>
      </c>
      <c r="J84" s="73" t="s">
        <v>3088</v>
      </c>
      <c r="K84" s="73" t="s">
        <v>3088</v>
      </c>
      <c r="L84" s="73" t="s">
        <v>3088</v>
      </c>
      <c r="M84" s="73" t="s">
        <v>3088</v>
      </c>
      <c r="N84" s="73" t="s">
        <v>3088</v>
      </c>
      <c r="O84" s="73" t="s">
        <v>3088</v>
      </c>
      <c r="P84" s="73" t="s">
        <v>3088</v>
      </c>
      <c r="Q84" s="73" t="s">
        <v>3088</v>
      </c>
      <c r="R84" s="73" t="s">
        <v>3088</v>
      </c>
      <c r="S84" s="73" t="s">
        <v>3088</v>
      </c>
      <c r="T84" s="73" t="s">
        <v>3088</v>
      </c>
      <c r="U84" s="73" t="s">
        <v>3088</v>
      </c>
      <c r="V84" s="73" t="s">
        <v>3088</v>
      </c>
      <c r="W84" s="73" t="s">
        <v>3088</v>
      </c>
      <c r="X84" s="73" t="s">
        <v>3088</v>
      </c>
      <c r="Y84" s="73" t="s">
        <v>3088</v>
      </c>
      <c r="Z84" s="73" t="s">
        <v>3088</v>
      </c>
      <c r="AA84" s="73" t="s">
        <v>3088</v>
      </c>
      <c r="AB84" s="73" t="s">
        <v>3088</v>
      </c>
      <c r="AC84" s="73" t="s">
        <v>3088</v>
      </c>
      <c r="AD84" s="73" t="s">
        <v>3088</v>
      </c>
      <c r="AE84" s="73" t="s">
        <v>3088</v>
      </c>
      <c r="AF84" s="73" t="s">
        <v>3088</v>
      </c>
      <c r="AG84" s="73" t="s">
        <v>3088</v>
      </c>
      <c r="AH84" s="73" t="s">
        <v>3088</v>
      </c>
      <c r="AI84" s="73" t="s">
        <v>3088</v>
      </c>
      <c r="AJ84" s="73" t="s">
        <v>3088</v>
      </c>
      <c r="AK84" s="73" t="s">
        <v>3088</v>
      </c>
      <c r="AL84" s="73" t="s">
        <v>3088</v>
      </c>
      <c r="AM84" s="73" t="s">
        <v>3088</v>
      </c>
      <c r="AN84" s="73" t="s">
        <v>3088</v>
      </c>
      <c r="AO84" s="73" t="s">
        <v>3088</v>
      </c>
      <c r="AP84" s="73" t="s">
        <v>3088</v>
      </c>
      <c r="AQ84" s="73" t="s">
        <v>3088</v>
      </c>
      <c r="AR84" s="73" t="s">
        <v>3088</v>
      </c>
      <c r="AS84" s="73" t="s">
        <v>3088</v>
      </c>
      <c r="AT84" s="73" t="s">
        <v>3088</v>
      </c>
      <c r="AU84" s="73" t="s">
        <v>3088</v>
      </c>
      <c r="AV84" s="73" t="s">
        <v>3088</v>
      </c>
      <c r="AW84" s="73" t="s">
        <v>3088</v>
      </c>
      <c r="AX84" s="73" t="s">
        <v>3088</v>
      </c>
      <c r="AY84" s="73" t="s">
        <v>3088</v>
      </c>
      <c r="AZ84" s="73" t="s">
        <v>3088</v>
      </c>
      <c r="BA84" s="73" t="s">
        <v>3088</v>
      </c>
      <c r="BB84" s="73" t="s">
        <v>3088</v>
      </c>
      <c r="BC84" s="73" t="s">
        <v>3088</v>
      </c>
      <c r="BD84" s="73" t="s">
        <v>3088</v>
      </c>
      <c r="BE84" s="73" t="s">
        <v>3088</v>
      </c>
      <c r="BF84" s="73" t="s">
        <v>3088</v>
      </c>
      <c r="BG84" s="73" t="s">
        <v>3088</v>
      </c>
      <c r="BH84" s="73" t="s">
        <v>3088</v>
      </c>
      <c r="BI84" s="73" t="s">
        <v>3088</v>
      </c>
      <c r="BJ84" s="73" t="s">
        <v>3088</v>
      </c>
      <c r="BK84" s="73" t="s">
        <v>3088</v>
      </c>
      <c r="BL84" s="73" t="s">
        <v>3088</v>
      </c>
      <c r="BM84" s="73" t="s">
        <v>3088</v>
      </c>
      <c r="BN84" s="73" t="s">
        <v>3088</v>
      </c>
      <c r="BO84" s="73" t="s">
        <v>3088</v>
      </c>
      <c r="BP84" s="73" t="s">
        <v>3088</v>
      </c>
      <c r="BQ84" s="73" t="s">
        <v>3791</v>
      </c>
      <c r="BR84" s="73" t="s">
        <v>3088</v>
      </c>
    </row>
    <row r="85" spans="1:70">
      <c r="A85" s="73" t="s">
        <v>1891</v>
      </c>
      <c r="B85" s="73" t="s">
        <v>2212</v>
      </c>
      <c r="C85" s="73" t="s">
        <v>2213</v>
      </c>
      <c r="D85" s="73" t="s">
        <v>3088</v>
      </c>
      <c r="E85" s="73" t="s">
        <v>3088</v>
      </c>
      <c r="F85" s="73" t="s">
        <v>3088</v>
      </c>
      <c r="G85" s="73" t="s">
        <v>3089</v>
      </c>
      <c r="H85" s="73" t="s">
        <v>3088</v>
      </c>
      <c r="I85" s="73" t="s">
        <v>108</v>
      </c>
      <c r="J85" s="73" t="s">
        <v>3088</v>
      </c>
      <c r="K85" s="73" t="s">
        <v>3088</v>
      </c>
      <c r="L85" s="73" t="s">
        <v>3088</v>
      </c>
      <c r="M85" s="73" t="s">
        <v>3088</v>
      </c>
      <c r="N85" s="73" t="s">
        <v>3088</v>
      </c>
      <c r="O85" s="73" t="s">
        <v>3088</v>
      </c>
      <c r="P85" s="73" t="s">
        <v>3088</v>
      </c>
      <c r="Q85" s="73" t="s">
        <v>3088</v>
      </c>
      <c r="R85" s="73" t="s">
        <v>3088</v>
      </c>
      <c r="S85" s="73" t="s">
        <v>3088</v>
      </c>
      <c r="T85" s="73" t="s">
        <v>3088</v>
      </c>
      <c r="U85" s="73" t="s">
        <v>3088</v>
      </c>
      <c r="V85" s="73" t="s">
        <v>3088</v>
      </c>
      <c r="W85" s="73" t="s">
        <v>3088</v>
      </c>
      <c r="X85" s="73" t="s">
        <v>3088</v>
      </c>
      <c r="Y85" s="73" t="s">
        <v>3088</v>
      </c>
      <c r="Z85" s="73" t="s">
        <v>3088</v>
      </c>
      <c r="AA85" s="73" t="s">
        <v>3088</v>
      </c>
      <c r="AB85" s="73" t="s">
        <v>3088</v>
      </c>
      <c r="AC85" s="73" t="s">
        <v>3088</v>
      </c>
      <c r="AD85" s="73" t="s">
        <v>3088</v>
      </c>
      <c r="AE85" s="73" t="s">
        <v>3088</v>
      </c>
      <c r="AF85" s="73" t="s">
        <v>3088</v>
      </c>
      <c r="AG85" s="73" t="s">
        <v>3088</v>
      </c>
      <c r="AH85" s="73" t="s">
        <v>3088</v>
      </c>
      <c r="AI85" s="73" t="s">
        <v>3088</v>
      </c>
      <c r="AJ85" s="73" t="s">
        <v>3088</v>
      </c>
      <c r="AK85" s="73" t="s">
        <v>3088</v>
      </c>
      <c r="AL85" s="73" t="s">
        <v>3088</v>
      </c>
      <c r="AM85" s="73" t="s">
        <v>3088</v>
      </c>
      <c r="AN85" s="73" t="s">
        <v>3088</v>
      </c>
      <c r="AO85" s="73" t="s">
        <v>3088</v>
      </c>
      <c r="AP85" s="73" t="s">
        <v>3088</v>
      </c>
      <c r="AQ85" s="73" t="s">
        <v>3088</v>
      </c>
      <c r="AR85" s="73" t="s">
        <v>3088</v>
      </c>
      <c r="AS85" s="73" t="s">
        <v>3088</v>
      </c>
      <c r="AT85" s="73" t="s">
        <v>3088</v>
      </c>
      <c r="AU85" s="73" t="s">
        <v>3088</v>
      </c>
      <c r="AV85" s="73" t="s">
        <v>3088</v>
      </c>
      <c r="AW85" s="73" t="s">
        <v>3088</v>
      </c>
      <c r="AX85" s="73" t="s">
        <v>3088</v>
      </c>
      <c r="AY85" s="73" t="s">
        <v>3088</v>
      </c>
      <c r="AZ85" s="73" t="s">
        <v>3088</v>
      </c>
      <c r="BA85" s="73" t="s">
        <v>3088</v>
      </c>
      <c r="BB85" s="73" t="s">
        <v>3088</v>
      </c>
      <c r="BC85" s="73" t="s">
        <v>3088</v>
      </c>
      <c r="BD85" s="73" t="s">
        <v>3088</v>
      </c>
      <c r="BE85" s="73" t="s">
        <v>3088</v>
      </c>
      <c r="BF85" s="73" t="s">
        <v>3088</v>
      </c>
      <c r="BG85" s="73" t="s">
        <v>3088</v>
      </c>
      <c r="BH85" s="73" t="s">
        <v>3088</v>
      </c>
      <c r="BI85" s="73" t="s">
        <v>3088</v>
      </c>
      <c r="BJ85" s="73" t="s">
        <v>3088</v>
      </c>
      <c r="BK85" s="73" t="s">
        <v>3088</v>
      </c>
      <c r="BL85" s="73" t="s">
        <v>3088</v>
      </c>
      <c r="BM85" s="73" t="s">
        <v>3088</v>
      </c>
      <c r="BN85" s="73" t="s">
        <v>3088</v>
      </c>
      <c r="BO85" s="73" t="s">
        <v>3088</v>
      </c>
      <c r="BP85" s="73" t="s">
        <v>3088</v>
      </c>
      <c r="BQ85" s="73" t="s">
        <v>3792</v>
      </c>
      <c r="BR85" s="73" t="s">
        <v>3088</v>
      </c>
    </row>
    <row r="86" spans="1:70">
      <c r="A86" s="73" t="s">
        <v>1891</v>
      </c>
      <c r="B86" s="73" t="s">
        <v>2214</v>
      </c>
      <c r="C86" s="73" t="s">
        <v>2213</v>
      </c>
      <c r="D86" s="73" t="s">
        <v>3088</v>
      </c>
      <c r="E86" s="73" t="s">
        <v>3088</v>
      </c>
      <c r="F86" s="73" t="s">
        <v>3088</v>
      </c>
      <c r="G86" s="73" t="s">
        <v>3089</v>
      </c>
      <c r="H86" s="73" t="s">
        <v>3088</v>
      </c>
      <c r="I86" s="73" t="s">
        <v>108</v>
      </c>
      <c r="J86" s="73" t="s">
        <v>3088</v>
      </c>
      <c r="K86" s="73" t="s">
        <v>3088</v>
      </c>
      <c r="L86" s="73" t="s">
        <v>3088</v>
      </c>
      <c r="M86" s="73" t="s">
        <v>3088</v>
      </c>
      <c r="N86" s="73" t="s">
        <v>3088</v>
      </c>
      <c r="O86" s="73" t="s">
        <v>3088</v>
      </c>
      <c r="P86" s="73" t="s">
        <v>3088</v>
      </c>
      <c r="Q86" s="73" t="s">
        <v>3088</v>
      </c>
      <c r="R86" s="73" t="s">
        <v>3088</v>
      </c>
      <c r="S86" s="73" t="s">
        <v>3088</v>
      </c>
      <c r="T86" s="73" t="s">
        <v>3088</v>
      </c>
      <c r="U86" s="73" t="s">
        <v>3088</v>
      </c>
      <c r="V86" s="73" t="s">
        <v>3088</v>
      </c>
      <c r="W86" s="73" t="s">
        <v>3088</v>
      </c>
      <c r="X86" s="73" t="s">
        <v>3088</v>
      </c>
      <c r="Y86" s="73" t="s">
        <v>3088</v>
      </c>
      <c r="Z86" s="73" t="s">
        <v>3088</v>
      </c>
      <c r="AA86" s="73" t="s">
        <v>3088</v>
      </c>
      <c r="AB86" s="73" t="s">
        <v>3088</v>
      </c>
      <c r="AC86" s="73" t="s">
        <v>3088</v>
      </c>
      <c r="AD86" s="73" t="s">
        <v>3088</v>
      </c>
      <c r="AE86" s="73" t="s">
        <v>3088</v>
      </c>
      <c r="AF86" s="73" t="s">
        <v>3088</v>
      </c>
      <c r="AG86" s="73" t="s">
        <v>3088</v>
      </c>
      <c r="AH86" s="73" t="s">
        <v>3088</v>
      </c>
      <c r="AI86" s="73" t="s">
        <v>3088</v>
      </c>
      <c r="AJ86" s="73" t="s">
        <v>3088</v>
      </c>
      <c r="AK86" s="73" t="s">
        <v>3088</v>
      </c>
      <c r="AL86" s="73" t="s">
        <v>3088</v>
      </c>
      <c r="AM86" s="73" t="s">
        <v>3088</v>
      </c>
      <c r="AN86" s="73" t="s">
        <v>3088</v>
      </c>
      <c r="AO86" s="73" t="s">
        <v>3088</v>
      </c>
      <c r="AP86" s="73" t="s">
        <v>3088</v>
      </c>
      <c r="AQ86" s="73" t="s">
        <v>3088</v>
      </c>
      <c r="AR86" s="73" t="s">
        <v>3088</v>
      </c>
      <c r="AS86" s="73" t="s">
        <v>3088</v>
      </c>
      <c r="AT86" s="73" t="s">
        <v>3088</v>
      </c>
      <c r="AU86" s="73" t="s">
        <v>3088</v>
      </c>
      <c r="AV86" s="73" t="s">
        <v>3088</v>
      </c>
      <c r="AW86" s="73" t="s">
        <v>3088</v>
      </c>
      <c r="AX86" s="73" t="s">
        <v>3088</v>
      </c>
      <c r="AY86" s="73" t="s">
        <v>3088</v>
      </c>
      <c r="AZ86" s="73" t="s">
        <v>3088</v>
      </c>
      <c r="BA86" s="73" t="s">
        <v>3088</v>
      </c>
      <c r="BB86" s="73" t="s">
        <v>3088</v>
      </c>
      <c r="BC86" s="73" t="s">
        <v>3088</v>
      </c>
      <c r="BD86" s="73" t="s">
        <v>3088</v>
      </c>
      <c r="BE86" s="73" t="s">
        <v>3088</v>
      </c>
      <c r="BF86" s="73" t="s">
        <v>3088</v>
      </c>
      <c r="BG86" s="73" t="s">
        <v>3088</v>
      </c>
      <c r="BH86" s="73" t="s">
        <v>3088</v>
      </c>
      <c r="BI86" s="73" t="s">
        <v>3088</v>
      </c>
      <c r="BJ86" s="73" t="s">
        <v>3088</v>
      </c>
      <c r="BK86" s="73" t="s">
        <v>3088</v>
      </c>
      <c r="BL86" s="73" t="s">
        <v>3088</v>
      </c>
      <c r="BM86" s="73" t="s">
        <v>3088</v>
      </c>
      <c r="BN86" s="73" t="s">
        <v>3088</v>
      </c>
      <c r="BO86" s="73" t="s">
        <v>3088</v>
      </c>
      <c r="BP86" s="73" t="s">
        <v>3088</v>
      </c>
      <c r="BQ86" s="73" t="s">
        <v>3793</v>
      </c>
      <c r="BR86" s="73" t="s">
        <v>3088</v>
      </c>
    </row>
    <row r="87" spans="1:70">
      <c r="A87" s="73" t="s">
        <v>1891</v>
      </c>
      <c r="B87" s="73" t="s">
        <v>3794</v>
      </c>
      <c r="C87" s="73" t="s">
        <v>2211</v>
      </c>
      <c r="D87" s="73" t="s">
        <v>3088</v>
      </c>
      <c r="E87" s="73" t="s">
        <v>3088</v>
      </c>
      <c r="F87" s="73" t="s">
        <v>3088</v>
      </c>
      <c r="G87" s="73" t="s">
        <v>3089</v>
      </c>
      <c r="H87" s="73" t="s">
        <v>3088</v>
      </c>
      <c r="I87" s="73" t="s">
        <v>3093</v>
      </c>
      <c r="J87" s="73" t="s">
        <v>3088</v>
      </c>
      <c r="K87" s="73" t="s">
        <v>3088</v>
      </c>
      <c r="L87" s="73" t="s">
        <v>3088</v>
      </c>
      <c r="M87" s="73" t="s">
        <v>3088</v>
      </c>
      <c r="N87" s="73" t="s">
        <v>3088</v>
      </c>
      <c r="O87" s="73" t="s">
        <v>3088</v>
      </c>
      <c r="P87" s="73" t="s">
        <v>3088</v>
      </c>
      <c r="Q87" s="73" t="s">
        <v>3088</v>
      </c>
      <c r="R87" s="73" t="s">
        <v>3088</v>
      </c>
      <c r="S87" s="73" t="s">
        <v>3088</v>
      </c>
      <c r="T87" s="73" t="s">
        <v>3088</v>
      </c>
      <c r="U87" s="73" t="s">
        <v>3088</v>
      </c>
      <c r="V87" s="73" t="s">
        <v>3088</v>
      </c>
      <c r="W87" s="73" t="s">
        <v>3088</v>
      </c>
      <c r="X87" s="73" t="s">
        <v>3088</v>
      </c>
      <c r="Y87" s="73" t="s">
        <v>3088</v>
      </c>
      <c r="Z87" s="73" t="s">
        <v>3088</v>
      </c>
      <c r="AA87" s="73" t="s">
        <v>3088</v>
      </c>
      <c r="AB87" s="73" t="s">
        <v>3088</v>
      </c>
      <c r="AC87" s="73" t="s">
        <v>3088</v>
      </c>
      <c r="AD87" s="73" t="s">
        <v>3088</v>
      </c>
      <c r="AE87" s="73" t="s">
        <v>3088</v>
      </c>
      <c r="AF87" s="73" t="s">
        <v>3088</v>
      </c>
      <c r="AG87" s="73" t="s">
        <v>3088</v>
      </c>
      <c r="AH87" s="73" t="s">
        <v>3088</v>
      </c>
      <c r="AI87" s="73" t="s">
        <v>3088</v>
      </c>
      <c r="AJ87" s="73" t="s">
        <v>3088</v>
      </c>
      <c r="AK87" s="73" t="s">
        <v>3088</v>
      </c>
      <c r="AL87" s="73" t="s">
        <v>3088</v>
      </c>
      <c r="AM87" s="73" t="s">
        <v>3088</v>
      </c>
      <c r="AN87" s="73" t="s">
        <v>3088</v>
      </c>
      <c r="AO87" s="73" t="s">
        <v>3088</v>
      </c>
      <c r="AP87" s="73" t="s">
        <v>3088</v>
      </c>
      <c r="AQ87" s="73" t="s">
        <v>3088</v>
      </c>
      <c r="AR87" s="73" t="s">
        <v>3088</v>
      </c>
      <c r="AS87" s="73" t="s">
        <v>3088</v>
      </c>
      <c r="AT87" s="73" t="s">
        <v>3088</v>
      </c>
      <c r="AU87" s="73" t="s">
        <v>3088</v>
      </c>
      <c r="AV87" s="73" t="s">
        <v>3088</v>
      </c>
      <c r="AW87" s="73" t="s">
        <v>3088</v>
      </c>
      <c r="AX87" s="73" t="s">
        <v>3088</v>
      </c>
      <c r="AY87" s="73" t="s">
        <v>3088</v>
      </c>
      <c r="AZ87" s="73" t="s">
        <v>3088</v>
      </c>
      <c r="BA87" s="73" t="s">
        <v>3088</v>
      </c>
      <c r="BB87" s="73" t="s">
        <v>3088</v>
      </c>
      <c r="BC87" s="73" t="s">
        <v>3088</v>
      </c>
      <c r="BD87" s="73" t="s">
        <v>3088</v>
      </c>
      <c r="BE87" s="73" t="s">
        <v>3088</v>
      </c>
      <c r="BF87" s="73" t="s">
        <v>3088</v>
      </c>
      <c r="BG87" s="73" t="s">
        <v>3088</v>
      </c>
      <c r="BH87" s="73" t="s">
        <v>3088</v>
      </c>
      <c r="BI87" s="73" t="s">
        <v>3088</v>
      </c>
      <c r="BJ87" s="73" t="s">
        <v>3088</v>
      </c>
      <c r="BK87" s="73" t="s">
        <v>3088</v>
      </c>
      <c r="BL87" s="73" t="s">
        <v>3088</v>
      </c>
      <c r="BM87" s="73" t="s">
        <v>3088</v>
      </c>
      <c r="BN87" s="73" t="s">
        <v>3088</v>
      </c>
      <c r="BO87" s="73" t="s">
        <v>3088</v>
      </c>
      <c r="BP87" s="73" t="s">
        <v>3088</v>
      </c>
      <c r="BQ87" s="73" t="s">
        <v>3795</v>
      </c>
      <c r="BR87" s="73" t="s">
        <v>3088</v>
      </c>
    </row>
    <row r="88" spans="1:70">
      <c r="A88" s="73" t="s">
        <v>1891</v>
      </c>
      <c r="B88" s="73" t="s">
        <v>3796</v>
      </c>
      <c r="C88" s="73" t="s">
        <v>2223</v>
      </c>
      <c r="D88" s="73" t="s">
        <v>3088</v>
      </c>
      <c r="E88" s="73" t="s">
        <v>3088</v>
      </c>
      <c r="F88" s="73" t="s">
        <v>3088</v>
      </c>
      <c r="G88" s="73" t="s">
        <v>3089</v>
      </c>
      <c r="H88" s="73" t="s">
        <v>3088</v>
      </c>
      <c r="I88" s="73" t="s">
        <v>3093</v>
      </c>
      <c r="J88" s="73" t="s">
        <v>3088</v>
      </c>
      <c r="K88" s="73" t="s">
        <v>3088</v>
      </c>
      <c r="L88" s="73" t="s">
        <v>3088</v>
      </c>
      <c r="M88" s="73" t="s">
        <v>3088</v>
      </c>
      <c r="N88" s="73" t="s">
        <v>3088</v>
      </c>
      <c r="O88" s="73" t="s">
        <v>3088</v>
      </c>
      <c r="P88" s="73" t="s">
        <v>3088</v>
      </c>
      <c r="Q88" s="73" t="s">
        <v>3088</v>
      </c>
      <c r="R88" s="73" t="s">
        <v>3088</v>
      </c>
      <c r="S88" s="73" t="s">
        <v>3088</v>
      </c>
      <c r="T88" s="73" t="s">
        <v>3088</v>
      </c>
      <c r="U88" s="73" t="s">
        <v>3088</v>
      </c>
      <c r="V88" s="73" t="s">
        <v>3088</v>
      </c>
      <c r="W88" s="73" t="s">
        <v>3088</v>
      </c>
      <c r="X88" s="73" t="s">
        <v>3088</v>
      </c>
      <c r="Y88" s="73" t="s">
        <v>3088</v>
      </c>
      <c r="Z88" s="73" t="s">
        <v>3088</v>
      </c>
      <c r="AA88" s="73" t="s">
        <v>3088</v>
      </c>
      <c r="AB88" s="73" t="s">
        <v>3088</v>
      </c>
      <c r="AC88" s="73" t="s">
        <v>3088</v>
      </c>
      <c r="AD88" s="73" t="s">
        <v>3088</v>
      </c>
      <c r="AE88" s="73" t="s">
        <v>3088</v>
      </c>
      <c r="AF88" s="73" t="s">
        <v>3088</v>
      </c>
      <c r="AG88" s="73" t="s">
        <v>3088</v>
      </c>
      <c r="AH88" s="73" t="s">
        <v>3088</v>
      </c>
      <c r="AI88" s="73" t="s">
        <v>3088</v>
      </c>
      <c r="AJ88" s="73" t="s">
        <v>3088</v>
      </c>
      <c r="AK88" s="73" t="s">
        <v>3088</v>
      </c>
      <c r="AL88" s="73" t="s">
        <v>3088</v>
      </c>
      <c r="AM88" s="73" t="s">
        <v>3088</v>
      </c>
      <c r="AN88" s="73" t="s">
        <v>3088</v>
      </c>
      <c r="AO88" s="73" t="s">
        <v>3088</v>
      </c>
      <c r="AP88" s="73" t="s">
        <v>3088</v>
      </c>
      <c r="AQ88" s="73" t="s">
        <v>3088</v>
      </c>
      <c r="AR88" s="73" t="s">
        <v>3088</v>
      </c>
      <c r="AS88" s="73" t="s">
        <v>3088</v>
      </c>
      <c r="AT88" s="73" t="s">
        <v>3088</v>
      </c>
      <c r="AU88" s="73" t="s">
        <v>3088</v>
      </c>
      <c r="AV88" s="73" t="s">
        <v>3088</v>
      </c>
      <c r="AW88" s="73" t="s">
        <v>3088</v>
      </c>
      <c r="AX88" s="73" t="s">
        <v>3088</v>
      </c>
      <c r="AY88" s="73" t="s">
        <v>3088</v>
      </c>
      <c r="AZ88" s="73" t="s">
        <v>3088</v>
      </c>
      <c r="BA88" s="73" t="s">
        <v>3088</v>
      </c>
      <c r="BB88" s="73" t="s">
        <v>3088</v>
      </c>
      <c r="BC88" s="73" t="s">
        <v>3088</v>
      </c>
      <c r="BD88" s="73" t="s">
        <v>3088</v>
      </c>
      <c r="BE88" s="73" t="s">
        <v>3088</v>
      </c>
      <c r="BF88" s="73" t="s">
        <v>3088</v>
      </c>
      <c r="BG88" s="73" t="s">
        <v>3088</v>
      </c>
      <c r="BH88" s="73" t="s">
        <v>3088</v>
      </c>
      <c r="BI88" s="73" t="s">
        <v>3088</v>
      </c>
      <c r="BJ88" s="73" t="s">
        <v>3088</v>
      </c>
      <c r="BK88" s="73" t="s">
        <v>3088</v>
      </c>
      <c r="BL88" s="73" t="s">
        <v>3088</v>
      </c>
      <c r="BM88" s="73" t="s">
        <v>3088</v>
      </c>
      <c r="BN88" s="73" t="s">
        <v>3088</v>
      </c>
      <c r="BO88" s="73" t="s">
        <v>3088</v>
      </c>
      <c r="BP88" s="73" t="s">
        <v>3088</v>
      </c>
      <c r="BQ88" s="73" t="s">
        <v>3797</v>
      </c>
      <c r="BR88" s="73" t="s">
        <v>3088</v>
      </c>
    </row>
    <row r="89" spans="1:70">
      <c r="A89" s="73" t="s">
        <v>1891</v>
      </c>
      <c r="B89" s="73" t="s">
        <v>3798</v>
      </c>
      <c r="C89" s="73" t="s">
        <v>2223</v>
      </c>
      <c r="D89" s="73" t="s">
        <v>3088</v>
      </c>
      <c r="E89" s="73" t="s">
        <v>3088</v>
      </c>
      <c r="F89" s="73" t="s">
        <v>3088</v>
      </c>
      <c r="G89" s="73" t="s">
        <v>3089</v>
      </c>
      <c r="H89" s="73" t="s">
        <v>3088</v>
      </c>
      <c r="I89" s="73" t="s">
        <v>3113</v>
      </c>
      <c r="J89" s="73" t="s">
        <v>3799</v>
      </c>
      <c r="K89" s="73" t="s">
        <v>3088</v>
      </c>
      <c r="L89" s="73" t="s">
        <v>3088</v>
      </c>
      <c r="M89" s="73" t="s">
        <v>3088</v>
      </c>
      <c r="N89" s="73" t="s">
        <v>3088</v>
      </c>
      <c r="O89" s="73" t="s">
        <v>3088</v>
      </c>
      <c r="P89" s="73" t="s">
        <v>3088</v>
      </c>
      <c r="Q89" s="73" t="s">
        <v>3088</v>
      </c>
      <c r="R89" s="73" t="s">
        <v>3088</v>
      </c>
      <c r="S89" s="73" t="s">
        <v>3088</v>
      </c>
      <c r="T89" s="73" t="s">
        <v>3088</v>
      </c>
      <c r="U89" s="73" t="s">
        <v>3088</v>
      </c>
      <c r="V89" s="73" t="s">
        <v>3088</v>
      </c>
      <c r="W89" s="73" t="s">
        <v>3088</v>
      </c>
      <c r="X89" s="73" t="s">
        <v>3088</v>
      </c>
      <c r="Y89" s="73" t="s">
        <v>3088</v>
      </c>
      <c r="Z89" s="73" t="s">
        <v>3088</v>
      </c>
      <c r="AA89" s="73" t="s">
        <v>3088</v>
      </c>
      <c r="AB89" s="73" t="s">
        <v>3088</v>
      </c>
      <c r="AC89" s="73" t="s">
        <v>3088</v>
      </c>
      <c r="AD89" s="73" t="s">
        <v>3088</v>
      </c>
      <c r="AE89" s="73" t="s">
        <v>3088</v>
      </c>
      <c r="AF89" s="73" t="s">
        <v>3088</v>
      </c>
      <c r="AG89" s="73" t="s">
        <v>3088</v>
      </c>
      <c r="AH89" s="73" t="s">
        <v>3088</v>
      </c>
      <c r="AI89" s="73" t="s">
        <v>3088</v>
      </c>
      <c r="AJ89" s="73" t="s">
        <v>3088</v>
      </c>
      <c r="AK89" s="73" t="s">
        <v>3088</v>
      </c>
      <c r="AL89" s="73" t="s">
        <v>3088</v>
      </c>
      <c r="AM89" s="73" t="s">
        <v>3088</v>
      </c>
      <c r="AN89" s="73" t="s">
        <v>3088</v>
      </c>
      <c r="AO89" s="73" t="s">
        <v>3088</v>
      </c>
      <c r="AP89" s="73" t="s">
        <v>3088</v>
      </c>
      <c r="AQ89" s="73" t="s">
        <v>3088</v>
      </c>
      <c r="AR89" s="73" t="s">
        <v>3088</v>
      </c>
      <c r="AS89" s="73" t="s">
        <v>3088</v>
      </c>
      <c r="AT89" s="73" t="s">
        <v>3088</v>
      </c>
      <c r="AU89" s="73" t="s">
        <v>3088</v>
      </c>
      <c r="AV89" s="73" t="s">
        <v>3088</v>
      </c>
      <c r="AW89" s="73" t="s">
        <v>3088</v>
      </c>
      <c r="AX89" s="73" t="s">
        <v>3088</v>
      </c>
      <c r="AY89" s="73" t="s">
        <v>3088</v>
      </c>
      <c r="AZ89" s="73" t="s">
        <v>3088</v>
      </c>
      <c r="BA89" s="73" t="s">
        <v>3088</v>
      </c>
      <c r="BB89" s="73" t="s">
        <v>3088</v>
      </c>
      <c r="BC89" s="73" t="s">
        <v>3088</v>
      </c>
      <c r="BD89" s="73" t="s">
        <v>3088</v>
      </c>
      <c r="BE89" s="73" t="s">
        <v>3088</v>
      </c>
      <c r="BF89" s="73" t="s">
        <v>3088</v>
      </c>
      <c r="BG89" s="73" t="s">
        <v>3088</v>
      </c>
      <c r="BH89" s="73" t="s">
        <v>3088</v>
      </c>
      <c r="BI89" s="73" t="s">
        <v>3088</v>
      </c>
      <c r="BJ89" s="73" t="s">
        <v>3088</v>
      </c>
      <c r="BK89" s="73" t="s">
        <v>3088</v>
      </c>
      <c r="BL89" s="73" t="s">
        <v>3088</v>
      </c>
      <c r="BM89" s="73" t="s">
        <v>3088</v>
      </c>
      <c r="BN89" s="73" t="s">
        <v>3088</v>
      </c>
      <c r="BO89" s="73" t="s">
        <v>3088</v>
      </c>
      <c r="BP89" s="73" t="s">
        <v>3088</v>
      </c>
      <c r="BQ89" s="73" t="s">
        <v>3800</v>
      </c>
      <c r="BR89" s="73" t="s">
        <v>3088</v>
      </c>
    </row>
    <row r="90" spans="1:70">
      <c r="A90" s="73" t="s">
        <v>1893</v>
      </c>
      <c r="B90" s="73" t="s">
        <v>3801</v>
      </c>
      <c r="C90" s="73" t="s">
        <v>2217</v>
      </c>
      <c r="D90" s="73" t="s">
        <v>3088</v>
      </c>
      <c r="E90" s="73" t="s">
        <v>3088</v>
      </c>
      <c r="F90" s="73" t="s">
        <v>3088</v>
      </c>
      <c r="G90" s="73" t="s">
        <v>3089</v>
      </c>
      <c r="H90" s="73" t="s">
        <v>3088</v>
      </c>
      <c r="I90" s="73" t="s">
        <v>3122</v>
      </c>
      <c r="J90" s="73" t="s">
        <v>3088</v>
      </c>
      <c r="K90" s="73" t="s">
        <v>3088</v>
      </c>
      <c r="L90" s="73" t="s">
        <v>3088</v>
      </c>
      <c r="M90" s="73" t="s">
        <v>3088</v>
      </c>
      <c r="N90" s="73" t="s">
        <v>3088</v>
      </c>
      <c r="O90" s="73" t="s">
        <v>3088</v>
      </c>
      <c r="P90" s="73" t="s">
        <v>3088</v>
      </c>
      <c r="Q90" s="73" t="s">
        <v>3088</v>
      </c>
      <c r="R90" s="73" t="s">
        <v>3088</v>
      </c>
      <c r="S90" s="73" t="s">
        <v>3088</v>
      </c>
      <c r="T90" s="73" t="s">
        <v>3088</v>
      </c>
      <c r="U90" s="73" t="s">
        <v>3088</v>
      </c>
      <c r="V90" s="73" t="s">
        <v>3088</v>
      </c>
      <c r="W90" s="73" t="s">
        <v>3088</v>
      </c>
      <c r="X90" s="73" t="s">
        <v>3088</v>
      </c>
      <c r="Y90" s="73" t="s">
        <v>3088</v>
      </c>
      <c r="Z90" s="73" t="s">
        <v>3088</v>
      </c>
      <c r="AA90" s="73" t="s">
        <v>3088</v>
      </c>
      <c r="AB90" s="73" t="s">
        <v>3088</v>
      </c>
      <c r="AC90" s="73" t="s">
        <v>3088</v>
      </c>
      <c r="AD90" s="73" t="s">
        <v>3088</v>
      </c>
      <c r="AE90" s="73" t="s">
        <v>3088</v>
      </c>
      <c r="AF90" s="73" t="s">
        <v>3088</v>
      </c>
      <c r="AG90" s="73" t="s">
        <v>3088</v>
      </c>
      <c r="AH90" s="73" t="s">
        <v>3088</v>
      </c>
      <c r="AI90" s="73" t="s">
        <v>3088</v>
      </c>
      <c r="AJ90" s="73" t="s">
        <v>3088</v>
      </c>
      <c r="AK90" s="73" t="s">
        <v>3088</v>
      </c>
      <c r="AL90" s="73" t="s">
        <v>3088</v>
      </c>
      <c r="AM90" s="73" t="s">
        <v>3088</v>
      </c>
      <c r="AN90" s="73" t="s">
        <v>3088</v>
      </c>
      <c r="AO90" s="73" t="s">
        <v>3088</v>
      </c>
      <c r="AP90" s="73" t="s">
        <v>3088</v>
      </c>
      <c r="AQ90" s="73" t="s">
        <v>3088</v>
      </c>
      <c r="AR90" s="73" t="s">
        <v>3088</v>
      </c>
      <c r="AS90" s="73" t="s">
        <v>3088</v>
      </c>
      <c r="AT90" s="73" t="s">
        <v>3088</v>
      </c>
      <c r="AU90" s="73" t="s">
        <v>3088</v>
      </c>
      <c r="AV90" s="73" t="s">
        <v>3088</v>
      </c>
      <c r="AW90" s="73" t="s">
        <v>3088</v>
      </c>
      <c r="AX90" s="73" t="s">
        <v>3088</v>
      </c>
      <c r="AY90" s="73" t="s">
        <v>3088</v>
      </c>
      <c r="AZ90" s="73" t="s">
        <v>3088</v>
      </c>
      <c r="BA90" s="73" t="s">
        <v>3088</v>
      </c>
      <c r="BB90" s="73" t="s">
        <v>3088</v>
      </c>
      <c r="BC90" s="73" t="s">
        <v>3088</v>
      </c>
      <c r="BD90" s="73" t="s">
        <v>3088</v>
      </c>
      <c r="BE90" s="73" t="s">
        <v>3088</v>
      </c>
      <c r="BF90" s="73" t="s">
        <v>3088</v>
      </c>
      <c r="BG90" s="73" t="s">
        <v>3088</v>
      </c>
      <c r="BH90" s="73" t="s">
        <v>3088</v>
      </c>
      <c r="BI90" s="73" t="s">
        <v>3088</v>
      </c>
      <c r="BJ90" s="73" t="s">
        <v>3088</v>
      </c>
      <c r="BK90" s="73" t="s">
        <v>3088</v>
      </c>
      <c r="BL90" s="73" t="s">
        <v>3088</v>
      </c>
      <c r="BM90" s="73" t="s">
        <v>3088</v>
      </c>
      <c r="BN90" s="73" t="s">
        <v>3088</v>
      </c>
      <c r="BO90" s="73" t="s">
        <v>3088</v>
      </c>
      <c r="BP90" s="73" t="s">
        <v>3088</v>
      </c>
      <c r="BQ90" s="73" t="s">
        <v>3802</v>
      </c>
      <c r="BR90" s="73" t="s">
        <v>3088</v>
      </c>
    </row>
    <row r="91" spans="1:70">
      <c r="A91" s="73" t="s">
        <v>1893</v>
      </c>
      <c r="B91" s="73" t="s">
        <v>3803</v>
      </c>
      <c r="C91" s="73" t="s">
        <v>2220</v>
      </c>
      <c r="D91" s="73" t="s">
        <v>3088</v>
      </c>
      <c r="E91" s="73" t="s">
        <v>3088</v>
      </c>
      <c r="F91" s="73" t="s">
        <v>3088</v>
      </c>
      <c r="G91" s="73" t="s">
        <v>3089</v>
      </c>
      <c r="H91" s="73" t="s">
        <v>3088</v>
      </c>
      <c r="I91" s="73" t="s">
        <v>3122</v>
      </c>
      <c r="J91" s="73" t="s">
        <v>2682</v>
      </c>
      <c r="K91" s="73" t="s">
        <v>3089</v>
      </c>
      <c r="L91" s="73" t="s">
        <v>3088</v>
      </c>
      <c r="M91" s="73" t="s">
        <v>3088</v>
      </c>
      <c r="N91" s="73" t="s">
        <v>3088</v>
      </c>
      <c r="O91" s="73" t="s">
        <v>3088</v>
      </c>
      <c r="P91" s="73" t="s">
        <v>3088</v>
      </c>
      <c r="Q91" s="73" t="s">
        <v>3088</v>
      </c>
      <c r="R91" s="73" t="s">
        <v>3088</v>
      </c>
      <c r="S91" s="73" t="s">
        <v>3088</v>
      </c>
      <c r="T91" s="73" t="s">
        <v>3088</v>
      </c>
      <c r="U91" s="73" t="s">
        <v>3088</v>
      </c>
      <c r="V91" s="73" t="s">
        <v>3088</v>
      </c>
      <c r="W91" s="73" t="s">
        <v>3088</v>
      </c>
      <c r="X91" s="73" t="s">
        <v>3088</v>
      </c>
      <c r="Y91" s="73" t="s">
        <v>3088</v>
      </c>
      <c r="Z91" s="73" t="s">
        <v>3088</v>
      </c>
      <c r="AA91" s="73" t="s">
        <v>3088</v>
      </c>
      <c r="AB91" s="73" t="s">
        <v>3088</v>
      </c>
      <c r="AC91" s="73" t="s">
        <v>3088</v>
      </c>
      <c r="AD91" s="73" t="s">
        <v>3088</v>
      </c>
      <c r="AE91" s="73" t="s">
        <v>3088</v>
      </c>
      <c r="AF91" s="73" t="s">
        <v>3088</v>
      </c>
      <c r="AG91" s="73" t="s">
        <v>3088</v>
      </c>
      <c r="AH91" s="73" t="s">
        <v>3088</v>
      </c>
      <c r="AI91" s="73" t="s">
        <v>3088</v>
      </c>
      <c r="AJ91" s="73" t="s">
        <v>3088</v>
      </c>
      <c r="AK91" s="73" t="s">
        <v>3088</v>
      </c>
      <c r="AL91" s="73" t="s">
        <v>3088</v>
      </c>
      <c r="AM91" s="73" t="s">
        <v>3088</v>
      </c>
      <c r="AN91" s="73" t="s">
        <v>3088</v>
      </c>
      <c r="AO91" s="73" t="s">
        <v>3088</v>
      </c>
      <c r="AP91" s="73" t="s">
        <v>3088</v>
      </c>
      <c r="AQ91" s="73" t="s">
        <v>3088</v>
      </c>
      <c r="AR91" s="73" t="s">
        <v>3088</v>
      </c>
      <c r="AS91" s="73" t="s">
        <v>3088</v>
      </c>
      <c r="AT91" s="73" t="s">
        <v>3088</v>
      </c>
      <c r="AU91" s="73" t="s">
        <v>3088</v>
      </c>
      <c r="AV91" s="73" t="s">
        <v>3088</v>
      </c>
      <c r="AW91" s="73" t="s">
        <v>3088</v>
      </c>
      <c r="AX91" s="73" t="s">
        <v>3088</v>
      </c>
      <c r="AY91" s="73" t="s">
        <v>3088</v>
      </c>
      <c r="AZ91" s="73" t="s">
        <v>3088</v>
      </c>
      <c r="BA91" s="73" t="s">
        <v>3088</v>
      </c>
      <c r="BB91" s="73" t="s">
        <v>3088</v>
      </c>
      <c r="BC91" s="73" t="s">
        <v>3088</v>
      </c>
      <c r="BD91" s="73" t="s">
        <v>3088</v>
      </c>
      <c r="BE91" s="73" t="s">
        <v>3088</v>
      </c>
      <c r="BF91" s="73" t="s">
        <v>3088</v>
      </c>
      <c r="BG91" s="73" t="s">
        <v>3088</v>
      </c>
      <c r="BH91" s="73" t="s">
        <v>3088</v>
      </c>
      <c r="BI91" s="73" t="s">
        <v>3088</v>
      </c>
      <c r="BJ91" s="73" t="s">
        <v>3088</v>
      </c>
      <c r="BK91" s="73" t="s">
        <v>3088</v>
      </c>
      <c r="BL91" s="73" t="s">
        <v>3088</v>
      </c>
      <c r="BM91" s="73" t="s">
        <v>3088</v>
      </c>
      <c r="BN91" s="73" t="s">
        <v>3088</v>
      </c>
      <c r="BO91" s="73" t="s">
        <v>3088</v>
      </c>
      <c r="BP91" s="73" t="s">
        <v>3088</v>
      </c>
      <c r="BQ91" s="73" t="s">
        <v>3804</v>
      </c>
      <c r="BR91" s="73" t="s">
        <v>3088</v>
      </c>
    </row>
    <row r="92" spans="1:70">
      <c r="A92" s="73" t="s">
        <v>1893</v>
      </c>
      <c r="B92" s="73" t="s">
        <v>3805</v>
      </c>
      <c r="C92" s="73" t="s">
        <v>3806</v>
      </c>
      <c r="D92" s="73" t="s">
        <v>3088</v>
      </c>
      <c r="E92" s="73" t="s">
        <v>3088</v>
      </c>
      <c r="F92" s="73" t="s">
        <v>3088</v>
      </c>
      <c r="G92" s="73" t="s">
        <v>3089</v>
      </c>
      <c r="H92" s="73" t="s">
        <v>3088</v>
      </c>
      <c r="I92" s="73" t="s">
        <v>3122</v>
      </c>
      <c r="J92" s="73" t="s">
        <v>3807</v>
      </c>
      <c r="K92" s="73" t="s">
        <v>3089</v>
      </c>
      <c r="L92" s="73" t="s">
        <v>3088</v>
      </c>
      <c r="M92" s="73" t="s">
        <v>3088</v>
      </c>
      <c r="N92" s="73" t="s">
        <v>3088</v>
      </c>
      <c r="O92" s="73" t="s">
        <v>3088</v>
      </c>
      <c r="P92" s="73" t="s">
        <v>3088</v>
      </c>
      <c r="Q92" s="73" t="s">
        <v>3088</v>
      </c>
      <c r="R92" s="73" t="s">
        <v>3088</v>
      </c>
      <c r="S92" s="73" t="s">
        <v>3088</v>
      </c>
      <c r="T92" s="73" t="s">
        <v>3088</v>
      </c>
      <c r="U92" s="73" t="s">
        <v>3088</v>
      </c>
      <c r="V92" s="73" t="s">
        <v>3088</v>
      </c>
      <c r="W92" s="73" t="s">
        <v>3088</v>
      </c>
      <c r="X92" s="73" t="s">
        <v>3088</v>
      </c>
      <c r="Y92" s="73" t="s">
        <v>3088</v>
      </c>
      <c r="Z92" s="73" t="s">
        <v>3088</v>
      </c>
      <c r="AA92" s="73" t="s">
        <v>3088</v>
      </c>
      <c r="AB92" s="73" t="s">
        <v>3088</v>
      </c>
      <c r="AC92" s="73" t="s">
        <v>3088</v>
      </c>
      <c r="AD92" s="73" t="s">
        <v>3088</v>
      </c>
      <c r="AE92" s="73" t="s">
        <v>3088</v>
      </c>
      <c r="AF92" s="73" t="s">
        <v>3088</v>
      </c>
      <c r="AG92" s="73" t="s">
        <v>3088</v>
      </c>
      <c r="AH92" s="73" t="s">
        <v>3088</v>
      </c>
      <c r="AI92" s="73" t="s">
        <v>3088</v>
      </c>
      <c r="AJ92" s="73" t="s">
        <v>3088</v>
      </c>
      <c r="AK92" s="73" t="s">
        <v>3088</v>
      </c>
      <c r="AL92" s="73" t="s">
        <v>3088</v>
      </c>
      <c r="AM92" s="73" t="s">
        <v>3088</v>
      </c>
      <c r="AN92" s="73" t="s">
        <v>3088</v>
      </c>
      <c r="AO92" s="73" t="s">
        <v>3088</v>
      </c>
      <c r="AP92" s="73" t="s">
        <v>3088</v>
      </c>
      <c r="AQ92" s="73" t="s">
        <v>3088</v>
      </c>
      <c r="AR92" s="73" t="s">
        <v>3088</v>
      </c>
      <c r="AS92" s="73" t="s">
        <v>3088</v>
      </c>
      <c r="AT92" s="73" t="s">
        <v>3088</v>
      </c>
      <c r="AU92" s="73" t="s">
        <v>3088</v>
      </c>
      <c r="AV92" s="73" t="s">
        <v>3088</v>
      </c>
      <c r="AW92" s="73" t="s">
        <v>3088</v>
      </c>
      <c r="AX92" s="73" t="s">
        <v>3088</v>
      </c>
      <c r="AY92" s="73" t="s">
        <v>3088</v>
      </c>
      <c r="AZ92" s="73" t="s">
        <v>3088</v>
      </c>
      <c r="BA92" s="73" t="s">
        <v>3088</v>
      </c>
      <c r="BB92" s="73" t="s">
        <v>3088</v>
      </c>
      <c r="BC92" s="73" t="s">
        <v>3088</v>
      </c>
      <c r="BD92" s="73" t="s">
        <v>3088</v>
      </c>
      <c r="BE92" s="73" t="s">
        <v>3088</v>
      </c>
      <c r="BF92" s="73" t="s">
        <v>3088</v>
      </c>
      <c r="BG92" s="73" t="s">
        <v>3088</v>
      </c>
      <c r="BH92" s="73" t="s">
        <v>3088</v>
      </c>
      <c r="BI92" s="73" t="s">
        <v>3088</v>
      </c>
      <c r="BJ92" s="73" t="s">
        <v>3088</v>
      </c>
      <c r="BK92" s="73" t="s">
        <v>3088</v>
      </c>
      <c r="BL92" s="73" t="s">
        <v>3088</v>
      </c>
      <c r="BM92" s="73" t="s">
        <v>3088</v>
      </c>
      <c r="BN92" s="73" t="s">
        <v>3088</v>
      </c>
      <c r="BO92" s="73" t="s">
        <v>3088</v>
      </c>
      <c r="BP92" s="73" t="s">
        <v>3088</v>
      </c>
      <c r="BQ92" s="73" t="s">
        <v>3808</v>
      </c>
      <c r="BR92" s="73" t="s">
        <v>3088</v>
      </c>
    </row>
    <row r="93" spans="1:70">
      <c r="A93" s="73" t="s">
        <v>1893</v>
      </c>
      <c r="B93" s="73" t="s">
        <v>3809</v>
      </c>
      <c r="C93" s="73" t="s">
        <v>2223</v>
      </c>
      <c r="D93" s="73" t="s">
        <v>3088</v>
      </c>
      <c r="E93" s="73" t="s">
        <v>3088</v>
      </c>
      <c r="F93" s="73" t="s">
        <v>3088</v>
      </c>
      <c r="G93" s="73" t="s">
        <v>3089</v>
      </c>
      <c r="H93" s="73" t="s">
        <v>3088</v>
      </c>
      <c r="I93" s="73" t="s">
        <v>3122</v>
      </c>
      <c r="J93" s="73" t="s">
        <v>3810</v>
      </c>
      <c r="K93" s="73" t="s">
        <v>3095</v>
      </c>
      <c r="L93" s="73" t="s">
        <v>3088</v>
      </c>
      <c r="M93" s="73" t="s">
        <v>3088</v>
      </c>
      <c r="N93" s="73" t="s">
        <v>3088</v>
      </c>
      <c r="O93" s="73" t="s">
        <v>3088</v>
      </c>
      <c r="P93" s="73" t="s">
        <v>3088</v>
      </c>
      <c r="Q93" s="73" t="s">
        <v>3088</v>
      </c>
      <c r="R93" s="73" t="s">
        <v>3088</v>
      </c>
      <c r="S93" s="73" t="s">
        <v>3088</v>
      </c>
      <c r="T93" s="73" t="s">
        <v>3088</v>
      </c>
      <c r="U93" s="73" t="s">
        <v>3088</v>
      </c>
      <c r="V93" s="73" t="s">
        <v>3088</v>
      </c>
      <c r="W93" s="73" t="s">
        <v>3088</v>
      </c>
      <c r="X93" s="73" t="s">
        <v>3088</v>
      </c>
      <c r="Y93" s="73" t="s">
        <v>3088</v>
      </c>
      <c r="Z93" s="73" t="s">
        <v>3088</v>
      </c>
      <c r="AA93" s="73" t="s">
        <v>3088</v>
      </c>
      <c r="AB93" s="73" t="s">
        <v>3088</v>
      </c>
      <c r="AC93" s="73" t="s">
        <v>3088</v>
      </c>
      <c r="AD93" s="73" t="s">
        <v>3088</v>
      </c>
      <c r="AE93" s="73" t="s">
        <v>3088</v>
      </c>
      <c r="AF93" s="73" t="s">
        <v>3088</v>
      </c>
      <c r="AG93" s="73" t="s">
        <v>3088</v>
      </c>
      <c r="AH93" s="73" t="s">
        <v>3088</v>
      </c>
      <c r="AI93" s="73" t="s">
        <v>3088</v>
      </c>
      <c r="AJ93" s="73" t="s">
        <v>3088</v>
      </c>
      <c r="AK93" s="73" t="s">
        <v>3088</v>
      </c>
      <c r="AL93" s="73" t="s">
        <v>3088</v>
      </c>
      <c r="AM93" s="73" t="s">
        <v>3088</v>
      </c>
      <c r="AN93" s="73" t="s">
        <v>3088</v>
      </c>
      <c r="AO93" s="73" t="s">
        <v>3088</v>
      </c>
      <c r="AP93" s="73" t="s">
        <v>3088</v>
      </c>
      <c r="AQ93" s="73" t="s">
        <v>3088</v>
      </c>
      <c r="AR93" s="73" t="s">
        <v>3088</v>
      </c>
      <c r="AS93" s="73" t="s">
        <v>3088</v>
      </c>
      <c r="AT93" s="73" t="s">
        <v>3088</v>
      </c>
      <c r="AU93" s="73" t="s">
        <v>3088</v>
      </c>
      <c r="AV93" s="73" t="s">
        <v>3088</v>
      </c>
      <c r="AW93" s="73" t="s">
        <v>3088</v>
      </c>
      <c r="AX93" s="73" t="s">
        <v>3088</v>
      </c>
      <c r="AY93" s="73" t="s">
        <v>3088</v>
      </c>
      <c r="AZ93" s="73" t="s">
        <v>3088</v>
      </c>
      <c r="BA93" s="73" t="s">
        <v>3088</v>
      </c>
      <c r="BB93" s="73" t="s">
        <v>3088</v>
      </c>
      <c r="BC93" s="73" t="s">
        <v>3088</v>
      </c>
      <c r="BD93" s="73" t="s">
        <v>3088</v>
      </c>
      <c r="BE93" s="73" t="s">
        <v>3088</v>
      </c>
      <c r="BF93" s="73" t="s">
        <v>3088</v>
      </c>
      <c r="BG93" s="73" t="s">
        <v>3088</v>
      </c>
      <c r="BH93" s="73" t="s">
        <v>3088</v>
      </c>
      <c r="BI93" s="73" t="s">
        <v>3088</v>
      </c>
      <c r="BJ93" s="73" t="s">
        <v>3088</v>
      </c>
      <c r="BK93" s="73" t="s">
        <v>3088</v>
      </c>
      <c r="BL93" s="73" t="s">
        <v>3088</v>
      </c>
      <c r="BM93" s="73" t="s">
        <v>3088</v>
      </c>
      <c r="BN93" s="73" t="s">
        <v>3088</v>
      </c>
      <c r="BO93" s="73" t="s">
        <v>3088</v>
      </c>
      <c r="BP93" s="73" t="s">
        <v>3088</v>
      </c>
      <c r="BQ93" s="73" t="s">
        <v>3811</v>
      </c>
      <c r="BR93" s="73" t="s">
        <v>3097</v>
      </c>
    </row>
    <row r="94" spans="1:70">
      <c r="A94" s="73" t="s">
        <v>1893</v>
      </c>
      <c r="B94" s="73" t="s">
        <v>3812</v>
      </c>
      <c r="C94" s="73" t="s">
        <v>2217</v>
      </c>
      <c r="D94" s="73" t="s">
        <v>3088</v>
      </c>
      <c r="E94" s="73" t="s">
        <v>3088</v>
      </c>
      <c r="F94" s="73" t="s">
        <v>3088</v>
      </c>
      <c r="G94" s="73" t="s">
        <v>3089</v>
      </c>
      <c r="H94" s="73" t="s">
        <v>3088</v>
      </c>
      <c r="I94" s="73" t="s">
        <v>3122</v>
      </c>
      <c r="J94" s="73" t="s">
        <v>3813</v>
      </c>
      <c r="K94" s="73" t="s">
        <v>3089</v>
      </c>
      <c r="L94" s="73" t="s">
        <v>3113</v>
      </c>
      <c r="M94" s="73" t="s">
        <v>3814</v>
      </c>
      <c r="N94" s="73" t="s">
        <v>3089</v>
      </c>
      <c r="O94" s="73" t="s">
        <v>3180</v>
      </c>
      <c r="P94" s="73" t="s">
        <v>3813</v>
      </c>
      <c r="Q94" s="73" t="s">
        <v>3089</v>
      </c>
      <c r="R94" s="73" t="s">
        <v>3088</v>
      </c>
      <c r="S94" s="73" t="s">
        <v>3088</v>
      </c>
      <c r="T94" s="73" t="s">
        <v>3088</v>
      </c>
      <c r="U94" s="73" t="s">
        <v>3088</v>
      </c>
      <c r="V94" s="73" t="s">
        <v>3088</v>
      </c>
      <c r="W94" s="73" t="s">
        <v>3088</v>
      </c>
      <c r="X94" s="73" t="s">
        <v>3088</v>
      </c>
      <c r="Y94" s="73" t="s">
        <v>3088</v>
      </c>
      <c r="Z94" s="73" t="s">
        <v>3088</v>
      </c>
      <c r="AA94" s="73" t="s">
        <v>3088</v>
      </c>
      <c r="AB94" s="73" t="s">
        <v>3088</v>
      </c>
      <c r="AC94" s="73" t="s">
        <v>3088</v>
      </c>
      <c r="AD94" s="73" t="s">
        <v>3088</v>
      </c>
      <c r="AE94" s="73" t="s">
        <v>3088</v>
      </c>
      <c r="AF94" s="73" t="s">
        <v>3088</v>
      </c>
      <c r="AG94" s="73" t="s">
        <v>3088</v>
      </c>
      <c r="AH94" s="73" t="s">
        <v>3088</v>
      </c>
      <c r="AI94" s="73" t="s">
        <v>3088</v>
      </c>
      <c r="AJ94" s="73" t="s">
        <v>3088</v>
      </c>
      <c r="AK94" s="73" t="s">
        <v>3088</v>
      </c>
      <c r="AL94" s="73" t="s">
        <v>3088</v>
      </c>
      <c r="AM94" s="73" t="s">
        <v>3088</v>
      </c>
      <c r="AN94" s="73" t="s">
        <v>3088</v>
      </c>
      <c r="AO94" s="73" t="s">
        <v>3088</v>
      </c>
      <c r="AP94" s="73" t="s">
        <v>3088</v>
      </c>
      <c r="AQ94" s="73" t="s">
        <v>3088</v>
      </c>
      <c r="AR94" s="73" t="s">
        <v>3088</v>
      </c>
      <c r="AS94" s="73" t="s">
        <v>3088</v>
      </c>
      <c r="AT94" s="73" t="s">
        <v>3088</v>
      </c>
      <c r="AU94" s="73" t="s">
        <v>3088</v>
      </c>
      <c r="AV94" s="73" t="s">
        <v>3088</v>
      </c>
      <c r="AW94" s="73" t="s">
        <v>3088</v>
      </c>
      <c r="AX94" s="73" t="s">
        <v>3088</v>
      </c>
      <c r="AY94" s="73" t="s">
        <v>3088</v>
      </c>
      <c r="AZ94" s="73" t="s">
        <v>3088</v>
      </c>
      <c r="BA94" s="73" t="s">
        <v>3088</v>
      </c>
      <c r="BB94" s="73" t="s">
        <v>3088</v>
      </c>
      <c r="BC94" s="73" t="s">
        <v>3088</v>
      </c>
      <c r="BD94" s="73" t="s">
        <v>3088</v>
      </c>
      <c r="BE94" s="73" t="s">
        <v>3088</v>
      </c>
      <c r="BF94" s="73" t="s">
        <v>3088</v>
      </c>
      <c r="BG94" s="73" t="s">
        <v>3088</v>
      </c>
      <c r="BH94" s="73" t="s">
        <v>3088</v>
      </c>
      <c r="BI94" s="73" t="s">
        <v>3088</v>
      </c>
      <c r="BJ94" s="73" t="s">
        <v>3088</v>
      </c>
      <c r="BK94" s="73" t="s">
        <v>3088</v>
      </c>
      <c r="BL94" s="73" t="s">
        <v>3088</v>
      </c>
      <c r="BM94" s="73" t="s">
        <v>3088</v>
      </c>
      <c r="BN94" s="73" t="s">
        <v>3088</v>
      </c>
      <c r="BO94" s="73" t="s">
        <v>3088</v>
      </c>
      <c r="BP94" s="73" t="s">
        <v>3088</v>
      </c>
      <c r="BQ94" s="73" t="s">
        <v>3815</v>
      </c>
      <c r="BR94" s="73" t="s">
        <v>3088</v>
      </c>
    </row>
    <row r="95" spans="1:70">
      <c r="A95" s="73" t="s">
        <v>1893</v>
      </c>
      <c r="B95" s="73" t="s">
        <v>2370</v>
      </c>
      <c r="C95" s="73" t="s">
        <v>2223</v>
      </c>
      <c r="D95" s="73" t="s">
        <v>3088</v>
      </c>
      <c r="E95" s="73" t="s">
        <v>3088</v>
      </c>
      <c r="F95" s="73" t="s">
        <v>3088</v>
      </c>
      <c r="G95" s="73" t="s">
        <v>3089</v>
      </c>
      <c r="H95" s="73" t="s">
        <v>3088</v>
      </c>
      <c r="I95" s="73" t="s">
        <v>543</v>
      </c>
      <c r="J95" s="73" t="s">
        <v>2371</v>
      </c>
      <c r="K95" s="73" t="s">
        <v>3089</v>
      </c>
      <c r="L95" s="73" t="s">
        <v>3088</v>
      </c>
      <c r="M95" s="73" t="s">
        <v>3088</v>
      </c>
      <c r="N95" s="73" t="s">
        <v>3088</v>
      </c>
      <c r="O95" s="73" t="s">
        <v>3088</v>
      </c>
      <c r="P95" s="73" t="s">
        <v>3088</v>
      </c>
      <c r="Q95" s="73" t="s">
        <v>3088</v>
      </c>
      <c r="R95" s="73" t="s">
        <v>3088</v>
      </c>
      <c r="S95" s="73" t="s">
        <v>3088</v>
      </c>
      <c r="T95" s="73" t="s">
        <v>3088</v>
      </c>
      <c r="U95" s="73" t="s">
        <v>3088</v>
      </c>
      <c r="V95" s="73" t="s">
        <v>3088</v>
      </c>
      <c r="W95" s="73" t="s">
        <v>3088</v>
      </c>
      <c r="X95" s="73" t="s">
        <v>3088</v>
      </c>
      <c r="Y95" s="73" t="s">
        <v>3088</v>
      </c>
      <c r="Z95" s="73" t="s">
        <v>3088</v>
      </c>
      <c r="AA95" s="73" t="s">
        <v>3088</v>
      </c>
      <c r="AB95" s="73" t="s">
        <v>3088</v>
      </c>
      <c r="AC95" s="73" t="s">
        <v>3088</v>
      </c>
      <c r="AD95" s="73" t="s">
        <v>3088</v>
      </c>
      <c r="AE95" s="73" t="s">
        <v>3088</v>
      </c>
      <c r="AF95" s="73" t="s">
        <v>3088</v>
      </c>
      <c r="AG95" s="73" t="s">
        <v>3088</v>
      </c>
      <c r="AH95" s="73" t="s">
        <v>3088</v>
      </c>
      <c r="AI95" s="73" t="s">
        <v>3088</v>
      </c>
      <c r="AJ95" s="73" t="s">
        <v>3088</v>
      </c>
      <c r="AK95" s="73" t="s">
        <v>3088</v>
      </c>
      <c r="AL95" s="73" t="s">
        <v>3088</v>
      </c>
      <c r="AM95" s="73" t="s">
        <v>3088</v>
      </c>
      <c r="AN95" s="73" t="s">
        <v>3088</v>
      </c>
      <c r="AO95" s="73" t="s">
        <v>3088</v>
      </c>
      <c r="AP95" s="73" t="s">
        <v>3088</v>
      </c>
      <c r="AQ95" s="73" t="s">
        <v>3088</v>
      </c>
      <c r="AR95" s="73" t="s">
        <v>3088</v>
      </c>
      <c r="AS95" s="73" t="s">
        <v>3088</v>
      </c>
      <c r="AT95" s="73" t="s">
        <v>3088</v>
      </c>
      <c r="AU95" s="73" t="s">
        <v>3088</v>
      </c>
      <c r="AV95" s="73" t="s">
        <v>3088</v>
      </c>
      <c r="AW95" s="73" t="s">
        <v>3088</v>
      </c>
      <c r="AX95" s="73" t="s">
        <v>3088</v>
      </c>
      <c r="AY95" s="73" t="s">
        <v>3088</v>
      </c>
      <c r="AZ95" s="73" t="s">
        <v>3088</v>
      </c>
      <c r="BA95" s="73" t="s">
        <v>3088</v>
      </c>
      <c r="BB95" s="73" t="s">
        <v>3088</v>
      </c>
      <c r="BC95" s="73" t="s">
        <v>3088</v>
      </c>
      <c r="BD95" s="73" t="s">
        <v>3088</v>
      </c>
      <c r="BE95" s="73" t="s">
        <v>3088</v>
      </c>
      <c r="BF95" s="73" t="s">
        <v>3088</v>
      </c>
      <c r="BG95" s="73" t="s">
        <v>3088</v>
      </c>
      <c r="BH95" s="73" t="s">
        <v>3088</v>
      </c>
      <c r="BI95" s="73" t="s">
        <v>3088</v>
      </c>
      <c r="BJ95" s="73" t="s">
        <v>3088</v>
      </c>
      <c r="BK95" s="73" t="s">
        <v>3088</v>
      </c>
      <c r="BL95" s="73" t="s">
        <v>3088</v>
      </c>
      <c r="BM95" s="73" t="s">
        <v>3088</v>
      </c>
      <c r="BN95" s="73" t="s">
        <v>3088</v>
      </c>
      <c r="BO95" s="73" t="s">
        <v>3088</v>
      </c>
      <c r="BP95" s="73" t="s">
        <v>3088</v>
      </c>
      <c r="BQ95" s="73" t="s">
        <v>3816</v>
      </c>
      <c r="BR95" s="73" t="s">
        <v>3088</v>
      </c>
    </row>
    <row r="96" spans="1:70">
      <c r="A96" s="73" t="s">
        <v>1893</v>
      </c>
      <c r="B96" s="73" t="s">
        <v>3817</v>
      </c>
      <c r="C96" s="73" t="s">
        <v>2217</v>
      </c>
      <c r="D96" s="73" t="s">
        <v>3088</v>
      </c>
      <c r="E96" s="73" t="s">
        <v>3088</v>
      </c>
      <c r="F96" s="73" t="s">
        <v>3088</v>
      </c>
      <c r="G96" s="73" t="s">
        <v>3089</v>
      </c>
      <c r="H96" s="73" t="s">
        <v>3088</v>
      </c>
      <c r="I96" s="73" t="s">
        <v>3113</v>
      </c>
      <c r="J96" s="73" t="s">
        <v>3088</v>
      </c>
      <c r="K96" s="73" t="s">
        <v>3088</v>
      </c>
      <c r="L96" s="73" t="s">
        <v>3088</v>
      </c>
      <c r="M96" s="73" t="s">
        <v>3088</v>
      </c>
      <c r="N96" s="73" t="s">
        <v>3088</v>
      </c>
      <c r="O96" s="73" t="s">
        <v>3088</v>
      </c>
      <c r="P96" s="73" t="s">
        <v>3088</v>
      </c>
      <c r="Q96" s="73" t="s">
        <v>3088</v>
      </c>
      <c r="R96" s="73" t="s">
        <v>3088</v>
      </c>
      <c r="S96" s="73" t="s">
        <v>3088</v>
      </c>
      <c r="T96" s="73" t="s">
        <v>3088</v>
      </c>
      <c r="U96" s="73" t="s">
        <v>3088</v>
      </c>
      <c r="V96" s="73" t="s">
        <v>3088</v>
      </c>
      <c r="W96" s="73" t="s">
        <v>3088</v>
      </c>
      <c r="X96" s="73" t="s">
        <v>3088</v>
      </c>
      <c r="Y96" s="73" t="s">
        <v>3088</v>
      </c>
      <c r="Z96" s="73" t="s">
        <v>3088</v>
      </c>
      <c r="AA96" s="73" t="s">
        <v>3088</v>
      </c>
      <c r="AB96" s="73" t="s">
        <v>3088</v>
      </c>
      <c r="AC96" s="73" t="s">
        <v>3088</v>
      </c>
      <c r="AD96" s="73" t="s">
        <v>3088</v>
      </c>
      <c r="AE96" s="73" t="s">
        <v>3088</v>
      </c>
      <c r="AF96" s="73" t="s">
        <v>3088</v>
      </c>
      <c r="AG96" s="73" t="s">
        <v>3088</v>
      </c>
      <c r="AH96" s="73" t="s">
        <v>3088</v>
      </c>
      <c r="AI96" s="73" t="s">
        <v>3088</v>
      </c>
      <c r="AJ96" s="73" t="s">
        <v>3088</v>
      </c>
      <c r="AK96" s="73" t="s">
        <v>3088</v>
      </c>
      <c r="AL96" s="73" t="s">
        <v>3088</v>
      </c>
      <c r="AM96" s="73" t="s">
        <v>3088</v>
      </c>
      <c r="AN96" s="73" t="s">
        <v>3088</v>
      </c>
      <c r="AO96" s="73" t="s">
        <v>3088</v>
      </c>
      <c r="AP96" s="73" t="s">
        <v>3088</v>
      </c>
      <c r="AQ96" s="73" t="s">
        <v>3088</v>
      </c>
      <c r="AR96" s="73" t="s">
        <v>3088</v>
      </c>
      <c r="AS96" s="73" t="s">
        <v>3088</v>
      </c>
      <c r="AT96" s="73" t="s">
        <v>3088</v>
      </c>
      <c r="AU96" s="73" t="s">
        <v>3088</v>
      </c>
      <c r="AV96" s="73" t="s">
        <v>3088</v>
      </c>
      <c r="AW96" s="73" t="s">
        <v>3088</v>
      </c>
      <c r="AX96" s="73" t="s">
        <v>3088</v>
      </c>
      <c r="AY96" s="73" t="s">
        <v>3088</v>
      </c>
      <c r="AZ96" s="73" t="s">
        <v>3088</v>
      </c>
      <c r="BA96" s="73" t="s">
        <v>3088</v>
      </c>
      <c r="BB96" s="73" t="s">
        <v>3088</v>
      </c>
      <c r="BC96" s="73" t="s">
        <v>3088</v>
      </c>
      <c r="BD96" s="73" t="s">
        <v>3088</v>
      </c>
      <c r="BE96" s="73" t="s">
        <v>3088</v>
      </c>
      <c r="BF96" s="73" t="s">
        <v>3088</v>
      </c>
      <c r="BG96" s="73" t="s">
        <v>3088</v>
      </c>
      <c r="BH96" s="73" t="s">
        <v>3088</v>
      </c>
      <c r="BI96" s="73" t="s">
        <v>3088</v>
      </c>
      <c r="BJ96" s="73" t="s">
        <v>3088</v>
      </c>
      <c r="BK96" s="73" t="s">
        <v>3088</v>
      </c>
      <c r="BL96" s="73" t="s">
        <v>3088</v>
      </c>
      <c r="BM96" s="73" t="s">
        <v>3088</v>
      </c>
      <c r="BN96" s="73" t="s">
        <v>3088</v>
      </c>
      <c r="BO96" s="73" t="s">
        <v>3088</v>
      </c>
      <c r="BP96" s="73" t="s">
        <v>3088</v>
      </c>
      <c r="BQ96" s="73" t="s">
        <v>3818</v>
      </c>
      <c r="BR96" s="73" t="s">
        <v>3088</v>
      </c>
    </row>
    <row r="97" spans="1:70">
      <c r="A97" s="73" t="s">
        <v>1893</v>
      </c>
      <c r="B97" s="73" t="s">
        <v>2372</v>
      </c>
      <c r="C97" s="73" t="s">
        <v>2220</v>
      </c>
      <c r="D97" s="73" t="s">
        <v>3088</v>
      </c>
      <c r="E97" s="73" t="s">
        <v>3088</v>
      </c>
      <c r="F97" s="73" t="s">
        <v>3088</v>
      </c>
      <c r="G97" s="73" t="s">
        <v>3089</v>
      </c>
      <c r="H97" s="73" t="s">
        <v>3088</v>
      </c>
      <c r="I97" s="73" t="s">
        <v>3122</v>
      </c>
      <c r="J97" s="73" t="s">
        <v>3819</v>
      </c>
      <c r="K97" s="73" t="s">
        <v>3095</v>
      </c>
      <c r="L97" s="73" t="s">
        <v>543</v>
      </c>
      <c r="M97" s="73" t="s">
        <v>3819</v>
      </c>
      <c r="N97" s="73" t="s">
        <v>3095</v>
      </c>
      <c r="O97" s="73" t="s">
        <v>2916</v>
      </c>
      <c r="P97" s="73" t="s">
        <v>3819</v>
      </c>
      <c r="Q97" s="73" t="s">
        <v>3095</v>
      </c>
      <c r="R97" s="73" t="s">
        <v>3013</v>
      </c>
      <c r="S97" s="73" t="s">
        <v>3819</v>
      </c>
      <c r="T97" s="73" t="s">
        <v>3095</v>
      </c>
      <c r="U97" s="73" t="s">
        <v>3113</v>
      </c>
      <c r="V97" s="73" t="s">
        <v>3820</v>
      </c>
      <c r="W97" s="73" t="s">
        <v>3095</v>
      </c>
      <c r="X97" s="73" t="s">
        <v>3088</v>
      </c>
      <c r="Y97" s="73" t="s">
        <v>3088</v>
      </c>
      <c r="Z97" s="73" t="s">
        <v>3088</v>
      </c>
      <c r="AA97" s="73" t="s">
        <v>3088</v>
      </c>
      <c r="AB97" s="73" t="s">
        <v>3088</v>
      </c>
      <c r="AC97" s="73" t="s">
        <v>3088</v>
      </c>
      <c r="AD97" s="73" t="s">
        <v>3088</v>
      </c>
      <c r="AE97" s="73" t="s">
        <v>3088</v>
      </c>
      <c r="AF97" s="73" t="s">
        <v>3088</v>
      </c>
      <c r="AG97" s="73" t="s">
        <v>3088</v>
      </c>
      <c r="AH97" s="73" t="s">
        <v>3088</v>
      </c>
      <c r="AI97" s="73" t="s">
        <v>3088</v>
      </c>
      <c r="AJ97" s="73" t="s">
        <v>3088</v>
      </c>
      <c r="AK97" s="73" t="s">
        <v>3088</v>
      </c>
      <c r="AL97" s="73" t="s">
        <v>3088</v>
      </c>
      <c r="AM97" s="73" t="s">
        <v>3088</v>
      </c>
      <c r="AN97" s="73" t="s">
        <v>3088</v>
      </c>
      <c r="AO97" s="73" t="s">
        <v>3088</v>
      </c>
      <c r="AP97" s="73" t="s">
        <v>3088</v>
      </c>
      <c r="AQ97" s="73" t="s">
        <v>3088</v>
      </c>
      <c r="AR97" s="73" t="s">
        <v>3088</v>
      </c>
      <c r="AS97" s="73" t="s">
        <v>3088</v>
      </c>
      <c r="AT97" s="73" t="s">
        <v>3088</v>
      </c>
      <c r="AU97" s="73" t="s">
        <v>3088</v>
      </c>
      <c r="AV97" s="73" t="s">
        <v>3088</v>
      </c>
      <c r="AW97" s="73" t="s">
        <v>3088</v>
      </c>
      <c r="AX97" s="73" t="s">
        <v>3088</v>
      </c>
      <c r="AY97" s="73" t="s">
        <v>3088</v>
      </c>
      <c r="AZ97" s="73" t="s">
        <v>3088</v>
      </c>
      <c r="BA97" s="73" t="s">
        <v>3088</v>
      </c>
      <c r="BB97" s="73" t="s">
        <v>3088</v>
      </c>
      <c r="BC97" s="73" t="s">
        <v>3088</v>
      </c>
      <c r="BD97" s="73" t="s">
        <v>3088</v>
      </c>
      <c r="BE97" s="73" t="s">
        <v>3088</v>
      </c>
      <c r="BF97" s="73" t="s">
        <v>3088</v>
      </c>
      <c r="BG97" s="73" t="s">
        <v>3088</v>
      </c>
      <c r="BH97" s="73" t="s">
        <v>3088</v>
      </c>
      <c r="BI97" s="73" t="s">
        <v>3088</v>
      </c>
      <c r="BJ97" s="73" t="s">
        <v>3088</v>
      </c>
      <c r="BK97" s="73" t="s">
        <v>3088</v>
      </c>
      <c r="BL97" s="73" t="s">
        <v>3088</v>
      </c>
      <c r="BM97" s="73" t="s">
        <v>3088</v>
      </c>
      <c r="BN97" s="73" t="s">
        <v>3088</v>
      </c>
      <c r="BO97" s="73" t="s">
        <v>3088</v>
      </c>
      <c r="BP97" s="73" t="s">
        <v>3088</v>
      </c>
      <c r="BQ97" s="73" t="s">
        <v>3821</v>
      </c>
      <c r="BR97" s="73" t="s">
        <v>3097</v>
      </c>
    </row>
    <row r="98" spans="1:70">
      <c r="A98" s="73" t="s">
        <v>1893</v>
      </c>
      <c r="B98" s="73" t="s">
        <v>3822</v>
      </c>
      <c r="C98" s="73" t="s">
        <v>3823</v>
      </c>
      <c r="D98" s="73" t="s">
        <v>3088</v>
      </c>
      <c r="E98" s="73" t="s">
        <v>3088</v>
      </c>
      <c r="F98" s="73" t="s">
        <v>3088</v>
      </c>
      <c r="G98" s="73" t="s">
        <v>3089</v>
      </c>
      <c r="H98" s="73" t="s">
        <v>3088</v>
      </c>
      <c r="I98" s="73" t="s">
        <v>3180</v>
      </c>
      <c r="J98" s="73" t="s">
        <v>3824</v>
      </c>
      <c r="K98" s="73" t="s">
        <v>3089</v>
      </c>
      <c r="L98" s="73" t="s">
        <v>3088</v>
      </c>
      <c r="M98" s="73" t="s">
        <v>3088</v>
      </c>
      <c r="N98" s="73" t="s">
        <v>3088</v>
      </c>
      <c r="O98" s="73" t="s">
        <v>3088</v>
      </c>
      <c r="P98" s="73" t="s">
        <v>3088</v>
      </c>
      <c r="Q98" s="73" t="s">
        <v>3088</v>
      </c>
      <c r="R98" s="73" t="s">
        <v>3088</v>
      </c>
      <c r="S98" s="73" t="s">
        <v>3088</v>
      </c>
      <c r="T98" s="73" t="s">
        <v>3088</v>
      </c>
      <c r="U98" s="73" t="s">
        <v>3088</v>
      </c>
      <c r="V98" s="73" t="s">
        <v>3088</v>
      </c>
      <c r="W98" s="73" t="s">
        <v>3088</v>
      </c>
      <c r="X98" s="73" t="s">
        <v>3088</v>
      </c>
      <c r="Y98" s="73" t="s">
        <v>3088</v>
      </c>
      <c r="Z98" s="73" t="s">
        <v>3088</v>
      </c>
      <c r="AA98" s="73" t="s">
        <v>3088</v>
      </c>
      <c r="AB98" s="73" t="s">
        <v>3088</v>
      </c>
      <c r="AC98" s="73" t="s">
        <v>3088</v>
      </c>
      <c r="AD98" s="73" t="s">
        <v>3088</v>
      </c>
      <c r="AE98" s="73" t="s">
        <v>3088</v>
      </c>
      <c r="AF98" s="73" t="s">
        <v>3088</v>
      </c>
      <c r="AG98" s="73" t="s">
        <v>3088</v>
      </c>
      <c r="AH98" s="73" t="s">
        <v>3088</v>
      </c>
      <c r="AI98" s="73" t="s">
        <v>3088</v>
      </c>
      <c r="AJ98" s="73" t="s">
        <v>3088</v>
      </c>
      <c r="AK98" s="73" t="s">
        <v>3088</v>
      </c>
      <c r="AL98" s="73" t="s">
        <v>3088</v>
      </c>
      <c r="AM98" s="73" t="s">
        <v>3088</v>
      </c>
      <c r="AN98" s="73" t="s">
        <v>3088</v>
      </c>
      <c r="AO98" s="73" t="s">
        <v>3088</v>
      </c>
      <c r="AP98" s="73" t="s">
        <v>3088</v>
      </c>
      <c r="AQ98" s="73" t="s">
        <v>3088</v>
      </c>
      <c r="AR98" s="73" t="s">
        <v>3088</v>
      </c>
      <c r="AS98" s="73" t="s">
        <v>3088</v>
      </c>
      <c r="AT98" s="73" t="s">
        <v>3088</v>
      </c>
      <c r="AU98" s="73" t="s">
        <v>3088</v>
      </c>
      <c r="AV98" s="73" t="s">
        <v>3088</v>
      </c>
      <c r="AW98" s="73" t="s">
        <v>3088</v>
      </c>
      <c r="AX98" s="73" t="s">
        <v>3088</v>
      </c>
      <c r="AY98" s="73" t="s">
        <v>3088</v>
      </c>
      <c r="AZ98" s="73" t="s">
        <v>3088</v>
      </c>
      <c r="BA98" s="73" t="s">
        <v>3088</v>
      </c>
      <c r="BB98" s="73" t="s">
        <v>3088</v>
      </c>
      <c r="BC98" s="73" t="s">
        <v>3088</v>
      </c>
      <c r="BD98" s="73" t="s">
        <v>3088</v>
      </c>
      <c r="BE98" s="73" t="s">
        <v>3088</v>
      </c>
      <c r="BF98" s="73" t="s">
        <v>3088</v>
      </c>
      <c r="BG98" s="73" t="s">
        <v>3088</v>
      </c>
      <c r="BH98" s="73" t="s">
        <v>3088</v>
      </c>
      <c r="BI98" s="73" t="s">
        <v>3088</v>
      </c>
      <c r="BJ98" s="73" t="s">
        <v>3088</v>
      </c>
      <c r="BK98" s="73" t="s">
        <v>3088</v>
      </c>
      <c r="BL98" s="73" t="s">
        <v>3088</v>
      </c>
      <c r="BM98" s="73" t="s">
        <v>3088</v>
      </c>
      <c r="BN98" s="73" t="s">
        <v>3088</v>
      </c>
      <c r="BO98" s="73" t="s">
        <v>3088</v>
      </c>
      <c r="BP98" s="73" t="s">
        <v>3088</v>
      </c>
      <c r="BQ98" s="73" t="s">
        <v>3825</v>
      </c>
      <c r="BR98" s="73" t="s">
        <v>3088</v>
      </c>
    </row>
    <row r="99" spans="1:70">
      <c r="A99" s="73" t="s">
        <v>1893</v>
      </c>
      <c r="B99" s="73" t="s">
        <v>2328</v>
      </c>
      <c r="C99" s="73" t="s">
        <v>2217</v>
      </c>
      <c r="D99" s="73" t="s">
        <v>3088</v>
      </c>
      <c r="E99" s="73" t="s">
        <v>3088</v>
      </c>
      <c r="F99" s="73" t="s">
        <v>3088</v>
      </c>
      <c r="G99" s="73" t="s">
        <v>3089</v>
      </c>
      <c r="H99" s="73" t="s">
        <v>3088</v>
      </c>
      <c r="I99" s="73" t="s">
        <v>2309</v>
      </c>
      <c r="J99" s="73" t="s">
        <v>2329</v>
      </c>
      <c r="K99" s="73" t="s">
        <v>3089</v>
      </c>
      <c r="L99" s="73" t="s">
        <v>3088</v>
      </c>
      <c r="M99" s="73" t="s">
        <v>3088</v>
      </c>
      <c r="N99" s="73" t="s">
        <v>3088</v>
      </c>
      <c r="O99" s="73" t="s">
        <v>3088</v>
      </c>
      <c r="P99" s="73" t="s">
        <v>3088</v>
      </c>
      <c r="Q99" s="73" t="s">
        <v>3088</v>
      </c>
      <c r="R99" s="73" t="s">
        <v>3088</v>
      </c>
      <c r="S99" s="73" t="s">
        <v>3088</v>
      </c>
      <c r="T99" s="73" t="s">
        <v>3088</v>
      </c>
      <c r="U99" s="73" t="s">
        <v>3088</v>
      </c>
      <c r="V99" s="73" t="s">
        <v>3088</v>
      </c>
      <c r="W99" s="73" t="s">
        <v>3088</v>
      </c>
      <c r="X99" s="73" t="s">
        <v>3088</v>
      </c>
      <c r="Y99" s="73" t="s">
        <v>3088</v>
      </c>
      <c r="Z99" s="73" t="s">
        <v>3088</v>
      </c>
      <c r="AA99" s="73" t="s">
        <v>3088</v>
      </c>
      <c r="AB99" s="73" t="s">
        <v>3088</v>
      </c>
      <c r="AC99" s="73" t="s">
        <v>3088</v>
      </c>
      <c r="AD99" s="73" t="s">
        <v>3088</v>
      </c>
      <c r="AE99" s="73" t="s">
        <v>3088</v>
      </c>
      <c r="AF99" s="73" t="s">
        <v>3088</v>
      </c>
      <c r="AG99" s="73" t="s">
        <v>3088</v>
      </c>
      <c r="AH99" s="73" t="s">
        <v>3088</v>
      </c>
      <c r="AI99" s="73" t="s">
        <v>3088</v>
      </c>
      <c r="AJ99" s="73" t="s">
        <v>3088</v>
      </c>
      <c r="AK99" s="73" t="s">
        <v>3088</v>
      </c>
      <c r="AL99" s="73" t="s">
        <v>3088</v>
      </c>
      <c r="AM99" s="73" t="s">
        <v>3088</v>
      </c>
      <c r="AN99" s="73" t="s">
        <v>3088</v>
      </c>
      <c r="AO99" s="73" t="s">
        <v>3088</v>
      </c>
      <c r="AP99" s="73" t="s">
        <v>3088</v>
      </c>
      <c r="AQ99" s="73" t="s">
        <v>3088</v>
      </c>
      <c r="AR99" s="73" t="s">
        <v>3088</v>
      </c>
      <c r="AS99" s="73" t="s">
        <v>3088</v>
      </c>
      <c r="AT99" s="73" t="s">
        <v>3088</v>
      </c>
      <c r="AU99" s="73" t="s">
        <v>3088</v>
      </c>
      <c r="AV99" s="73" t="s">
        <v>3088</v>
      </c>
      <c r="AW99" s="73" t="s">
        <v>3088</v>
      </c>
      <c r="AX99" s="73" t="s">
        <v>3088</v>
      </c>
      <c r="AY99" s="73" t="s">
        <v>3088</v>
      </c>
      <c r="AZ99" s="73" t="s">
        <v>3088</v>
      </c>
      <c r="BA99" s="73" t="s">
        <v>3088</v>
      </c>
      <c r="BB99" s="73" t="s">
        <v>3088</v>
      </c>
      <c r="BC99" s="73" t="s">
        <v>3088</v>
      </c>
      <c r="BD99" s="73" t="s">
        <v>3088</v>
      </c>
      <c r="BE99" s="73" t="s">
        <v>3088</v>
      </c>
      <c r="BF99" s="73" t="s">
        <v>3088</v>
      </c>
      <c r="BG99" s="73" t="s">
        <v>3088</v>
      </c>
      <c r="BH99" s="73" t="s">
        <v>3088</v>
      </c>
      <c r="BI99" s="73" t="s">
        <v>3088</v>
      </c>
      <c r="BJ99" s="73" t="s">
        <v>3088</v>
      </c>
      <c r="BK99" s="73" t="s">
        <v>3088</v>
      </c>
      <c r="BL99" s="73" t="s">
        <v>3088</v>
      </c>
      <c r="BM99" s="73" t="s">
        <v>3088</v>
      </c>
      <c r="BN99" s="73" t="s">
        <v>3088</v>
      </c>
      <c r="BO99" s="73" t="s">
        <v>3088</v>
      </c>
      <c r="BP99" s="73" t="s">
        <v>3088</v>
      </c>
      <c r="BQ99" s="73" t="s">
        <v>3826</v>
      </c>
      <c r="BR99" s="73" t="s">
        <v>3088</v>
      </c>
    </row>
    <row r="100" spans="1:70">
      <c r="A100" s="73" t="s">
        <v>1893</v>
      </c>
      <c r="B100" s="73" t="s">
        <v>2330</v>
      </c>
      <c r="C100" s="73" t="s">
        <v>2331</v>
      </c>
      <c r="D100" s="73" t="s">
        <v>3088</v>
      </c>
      <c r="E100" s="73" t="s">
        <v>3088</v>
      </c>
      <c r="F100" s="73" t="s">
        <v>3088</v>
      </c>
      <c r="G100" s="73" t="s">
        <v>3089</v>
      </c>
      <c r="H100" s="73" t="s">
        <v>3088</v>
      </c>
      <c r="I100" s="73" t="s">
        <v>2309</v>
      </c>
      <c r="J100" s="73" t="s">
        <v>2332</v>
      </c>
      <c r="K100" s="73" t="s">
        <v>3095</v>
      </c>
      <c r="L100" s="73" t="s">
        <v>3088</v>
      </c>
      <c r="M100" s="73" t="s">
        <v>3088</v>
      </c>
      <c r="N100" s="73" t="s">
        <v>3088</v>
      </c>
      <c r="O100" s="73" t="s">
        <v>3088</v>
      </c>
      <c r="P100" s="73" t="s">
        <v>3088</v>
      </c>
      <c r="Q100" s="73" t="s">
        <v>3088</v>
      </c>
      <c r="R100" s="73" t="s">
        <v>3088</v>
      </c>
      <c r="S100" s="73" t="s">
        <v>3088</v>
      </c>
      <c r="T100" s="73" t="s">
        <v>3088</v>
      </c>
      <c r="U100" s="73" t="s">
        <v>3088</v>
      </c>
      <c r="V100" s="73" t="s">
        <v>3088</v>
      </c>
      <c r="W100" s="73" t="s">
        <v>3088</v>
      </c>
      <c r="X100" s="73" t="s">
        <v>3088</v>
      </c>
      <c r="Y100" s="73" t="s">
        <v>3088</v>
      </c>
      <c r="Z100" s="73" t="s">
        <v>3088</v>
      </c>
      <c r="AA100" s="73" t="s">
        <v>3088</v>
      </c>
      <c r="AB100" s="73" t="s">
        <v>3088</v>
      </c>
      <c r="AC100" s="73" t="s">
        <v>3088</v>
      </c>
      <c r="AD100" s="73" t="s">
        <v>3088</v>
      </c>
      <c r="AE100" s="73" t="s">
        <v>3088</v>
      </c>
      <c r="AF100" s="73" t="s">
        <v>3088</v>
      </c>
      <c r="AG100" s="73" t="s">
        <v>3088</v>
      </c>
      <c r="AH100" s="73" t="s">
        <v>3088</v>
      </c>
      <c r="AI100" s="73" t="s">
        <v>3088</v>
      </c>
      <c r="AJ100" s="73" t="s">
        <v>3088</v>
      </c>
      <c r="AK100" s="73" t="s">
        <v>3088</v>
      </c>
      <c r="AL100" s="73" t="s">
        <v>3088</v>
      </c>
      <c r="AM100" s="73" t="s">
        <v>3088</v>
      </c>
      <c r="AN100" s="73" t="s">
        <v>3088</v>
      </c>
      <c r="AO100" s="73" t="s">
        <v>3088</v>
      </c>
      <c r="AP100" s="73" t="s">
        <v>3088</v>
      </c>
      <c r="AQ100" s="73" t="s">
        <v>3088</v>
      </c>
      <c r="AR100" s="73" t="s">
        <v>3088</v>
      </c>
      <c r="AS100" s="73" t="s">
        <v>3088</v>
      </c>
      <c r="AT100" s="73" t="s">
        <v>3088</v>
      </c>
      <c r="AU100" s="73" t="s">
        <v>3088</v>
      </c>
      <c r="AV100" s="73" t="s">
        <v>3088</v>
      </c>
      <c r="AW100" s="73" t="s">
        <v>3088</v>
      </c>
      <c r="AX100" s="73" t="s">
        <v>3088</v>
      </c>
      <c r="AY100" s="73" t="s">
        <v>3088</v>
      </c>
      <c r="AZ100" s="73" t="s">
        <v>3088</v>
      </c>
      <c r="BA100" s="73" t="s">
        <v>3088</v>
      </c>
      <c r="BB100" s="73" t="s">
        <v>3088</v>
      </c>
      <c r="BC100" s="73" t="s">
        <v>3088</v>
      </c>
      <c r="BD100" s="73" t="s">
        <v>3088</v>
      </c>
      <c r="BE100" s="73" t="s">
        <v>3088</v>
      </c>
      <c r="BF100" s="73" t="s">
        <v>3088</v>
      </c>
      <c r="BG100" s="73" t="s">
        <v>3088</v>
      </c>
      <c r="BH100" s="73" t="s">
        <v>3088</v>
      </c>
      <c r="BI100" s="73" t="s">
        <v>3088</v>
      </c>
      <c r="BJ100" s="73" t="s">
        <v>3088</v>
      </c>
      <c r="BK100" s="73" t="s">
        <v>3088</v>
      </c>
      <c r="BL100" s="73" t="s">
        <v>3088</v>
      </c>
      <c r="BM100" s="73" t="s">
        <v>3088</v>
      </c>
      <c r="BN100" s="73" t="s">
        <v>3088</v>
      </c>
      <c r="BO100" s="73" t="s">
        <v>3088</v>
      </c>
      <c r="BP100" s="73" t="s">
        <v>3088</v>
      </c>
      <c r="BQ100" s="73" t="s">
        <v>3827</v>
      </c>
      <c r="BR100" s="73" t="s">
        <v>3097</v>
      </c>
    </row>
    <row r="101" spans="1:70">
      <c r="A101" s="73" t="s">
        <v>1893</v>
      </c>
      <c r="B101" s="73" t="s">
        <v>2216</v>
      </c>
      <c r="C101" s="73" t="s">
        <v>2217</v>
      </c>
      <c r="D101" s="73" t="s">
        <v>3088</v>
      </c>
      <c r="E101" s="73" t="s">
        <v>3088</v>
      </c>
      <c r="F101" s="73" t="s">
        <v>3088</v>
      </c>
      <c r="G101" s="73" t="s">
        <v>3089</v>
      </c>
      <c r="H101" s="73" t="s">
        <v>3088</v>
      </c>
      <c r="I101" s="73" t="s">
        <v>2193</v>
      </c>
      <c r="J101" s="73" t="s">
        <v>2218</v>
      </c>
      <c r="K101" s="73" t="s">
        <v>3089</v>
      </c>
      <c r="L101" s="73" t="s">
        <v>3088</v>
      </c>
      <c r="M101" s="73" t="s">
        <v>3088</v>
      </c>
      <c r="N101" s="73" t="s">
        <v>3088</v>
      </c>
      <c r="O101" s="73" t="s">
        <v>3088</v>
      </c>
      <c r="P101" s="73" t="s">
        <v>3088</v>
      </c>
      <c r="Q101" s="73" t="s">
        <v>3088</v>
      </c>
      <c r="R101" s="73" t="s">
        <v>3088</v>
      </c>
      <c r="S101" s="73" t="s">
        <v>3088</v>
      </c>
      <c r="T101" s="73" t="s">
        <v>3088</v>
      </c>
      <c r="U101" s="73" t="s">
        <v>3088</v>
      </c>
      <c r="V101" s="73" t="s">
        <v>3088</v>
      </c>
      <c r="W101" s="73" t="s">
        <v>3088</v>
      </c>
      <c r="X101" s="73" t="s">
        <v>3088</v>
      </c>
      <c r="Y101" s="73" t="s">
        <v>3088</v>
      </c>
      <c r="Z101" s="73" t="s">
        <v>3088</v>
      </c>
      <c r="AA101" s="73" t="s">
        <v>3088</v>
      </c>
      <c r="AB101" s="73" t="s">
        <v>3088</v>
      </c>
      <c r="AC101" s="73" t="s">
        <v>3088</v>
      </c>
      <c r="AD101" s="73" t="s">
        <v>3088</v>
      </c>
      <c r="AE101" s="73" t="s">
        <v>3088</v>
      </c>
      <c r="AF101" s="73" t="s">
        <v>3088</v>
      </c>
      <c r="AG101" s="73" t="s">
        <v>3088</v>
      </c>
      <c r="AH101" s="73" t="s">
        <v>3088</v>
      </c>
      <c r="AI101" s="73" t="s">
        <v>3088</v>
      </c>
      <c r="AJ101" s="73" t="s">
        <v>3088</v>
      </c>
      <c r="AK101" s="73" t="s">
        <v>3088</v>
      </c>
      <c r="AL101" s="73" t="s">
        <v>3088</v>
      </c>
      <c r="AM101" s="73" t="s">
        <v>3088</v>
      </c>
      <c r="AN101" s="73" t="s">
        <v>3088</v>
      </c>
      <c r="AO101" s="73" t="s">
        <v>3088</v>
      </c>
      <c r="AP101" s="73" t="s">
        <v>3088</v>
      </c>
      <c r="AQ101" s="73" t="s">
        <v>3088</v>
      </c>
      <c r="AR101" s="73" t="s">
        <v>3088</v>
      </c>
      <c r="AS101" s="73" t="s">
        <v>3088</v>
      </c>
      <c r="AT101" s="73" t="s">
        <v>3088</v>
      </c>
      <c r="AU101" s="73" t="s">
        <v>3088</v>
      </c>
      <c r="AV101" s="73" t="s">
        <v>3088</v>
      </c>
      <c r="AW101" s="73" t="s">
        <v>3088</v>
      </c>
      <c r="AX101" s="73" t="s">
        <v>3088</v>
      </c>
      <c r="AY101" s="73" t="s">
        <v>3088</v>
      </c>
      <c r="AZ101" s="73" t="s">
        <v>3088</v>
      </c>
      <c r="BA101" s="73" t="s">
        <v>3088</v>
      </c>
      <c r="BB101" s="73" t="s">
        <v>3088</v>
      </c>
      <c r="BC101" s="73" t="s">
        <v>3088</v>
      </c>
      <c r="BD101" s="73" t="s">
        <v>3088</v>
      </c>
      <c r="BE101" s="73" t="s">
        <v>3088</v>
      </c>
      <c r="BF101" s="73" t="s">
        <v>3088</v>
      </c>
      <c r="BG101" s="73" t="s">
        <v>3088</v>
      </c>
      <c r="BH101" s="73" t="s">
        <v>3088</v>
      </c>
      <c r="BI101" s="73" t="s">
        <v>3088</v>
      </c>
      <c r="BJ101" s="73" t="s">
        <v>3088</v>
      </c>
      <c r="BK101" s="73" t="s">
        <v>3088</v>
      </c>
      <c r="BL101" s="73" t="s">
        <v>3088</v>
      </c>
      <c r="BM101" s="73" t="s">
        <v>3088</v>
      </c>
      <c r="BN101" s="73" t="s">
        <v>3088</v>
      </c>
      <c r="BO101" s="73" t="s">
        <v>3088</v>
      </c>
      <c r="BP101" s="73" t="s">
        <v>3088</v>
      </c>
      <c r="BQ101" s="73" t="s">
        <v>3828</v>
      </c>
      <c r="BR101" s="73" t="s">
        <v>3088</v>
      </c>
    </row>
    <row r="102" spans="1:70">
      <c r="A102" s="73" t="s">
        <v>1893</v>
      </c>
      <c r="B102" s="73" t="s">
        <v>2219</v>
      </c>
      <c r="C102" s="73" t="s">
        <v>2220</v>
      </c>
      <c r="D102" s="73" t="s">
        <v>3088</v>
      </c>
      <c r="E102" s="73" t="s">
        <v>3088</v>
      </c>
      <c r="F102" s="73" t="s">
        <v>3088</v>
      </c>
      <c r="G102" s="73" t="s">
        <v>3089</v>
      </c>
      <c r="H102" s="73" t="s">
        <v>3088</v>
      </c>
      <c r="I102" s="73" t="s">
        <v>108</v>
      </c>
      <c r="J102" s="73" t="s">
        <v>2221</v>
      </c>
      <c r="K102" s="73" t="s">
        <v>3095</v>
      </c>
      <c r="L102" s="73" t="s">
        <v>3088</v>
      </c>
      <c r="M102" s="73" t="s">
        <v>3088</v>
      </c>
      <c r="N102" s="73" t="s">
        <v>3088</v>
      </c>
      <c r="O102" s="73" t="s">
        <v>3088</v>
      </c>
      <c r="P102" s="73" t="s">
        <v>3088</v>
      </c>
      <c r="Q102" s="73" t="s">
        <v>3088</v>
      </c>
      <c r="R102" s="73" t="s">
        <v>3088</v>
      </c>
      <c r="S102" s="73" t="s">
        <v>3088</v>
      </c>
      <c r="T102" s="73" t="s">
        <v>3088</v>
      </c>
      <c r="U102" s="73" t="s">
        <v>3088</v>
      </c>
      <c r="V102" s="73" t="s">
        <v>3088</v>
      </c>
      <c r="W102" s="73" t="s">
        <v>3088</v>
      </c>
      <c r="X102" s="73" t="s">
        <v>3088</v>
      </c>
      <c r="Y102" s="73" t="s">
        <v>3088</v>
      </c>
      <c r="Z102" s="73" t="s">
        <v>3088</v>
      </c>
      <c r="AA102" s="73" t="s">
        <v>3088</v>
      </c>
      <c r="AB102" s="73" t="s">
        <v>3088</v>
      </c>
      <c r="AC102" s="73" t="s">
        <v>3088</v>
      </c>
      <c r="AD102" s="73" t="s">
        <v>3088</v>
      </c>
      <c r="AE102" s="73" t="s">
        <v>3088</v>
      </c>
      <c r="AF102" s="73" t="s">
        <v>3088</v>
      </c>
      <c r="AG102" s="73" t="s">
        <v>3088</v>
      </c>
      <c r="AH102" s="73" t="s">
        <v>3088</v>
      </c>
      <c r="AI102" s="73" t="s">
        <v>3088</v>
      </c>
      <c r="AJ102" s="73" t="s">
        <v>3088</v>
      </c>
      <c r="AK102" s="73" t="s">
        <v>3088</v>
      </c>
      <c r="AL102" s="73" t="s">
        <v>3088</v>
      </c>
      <c r="AM102" s="73" t="s">
        <v>3088</v>
      </c>
      <c r="AN102" s="73" t="s">
        <v>3088</v>
      </c>
      <c r="AO102" s="73" t="s">
        <v>3088</v>
      </c>
      <c r="AP102" s="73" t="s">
        <v>3088</v>
      </c>
      <c r="AQ102" s="73" t="s">
        <v>3088</v>
      </c>
      <c r="AR102" s="73" t="s">
        <v>3088</v>
      </c>
      <c r="AS102" s="73" t="s">
        <v>3088</v>
      </c>
      <c r="AT102" s="73" t="s">
        <v>3088</v>
      </c>
      <c r="AU102" s="73" t="s">
        <v>3088</v>
      </c>
      <c r="AV102" s="73" t="s">
        <v>3088</v>
      </c>
      <c r="AW102" s="73" t="s">
        <v>3088</v>
      </c>
      <c r="AX102" s="73" t="s">
        <v>3088</v>
      </c>
      <c r="AY102" s="73" t="s">
        <v>3088</v>
      </c>
      <c r="AZ102" s="73" t="s">
        <v>3088</v>
      </c>
      <c r="BA102" s="73" t="s">
        <v>3088</v>
      </c>
      <c r="BB102" s="73" t="s">
        <v>3088</v>
      </c>
      <c r="BC102" s="73" t="s">
        <v>3088</v>
      </c>
      <c r="BD102" s="73" t="s">
        <v>3088</v>
      </c>
      <c r="BE102" s="73" t="s">
        <v>3088</v>
      </c>
      <c r="BF102" s="73" t="s">
        <v>3088</v>
      </c>
      <c r="BG102" s="73" t="s">
        <v>3088</v>
      </c>
      <c r="BH102" s="73" t="s">
        <v>3088</v>
      </c>
      <c r="BI102" s="73" t="s">
        <v>3088</v>
      </c>
      <c r="BJ102" s="73" t="s">
        <v>3088</v>
      </c>
      <c r="BK102" s="73" t="s">
        <v>3088</v>
      </c>
      <c r="BL102" s="73" t="s">
        <v>3088</v>
      </c>
      <c r="BM102" s="73" t="s">
        <v>3088</v>
      </c>
      <c r="BN102" s="73" t="s">
        <v>3088</v>
      </c>
      <c r="BO102" s="73" t="s">
        <v>3088</v>
      </c>
      <c r="BP102" s="73" t="s">
        <v>3088</v>
      </c>
      <c r="BQ102" s="73" t="s">
        <v>3829</v>
      </c>
      <c r="BR102" s="73" t="s">
        <v>3097</v>
      </c>
    </row>
    <row r="103" spans="1:70">
      <c r="A103" s="73" t="s">
        <v>1893</v>
      </c>
      <c r="B103" s="73" t="s">
        <v>2222</v>
      </c>
      <c r="C103" s="73" t="s">
        <v>2223</v>
      </c>
      <c r="D103" s="73" t="s">
        <v>3088</v>
      </c>
      <c r="E103" s="73" t="s">
        <v>3088</v>
      </c>
      <c r="F103" s="73" t="s">
        <v>3088</v>
      </c>
      <c r="G103" s="73" t="s">
        <v>3089</v>
      </c>
      <c r="H103" s="73" t="s">
        <v>3088</v>
      </c>
      <c r="I103" s="73" t="s">
        <v>108</v>
      </c>
      <c r="J103" s="73" t="s">
        <v>2224</v>
      </c>
      <c r="K103" s="73" t="s">
        <v>3089</v>
      </c>
      <c r="L103" s="73" t="s">
        <v>3088</v>
      </c>
      <c r="M103" s="73" t="s">
        <v>3088</v>
      </c>
      <c r="N103" s="73" t="s">
        <v>3088</v>
      </c>
      <c r="O103" s="73" t="s">
        <v>3088</v>
      </c>
      <c r="P103" s="73" t="s">
        <v>3088</v>
      </c>
      <c r="Q103" s="73" t="s">
        <v>3088</v>
      </c>
      <c r="R103" s="73" t="s">
        <v>3088</v>
      </c>
      <c r="S103" s="73" t="s">
        <v>3088</v>
      </c>
      <c r="T103" s="73" t="s">
        <v>3088</v>
      </c>
      <c r="U103" s="73" t="s">
        <v>3088</v>
      </c>
      <c r="V103" s="73" t="s">
        <v>3088</v>
      </c>
      <c r="W103" s="73" t="s">
        <v>3088</v>
      </c>
      <c r="X103" s="73" t="s">
        <v>3088</v>
      </c>
      <c r="Y103" s="73" t="s">
        <v>3088</v>
      </c>
      <c r="Z103" s="73" t="s">
        <v>3088</v>
      </c>
      <c r="AA103" s="73" t="s">
        <v>3088</v>
      </c>
      <c r="AB103" s="73" t="s">
        <v>3088</v>
      </c>
      <c r="AC103" s="73" t="s">
        <v>3088</v>
      </c>
      <c r="AD103" s="73" t="s">
        <v>3088</v>
      </c>
      <c r="AE103" s="73" t="s">
        <v>3088</v>
      </c>
      <c r="AF103" s="73" t="s">
        <v>3088</v>
      </c>
      <c r="AG103" s="73" t="s">
        <v>3088</v>
      </c>
      <c r="AH103" s="73" t="s">
        <v>3088</v>
      </c>
      <c r="AI103" s="73" t="s">
        <v>3088</v>
      </c>
      <c r="AJ103" s="73" t="s">
        <v>3088</v>
      </c>
      <c r="AK103" s="73" t="s">
        <v>3088</v>
      </c>
      <c r="AL103" s="73" t="s">
        <v>3088</v>
      </c>
      <c r="AM103" s="73" t="s">
        <v>3088</v>
      </c>
      <c r="AN103" s="73" t="s">
        <v>3088</v>
      </c>
      <c r="AO103" s="73" t="s">
        <v>3088</v>
      </c>
      <c r="AP103" s="73" t="s">
        <v>3088</v>
      </c>
      <c r="AQ103" s="73" t="s">
        <v>3088</v>
      </c>
      <c r="AR103" s="73" t="s">
        <v>3088</v>
      </c>
      <c r="AS103" s="73" t="s">
        <v>3088</v>
      </c>
      <c r="AT103" s="73" t="s">
        <v>3088</v>
      </c>
      <c r="AU103" s="73" t="s">
        <v>3088</v>
      </c>
      <c r="AV103" s="73" t="s">
        <v>3088</v>
      </c>
      <c r="AW103" s="73" t="s">
        <v>3088</v>
      </c>
      <c r="AX103" s="73" t="s">
        <v>3088</v>
      </c>
      <c r="AY103" s="73" t="s">
        <v>3088</v>
      </c>
      <c r="AZ103" s="73" t="s">
        <v>3088</v>
      </c>
      <c r="BA103" s="73" t="s">
        <v>3088</v>
      </c>
      <c r="BB103" s="73" t="s">
        <v>3088</v>
      </c>
      <c r="BC103" s="73" t="s">
        <v>3088</v>
      </c>
      <c r="BD103" s="73" t="s">
        <v>3088</v>
      </c>
      <c r="BE103" s="73" t="s">
        <v>3088</v>
      </c>
      <c r="BF103" s="73" t="s">
        <v>3088</v>
      </c>
      <c r="BG103" s="73" t="s">
        <v>3088</v>
      </c>
      <c r="BH103" s="73" t="s">
        <v>3088</v>
      </c>
      <c r="BI103" s="73" t="s">
        <v>3088</v>
      </c>
      <c r="BJ103" s="73" t="s">
        <v>3088</v>
      </c>
      <c r="BK103" s="73" t="s">
        <v>3088</v>
      </c>
      <c r="BL103" s="73" t="s">
        <v>3088</v>
      </c>
      <c r="BM103" s="73" t="s">
        <v>3088</v>
      </c>
      <c r="BN103" s="73" t="s">
        <v>3088</v>
      </c>
      <c r="BO103" s="73" t="s">
        <v>3088</v>
      </c>
      <c r="BP103" s="73" t="s">
        <v>3088</v>
      </c>
      <c r="BQ103" s="73" t="s">
        <v>3830</v>
      </c>
      <c r="BR103" s="73" t="s">
        <v>3088</v>
      </c>
    </row>
    <row r="104" spans="1:70">
      <c r="A104" s="73" t="s">
        <v>1893</v>
      </c>
      <c r="B104" s="73" t="s">
        <v>3831</v>
      </c>
      <c r="C104" s="73" t="s">
        <v>2331</v>
      </c>
      <c r="D104" s="73" t="s">
        <v>3088</v>
      </c>
      <c r="E104" s="73" t="s">
        <v>3088</v>
      </c>
      <c r="F104" s="73" t="s">
        <v>3088</v>
      </c>
      <c r="G104" s="73" t="s">
        <v>3089</v>
      </c>
      <c r="H104" s="73" t="s">
        <v>3088</v>
      </c>
      <c r="I104" s="73" t="s">
        <v>3180</v>
      </c>
      <c r="J104" s="73" t="s">
        <v>3088</v>
      </c>
      <c r="K104" s="73" t="s">
        <v>3088</v>
      </c>
      <c r="L104" s="73" t="s">
        <v>3088</v>
      </c>
      <c r="M104" s="73" t="s">
        <v>3088</v>
      </c>
      <c r="N104" s="73" t="s">
        <v>3088</v>
      </c>
      <c r="O104" s="73" t="s">
        <v>3088</v>
      </c>
      <c r="P104" s="73" t="s">
        <v>3088</v>
      </c>
      <c r="Q104" s="73" t="s">
        <v>3088</v>
      </c>
      <c r="R104" s="73" t="s">
        <v>3088</v>
      </c>
      <c r="S104" s="73" t="s">
        <v>3088</v>
      </c>
      <c r="T104" s="73" t="s">
        <v>3088</v>
      </c>
      <c r="U104" s="73" t="s">
        <v>3088</v>
      </c>
      <c r="V104" s="73" t="s">
        <v>3088</v>
      </c>
      <c r="W104" s="73" t="s">
        <v>3088</v>
      </c>
      <c r="X104" s="73" t="s">
        <v>3088</v>
      </c>
      <c r="Y104" s="73" t="s">
        <v>3088</v>
      </c>
      <c r="Z104" s="73" t="s">
        <v>3088</v>
      </c>
      <c r="AA104" s="73" t="s">
        <v>3088</v>
      </c>
      <c r="AB104" s="73" t="s">
        <v>3088</v>
      </c>
      <c r="AC104" s="73" t="s">
        <v>3088</v>
      </c>
      <c r="AD104" s="73" t="s">
        <v>3088</v>
      </c>
      <c r="AE104" s="73" t="s">
        <v>3088</v>
      </c>
      <c r="AF104" s="73" t="s">
        <v>3088</v>
      </c>
      <c r="AG104" s="73" t="s">
        <v>3088</v>
      </c>
      <c r="AH104" s="73" t="s">
        <v>3088</v>
      </c>
      <c r="AI104" s="73" t="s">
        <v>3088</v>
      </c>
      <c r="AJ104" s="73" t="s">
        <v>3088</v>
      </c>
      <c r="AK104" s="73" t="s">
        <v>3088</v>
      </c>
      <c r="AL104" s="73" t="s">
        <v>3088</v>
      </c>
      <c r="AM104" s="73" t="s">
        <v>3088</v>
      </c>
      <c r="AN104" s="73" t="s">
        <v>3088</v>
      </c>
      <c r="AO104" s="73" t="s">
        <v>3088</v>
      </c>
      <c r="AP104" s="73" t="s">
        <v>3088</v>
      </c>
      <c r="AQ104" s="73" t="s">
        <v>3088</v>
      </c>
      <c r="AR104" s="73" t="s">
        <v>3088</v>
      </c>
      <c r="AS104" s="73" t="s">
        <v>3088</v>
      </c>
      <c r="AT104" s="73" t="s">
        <v>3088</v>
      </c>
      <c r="AU104" s="73" t="s">
        <v>3088</v>
      </c>
      <c r="AV104" s="73" t="s">
        <v>3088</v>
      </c>
      <c r="AW104" s="73" t="s">
        <v>3088</v>
      </c>
      <c r="AX104" s="73" t="s">
        <v>3088</v>
      </c>
      <c r="AY104" s="73" t="s">
        <v>3088</v>
      </c>
      <c r="AZ104" s="73" t="s">
        <v>3088</v>
      </c>
      <c r="BA104" s="73" t="s">
        <v>3088</v>
      </c>
      <c r="BB104" s="73" t="s">
        <v>3088</v>
      </c>
      <c r="BC104" s="73" t="s">
        <v>3088</v>
      </c>
      <c r="BD104" s="73" t="s">
        <v>3088</v>
      </c>
      <c r="BE104" s="73" t="s">
        <v>3088</v>
      </c>
      <c r="BF104" s="73" t="s">
        <v>3088</v>
      </c>
      <c r="BG104" s="73" t="s">
        <v>3088</v>
      </c>
      <c r="BH104" s="73" t="s">
        <v>3088</v>
      </c>
      <c r="BI104" s="73" t="s">
        <v>3088</v>
      </c>
      <c r="BJ104" s="73" t="s">
        <v>3088</v>
      </c>
      <c r="BK104" s="73" t="s">
        <v>3088</v>
      </c>
      <c r="BL104" s="73" t="s">
        <v>3088</v>
      </c>
      <c r="BM104" s="73" t="s">
        <v>3088</v>
      </c>
      <c r="BN104" s="73" t="s">
        <v>3088</v>
      </c>
      <c r="BO104" s="73" t="s">
        <v>3088</v>
      </c>
      <c r="BP104" s="73" t="s">
        <v>3088</v>
      </c>
      <c r="BQ104" s="73" t="s">
        <v>3832</v>
      </c>
      <c r="BR104" s="73" t="s">
        <v>3088</v>
      </c>
    </row>
    <row r="105" spans="1:70">
      <c r="A105" s="73" t="s">
        <v>1893</v>
      </c>
      <c r="B105" s="73" t="s">
        <v>2225</v>
      </c>
      <c r="C105" s="73" t="s">
        <v>2226</v>
      </c>
      <c r="D105" s="73" t="s">
        <v>3088</v>
      </c>
      <c r="E105" s="73" t="s">
        <v>3088</v>
      </c>
      <c r="F105" s="73" t="s">
        <v>3088</v>
      </c>
      <c r="G105" s="73" t="s">
        <v>3089</v>
      </c>
      <c r="H105" s="73" t="s">
        <v>3088</v>
      </c>
      <c r="I105" s="73" t="s">
        <v>108</v>
      </c>
      <c r="J105" s="73" t="s">
        <v>2227</v>
      </c>
      <c r="K105" s="73" t="s">
        <v>3088</v>
      </c>
      <c r="L105" s="73" t="s">
        <v>3088</v>
      </c>
      <c r="M105" s="73" t="s">
        <v>3088</v>
      </c>
      <c r="N105" s="73" t="s">
        <v>3088</v>
      </c>
      <c r="O105" s="73" t="s">
        <v>3088</v>
      </c>
      <c r="P105" s="73" t="s">
        <v>3088</v>
      </c>
      <c r="Q105" s="73" t="s">
        <v>3088</v>
      </c>
      <c r="R105" s="73" t="s">
        <v>3088</v>
      </c>
      <c r="S105" s="73" t="s">
        <v>3088</v>
      </c>
      <c r="T105" s="73" t="s">
        <v>3088</v>
      </c>
      <c r="U105" s="73" t="s">
        <v>3088</v>
      </c>
      <c r="V105" s="73" t="s">
        <v>3088</v>
      </c>
      <c r="W105" s="73" t="s">
        <v>3088</v>
      </c>
      <c r="X105" s="73" t="s">
        <v>3088</v>
      </c>
      <c r="Y105" s="73" t="s">
        <v>3088</v>
      </c>
      <c r="Z105" s="73" t="s">
        <v>3088</v>
      </c>
      <c r="AA105" s="73" t="s">
        <v>3088</v>
      </c>
      <c r="AB105" s="73" t="s">
        <v>3088</v>
      </c>
      <c r="AC105" s="73" t="s">
        <v>3088</v>
      </c>
      <c r="AD105" s="73" t="s">
        <v>3088</v>
      </c>
      <c r="AE105" s="73" t="s">
        <v>3088</v>
      </c>
      <c r="AF105" s="73" t="s">
        <v>3088</v>
      </c>
      <c r="AG105" s="73" t="s">
        <v>3088</v>
      </c>
      <c r="AH105" s="73" t="s">
        <v>3088</v>
      </c>
      <c r="AI105" s="73" t="s">
        <v>3088</v>
      </c>
      <c r="AJ105" s="73" t="s">
        <v>3088</v>
      </c>
      <c r="AK105" s="73" t="s">
        <v>3088</v>
      </c>
      <c r="AL105" s="73" t="s">
        <v>3088</v>
      </c>
      <c r="AM105" s="73" t="s">
        <v>3088</v>
      </c>
      <c r="AN105" s="73" t="s">
        <v>3088</v>
      </c>
      <c r="AO105" s="73" t="s">
        <v>3088</v>
      </c>
      <c r="AP105" s="73" t="s">
        <v>3088</v>
      </c>
      <c r="AQ105" s="73" t="s">
        <v>3088</v>
      </c>
      <c r="AR105" s="73" t="s">
        <v>3088</v>
      </c>
      <c r="AS105" s="73" t="s">
        <v>3088</v>
      </c>
      <c r="AT105" s="73" t="s">
        <v>3088</v>
      </c>
      <c r="AU105" s="73" t="s">
        <v>3088</v>
      </c>
      <c r="AV105" s="73" t="s">
        <v>3088</v>
      </c>
      <c r="AW105" s="73" t="s">
        <v>3088</v>
      </c>
      <c r="AX105" s="73" t="s">
        <v>3088</v>
      </c>
      <c r="AY105" s="73" t="s">
        <v>3088</v>
      </c>
      <c r="AZ105" s="73" t="s">
        <v>3088</v>
      </c>
      <c r="BA105" s="73" t="s">
        <v>3088</v>
      </c>
      <c r="BB105" s="73" t="s">
        <v>3088</v>
      </c>
      <c r="BC105" s="73" t="s">
        <v>3088</v>
      </c>
      <c r="BD105" s="73" t="s">
        <v>3088</v>
      </c>
      <c r="BE105" s="73" t="s">
        <v>3088</v>
      </c>
      <c r="BF105" s="73" t="s">
        <v>3088</v>
      </c>
      <c r="BG105" s="73" t="s">
        <v>3088</v>
      </c>
      <c r="BH105" s="73" t="s">
        <v>3088</v>
      </c>
      <c r="BI105" s="73" t="s">
        <v>3088</v>
      </c>
      <c r="BJ105" s="73" t="s">
        <v>3088</v>
      </c>
      <c r="BK105" s="73" t="s">
        <v>3088</v>
      </c>
      <c r="BL105" s="73" t="s">
        <v>3088</v>
      </c>
      <c r="BM105" s="73" t="s">
        <v>3088</v>
      </c>
      <c r="BN105" s="73" t="s">
        <v>3088</v>
      </c>
      <c r="BO105" s="73" t="s">
        <v>3088</v>
      </c>
      <c r="BP105" s="73" t="s">
        <v>3088</v>
      </c>
      <c r="BQ105" s="73" t="s">
        <v>3833</v>
      </c>
      <c r="BR105" s="73" t="s">
        <v>3088</v>
      </c>
    </row>
    <row r="106" spans="1:70">
      <c r="A106" s="73" t="s">
        <v>1893</v>
      </c>
      <c r="B106" s="73" t="s">
        <v>3834</v>
      </c>
      <c r="C106" s="73" t="s">
        <v>2248</v>
      </c>
      <c r="D106" s="73" t="s">
        <v>3088</v>
      </c>
      <c r="E106" s="73" t="s">
        <v>3088</v>
      </c>
      <c r="F106" s="73" t="s">
        <v>3088</v>
      </c>
      <c r="G106" s="73" t="s">
        <v>3089</v>
      </c>
      <c r="H106" s="73" t="s">
        <v>3088</v>
      </c>
      <c r="I106" s="73" t="s">
        <v>3093</v>
      </c>
      <c r="J106" s="73" t="s">
        <v>3088</v>
      </c>
      <c r="K106" s="73" t="s">
        <v>3088</v>
      </c>
      <c r="L106" s="73" t="s">
        <v>3088</v>
      </c>
      <c r="M106" s="73" t="s">
        <v>3088</v>
      </c>
      <c r="N106" s="73" t="s">
        <v>3088</v>
      </c>
      <c r="O106" s="73" t="s">
        <v>3088</v>
      </c>
      <c r="P106" s="73" t="s">
        <v>3088</v>
      </c>
      <c r="Q106" s="73" t="s">
        <v>3088</v>
      </c>
      <c r="R106" s="73" t="s">
        <v>3088</v>
      </c>
      <c r="S106" s="73" t="s">
        <v>3088</v>
      </c>
      <c r="T106" s="73" t="s">
        <v>3088</v>
      </c>
      <c r="U106" s="73" t="s">
        <v>3088</v>
      </c>
      <c r="V106" s="73" t="s">
        <v>3088</v>
      </c>
      <c r="W106" s="73" t="s">
        <v>3088</v>
      </c>
      <c r="X106" s="73" t="s">
        <v>3088</v>
      </c>
      <c r="Y106" s="73" t="s">
        <v>3088</v>
      </c>
      <c r="Z106" s="73" t="s">
        <v>3088</v>
      </c>
      <c r="AA106" s="73" t="s">
        <v>3088</v>
      </c>
      <c r="AB106" s="73" t="s">
        <v>3088</v>
      </c>
      <c r="AC106" s="73" t="s">
        <v>3088</v>
      </c>
      <c r="AD106" s="73" t="s">
        <v>3088</v>
      </c>
      <c r="AE106" s="73" t="s">
        <v>3088</v>
      </c>
      <c r="AF106" s="73" t="s">
        <v>3088</v>
      </c>
      <c r="AG106" s="73" t="s">
        <v>3088</v>
      </c>
      <c r="AH106" s="73" t="s">
        <v>3088</v>
      </c>
      <c r="AI106" s="73" t="s">
        <v>3088</v>
      </c>
      <c r="AJ106" s="73" t="s">
        <v>3088</v>
      </c>
      <c r="AK106" s="73" t="s">
        <v>3088</v>
      </c>
      <c r="AL106" s="73" t="s">
        <v>3088</v>
      </c>
      <c r="AM106" s="73" t="s">
        <v>3088</v>
      </c>
      <c r="AN106" s="73" t="s">
        <v>3088</v>
      </c>
      <c r="AO106" s="73" t="s">
        <v>3088</v>
      </c>
      <c r="AP106" s="73" t="s">
        <v>3088</v>
      </c>
      <c r="AQ106" s="73" t="s">
        <v>3088</v>
      </c>
      <c r="AR106" s="73" t="s">
        <v>3088</v>
      </c>
      <c r="AS106" s="73" t="s">
        <v>3088</v>
      </c>
      <c r="AT106" s="73" t="s">
        <v>3088</v>
      </c>
      <c r="AU106" s="73" t="s">
        <v>3088</v>
      </c>
      <c r="AV106" s="73" t="s">
        <v>3088</v>
      </c>
      <c r="AW106" s="73" t="s">
        <v>3088</v>
      </c>
      <c r="AX106" s="73" t="s">
        <v>3088</v>
      </c>
      <c r="AY106" s="73" t="s">
        <v>3088</v>
      </c>
      <c r="AZ106" s="73" t="s">
        <v>3088</v>
      </c>
      <c r="BA106" s="73" t="s">
        <v>3088</v>
      </c>
      <c r="BB106" s="73" t="s">
        <v>3088</v>
      </c>
      <c r="BC106" s="73" t="s">
        <v>3088</v>
      </c>
      <c r="BD106" s="73" t="s">
        <v>3088</v>
      </c>
      <c r="BE106" s="73" t="s">
        <v>3088</v>
      </c>
      <c r="BF106" s="73" t="s">
        <v>3088</v>
      </c>
      <c r="BG106" s="73" t="s">
        <v>3088</v>
      </c>
      <c r="BH106" s="73" t="s">
        <v>3088</v>
      </c>
      <c r="BI106" s="73" t="s">
        <v>3088</v>
      </c>
      <c r="BJ106" s="73" t="s">
        <v>3088</v>
      </c>
      <c r="BK106" s="73" t="s">
        <v>3088</v>
      </c>
      <c r="BL106" s="73" t="s">
        <v>3088</v>
      </c>
      <c r="BM106" s="73" t="s">
        <v>3088</v>
      </c>
      <c r="BN106" s="73" t="s">
        <v>3088</v>
      </c>
      <c r="BO106" s="73" t="s">
        <v>3088</v>
      </c>
      <c r="BP106" s="73" t="s">
        <v>3088</v>
      </c>
      <c r="BQ106" s="73" t="s">
        <v>3835</v>
      </c>
      <c r="BR106" s="73" t="s">
        <v>3088</v>
      </c>
    </row>
    <row r="107" spans="1:70">
      <c r="A107" s="73" t="s">
        <v>1893</v>
      </c>
      <c r="B107" s="73" t="s">
        <v>2228</v>
      </c>
      <c r="C107" s="73" t="s">
        <v>3088</v>
      </c>
      <c r="D107" s="73" t="s">
        <v>3088</v>
      </c>
      <c r="E107" s="73" t="s">
        <v>3088</v>
      </c>
      <c r="F107" s="73" t="s">
        <v>3088</v>
      </c>
      <c r="G107" s="73" t="s">
        <v>3089</v>
      </c>
      <c r="H107" s="73" t="s">
        <v>3088</v>
      </c>
      <c r="I107" s="73" t="s">
        <v>2135</v>
      </c>
      <c r="J107" s="73" t="s">
        <v>3088</v>
      </c>
      <c r="K107" s="73" t="s">
        <v>3088</v>
      </c>
      <c r="L107" s="73" t="s">
        <v>3088</v>
      </c>
      <c r="M107" s="73" t="s">
        <v>3088</v>
      </c>
      <c r="N107" s="73" t="s">
        <v>3088</v>
      </c>
      <c r="O107" s="73" t="s">
        <v>3088</v>
      </c>
      <c r="P107" s="73" t="s">
        <v>3088</v>
      </c>
      <c r="Q107" s="73" t="s">
        <v>3088</v>
      </c>
      <c r="R107" s="73" t="s">
        <v>3088</v>
      </c>
      <c r="S107" s="73" t="s">
        <v>3088</v>
      </c>
      <c r="T107" s="73" t="s">
        <v>3088</v>
      </c>
      <c r="U107" s="73" t="s">
        <v>3088</v>
      </c>
      <c r="V107" s="73" t="s">
        <v>3088</v>
      </c>
      <c r="W107" s="73" t="s">
        <v>3088</v>
      </c>
      <c r="X107" s="73" t="s">
        <v>3088</v>
      </c>
      <c r="Y107" s="73" t="s">
        <v>3088</v>
      </c>
      <c r="Z107" s="73" t="s">
        <v>3088</v>
      </c>
      <c r="AA107" s="73" t="s">
        <v>3088</v>
      </c>
      <c r="AB107" s="73" t="s">
        <v>3088</v>
      </c>
      <c r="AC107" s="73" t="s">
        <v>3088</v>
      </c>
      <c r="AD107" s="73" t="s">
        <v>3088</v>
      </c>
      <c r="AE107" s="73" t="s">
        <v>3088</v>
      </c>
      <c r="AF107" s="73" t="s">
        <v>3088</v>
      </c>
      <c r="AG107" s="73" t="s">
        <v>3088</v>
      </c>
      <c r="AH107" s="73" t="s">
        <v>3088</v>
      </c>
      <c r="AI107" s="73" t="s">
        <v>3088</v>
      </c>
      <c r="AJ107" s="73" t="s">
        <v>3088</v>
      </c>
      <c r="AK107" s="73" t="s">
        <v>3088</v>
      </c>
      <c r="AL107" s="73" t="s">
        <v>3088</v>
      </c>
      <c r="AM107" s="73" t="s">
        <v>3088</v>
      </c>
      <c r="AN107" s="73" t="s">
        <v>3088</v>
      </c>
      <c r="AO107" s="73" t="s">
        <v>3088</v>
      </c>
      <c r="AP107" s="73" t="s">
        <v>3088</v>
      </c>
      <c r="AQ107" s="73" t="s">
        <v>3088</v>
      </c>
      <c r="AR107" s="73" t="s">
        <v>3088</v>
      </c>
      <c r="AS107" s="73" t="s">
        <v>3088</v>
      </c>
      <c r="AT107" s="73" t="s">
        <v>3088</v>
      </c>
      <c r="AU107" s="73" t="s">
        <v>3088</v>
      </c>
      <c r="AV107" s="73" t="s">
        <v>3088</v>
      </c>
      <c r="AW107" s="73" t="s">
        <v>3088</v>
      </c>
      <c r="AX107" s="73" t="s">
        <v>3088</v>
      </c>
      <c r="AY107" s="73" t="s">
        <v>3088</v>
      </c>
      <c r="AZ107" s="73" t="s">
        <v>3088</v>
      </c>
      <c r="BA107" s="73" t="s">
        <v>3088</v>
      </c>
      <c r="BB107" s="73" t="s">
        <v>3088</v>
      </c>
      <c r="BC107" s="73" t="s">
        <v>3088</v>
      </c>
      <c r="BD107" s="73" t="s">
        <v>3088</v>
      </c>
      <c r="BE107" s="73" t="s">
        <v>3088</v>
      </c>
      <c r="BF107" s="73" t="s">
        <v>3088</v>
      </c>
      <c r="BG107" s="73" t="s">
        <v>3088</v>
      </c>
      <c r="BH107" s="73" t="s">
        <v>3088</v>
      </c>
      <c r="BI107" s="73" t="s">
        <v>3088</v>
      </c>
      <c r="BJ107" s="73" t="s">
        <v>3088</v>
      </c>
      <c r="BK107" s="73" t="s">
        <v>3088</v>
      </c>
      <c r="BL107" s="73" t="s">
        <v>3088</v>
      </c>
      <c r="BM107" s="73" t="s">
        <v>3088</v>
      </c>
      <c r="BN107" s="73" t="s">
        <v>3088</v>
      </c>
      <c r="BO107" s="73" t="s">
        <v>3088</v>
      </c>
      <c r="BP107" s="73" t="s">
        <v>3088</v>
      </c>
      <c r="BQ107" s="73" t="s">
        <v>3836</v>
      </c>
      <c r="BR107" s="73" t="s">
        <v>3088</v>
      </c>
    </row>
    <row r="108" spans="1:70">
      <c r="A108" s="73" t="s">
        <v>1893</v>
      </c>
      <c r="B108" s="73" t="s">
        <v>3837</v>
      </c>
      <c r="C108" s="73" t="s">
        <v>2248</v>
      </c>
      <c r="D108" s="73" t="s">
        <v>3088</v>
      </c>
      <c r="E108" s="73" t="s">
        <v>3088</v>
      </c>
      <c r="F108" s="73" t="s">
        <v>3088</v>
      </c>
      <c r="G108" s="73" t="s">
        <v>3089</v>
      </c>
      <c r="H108" s="73" t="s">
        <v>3088</v>
      </c>
      <c r="I108" s="73" t="s">
        <v>3122</v>
      </c>
      <c r="J108" s="73" t="s">
        <v>3088</v>
      </c>
      <c r="K108" s="73" t="s">
        <v>3088</v>
      </c>
      <c r="L108" s="73" t="s">
        <v>3088</v>
      </c>
      <c r="M108" s="73" t="s">
        <v>3088</v>
      </c>
      <c r="N108" s="73" t="s">
        <v>3088</v>
      </c>
      <c r="O108" s="73" t="s">
        <v>3088</v>
      </c>
      <c r="P108" s="73" t="s">
        <v>3088</v>
      </c>
      <c r="Q108" s="73" t="s">
        <v>3088</v>
      </c>
      <c r="R108" s="73" t="s">
        <v>3088</v>
      </c>
      <c r="S108" s="73" t="s">
        <v>3088</v>
      </c>
      <c r="T108" s="73" t="s">
        <v>3088</v>
      </c>
      <c r="U108" s="73" t="s">
        <v>3088</v>
      </c>
      <c r="V108" s="73" t="s">
        <v>3088</v>
      </c>
      <c r="W108" s="73" t="s">
        <v>3088</v>
      </c>
      <c r="X108" s="73" t="s">
        <v>3088</v>
      </c>
      <c r="Y108" s="73" t="s">
        <v>3088</v>
      </c>
      <c r="Z108" s="73" t="s">
        <v>3088</v>
      </c>
      <c r="AA108" s="73" t="s">
        <v>3088</v>
      </c>
      <c r="AB108" s="73" t="s">
        <v>3088</v>
      </c>
      <c r="AC108" s="73" t="s">
        <v>3088</v>
      </c>
      <c r="AD108" s="73" t="s">
        <v>3088</v>
      </c>
      <c r="AE108" s="73" t="s">
        <v>3088</v>
      </c>
      <c r="AF108" s="73" t="s">
        <v>3088</v>
      </c>
      <c r="AG108" s="73" t="s">
        <v>3088</v>
      </c>
      <c r="AH108" s="73" t="s">
        <v>3088</v>
      </c>
      <c r="AI108" s="73" t="s">
        <v>3088</v>
      </c>
      <c r="AJ108" s="73" t="s">
        <v>3088</v>
      </c>
      <c r="AK108" s="73" t="s">
        <v>3088</v>
      </c>
      <c r="AL108" s="73" t="s">
        <v>3088</v>
      </c>
      <c r="AM108" s="73" t="s">
        <v>3088</v>
      </c>
      <c r="AN108" s="73" t="s">
        <v>3088</v>
      </c>
      <c r="AO108" s="73" t="s">
        <v>3088</v>
      </c>
      <c r="AP108" s="73" t="s">
        <v>3088</v>
      </c>
      <c r="AQ108" s="73" t="s">
        <v>3088</v>
      </c>
      <c r="AR108" s="73" t="s">
        <v>3088</v>
      </c>
      <c r="AS108" s="73" t="s">
        <v>3088</v>
      </c>
      <c r="AT108" s="73" t="s">
        <v>3088</v>
      </c>
      <c r="AU108" s="73" t="s">
        <v>3088</v>
      </c>
      <c r="AV108" s="73" t="s">
        <v>3088</v>
      </c>
      <c r="AW108" s="73" t="s">
        <v>3088</v>
      </c>
      <c r="AX108" s="73" t="s">
        <v>3088</v>
      </c>
      <c r="AY108" s="73" t="s">
        <v>3088</v>
      </c>
      <c r="AZ108" s="73" t="s">
        <v>3088</v>
      </c>
      <c r="BA108" s="73" t="s">
        <v>3088</v>
      </c>
      <c r="BB108" s="73" t="s">
        <v>3088</v>
      </c>
      <c r="BC108" s="73" t="s">
        <v>3088</v>
      </c>
      <c r="BD108" s="73" t="s">
        <v>3088</v>
      </c>
      <c r="BE108" s="73" t="s">
        <v>3088</v>
      </c>
      <c r="BF108" s="73" t="s">
        <v>3088</v>
      </c>
      <c r="BG108" s="73" t="s">
        <v>3088</v>
      </c>
      <c r="BH108" s="73" t="s">
        <v>3088</v>
      </c>
      <c r="BI108" s="73" t="s">
        <v>3088</v>
      </c>
      <c r="BJ108" s="73" t="s">
        <v>3088</v>
      </c>
      <c r="BK108" s="73" t="s">
        <v>3088</v>
      </c>
      <c r="BL108" s="73" t="s">
        <v>3088</v>
      </c>
      <c r="BM108" s="73" t="s">
        <v>3088</v>
      </c>
      <c r="BN108" s="73" t="s">
        <v>3088</v>
      </c>
      <c r="BO108" s="73" t="s">
        <v>3088</v>
      </c>
      <c r="BP108" s="73" t="s">
        <v>3088</v>
      </c>
      <c r="BQ108" s="73" t="s">
        <v>3838</v>
      </c>
      <c r="BR108" s="73" t="s">
        <v>3088</v>
      </c>
    </row>
    <row r="109" spans="1:70">
      <c r="A109" s="73" t="s">
        <v>1893</v>
      </c>
      <c r="B109" s="73" t="s">
        <v>3839</v>
      </c>
      <c r="C109" s="73" t="s">
        <v>2248</v>
      </c>
      <c r="D109" s="73" t="s">
        <v>3088</v>
      </c>
      <c r="E109" s="73" t="s">
        <v>3088</v>
      </c>
      <c r="F109" s="73" t="s">
        <v>3088</v>
      </c>
      <c r="G109" s="73" t="s">
        <v>3089</v>
      </c>
      <c r="H109" s="73" t="s">
        <v>3840</v>
      </c>
      <c r="I109" s="73" t="s">
        <v>3088</v>
      </c>
      <c r="J109" s="73" t="s">
        <v>3088</v>
      </c>
      <c r="K109" s="73" t="s">
        <v>3088</v>
      </c>
      <c r="L109" s="73" t="s">
        <v>3088</v>
      </c>
      <c r="M109" s="73" t="s">
        <v>3088</v>
      </c>
      <c r="N109" s="73" t="s">
        <v>3088</v>
      </c>
      <c r="O109" s="73" t="s">
        <v>3088</v>
      </c>
      <c r="P109" s="73" t="s">
        <v>3088</v>
      </c>
      <c r="Q109" s="73" t="s">
        <v>3088</v>
      </c>
      <c r="R109" s="73" t="s">
        <v>3088</v>
      </c>
      <c r="S109" s="73" t="s">
        <v>3088</v>
      </c>
      <c r="T109" s="73" t="s">
        <v>3088</v>
      </c>
      <c r="U109" s="73" t="s">
        <v>3088</v>
      </c>
      <c r="V109" s="73" t="s">
        <v>3088</v>
      </c>
      <c r="W109" s="73" t="s">
        <v>3088</v>
      </c>
      <c r="X109" s="73" t="s">
        <v>3088</v>
      </c>
      <c r="Y109" s="73" t="s">
        <v>3088</v>
      </c>
      <c r="Z109" s="73" t="s">
        <v>3088</v>
      </c>
      <c r="AA109" s="73" t="s">
        <v>3088</v>
      </c>
      <c r="AB109" s="73" t="s">
        <v>3088</v>
      </c>
      <c r="AC109" s="73" t="s">
        <v>3088</v>
      </c>
      <c r="AD109" s="73" t="s">
        <v>3088</v>
      </c>
      <c r="AE109" s="73" t="s">
        <v>3088</v>
      </c>
      <c r="AF109" s="73" t="s">
        <v>3088</v>
      </c>
      <c r="AG109" s="73" t="s">
        <v>3088</v>
      </c>
      <c r="AH109" s="73" t="s">
        <v>3088</v>
      </c>
      <c r="AI109" s="73" t="s">
        <v>3088</v>
      </c>
      <c r="AJ109" s="73" t="s">
        <v>3088</v>
      </c>
      <c r="AK109" s="73" t="s">
        <v>3088</v>
      </c>
      <c r="AL109" s="73" t="s">
        <v>3088</v>
      </c>
      <c r="AM109" s="73" t="s">
        <v>3088</v>
      </c>
      <c r="AN109" s="73" t="s">
        <v>3088</v>
      </c>
      <c r="AO109" s="73" t="s">
        <v>3088</v>
      </c>
      <c r="AP109" s="73" t="s">
        <v>3088</v>
      </c>
      <c r="AQ109" s="73" t="s">
        <v>3088</v>
      </c>
      <c r="AR109" s="73" t="s">
        <v>3088</v>
      </c>
      <c r="AS109" s="73" t="s">
        <v>3088</v>
      </c>
      <c r="AT109" s="73" t="s">
        <v>3088</v>
      </c>
      <c r="AU109" s="73" t="s">
        <v>3088</v>
      </c>
      <c r="AV109" s="73" t="s">
        <v>3088</v>
      </c>
      <c r="AW109" s="73" t="s">
        <v>3088</v>
      </c>
      <c r="AX109" s="73" t="s">
        <v>3088</v>
      </c>
      <c r="AY109" s="73" t="s">
        <v>3088</v>
      </c>
      <c r="AZ109" s="73" t="s">
        <v>3088</v>
      </c>
      <c r="BA109" s="73" t="s">
        <v>3088</v>
      </c>
      <c r="BB109" s="73" t="s">
        <v>3088</v>
      </c>
      <c r="BC109" s="73" t="s">
        <v>3088</v>
      </c>
      <c r="BD109" s="73" t="s">
        <v>3088</v>
      </c>
      <c r="BE109" s="73" t="s">
        <v>3088</v>
      </c>
      <c r="BF109" s="73" t="s">
        <v>3088</v>
      </c>
      <c r="BG109" s="73" t="s">
        <v>3088</v>
      </c>
      <c r="BH109" s="73" t="s">
        <v>3088</v>
      </c>
      <c r="BI109" s="73" t="s">
        <v>3088</v>
      </c>
      <c r="BJ109" s="73" t="s">
        <v>3088</v>
      </c>
      <c r="BK109" s="73" t="s">
        <v>3088</v>
      </c>
      <c r="BL109" s="73" t="s">
        <v>3088</v>
      </c>
      <c r="BM109" s="73" t="s">
        <v>3088</v>
      </c>
      <c r="BN109" s="73" t="s">
        <v>3088</v>
      </c>
      <c r="BO109" s="73" t="s">
        <v>3088</v>
      </c>
      <c r="BP109" s="73" t="s">
        <v>3088</v>
      </c>
      <c r="BQ109" s="73" t="s">
        <v>3841</v>
      </c>
      <c r="BR109" s="73" t="s">
        <v>3097</v>
      </c>
    </row>
    <row r="110" spans="1:70">
      <c r="A110" s="73" t="s">
        <v>1893</v>
      </c>
      <c r="B110" s="73" t="s">
        <v>3842</v>
      </c>
      <c r="C110" s="73" t="s">
        <v>2248</v>
      </c>
      <c r="D110" s="73" t="s">
        <v>3088</v>
      </c>
      <c r="E110" s="73" t="s">
        <v>3088</v>
      </c>
      <c r="F110" s="73" t="s">
        <v>3088</v>
      </c>
      <c r="G110" s="73" t="s">
        <v>3089</v>
      </c>
      <c r="H110" s="73" t="s">
        <v>3840</v>
      </c>
      <c r="I110" s="73" t="s">
        <v>3088</v>
      </c>
      <c r="J110" s="73" t="s">
        <v>3088</v>
      </c>
      <c r="K110" s="73" t="s">
        <v>3088</v>
      </c>
      <c r="L110" s="73" t="s">
        <v>3088</v>
      </c>
      <c r="M110" s="73" t="s">
        <v>3088</v>
      </c>
      <c r="N110" s="73" t="s">
        <v>3088</v>
      </c>
      <c r="O110" s="73" t="s">
        <v>3088</v>
      </c>
      <c r="P110" s="73" t="s">
        <v>3088</v>
      </c>
      <c r="Q110" s="73" t="s">
        <v>3088</v>
      </c>
      <c r="R110" s="73" t="s">
        <v>3088</v>
      </c>
      <c r="S110" s="73" t="s">
        <v>3088</v>
      </c>
      <c r="T110" s="73" t="s">
        <v>3088</v>
      </c>
      <c r="U110" s="73" t="s">
        <v>3088</v>
      </c>
      <c r="V110" s="73" t="s">
        <v>3088</v>
      </c>
      <c r="W110" s="73" t="s">
        <v>3088</v>
      </c>
      <c r="X110" s="73" t="s">
        <v>3088</v>
      </c>
      <c r="Y110" s="73" t="s">
        <v>3088</v>
      </c>
      <c r="Z110" s="73" t="s">
        <v>3088</v>
      </c>
      <c r="AA110" s="73" t="s">
        <v>3088</v>
      </c>
      <c r="AB110" s="73" t="s">
        <v>3088</v>
      </c>
      <c r="AC110" s="73" t="s">
        <v>3088</v>
      </c>
      <c r="AD110" s="73" t="s">
        <v>3088</v>
      </c>
      <c r="AE110" s="73" t="s">
        <v>3088</v>
      </c>
      <c r="AF110" s="73" t="s">
        <v>3088</v>
      </c>
      <c r="AG110" s="73" t="s">
        <v>3088</v>
      </c>
      <c r="AH110" s="73" t="s">
        <v>3088</v>
      </c>
      <c r="AI110" s="73" t="s">
        <v>3088</v>
      </c>
      <c r="AJ110" s="73" t="s">
        <v>3088</v>
      </c>
      <c r="AK110" s="73" t="s">
        <v>3088</v>
      </c>
      <c r="AL110" s="73" t="s">
        <v>3088</v>
      </c>
      <c r="AM110" s="73" t="s">
        <v>3088</v>
      </c>
      <c r="AN110" s="73" t="s">
        <v>3088</v>
      </c>
      <c r="AO110" s="73" t="s">
        <v>3088</v>
      </c>
      <c r="AP110" s="73" t="s">
        <v>3088</v>
      </c>
      <c r="AQ110" s="73" t="s">
        <v>3088</v>
      </c>
      <c r="AR110" s="73" t="s">
        <v>3088</v>
      </c>
      <c r="AS110" s="73" t="s">
        <v>3088</v>
      </c>
      <c r="AT110" s="73" t="s">
        <v>3088</v>
      </c>
      <c r="AU110" s="73" t="s">
        <v>3088</v>
      </c>
      <c r="AV110" s="73" t="s">
        <v>3088</v>
      </c>
      <c r="AW110" s="73" t="s">
        <v>3088</v>
      </c>
      <c r="AX110" s="73" t="s">
        <v>3088</v>
      </c>
      <c r="AY110" s="73" t="s">
        <v>3088</v>
      </c>
      <c r="AZ110" s="73" t="s">
        <v>3088</v>
      </c>
      <c r="BA110" s="73" t="s">
        <v>3088</v>
      </c>
      <c r="BB110" s="73" t="s">
        <v>3088</v>
      </c>
      <c r="BC110" s="73" t="s">
        <v>3088</v>
      </c>
      <c r="BD110" s="73" t="s">
        <v>3088</v>
      </c>
      <c r="BE110" s="73" t="s">
        <v>3088</v>
      </c>
      <c r="BF110" s="73" t="s">
        <v>3088</v>
      </c>
      <c r="BG110" s="73" t="s">
        <v>3088</v>
      </c>
      <c r="BH110" s="73" t="s">
        <v>3088</v>
      </c>
      <c r="BI110" s="73" t="s">
        <v>3088</v>
      </c>
      <c r="BJ110" s="73" t="s">
        <v>3088</v>
      </c>
      <c r="BK110" s="73" t="s">
        <v>3088</v>
      </c>
      <c r="BL110" s="73" t="s">
        <v>3088</v>
      </c>
      <c r="BM110" s="73" t="s">
        <v>3088</v>
      </c>
      <c r="BN110" s="73" t="s">
        <v>3088</v>
      </c>
      <c r="BO110" s="73" t="s">
        <v>3088</v>
      </c>
      <c r="BP110" s="73" t="s">
        <v>3088</v>
      </c>
      <c r="BQ110" s="73" t="s">
        <v>3843</v>
      </c>
      <c r="BR110" s="73" t="s">
        <v>3097</v>
      </c>
    </row>
    <row r="111" spans="1:70">
      <c r="A111" s="73" t="s">
        <v>1893</v>
      </c>
      <c r="B111" s="73" t="s">
        <v>3844</v>
      </c>
      <c r="C111" s="73" t="s">
        <v>2248</v>
      </c>
      <c r="D111" s="73" t="s">
        <v>3088</v>
      </c>
      <c r="E111" s="73" t="s">
        <v>3088</v>
      </c>
      <c r="F111" s="73" t="s">
        <v>3088</v>
      </c>
      <c r="G111" s="73" t="s">
        <v>3089</v>
      </c>
      <c r="H111" s="73" t="s">
        <v>3845</v>
      </c>
      <c r="I111" s="73" t="s">
        <v>3441</v>
      </c>
      <c r="J111" s="73" t="s">
        <v>3846</v>
      </c>
      <c r="K111" s="73" t="s">
        <v>3095</v>
      </c>
      <c r="L111" s="73" t="s">
        <v>3088</v>
      </c>
      <c r="M111" s="73" t="s">
        <v>3088</v>
      </c>
      <c r="N111" s="73" t="s">
        <v>3088</v>
      </c>
      <c r="O111" s="73" t="s">
        <v>3088</v>
      </c>
      <c r="P111" s="73" t="s">
        <v>3088</v>
      </c>
      <c r="Q111" s="73" t="s">
        <v>3088</v>
      </c>
      <c r="R111" s="73" t="s">
        <v>3088</v>
      </c>
      <c r="S111" s="73" t="s">
        <v>3088</v>
      </c>
      <c r="T111" s="73" t="s">
        <v>3088</v>
      </c>
      <c r="U111" s="73" t="s">
        <v>3088</v>
      </c>
      <c r="V111" s="73" t="s">
        <v>3088</v>
      </c>
      <c r="W111" s="73" t="s">
        <v>3088</v>
      </c>
      <c r="X111" s="73" t="s">
        <v>3088</v>
      </c>
      <c r="Y111" s="73" t="s">
        <v>3088</v>
      </c>
      <c r="Z111" s="73" t="s">
        <v>3088</v>
      </c>
      <c r="AA111" s="73" t="s">
        <v>3088</v>
      </c>
      <c r="AB111" s="73" t="s">
        <v>3088</v>
      </c>
      <c r="AC111" s="73" t="s">
        <v>3088</v>
      </c>
      <c r="AD111" s="73" t="s">
        <v>3088</v>
      </c>
      <c r="AE111" s="73" t="s">
        <v>3088</v>
      </c>
      <c r="AF111" s="73" t="s">
        <v>3088</v>
      </c>
      <c r="AG111" s="73" t="s">
        <v>3088</v>
      </c>
      <c r="AH111" s="73" t="s">
        <v>3088</v>
      </c>
      <c r="AI111" s="73" t="s">
        <v>3088</v>
      </c>
      <c r="AJ111" s="73" t="s">
        <v>3088</v>
      </c>
      <c r="AK111" s="73" t="s">
        <v>3088</v>
      </c>
      <c r="AL111" s="73" t="s">
        <v>3088</v>
      </c>
      <c r="AM111" s="73" t="s">
        <v>3088</v>
      </c>
      <c r="AN111" s="73" t="s">
        <v>3088</v>
      </c>
      <c r="AO111" s="73" t="s">
        <v>3088</v>
      </c>
      <c r="AP111" s="73" t="s">
        <v>3088</v>
      </c>
      <c r="AQ111" s="73" t="s">
        <v>3088</v>
      </c>
      <c r="AR111" s="73" t="s">
        <v>3088</v>
      </c>
      <c r="AS111" s="73" t="s">
        <v>3088</v>
      </c>
      <c r="AT111" s="73" t="s">
        <v>3088</v>
      </c>
      <c r="AU111" s="73" t="s">
        <v>3088</v>
      </c>
      <c r="AV111" s="73" t="s">
        <v>3088</v>
      </c>
      <c r="AW111" s="73" t="s">
        <v>3088</v>
      </c>
      <c r="AX111" s="73" t="s">
        <v>3088</v>
      </c>
      <c r="AY111" s="73" t="s">
        <v>3088</v>
      </c>
      <c r="AZ111" s="73" t="s">
        <v>3088</v>
      </c>
      <c r="BA111" s="73" t="s">
        <v>3088</v>
      </c>
      <c r="BB111" s="73" t="s">
        <v>3088</v>
      </c>
      <c r="BC111" s="73" t="s">
        <v>3088</v>
      </c>
      <c r="BD111" s="73" t="s">
        <v>3088</v>
      </c>
      <c r="BE111" s="73" t="s">
        <v>3088</v>
      </c>
      <c r="BF111" s="73" t="s">
        <v>3088</v>
      </c>
      <c r="BG111" s="73" t="s">
        <v>3088</v>
      </c>
      <c r="BH111" s="73" t="s">
        <v>3088</v>
      </c>
      <c r="BI111" s="73" t="s">
        <v>3088</v>
      </c>
      <c r="BJ111" s="73" t="s">
        <v>3088</v>
      </c>
      <c r="BK111" s="73" t="s">
        <v>3088</v>
      </c>
      <c r="BL111" s="73" t="s">
        <v>3088</v>
      </c>
      <c r="BM111" s="73" t="s">
        <v>3088</v>
      </c>
      <c r="BN111" s="73" t="s">
        <v>3088</v>
      </c>
      <c r="BO111" s="73" t="s">
        <v>3088</v>
      </c>
      <c r="BP111" s="73" t="s">
        <v>3088</v>
      </c>
      <c r="BQ111" s="73" t="s">
        <v>3847</v>
      </c>
      <c r="BR111" s="73" t="s">
        <v>3097</v>
      </c>
    </row>
    <row r="112" spans="1:70">
      <c r="A112" s="73" t="s">
        <v>1896</v>
      </c>
      <c r="B112" s="73" t="s">
        <v>3848</v>
      </c>
      <c r="C112" s="73" t="s">
        <v>2237</v>
      </c>
      <c r="D112" s="73" t="s">
        <v>3088</v>
      </c>
      <c r="E112" s="73" t="s">
        <v>3088</v>
      </c>
      <c r="F112" s="73" t="s">
        <v>3088</v>
      </c>
      <c r="G112" s="73" t="s">
        <v>3089</v>
      </c>
      <c r="H112" s="73" t="s">
        <v>3088</v>
      </c>
      <c r="I112" s="73" t="s">
        <v>3122</v>
      </c>
      <c r="J112" s="73" t="s">
        <v>3849</v>
      </c>
      <c r="K112" s="73" t="s">
        <v>3095</v>
      </c>
      <c r="L112" s="73" t="s">
        <v>3088</v>
      </c>
      <c r="M112" s="73" t="s">
        <v>3088</v>
      </c>
      <c r="N112" s="73" t="s">
        <v>3088</v>
      </c>
      <c r="O112" s="73" t="s">
        <v>3088</v>
      </c>
      <c r="P112" s="73" t="s">
        <v>3088</v>
      </c>
      <c r="Q112" s="73" t="s">
        <v>3088</v>
      </c>
      <c r="R112" s="73" t="s">
        <v>3088</v>
      </c>
      <c r="S112" s="73" t="s">
        <v>3088</v>
      </c>
      <c r="T112" s="73" t="s">
        <v>3088</v>
      </c>
      <c r="U112" s="73" t="s">
        <v>3088</v>
      </c>
      <c r="V112" s="73" t="s">
        <v>3088</v>
      </c>
      <c r="W112" s="73" t="s">
        <v>3088</v>
      </c>
      <c r="X112" s="73" t="s">
        <v>3088</v>
      </c>
      <c r="Y112" s="73" t="s">
        <v>3088</v>
      </c>
      <c r="Z112" s="73" t="s">
        <v>3088</v>
      </c>
      <c r="AA112" s="73" t="s">
        <v>3088</v>
      </c>
      <c r="AB112" s="73" t="s">
        <v>3088</v>
      </c>
      <c r="AC112" s="73" t="s">
        <v>3088</v>
      </c>
      <c r="AD112" s="73" t="s">
        <v>3088</v>
      </c>
      <c r="AE112" s="73" t="s">
        <v>3088</v>
      </c>
      <c r="AF112" s="73" t="s">
        <v>3088</v>
      </c>
      <c r="AG112" s="73" t="s">
        <v>3088</v>
      </c>
      <c r="AH112" s="73" t="s">
        <v>3088</v>
      </c>
      <c r="AI112" s="73" t="s">
        <v>3088</v>
      </c>
      <c r="AJ112" s="73" t="s">
        <v>3088</v>
      </c>
      <c r="AK112" s="73" t="s">
        <v>3088</v>
      </c>
      <c r="AL112" s="73" t="s">
        <v>3088</v>
      </c>
      <c r="AM112" s="73" t="s">
        <v>3088</v>
      </c>
      <c r="AN112" s="73" t="s">
        <v>3088</v>
      </c>
      <c r="AO112" s="73" t="s">
        <v>3088</v>
      </c>
      <c r="AP112" s="73" t="s">
        <v>3088</v>
      </c>
      <c r="AQ112" s="73" t="s">
        <v>3088</v>
      </c>
      <c r="AR112" s="73" t="s">
        <v>3088</v>
      </c>
      <c r="AS112" s="73" t="s">
        <v>3088</v>
      </c>
      <c r="AT112" s="73" t="s">
        <v>3088</v>
      </c>
      <c r="AU112" s="73" t="s">
        <v>3088</v>
      </c>
      <c r="AV112" s="73" t="s">
        <v>3088</v>
      </c>
      <c r="AW112" s="73" t="s">
        <v>3088</v>
      </c>
      <c r="AX112" s="73" t="s">
        <v>3088</v>
      </c>
      <c r="AY112" s="73" t="s">
        <v>3088</v>
      </c>
      <c r="AZ112" s="73" t="s">
        <v>3088</v>
      </c>
      <c r="BA112" s="73" t="s">
        <v>3088</v>
      </c>
      <c r="BB112" s="73" t="s">
        <v>3088</v>
      </c>
      <c r="BC112" s="73" t="s">
        <v>3088</v>
      </c>
      <c r="BD112" s="73" t="s">
        <v>3088</v>
      </c>
      <c r="BE112" s="73" t="s">
        <v>3088</v>
      </c>
      <c r="BF112" s="73" t="s">
        <v>3088</v>
      </c>
      <c r="BG112" s="73" t="s">
        <v>3088</v>
      </c>
      <c r="BH112" s="73" t="s">
        <v>3088</v>
      </c>
      <c r="BI112" s="73" t="s">
        <v>3088</v>
      </c>
      <c r="BJ112" s="73" t="s">
        <v>3088</v>
      </c>
      <c r="BK112" s="73" t="s">
        <v>3088</v>
      </c>
      <c r="BL112" s="73" t="s">
        <v>3088</v>
      </c>
      <c r="BM112" s="73" t="s">
        <v>3088</v>
      </c>
      <c r="BN112" s="73" t="s">
        <v>3088</v>
      </c>
      <c r="BO112" s="73" t="s">
        <v>3088</v>
      </c>
      <c r="BP112" s="73" t="s">
        <v>3088</v>
      </c>
      <c r="BQ112" s="73" t="s">
        <v>3850</v>
      </c>
      <c r="BR112" s="73" t="s">
        <v>3097</v>
      </c>
    </row>
    <row r="113" spans="1:70">
      <c r="A113" s="73" t="s">
        <v>1896</v>
      </c>
      <c r="B113" s="73" t="s">
        <v>2376</v>
      </c>
      <c r="C113" s="73" t="s">
        <v>2237</v>
      </c>
      <c r="D113" s="73" t="s">
        <v>3088</v>
      </c>
      <c r="E113" s="73" t="s">
        <v>3088</v>
      </c>
      <c r="F113" s="73" t="s">
        <v>3088</v>
      </c>
      <c r="G113" s="73" t="s">
        <v>3089</v>
      </c>
      <c r="H113" s="73" t="s">
        <v>3088</v>
      </c>
      <c r="I113" s="73" t="s">
        <v>543</v>
      </c>
      <c r="J113" s="73" t="s">
        <v>3088</v>
      </c>
      <c r="K113" s="73" t="s">
        <v>3088</v>
      </c>
      <c r="L113" s="73" t="s">
        <v>3088</v>
      </c>
      <c r="M113" s="73" t="s">
        <v>3088</v>
      </c>
      <c r="N113" s="73" t="s">
        <v>3088</v>
      </c>
      <c r="O113" s="73" t="s">
        <v>3088</v>
      </c>
      <c r="P113" s="73" t="s">
        <v>3088</v>
      </c>
      <c r="Q113" s="73" t="s">
        <v>3088</v>
      </c>
      <c r="R113" s="73" t="s">
        <v>3088</v>
      </c>
      <c r="S113" s="73" t="s">
        <v>3088</v>
      </c>
      <c r="T113" s="73" t="s">
        <v>3088</v>
      </c>
      <c r="U113" s="73" t="s">
        <v>3088</v>
      </c>
      <c r="V113" s="73" t="s">
        <v>3088</v>
      </c>
      <c r="W113" s="73" t="s">
        <v>3088</v>
      </c>
      <c r="X113" s="73" t="s">
        <v>3088</v>
      </c>
      <c r="Y113" s="73" t="s">
        <v>3088</v>
      </c>
      <c r="Z113" s="73" t="s">
        <v>3088</v>
      </c>
      <c r="AA113" s="73" t="s">
        <v>3088</v>
      </c>
      <c r="AB113" s="73" t="s">
        <v>3088</v>
      </c>
      <c r="AC113" s="73" t="s">
        <v>3088</v>
      </c>
      <c r="AD113" s="73" t="s">
        <v>3088</v>
      </c>
      <c r="AE113" s="73" t="s">
        <v>3088</v>
      </c>
      <c r="AF113" s="73" t="s">
        <v>3088</v>
      </c>
      <c r="AG113" s="73" t="s">
        <v>3088</v>
      </c>
      <c r="AH113" s="73" t="s">
        <v>3088</v>
      </c>
      <c r="AI113" s="73" t="s">
        <v>3088</v>
      </c>
      <c r="AJ113" s="73" t="s">
        <v>3088</v>
      </c>
      <c r="AK113" s="73" t="s">
        <v>3088</v>
      </c>
      <c r="AL113" s="73" t="s">
        <v>3088</v>
      </c>
      <c r="AM113" s="73" t="s">
        <v>3088</v>
      </c>
      <c r="AN113" s="73" t="s">
        <v>3088</v>
      </c>
      <c r="AO113" s="73" t="s">
        <v>3088</v>
      </c>
      <c r="AP113" s="73" t="s">
        <v>3088</v>
      </c>
      <c r="AQ113" s="73" t="s">
        <v>3088</v>
      </c>
      <c r="AR113" s="73" t="s">
        <v>3088</v>
      </c>
      <c r="AS113" s="73" t="s">
        <v>3088</v>
      </c>
      <c r="AT113" s="73" t="s">
        <v>3088</v>
      </c>
      <c r="AU113" s="73" t="s">
        <v>3088</v>
      </c>
      <c r="AV113" s="73" t="s">
        <v>3088</v>
      </c>
      <c r="AW113" s="73" t="s">
        <v>3088</v>
      </c>
      <c r="AX113" s="73" t="s">
        <v>3088</v>
      </c>
      <c r="AY113" s="73" t="s">
        <v>3088</v>
      </c>
      <c r="AZ113" s="73" t="s">
        <v>3088</v>
      </c>
      <c r="BA113" s="73" t="s">
        <v>3088</v>
      </c>
      <c r="BB113" s="73" t="s">
        <v>3088</v>
      </c>
      <c r="BC113" s="73" t="s">
        <v>3088</v>
      </c>
      <c r="BD113" s="73" t="s">
        <v>3088</v>
      </c>
      <c r="BE113" s="73" t="s">
        <v>3088</v>
      </c>
      <c r="BF113" s="73" t="s">
        <v>3088</v>
      </c>
      <c r="BG113" s="73" t="s">
        <v>3088</v>
      </c>
      <c r="BH113" s="73" t="s">
        <v>3088</v>
      </c>
      <c r="BI113" s="73" t="s">
        <v>3088</v>
      </c>
      <c r="BJ113" s="73" t="s">
        <v>3088</v>
      </c>
      <c r="BK113" s="73" t="s">
        <v>3088</v>
      </c>
      <c r="BL113" s="73" t="s">
        <v>3088</v>
      </c>
      <c r="BM113" s="73" t="s">
        <v>3088</v>
      </c>
      <c r="BN113" s="73" t="s">
        <v>3088</v>
      </c>
      <c r="BO113" s="73" t="s">
        <v>3088</v>
      </c>
      <c r="BP113" s="73" t="s">
        <v>3088</v>
      </c>
      <c r="BQ113" s="73" t="s">
        <v>3851</v>
      </c>
      <c r="BR113" s="73" t="s">
        <v>3088</v>
      </c>
    </row>
    <row r="114" spans="1:70">
      <c r="A114" s="73" t="s">
        <v>1896</v>
      </c>
      <c r="B114" s="73" t="s">
        <v>3852</v>
      </c>
      <c r="C114" s="73" t="s">
        <v>3853</v>
      </c>
      <c r="D114" s="73" t="s">
        <v>3088</v>
      </c>
      <c r="E114" s="73" t="s">
        <v>3088</v>
      </c>
      <c r="F114" s="73" t="s">
        <v>3088</v>
      </c>
      <c r="G114" s="73" t="s">
        <v>3089</v>
      </c>
      <c r="H114" s="73" t="s">
        <v>3088</v>
      </c>
      <c r="I114" s="73" t="s">
        <v>3113</v>
      </c>
      <c r="J114" s="73" t="s">
        <v>3088</v>
      </c>
      <c r="K114" s="73" t="s">
        <v>3088</v>
      </c>
      <c r="L114" s="73" t="s">
        <v>3088</v>
      </c>
      <c r="M114" s="73" t="s">
        <v>3088</v>
      </c>
      <c r="N114" s="73" t="s">
        <v>3088</v>
      </c>
      <c r="O114" s="73" t="s">
        <v>3088</v>
      </c>
      <c r="P114" s="73" t="s">
        <v>3088</v>
      </c>
      <c r="Q114" s="73" t="s">
        <v>3088</v>
      </c>
      <c r="R114" s="73" t="s">
        <v>3088</v>
      </c>
      <c r="S114" s="73" t="s">
        <v>3088</v>
      </c>
      <c r="T114" s="73" t="s">
        <v>3088</v>
      </c>
      <c r="U114" s="73" t="s">
        <v>3088</v>
      </c>
      <c r="V114" s="73" t="s">
        <v>3088</v>
      </c>
      <c r="W114" s="73" t="s">
        <v>3088</v>
      </c>
      <c r="X114" s="73" t="s">
        <v>3088</v>
      </c>
      <c r="Y114" s="73" t="s">
        <v>3088</v>
      </c>
      <c r="Z114" s="73" t="s">
        <v>3088</v>
      </c>
      <c r="AA114" s="73" t="s">
        <v>3088</v>
      </c>
      <c r="AB114" s="73" t="s">
        <v>3088</v>
      </c>
      <c r="AC114" s="73" t="s">
        <v>3088</v>
      </c>
      <c r="AD114" s="73" t="s">
        <v>3088</v>
      </c>
      <c r="AE114" s="73" t="s">
        <v>3088</v>
      </c>
      <c r="AF114" s="73" t="s">
        <v>3088</v>
      </c>
      <c r="AG114" s="73" t="s">
        <v>3088</v>
      </c>
      <c r="AH114" s="73" t="s">
        <v>3088</v>
      </c>
      <c r="AI114" s="73" t="s">
        <v>3088</v>
      </c>
      <c r="AJ114" s="73" t="s">
        <v>3088</v>
      </c>
      <c r="AK114" s="73" t="s">
        <v>3088</v>
      </c>
      <c r="AL114" s="73" t="s">
        <v>3088</v>
      </c>
      <c r="AM114" s="73" t="s">
        <v>3088</v>
      </c>
      <c r="AN114" s="73" t="s">
        <v>3088</v>
      </c>
      <c r="AO114" s="73" t="s">
        <v>3088</v>
      </c>
      <c r="AP114" s="73" t="s">
        <v>3088</v>
      </c>
      <c r="AQ114" s="73" t="s">
        <v>3088</v>
      </c>
      <c r="AR114" s="73" t="s">
        <v>3088</v>
      </c>
      <c r="AS114" s="73" t="s">
        <v>3088</v>
      </c>
      <c r="AT114" s="73" t="s">
        <v>3088</v>
      </c>
      <c r="AU114" s="73" t="s">
        <v>3088</v>
      </c>
      <c r="AV114" s="73" t="s">
        <v>3088</v>
      </c>
      <c r="AW114" s="73" t="s">
        <v>3088</v>
      </c>
      <c r="AX114" s="73" t="s">
        <v>3088</v>
      </c>
      <c r="AY114" s="73" t="s">
        <v>3088</v>
      </c>
      <c r="AZ114" s="73" t="s">
        <v>3088</v>
      </c>
      <c r="BA114" s="73" t="s">
        <v>3088</v>
      </c>
      <c r="BB114" s="73" t="s">
        <v>3088</v>
      </c>
      <c r="BC114" s="73" t="s">
        <v>3088</v>
      </c>
      <c r="BD114" s="73" t="s">
        <v>3088</v>
      </c>
      <c r="BE114" s="73" t="s">
        <v>3088</v>
      </c>
      <c r="BF114" s="73" t="s">
        <v>3088</v>
      </c>
      <c r="BG114" s="73" t="s">
        <v>3088</v>
      </c>
      <c r="BH114" s="73" t="s">
        <v>3088</v>
      </c>
      <c r="BI114" s="73" t="s">
        <v>3088</v>
      </c>
      <c r="BJ114" s="73" t="s">
        <v>3088</v>
      </c>
      <c r="BK114" s="73" t="s">
        <v>3088</v>
      </c>
      <c r="BL114" s="73" t="s">
        <v>3088</v>
      </c>
      <c r="BM114" s="73" t="s">
        <v>3088</v>
      </c>
      <c r="BN114" s="73" t="s">
        <v>3088</v>
      </c>
      <c r="BO114" s="73" t="s">
        <v>3088</v>
      </c>
      <c r="BP114" s="73" t="s">
        <v>3088</v>
      </c>
      <c r="BQ114" s="73" t="s">
        <v>3854</v>
      </c>
      <c r="BR114" s="73" t="s">
        <v>3088</v>
      </c>
    </row>
    <row r="115" spans="1:70">
      <c r="A115" s="73" t="s">
        <v>1896</v>
      </c>
      <c r="B115" s="73" t="s">
        <v>2230</v>
      </c>
      <c r="C115" s="73" t="s">
        <v>2220</v>
      </c>
      <c r="D115" s="73" t="s">
        <v>3088</v>
      </c>
      <c r="E115" s="73" t="s">
        <v>3088</v>
      </c>
      <c r="F115" s="73" t="s">
        <v>3088</v>
      </c>
      <c r="G115" s="73" t="s">
        <v>3089</v>
      </c>
      <c r="H115" s="73" t="s">
        <v>3088</v>
      </c>
      <c r="I115" s="73" t="s">
        <v>108</v>
      </c>
      <c r="J115" s="73" t="s">
        <v>2231</v>
      </c>
      <c r="K115" s="73" t="s">
        <v>3095</v>
      </c>
      <c r="L115" s="73" t="s">
        <v>3088</v>
      </c>
      <c r="M115" s="73" t="s">
        <v>3088</v>
      </c>
      <c r="N115" s="73" t="s">
        <v>3088</v>
      </c>
      <c r="O115" s="73" t="s">
        <v>3088</v>
      </c>
      <c r="P115" s="73" t="s">
        <v>3088</v>
      </c>
      <c r="Q115" s="73" t="s">
        <v>3088</v>
      </c>
      <c r="R115" s="73" t="s">
        <v>3088</v>
      </c>
      <c r="S115" s="73" t="s">
        <v>3088</v>
      </c>
      <c r="T115" s="73" t="s">
        <v>3088</v>
      </c>
      <c r="U115" s="73" t="s">
        <v>3088</v>
      </c>
      <c r="V115" s="73" t="s">
        <v>3088</v>
      </c>
      <c r="W115" s="73" t="s">
        <v>3088</v>
      </c>
      <c r="X115" s="73" t="s">
        <v>3088</v>
      </c>
      <c r="Y115" s="73" t="s">
        <v>3088</v>
      </c>
      <c r="Z115" s="73" t="s">
        <v>3088</v>
      </c>
      <c r="AA115" s="73" t="s">
        <v>3088</v>
      </c>
      <c r="AB115" s="73" t="s">
        <v>3088</v>
      </c>
      <c r="AC115" s="73" t="s">
        <v>3088</v>
      </c>
      <c r="AD115" s="73" t="s">
        <v>3088</v>
      </c>
      <c r="AE115" s="73" t="s">
        <v>3088</v>
      </c>
      <c r="AF115" s="73" t="s">
        <v>3088</v>
      </c>
      <c r="AG115" s="73" t="s">
        <v>3088</v>
      </c>
      <c r="AH115" s="73" t="s">
        <v>3088</v>
      </c>
      <c r="AI115" s="73" t="s">
        <v>3088</v>
      </c>
      <c r="AJ115" s="73" t="s">
        <v>3088</v>
      </c>
      <c r="AK115" s="73" t="s">
        <v>3088</v>
      </c>
      <c r="AL115" s="73" t="s">
        <v>3088</v>
      </c>
      <c r="AM115" s="73" t="s">
        <v>3088</v>
      </c>
      <c r="AN115" s="73" t="s">
        <v>3088</v>
      </c>
      <c r="AO115" s="73" t="s">
        <v>3088</v>
      </c>
      <c r="AP115" s="73" t="s">
        <v>3088</v>
      </c>
      <c r="AQ115" s="73" t="s">
        <v>3088</v>
      </c>
      <c r="AR115" s="73" t="s">
        <v>3088</v>
      </c>
      <c r="AS115" s="73" t="s">
        <v>3088</v>
      </c>
      <c r="AT115" s="73" t="s">
        <v>3088</v>
      </c>
      <c r="AU115" s="73" t="s">
        <v>3088</v>
      </c>
      <c r="AV115" s="73" t="s">
        <v>3088</v>
      </c>
      <c r="AW115" s="73" t="s">
        <v>3088</v>
      </c>
      <c r="AX115" s="73" t="s">
        <v>3088</v>
      </c>
      <c r="AY115" s="73" t="s">
        <v>3088</v>
      </c>
      <c r="AZ115" s="73" t="s">
        <v>3088</v>
      </c>
      <c r="BA115" s="73" t="s">
        <v>3088</v>
      </c>
      <c r="BB115" s="73" t="s">
        <v>3088</v>
      </c>
      <c r="BC115" s="73" t="s">
        <v>3088</v>
      </c>
      <c r="BD115" s="73" t="s">
        <v>3088</v>
      </c>
      <c r="BE115" s="73" t="s">
        <v>3088</v>
      </c>
      <c r="BF115" s="73" t="s">
        <v>3088</v>
      </c>
      <c r="BG115" s="73" t="s">
        <v>3088</v>
      </c>
      <c r="BH115" s="73" t="s">
        <v>3088</v>
      </c>
      <c r="BI115" s="73" t="s">
        <v>3088</v>
      </c>
      <c r="BJ115" s="73" t="s">
        <v>3088</v>
      </c>
      <c r="BK115" s="73" t="s">
        <v>3088</v>
      </c>
      <c r="BL115" s="73" t="s">
        <v>3088</v>
      </c>
      <c r="BM115" s="73" t="s">
        <v>3088</v>
      </c>
      <c r="BN115" s="73" t="s">
        <v>3088</v>
      </c>
      <c r="BO115" s="73" t="s">
        <v>3088</v>
      </c>
      <c r="BP115" s="73" t="s">
        <v>3088</v>
      </c>
      <c r="BQ115" s="73" t="s">
        <v>3855</v>
      </c>
      <c r="BR115" s="73" t="s">
        <v>3097</v>
      </c>
    </row>
    <row r="116" spans="1:70">
      <c r="A116" s="73" t="s">
        <v>1896</v>
      </c>
      <c r="B116" s="73" t="s">
        <v>2232</v>
      </c>
      <c r="C116" s="73" t="s">
        <v>2220</v>
      </c>
      <c r="D116" s="73" t="s">
        <v>3088</v>
      </c>
      <c r="E116" s="73" t="s">
        <v>3088</v>
      </c>
      <c r="F116" s="73" t="s">
        <v>3088</v>
      </c>
      <c r="G116" s="73" t="s">
        <v>3089</v>
      </c>
      <c r="H116" s="73" t="s">
        <v>3088</v>
      </c>
      <c r="I116" s="73" t="s">
        <v>108</v>
      </c>
      <c r="J116" s="73" t="s">
        <v>3088</v>
      </c>
      <c r="K116" s="73" t="s">
        <v>3088</v>
      </c>
      <c r="L116" s="73" t="s">
        <v>3088</v>
      </c>
      <c r="M116" s="73" t="s">
        <v>3088</v>
      </c>
      <c r="N116" s="73" t="s">
        <v>3088</v>
      </c>
      <c r="O116" s="73" t="s">
        <v>3088</v>
      </c>
      <c r="P116" s="73" t="s">
        <v>3088</v>
      </c>
      <c r="Q116" s="73" t="s">
        <v>3088</v>
      </c>
      <c r="R116" s="73" t="s">
        <v>3088</v>
      </c>
      <c r="S116" s="73" t="s">
        <v>3088</v>
      </c>
      <c r="T116" s="73" t="s">
        <v>3088</v>
      </c>
      <c r="U116" s="73" t="s">
        <v>3088</v>
      </c>
      <c r="V116" s="73" t="s">
        <v>3088</v>
      </c>
      <c r="W116" s="73" t="s">
        <v>3088</v>
      </c>
      <c r="X116" s="73" t="s">
        <v>3088</v>
      </c>
      <c r="Y116" s="73" t="s">
        <v>3088</v>
      </c>
      <c r="Z116" s="73" t="s">
        <v>3088</v>
      </c>
      <c r="AA116" s="73" t="s">
        <v>3088</v>
      </c>
      <c r="AB116" s="73" t="s">
        <v>3088</v>
      </c>
      <c r="AC116" s="73" t="s">
        <v>3088</v>
      </c>
      <c r="AD116" s="73" t="s">
        <v>3088</v>
      </c>
      <c r="AE116" s="73" t="s">
        <v>3088</v>
      </c>
      <c r="AF116" s="73" t="s">
        <v>3088</v>
      </c>
      <c r="AG116" s="73" t="s">
        <v>3088</v>
      </c>
      <c r="AH116" s="73" t="s">
        <v>3088</v>
      </c>
      <c r="AI116" s="73" t="s">
        <v>3088</v>
      </c>
      <c r="AJ116" s="73" t="s">
        <v>3088</v>
      </c>
      <c r="AK116" s="73" t="s">
        <v>3088</v>
      </c>
      <c r="AL116" s="73" t="s">
        <v>3088</v>
      </c>
      <c r="AM116" s="73" t="s">
        <v>3088</v>
      </c>
      <c r="AN116" s="73" t="s">
        <v>3088</v>
      </c>
      <c r="AO116" s="73" t="s">
        <v>3088</v>
      </c>
      <c r="AP116" s="73" t="s">
        <v>3088</v>
      </c>
      <c r="AQ116" s="73" t="s">
        <v>3088</v>
      </c>
      <c r="AR116" s="73" t="s">
        <v>3088</v>
      </c>
      <c r="AS116" s="73" t="s">
        <v>3088</v>
      </c>
      <c r="AT116" s="73" t="s">
        <v>3088</v>
      </c>
      <c r="AU116" s="73" t="s">
        <v>3088</v>
      </c>
      <c r="AV116" s="73" t="s">
        <v>3088</v>
      </c>
      <c r="AW116" s="73" t="s">
        <v>3088</v>
      </c>
      <c r="AX116" s="73" t="s">
        <v>3088</v>
      </c>
      <c r="AY116" s="73" t="s">
        <v>3088</v>
      </c>
      <c r="AZ116" s="73" t="s">
        <v>3088</v>
      </c>
      <c r="BA116" s="73" t="s">
        <v>3088</v>
      </c>
      <c r="BB116" s="73" t="s">
        <v>3088</v>
      </c>
      <c r="BC116" s="73" t="s">
        <v>3088</v>
      </c>
      <c r="BD116" s="73" t="s">
        <v>3088</v>
      </c>
      <c r="BE116" s="73" t="s">
        <v>3088</v>
      </c>
      <c r="BF116" s="73" t="s">
        <v>3088</v>
      </c>
      <c r="BG116" s="73" t="s">
        <v>3088</v>
      </c>
      <c r="BH116" s="73" t="s">
        <v>3088</v>
      </c>
      <c r="BI116" s="73" t="s">
        <v>3088</v>
      </c>
      <c r="BJ116" s="73" t="s">
        <v>3088</v>
      </c>
      <c r="BK116" s="73" t="s">
        <v>3088</v>
      </c>
      <c r="BL116" s="73" t="s">
        <v>3088</v>
      </c>
      <c r="BM116" s="73" t="s">
        <v>3088</v>
      </c>
      <c r="BN116" s="73" t="s">
        <v>3088</v>
      </c>
      <c r="BO116" s="73" t="s">
        <v>3088</v>
      </c>
      <c r="BP116" s="73" t="s">
        <v>3088</v>
      </c>
      <c r="BQ116" s="73" t="s">
        <v>3856</v>
      </c>
      <c r="BR116" s="73" t="s">
        <v>3088</v>
      </c>
    </row>
    <row r="117" spans="1:70">
      <c r="A117" s="73" t="s">
        <v>1896</v>
      </c>
      <c r="B117" s="73" t="s">
        <v>2233</v>
      </c>
      <c r="C117" s="73" t="s">
        <v>2234</v>
      </c>
      <c r="D117" s="73" t="s">
        <v>3088</v>
      </c>
      <c r="E117" s="73" t="s">
        <v>3088</v>
      </c>
      <c r="F117" s="73" t="s">
        <v>3088</v>
      </c>
      <c r="G117" s="73" t="s">
        <v>3089</v>
      </c>
      <c r="H117" s="73" t="s">
        <v>3088</v>
      </c>
      <c r="I117" s="73" t="s">
        <v>108</v>
      </c>
      <c r="J117" s="73" t="s">
        <v>2235</v>
      </c>
      <c r="K117" s="73" t="s">
        <v>3095</v>
      </c>
      <c r="L117" s="73" t="s">
        <v>3088</v>
      </c>
      <c r="M117" s="73" t="s">
        <v>3088</v>
      </c>
      <c r="N117" s="73" t="s">
        <v>3088</v>
      </c>
      <c r="O117" s="73" t="s">
        <v>3088</v>
      </c>
      <c r="P117" s="73" t="s">
        <v>3088</v>
      </c>
      <c r="Q117" s="73" t="s">
        <v>3088</v>
      </c>
      <c r="R117" s="73" t="s">
        <v>3088</v>
      </c>
      <c r="S117" s="73" t="s">
        <v>3088</v>
      </c>
      <c r="T117" s="73" t="s">
        <v>3088</v>
      </c>
      <c r="U117" s="73" t="s">
        <v>3088</v>
      </c>
      <c r="V117" s="73" t="s">
        <v>3088</v>
      </c>
      <c r="W117" s="73" t="s">
        <v>3088</v>
      </c>
      <c r="X117" s="73" t="s">
        <v>3088</v>
      </c>
      <c r="Y117" s="73" t="s">
        <v>3088</v>
      </c>
      <c r="Z117" s="73" t="s">
        <v>3088</v>
      </c>
      <c r="AA117" s="73" t="s">
        <v>3088</v>
      </c>
      <c r="AB117" s="73" t="s">
        <v>3088</v>
      </c>
      <c r="AC117" s="73" t="s">
        <v>3088</v>
      </c>
      <c r="AD117" s="73" t="s">
        <v>3088</v>
      </c>
      <c r="AE117" s="73" t="s">
        <v>3088</v>
      </c>
      <c r="AF117" s="73" t="s">
        <v>3088</v>
      </c>
      <c r="AG117" s="73" t="s">
        <v>3088</v>
      </c>
      <c r="AH117" s="73" t="s">
        <v>3088</v>
      </c>
      <c r="AI117" s="73" t="s">
        <v>3088</v>
      </c>
      <c r="AJ117" s="73" t="s">
        <v>3088</v>
      </c>
      <c r="AK117" s="73" t="s">
        <v>3088</v>
      </c>
      <c r="AL117" s="73" t="s">
        <v>3088</v>
      </c>
      <c r="AM117" s="73" t="s">
        <v>3088</v>
      </c>
      <c r="AN117" s="73" t="s">
        <v>3088</v>
      </c>
      <c r="AO117" s="73" t="s">
        <v>3088</v>
      </c>
      <c r="AP117" s="73" t="s">
        <v>3088</v>
      </c>
      <c r="AQ117" s="73" t="s">
        <v>3088</v>
      </c>
      <c r="AR117" s="73" t="s">
        <v>3088</v>
      </c>
      <c r="AS117" s="73" t="s">
        <v>3088</v>
      </c>
      <c r="AT117" s="73" t="s">
        <v>3088</v>
      </c>
      <c r="AU117" s="73" t="s">
        <v>3088</v>
      </c>
      <c r="AV117" s="73" t="s">
        <v>3088</v>
      </c>
      <c r="AW117" s="73" t="s">
        <v>3088</v>
      </c>
      <c r="AX117" s="73" t="s">
        <v>3088</v>
      </c>
      <c r="AY117" s="73" t="s">
        <v>3088</v>
      </c>
      <c r="AZ117" s="73" t="s">
        <v>3088</v>
      </c>
      <c r="BA117" s="73" t="s">
        <v>3088</v>
      </c>
      <c r="BB117" s="73" t="s">
        <v>3088</v>
      </c>
      <c r="BC117" s="73" t="s">
        <v>3088</v>
      </c>
      <c r="BD117" s="73" t="s">
        <v>3088</v>
      </c>
      <c r="BE117" s="73" t="s">
        <v>3088</v>
      </c>
      <c r="BF117" s="73" t="s">
        <v>3088</v>
      </c>
      <c r="BG117" s="73" t="s">
        <v>3088</v>
      </c>
      <c r="BH117" s="73" t="s">
        <v>3088</v>
      </c>
      <c r="BI117" s="73" t="s">
        <v>3088</v>
      </c>
      <c r="BJ117" s="73" t="s">
        <v>3088</v>
      </c>
      <c r="BK117" s="73" t="s">
        <v>3088</v>
      </c>
      <c r="BL117" s="73" t="s">
        <v>3088</v>
      </c>
      <c r="BM117" s="73" t="s">
        <v>3088</v>
      </c>
      <c r="BN117" s="73" t="s">
        <v>3088</v>
      </c>
      <c r="BO117" s="73" t="s">
        <v>3088</v>
      </c>
      <c r="BP117" s="73" t="s">
        <v>3088</v>
      </c>
      <c r="BQ117" s="73" t="s">
        <v>3857</v>
      </c>
      <c r="BR117" s="73" t="s">
        <v>3097</v>
      </c>
    </row>
    <row r="118" spans="1:70">
      <c r="A118" s="73" t="s">
        <v>1896</v>
      </c>
      <c r="B118" s="73" t="s">
        <v>2236</v>
      </c>
      <c r="C118" s="73" t="s">
        <v>2237</v>
      </c>
      <c r="D118" s="73" t="s">
        <v>3088</v>
      </c>
      <c r="E118" s="73" t="s">
        <v>3088</v>
      </c>
      <c r="F118" s="73" t="s">
        <v>3088</v>
      </c>
      <c r="G118" s="73" t="s">
        <v>3089</v>
      </c>
      <c r="H118" s="73" t="s">
        <v>3088</v>
      </c>
      <c r="I118" s="73" t="s">
        <v>108</v>
      </c>
      <c r="J118" s="73" t="s">
        <v>2231</v>
      </c>
      <c r="K118" s="73" t="s">
        <v>3095</v>
      </c>
      <c r="L118" s="73" t="s">
        <v>3088</v>
      </c>
      <c r="M118" s="73" t="s">
        <v>3088</v>
      </c>
      <c r="N118" s="73" t="s">
        <v>3088</v>
      </c>
      <c r="O118" s="73" t="s">
        <v>3088</v>
      </c>
      <c r="P118" s="73" t="s">
        <v>3088</v>
      </c>
      <c r="Q118" s="73" t="s">
        <v>3088</v>
      </c>
      <c r="R118" s="73" t="s">
        <v>3088</v>
      </c>
      <c r="S118" s="73" t="s">
        <v>3088</v>
      </c>
      <c r="T118" s="73" t="s">
        <v>3088</v>
      </c>
      <c r="U118" s="73" t="s">
        <v>3088</v>
      </c>
      <c r="V118" s="73" t="s">
        <v>3088</v>
      </c>
      <c r="W118" s="73" t="s">
        <v>3088</v>
      </c>
      <c r="X118" s="73" t="s">
        <v>3088</v>
      </c>
      <c r="Y118" s="73" t="s">
        <v>3088</v>
      </c>
      <c r="Z118" s="73" t="s">
        <v>3088</v>
      </c>
      <c r="AA118" s="73" t="s">
        <v>3088</v>
      </c>
      <c r="AB118" s="73" t="s">
        <v>3088</v>
      </c>
      <c r="AC118" s="73" t="s">
        <v>3088</v>
      </c>
      <c r="AD118" s="73" t="s">
        <v>3088</v>
      </c>
      <c r="AE118" s="73" t="s">
        <v>3088</v>
      </c>
      <c r="AF118" s="73" t="s">
        <v>3088</v>
      </c>
      <c r="AG118" s="73" t="s">
        <v>3088</v>
      </c>
      <c r="AH118" s="73" t="s">
        <v>3088</v>
      </c>
      <c r="AI118" s="73" t="s">
        <v>3088</v>
      </c>
      <c r="AJ118" s="73" t="s">
        <v>3088</v>
      </c>
      <c r="AK118" s="73" t="s">
        <v>3088</v>
      </c>
      <c r="AL118" s="73" t="s">
        <v>3088</v>
      </c>
      <c r="AM118" s="73" t="s">
        <v>3088</v>
      </c>
      <c r="AN118" s="73" t="s">
        <v>3088</v>
      </c>
      <c r="AO118" s="73" t="s">
        <v>3088</v>
      </c>
      <c r="AP118" s="73" t="s">
        <v>3088</v>
      </c>
      <c r="AQ118" s="73" t="s">
        <v>3088</v>
      </c>
      <c r="AR118" s="73" t="s">
        <v>3088</v>
      </c>
      <c r="AS118" s="73" t="s">
        <v>3088</v>
      </c>
      <c r="AT118" s="73" t="s">
        <v>3088</v>
      </c>
      <c r="AU118" s="73" t="s">
        <v>3088</v>
      </c>
      <c r="AV118" s="73" t="s">
        <v>3088</v>
      </c>
      <c r="AW118" s="73" t="s">
        <v>3088</v>
      </c>
      <c r="AX118" s="73" t="s">
        <v>3088</v>
      </c>
      <c r="AY118" s="73" t="s">
        <v>3088</v>
      </c>
      <c r="AZ118" s="73" t="s">
        <v>3088</v>
      </c>
      <c r="BA118" s="73" t="s">
        <v>3088</v>
      </c>
      <c r="BB118" s="73" t="s">
        <v>3088</v>
      </c>
      <c r="BC118" s="73" t="s">
        <v>3088</v>
      </c>
      <c r="BD118" s="73" t="s">
        <v>3088</v>
      </c>
      <c r="BE118" s="73" t="s">
        <v>3088</v>
      </c>
      <c r="BF118" s="73" t="s">
        <v>3088</v>
      </c>
      <c r="BG118" s="73" t="s">
        <v>3088</v>
      </c>
      <c r="BH118" s="73" t="s">
        <v>3088</v>
      </c>
      <c r="BI118" s="73" t="s">
        <v>3088</v>
      </c>
      <c r="BJ118" s="73" t="s">
        <v>3088</v>
      </c>
      <c r="BK118" s="73" t="s">
        <v>3088</v>
      </c>
      <c r="BL118" s="73" t="s">
        <v>3088</v>
      </c>
      <c r="BM118" s="73" t="s">
        <v>3088</v>
      </c>
      <c r="BN118" s="73" t="s">
        <v>3088</v>
      </c>
      <c r="BO118" s="73" t="s">
        <v>3088</v>
      </c>
      <c r="BP118" s="73" t="s">
        <v>3088</v>
      </c>
      <c r="BQ118" s="73" t="s">
        <v>3858</v>
      </c>
      <c r="BR118" s="73" t="s">
        <v>3097</v>
      </c>
    </row>
    <row r="119" spans="1:70">
      <c r="A119" s="73" t="s">
        <v>1896</v>
      </c>
      <c r="B119" s="73" t="s">
        <v>2238</v>
      </c>
      <c r="C119" s="73" t="s">
        <v>2237</v>
      </c>
      <c r="D119" s="73" t="s">
        <v>3088</v>
      </c>
      <c r="E119" s="73" t="s">
        <v>3088</v>
      </c>
      <c r="F119" s="73" t="s">
        <v>3088</v>
      </c>
      <c r="G119" s="73" t="s">
        <v>3089</v>
      </c>
      <c r="H119" s="73" t="s">
        <v>3088</v>
      </c>
      <c r="I119" s="73" t="s">
        <v>108</v>
      </c>
      <c r="J119" s="73" t="s">
        <v>2239</v>
      </c>
      <c r="K119" s="73" t="s">
        <v>3095</v>
      </c>
      <c r="L119" s="73" t="s">
        <v>3088</v>
      </c>
      <c r="M119" s="73" t="s">
        <v>3088</v>
      </c>
      <c r="N119" s="73" t="s">
        <v>3088</v>
      </c>
      <c r="O119" s="73" t="s">
        <v>3088</v>
      </c>
      <c r="P119" s="73" t="s">
        <v>3088</v>
      </c>
      <c r="Q119" s="73" t="s">
        <v>3088</v>
      </c>
      <c r="R119" s="73" t="s">
        <v>3088</v>
      </c>
      <c r="S119" s="73" t="s">
        <v>3088</v>
      </c>
      <c r="T119" s="73" t="s">
        <v>3088</v>
      </c>
      <c r="U119" s="73" t="s">
        <v>3088</v>
      </c>
      <c r="V119" s="73" t="s">
        <v>3088</v>
      </c>
      <c r="W119" s="73" t="s">
        <v>3088</v>
      </c>
      <c r="X119" s="73" t="s">
        <v>3088</v>
      </c>
      <c r="Y119" s="73" t="s">
        <v>3088</v>
      </c>
      <c r="Z119" s="73" t="s">
        <v>3088</v>
      </c>
      <c r="AA119" s="73" t="s">
        <v>3088</v>
      </c>
      <c r="AB119" s="73" t="s">
        <v>3088</v>
      </c>
      <c r="AC119" s="73" t="s">
        <v>3088</v>
      </c>
      <c r="AD119" s="73" t="s">
        <v>3088</v>
      </c>
      <c r="AE119" s="73" t="s">
        <v>3088</v>
      </c>
      <c r="AF119" s="73" t="s">
        <v>3088</v>
      </c>
      <c r="AG119" s="73" t="s">
        <v>3088</v>
      </c>
      <c r="AH119" s="73" t="s">
        <v>3088</v>
      </c>
      <c r="AI119" s="73" t="s">
        <v>3088</v>
      </c>
      <c r="AJ119" s="73" t="s">
        <v>3088</v>
      </c>
      <c r="AK119" s="73" t="s">
        <v>3088</v>
      </c>
      <c r="AL119" s="73" t="s">
        <v>3088</v>
      </c>
      <c r="AM119" s="73" t="s">
        <v>3088</v>
      </c>
      <c r="AN119" s="73" t="s">
        <v>3088</v>
      </c>
      <c r="AO119" s="73" t="s">
        <v>3088</v>
      </c>
      <c r="AP119" s="73" t="s">
        <v>3088</v>
      </c>
      <c r="AQ119" s="73" t="s">
        <v>3088</v>
      </c>
      <c r="AR119" s="73" t="s">
        <v>3088</v>
      </c>
      <c r="AS119" s="73" t="s">
        <v>3088</v>
      </c>
      <c r="AT119" s="73" t="s">
        <v>3088</v>
      </c>
      <c r="AU119" s="73" t="s">
        <v>3088</v>
      </c>
      <c r="AV119" s="73" t="s">
        <v>3088</v>
      </c>
      <c r="AW119" s="73" t="s">
        <v>3088</v>
      </c>
      <c r="AX119" s="73" t="s">
        <v>3088</v>
      </c>
      <c r="AY119" s="73" t="s">
        <v>3088</v>
      </c>
      <c r="AZ119" s="73" t="s">
        <v>3088</v>
      </c>
      <c r="BA119" s="73" t="s">
        <v>3088</v>
      </c>
      <c r="BB119" s="73" t="s">
        <v>3088</v>
      </c>
      <c r="BC119" s="73" t="s">
        <v>3088</v>
      </c>
      <c r="BD119" s="73" t="s">
        <v>3088</v>
      </c>
      <c r="BE119" s="73" t="s">
        <v>3088</v>
      </c>
      <c r="BF119" s="73" t="s">
        <v>3088</v>
      </c>
      <c r="BG119" s="73" t="s">
        <v>3088</v>
      </c>
      <c r="BH119" s="73" t="s">
        <v>3088</v>
      </c>
      <c r="BI119" s="73" t="s">
        <v>3088</v>
      </c>
      <c r="BJ119" s="73" t="s">
        <v>3088</v>
      </c>
      <c r="BK119" s="73" t="s">
        <v>3088</v>
      </c>
      <c r="BL119" s="73" t="s">
        <v>3088</v>
      </c>
      <c r="BM119" s="73" t="s">
        <v>3088</v>
      </c>
      <c r="BN119" s="73" t="s">
        <v>3088</v>
      </c>
      <c r="BO119" s="73" t="s">
        <v>3088</v>
      </c>
      <c r="BP119" s="73" t="s">
        <v>3088</v>
      </c>
      <c r="BQ119" s="73" t="s">
        <v>3859</v>
      </c>
      <c r="BR119" s="73" t="s">
        <v>3097</v>
      </c>
    </row>
    <row r="120" spans="1:70">
      <c r="A120" s="73" t="s">
        <v>1896</v>
      </c>
      <c r="B120" s="73" t="s">
        <v>2240</v>
      </c>
      <c r="C120" s="73" t="s">
        <v>2241</v>
      </c>
      <c r="D120" s="73" t="s">
        <v>3088</v>
      </c>
      <c r="E120" s="73" t="s">
        <v>3088</v>
      </c>
      <c r="F120" s="73" t="s">
        <v>3088</v>
      </c>
      <c r="G120" s="73" t="s">
        <v>3089</v>
      </c>
      <c r="H120" s="73" t="s">
        <v>3088</v>
      </c>
      <c r="I120" s="73" t="s">
        <v>2193</v>
      </c>
      <c r="J120" s="73" t="s">
        <v>3088</v>
      </c>
      <c r="K120" s="73" t="s">
        <v>3088</v>
      </c>
      <c r="L120" s="73" t="s">
        <v>3088</v>
      </c>
      <c r="M120" s="73" t="s">
        <v>3088</v>
      </c>
      <c r="N120" s="73" t="s">
        <v>3088</v>
      </c>
      <c r="O120" s="73" t="s">
        <v>3088</v>
      </c>
      <c r="P120" s="73" t="s">
        <v>3088</v>
      </c>
      <c r="Q120" s="73" t="s">
        <v>3088</v>
      </c>
      <c r="R120" s="73" t="s">
        <v>3088</v>
      </c>
      <c r="S120" s="73" t="s">
        <v>3088</v>
      </c>
      <c r="T120" s="73" t="s">
        <v>3088</v>
      </c>
      <c r="U120" s="73" t="s">
        <v>3088</v>
      </c>
      <c r="V120" s="73" t="s">
        <v>3088</v>
      </c>
      <c r="W120" s="73" t="s">
        <v>3088</v>
      </c>
      <c r="X120" s="73" t="s">
        <v>3088</v>
      </c>
      <c r="Y120" s="73" t="s">
        <v>3088</v>
      </c>
      <c r="Z120" s="73" t="s">
        <v>3088</v>
      </c>
      <c r="AA120" s="73" t="s">
        <v>3088</v>
      </c>
      <c r="AB120" s="73" t="s">
        <v>3088</v>
      </c>
      <c r="AC120" s="73" t="s">
        <v>3088</v>
      </c>
      <c r="AD120" s="73" t="s">
        <v>3088</v>
      </c>
      <c r="AE120" s="73" t="s">
        <v>3088</v>
      </c>
      <c r="AF120" s="73" t="s">
        <v>3088</v>
      </c>
      <c r="AG120" s="73" t="s">
        <v>3088</v>
      </c>
      <c r="AH120" s="73" t="s">
        <v>3088</v>
      </c>
      <c r="AI120" s="73" t="s">
        <v>3088</v>
      </c>
      <c r="AJ120" s="73" t="s">
        <v>3088</v>
      </c>
      <c r="AK120" s="73" t="s">
        <v>3088</v>
      </c>
      <c r="AL120" s="73" t="s">
        <v>3088</v>
      </c>
      <c r="AM120" s="73" t="s">
        <v>3088</v>
      </c>
      <c r="AN120" s="73" t="s">
        <v>3088</v>
      </c>
      <c r="AO120" s="73" t="s">
        <v>3088</v>
      </c>
      <c r="AP120" s="73" t="s">
        <v>3088</v>
      </c>
      <c r="AQ120" s="73" t="s">
        <v>3088</v>
      </c>
      <c r="AR120" s="73" t="s">
        <v>3088</v>
      </c>
      <c r="AS120" s="73" t="s">
        <v>3088</v>
      </c>
      <c r="AT120" s="73" t="s">
        <v>3088</v>
      </c>
      <c r="AU120" s="73" t="s">
        <v>3088</v>
      </c>
      <c r="AV120" s="73" t="s">
        <v>3088</v>
      </c>
      <c r="AW120" s="73" t="s">
        <v>3088</v>
      </c>
      <c r="AX120" s="73" t="s">
        <v>3088</v>
      </c>
      <c r="AY120" s="73" t="s">
        <v>3088</v>
      </c>
      <c r="AZ120" s="73" t="s">
        <v>3088</v>
      </c>
      <c r="BA120" s="73" t="s">
        <v>3088</v>
      </c>
      <c r="BB120" s="73" t="s">
        <v>3088</v>
      </c>
      <c r="BC120" s="73" t="s">
        <v>3088</v>
      </c>
      <c r="BD120" s="73" t="s">
        <v>3088</v>
      </c>
      <c r="BE120" s="73" t="s">
        <v>3088</v>
      </c>
      <c r="BF120" s="73" t="s">
        <v>3088</v>
      </c>
      <c r="BG120" s="73" t="s">
        <v>3088</v>
      </c>
      <c r="BH120" s="73" t="s">
        <v>3088</v>
      </c>
      <c r="BI120" s="73" t="s">
        <v>3088</v>
      </c>
      <c r="BJ120" s="73" t="s">
        <v>3088</v>
      </c>
      <c r="BK120" s="73" t="s">
        <v>3088</v>
      </c>
      <c r="BL120" s="73" t="s">
        <v>3088</v>
      </c>
      <c r="BM120" s="73" t="s">
        <v>3088</v>
      </c>
      <c r="BN120" s="73" t="s">
        <v>3088</v>
      </c>
      <c r="BO120" s="73" t="s">
        <v>3088</v>
      </c>
      <c r="BP120" s="73" t="s">
        <v>3088</v>
      </c>
      <c r="BQ120" s="73" t="s">
        <v>3860</v>
      </c>
      <c r="BR120" s="73" t="s">
        <v>3088</v>
      </c>
    </row>
    <row r="121" spans="1:70">
      <c r="A121" s="73" t="s">
        <v>1896</v>
      </c>
      <c r="B121" s="73" t="s">
        <v>2242</v>
      </c>
      <c r="C121" s="73" t="s">
        <v>2220</v>
      </c>
      <c r="D121" s="73" t="s">
        <v>3088</v>
      </c>
      <c r="E121" s="73" t="s">
        <v>3088</v>
      </c>
      <c r="F121" s="73" t="s">
        <v>3088</v>
      </c>
      <c r="G121" s="73" t="s">
        <v>3089</v>
      </c>
      <c r="H121" s="73" t="s">
        <v>3088</v>
      </c>
      <c r="I121" s="73" t="s">
        <v>108</v>
      </c>
      <c r="J121" s="73" t="s">
        <v>3861</v>
      </c>
      <c r="K121" s="73" t="s">
        <v>3089</v>
      </c>
      <c r="L121" s="73" t="s">
        <v>3122</v>
      </c>
      <c r="M121" s="73" t="s">
        <v>3861</v>
      </c>
      <c r="N121" s="73" t="s">
        <v>3089</v>
      </c>
      <c r="O121" s="73" t="s">
        <v>1201</v>
      </c>
      <c r="P121" s="73" t="s">
        <v>3861</v>
      </c>
      <c r="Q121" s="73" t="s">
        <v>3089</v>
      </c>
      <c r="R121" s="73" t="s">
        <v>3862</v>
      </c>
      <c r="S121" s="73" t="s">
        <v>3861</v>
      </c>
      <c r="T121" s="73" t="s">
        <v>3089</v>
      </c>
      <c r="U121" s="73" t="s">
        <v>3098</v>
      </c>
      <c r="V121" s="73" t="s">
        <v>3861</v>
      </c>
      <c r="W121" s="73" t="s">
        <v>3089</v>
      </c>
      <c r="X121" s="73" t="s">
        <v>3863</v>
      </c>
      <c r="Y121" s="73" t="s">
        <v>3861</v>
      </c>
      <c r="Z121" s="73" t="s">
        <v>3089</v>
      </c>
      <c r="AA121" s="73" t="s">
        <v>3864</v>
      </c>
      <c r="AB121" s="73" t="s">
        <v>3861</v>
      </c>
      <c r="AC121" s="73" t="s">
        <v>3089</v>
      </c>
      <c r="AD121" s="73" t="s">
        <v>3279</v>
      </c>
      <c r="AE121" s="73" t="s">
        <v>3861</v>
      </c>
      <c r="AF121" s="73" t="s">
        <v>3089</v>
      </c>
      <c r="AG121" s="73" t="s">
        <v>3013</v>
      </c>
      <c r="AH121" s="73" t="s">
        <v>3861</v>
      </c>
      <c r="AI121" s="73" t="s">
        <v>3089</v>
      </c>
      <c r="AJ121" s="73" t="s">
        <v>3865</v>
      </c>
      <c r="AK121" s="73" t="s">
        <v>3861</v>
      </c>
      <c r="AL121" s="73" t="s">
        <v>3089</v>
      </c>
      <c r="AM121" s="73" t="s">
        <v>3866</v>
      </c>
      <c r="AN121" s="73" t="s">
        <v>3861</v>
      </c>
      <c r="AO121" s="73" t="s">
        <v>3089</v>
      </c>
      <c r="AP121" s="73" t="s">
        <v>3088</v>
      </c>
      <c r="AQ121" s="73" t="s">
        <v>3088</v>
      </c>
      <c r="AR121" s="73" t="s">
        <v>3088</v>
      </c>
      <c r="AS121" s="73" t="s">
        <v>3088</v>
      </c>
      <c r="AT121" s="73" t="s">
        <v>3088</v>
      </c>
      <c r="AU121" s="73" t="s">
        <v>3088</v>
      </c>
      <c r="AV121" s="73" t="s">
        <v>3088</v>
      </c>
      <c r="AW121" s="73" t="s">
        <v>3088</v>
      </c>
      <c r="AX121" s="73" t="s">
        <v>3088</v>
      </c>
      <c r="AY121" s="73" t="s">
        <v>3088</v>
      </c>
      <c r="AZ121" s="73" t="s">
        <v>3088</v>
      </c>
      <c r="BA121" s="73" t="s">
        <v>3088</v>
      </c>
      <c r="BB121" s="73" t="s">
        <v>3088</v>
      </c>
      <c r="BC121" s="73" t="s">
        <v>3088</v>
      </c>
      <c r="BD121" s="73" t="s">
        <v>3088</v>
      </c>
      <c r="BE121" s="73" t="s">
        <v>3088</v>
      </c>
      <c r="BF121" s="73" t="s">
        <v>3088</v>
      </c>
      <c r="BG121" s="73" t="s">
        <v>3088</v>
      </c>
      <c r="BH121" s="73" t="s">
        <v>3088</v>
      </c>
      <c r="BI121" s="73" t="s">
        <v>3088</v>
      </c>
      <c r="BJ121" s="73" t="s">
        <v>3088</v>
      </c>
      <c r="BK121" s="73" t="s">
        <v>3088</v>
      </c>
      <c r="BL121" s="73" t="s">
        <v>3088</v>
      </c>
      <c r="BM121" s="73" t="s">
        <v>3088</v>
      </c>
      <c r="BN121" s="73" t="s">
        <v>3088</v>
      </c>
      <c r="BO121" s="73" t="s">
        <v>3088</v>
      </c>
      <c r="BP121" s="73" t="s">
        <v>3088</v>
      </c>
      <c r="BQ121" s="73" t="s">
        <v>3867</v>
      </c>
      <c r="BR121" s="73" t="s">
        <v>3088</v>
      </c>
    </row>
    <row r="122" spans="1:70">
      <c r="A122" s="73" t="s">
        <v>1896</v>
      </c>
      <c r="B122" s="73" t="s">
        <v>2245</v>
      </c>
      <c r="C122" s="73" t="s">
        <v>2241</v>
      </c>
      <c r="D122" s="73" t="s">
        <v>3088</v>
      </c>
      <c r="E122" s="73" t="s">
        <v>3088</v>
      </c>
      <c r="F122" s="73" t="s">
        <v>3088</v>
      </c>
      <c r="G122" s="73" t="s">
        <v>3089</v>
      </c>
      <c r="H122" s="73" t="s">
        <v>3088</v>
      </c>
      <c r="I122" s="73" t="s">
        <v>108</v>
      </c>
      <c r="J122" s="73" t="s">
        <v>3088</v>
      </c>
      <c r="K122" s="73" t="s">
        <v>3088</v>
      </c>
      <c r="L122" s="73" t="s">
        <v>3113</v>
      </c>
      <c r="M122" s="73" t="s">
        <v>3088</v>
      </c>
      <c r="N122" s="73" t="s">
        <v>3088</v>
      </c>
      <c r="O122" s="73" t="s">
        <v>3122</v>
      </c>
      <c r="P122" s="73" t="s">
        <v>3088</v>
      </c>
      <c r="Q122" s="73" t="s">
        <v>3088</v>
      </c>
      <c r="R122" s="73" t="s">
        <v>3088</v>
      </c>
      <c r="S122" s="73" t="s">
        <v>3088</v>
      </c>
      <c r="T122" s="73" t="s">
        <v>3088</v>
      </c>
      <c r="U122" s="73" t="s">
        <v>3088</v>
      </c>
      <c r="V122" s="73" t="s">
        <v>3088</v>
      </c>
      <c r="W122" s="73" t="s">
        <v>3088</v>
      </c>
      <c r="X122" s="73" t="s">
        <v>3088</v>
      </c>
      <c r="Y122" s="73" t="s">
        <v>3088</v>
      </c>
      <c r="Z122" s="73" t="s">
        <v>3088</v>
      </c>
      <c r="AA122" s="73" t="s">
        <v>3088</v>
      </c>
      <c r="AB122" s="73" t="s">
        <v>3088</v>
      </c>
      <c r="AC122" s="73" t="s">
        <v>3088</v>
      </c>
      <c r="AD122" s="73" t="s">
        <v>3088</v>
      </c>
      <c r="AE122" s="73" t="s">
        <v>3088</v>
      </c>
      <c r="AF122" s="73" t="s">
        <v>3088</v>
      </c>
      <c r="AG122" s="73" t="s">
        <v>3088</v>
      </c>
      <c r="AH122" s="73" t="s">
        <v>3088</v>
      </c>
      <c r="AI122" s="73" t="s">
        <v>3088</v>
      </c>
      <c r="AJ122" s="73" t="s">
        <v>3088</v>
      </c>
      <c r="AK122" s="73" t="s">
        <v>3088</v>
      </c>
      <c r="AL122" s="73" t="s">
        <v>3088</v>
      </c>
      <c r="AM122" s="73" t="s">
        <v>3088</v>
      </c>
      <c r="AN122" s="73" t="s">
        <v>3088</v>
      </c>
      <c r="AO122" s="73" t="s">
        <v>3088</v>
      </c>
      <c r="AP122" s="73" t="s">
        <v>3088</v>
      </c>
      <c r="AQ122" s="73" t="s">
        <v>3088</v>
      </c>
      <c r="AR122" s="73" t="s">
        <v>3088</v>
      </c>
      <c r="AS122" s="73" t="s">
        <v>3088</v>
      </c>
      <c r="AT122" s="73" t="s">
        <v>3088</v>
      </c>
      <c r="AU122" s="73" t="s">
        <v>3088</v>
      </c>
      <c r="AV122" s="73" t="s">
        <v>3088</v>
      </c>
      <c r="AW122" s="73" t="s">
        <v>3088</v>
      </c>
      <c r="AX122" s="73" t="s">
        <v>3088</v>
      </c>
      <c r="AY122" s="73" t="s">
        <v>3088</v>
      </c>
      <c r="AZ122" s="73" t="s">
        <v>3088</v>
      </c>
      <c r="BA122" s="73" t="s">
        <v>3088</v>
      </c>
      <c r="BB122" s="73" t="s">
        <v>3088</v>
      </c>
      <c r="BC122" s="73" t="s">
        <v>3088</v>
      </c>
      <c r="BD122" s="73" t="s">
        <v>3088</v>
      </c>
      <c r="BE122" s="73" t="s">
        <v>3088</v>
      </c>
      <c r="BF122" s="73" t="s">
        <v>3088</v>
      </c>
      <c r="BG122" s="73" t="s">
        <v>3088</v>
      </c>
      <c r="BH122" s="73" t="s">
        <v>3088</v>
      </c>
      <c r="BI122" s="73" t="s">
        <v>3088</v>
      </c>
      <c r="BJ122" s="73" t="s">
        <v>3088</v>
      </c>
      <c r="BK122" s="73" t="s">
        <v>3088</v>
      </c>
      <c r="BL122" s="73" t="s">
        <v>3088</v>
      </c>
      <c r="BM122" s="73" t="s">
        <v>3088</v>
      </c>
      <c r="BN122" s="73" t="s">
        <v>3088</v>
      </c>
      <c r="BO122" s="73" t="s">
        <v>3088</v>
      </c>
      <c r="BP122" s="73" t="s">
        <v>3088</v>
      </c>
      <c r="BQ122" s="73" t="s">
        <v>3868</v>
      </c>
      <c r="BR122" s="73" t="s">
        <v>3088</v>
      </c>
    </row>
    <row r="123" spans="1:70">
      <c r="A123" s="73" t="s">
        <v>1896</v>
      </c>
      <c r="B123" s="73" t="s">
        <v>3869</v>
      </c>
      <c r="C123" s="73" t="s">
        <v>3088</v>
      </c>
      <c r="D123" s="73" t="s">
        <v>3088</v>
      </c>
      <c r="E123" s="73" t="s">
        <v>3088</v>
      </c>
      <c r="F123" s="73" t="s">
        <v>3088</v>
      </c>
      <c r="G123" s="73" t="s">
        <v>3089</v>
      </c>
      <c r="H123" s="73" t="s">
        <v>3088</v>
      </c>
      <c r="I123" s="73" t="s">
        <v>3093</v>
      </c>
      <c r="J123" s="73" t="s">
        <v>3088</v>
      </c>
      <c r="K123" s="73" t="s">
        <v>3088</v>
      </c>
      <c r="L123" s="73" t="s">
        <v>3088</v>
      </c>
      <c r="M123" s="73" t="s">
        <v>3088</v>
      </c>
      <c r="N123" s="73" t="s">
        <v>3088</v>
      </c>
      <c r="O123" s="73" t="s">
        <v>3088</v>
      </c>
      <c r="P123" s="73" t="s">
        <v>3088</v>
      </c>
      <c r="Q123" s="73" t="s">
        <v>3088</v>
      </c>
      <c r="R123" s="73" t="s">
        <v>3088</v>
      </c>
      <c r="S123" s="73" t="s">
        <v>3088</v>
      </c>
      <c r="T123" s="73" t="s">
        <v>3088</v>
      </c>
      <c r="U123" s="73" t="s">
        <v>3088</v>
      </c>
      <c r="V123" s="73" t="s">
        <v>3088</v>
      </c>
      <c r="W123" s="73" t="s">
        <v>3088</v>
      </c>
      <c r="X123" s="73" t="s">
        <v>3088</v>
      </c>
      <c r="Y123" s="73" t="s">
        <v>3088</v>
      </c>
      <c r="Z123" s="73" t="s">
        <v>3088</v>
      </c>
      <c r="AA123" s="73" t="s">
        <v>3088</v>
      </c>
      <c r="AB123" s="73" t="s">
        <v>3088</v>
      </c>
      <c r="AC123" s="73" t="s">
        <v>3088</v>
      </c>
      <c r="AD123" s="73" t="s">
        <v>3088</v>
      </c>
      <c r="AE123" s="73" t="s">
        <v>3088</v>
      </c>
      <c r="AF123" s="73" t="s">
        <v>3088</v>
      </c>
      <c r="AG123" s="73" t="s">
        <v>3088</v>
      </c>
      <c r="AH123" s="73" t="s">
        <v>3088</v>
      </c>
      <c r="AI123" s="73" t="s">
        <v>3088</v>
      </c>
      <c r="AJ123" s="73" t="s">
        <v>3088</v>
      </c>
      <c r="AK123" s="73" t="s">
        <v>3088</v>
      </c>
      <c r="AL123" s="73" t="s">
        <v>3088</v>
      </c>
      <c r="AM123" s="73" t="s">
        <v>3088</v>
      </c>
      <c r="AN123" s="73" t="s">
        <v>3088</v>
      </c>
      <c r="AO123" s="73" t="s">
        <v>3088</v>
      </c>
      <c r="AP123" s="73" t="s">
        <v>3088</v>
      </c>
      <c r="AQ123" s="73" t="s">
        <v>3088</v>
      </c>
      <c r="AR123" s="73" t="s">
        <v>3088</v>
      </c>
      <c r="AS123" s="73" t="s">
        <v>3088</v>
      </c>
      <c r="AT123" s="73" t="s">
        <v>3088</v>
      </c>
      <c r="AU123" s="73" t="s">
        <v>3088</v>
      </c>
      <c r="AV123" s="73" t="s">
        <v>3088</v>
      </c>
      <c r="AW123" s="73" t="s">
        <v>3088</v>
      </c>
      <c r="AX123" s="73" t="s">
        <v>3088</v>
      </c>
      <c r="AY123" s="73" t="s">
        <v>3088</v>
      </c>
      <c r="AZ123" s="73" t="s">
        <v>3088</v>
      </c>
      <c r="BA123" s="73" t="s">
        <v>3088</v>
      </c>
      <c r="BB123" s="73" t="s">
        <v>3088</v>
      </c>
      <c r="BC123" s="73" t="s">
        <v>3088</v>
      </c>
      <c r="BD123" s="73" t="s">
        <v>3088</v>
      </c>
      <c r="BE123" s="73" t="s">
        <v>3088</v>
      </c>
      <c r="BF123" s="73" t="s">
        <v>3088</v>
      </c>
      <c r="BG123" s="73" t="s">
        <v>3088</v>
      </c>
      <c r="BH123" s="73" t="s">
        <v>3088</v>
      </c>
      <c r="BI123" s="73" t="s">
        <v>3088</v>
      </c>
      <c r="BJ123" s="73" t="s">
        <v>3088</v>
      </c>
      <c r="BK123" s="73" t="s">
        <v>3088</v>
      </c>
      <c r="BL123" s="73" t="s">
        <v>3088</v>
      </c>
      <c r="BM123" s="73" t="s">
        <v>3088</v>
      </c>
      <c r="BN123" s="73" t="s">
        <v>3088</v>
      </c>
      <c r="BO123" s="73" t="s">
        <v>3088</v>
      </c>
      <c r="BP123" s="73" t="s">
        <v>3088</v>
      </c>
      <c r="BQ123" s="73" t="s">
        <v>3870</v>
      </c>
      <c r="BR123" s="73" t="s">
        <v>3088</v>
      </c>
    </row>
    <row r="124" spans="1:70">
      <c r="A124" s="73" t="s">
        <v>1896</v>
      </c>
      <c r="B124" s="73" t="s">
        <v>3871</v>
      </c>
      <c r="C124" s="73" t="s">
        <v>3853</v>
      </c>
      <c r="D124" s="73" t="s">
        <v>3088</v>
      </c>
      <c r="E124" s="73" t="s">
        <v>3088</v>
      </c>
      <c r="F124" s="73" t="s">
        <v>3088</v>
      </c>
      <c r="G124" s="73" t="s">
        <v>3089</v>
      </c>
      <c r="H124" s="73" t="s">
        <v>3088</v>
      </c>
      <c r="I124" s="73" t="s">
        <v>3093</v>
      </c>
      <c r="J124" s="73" t="s">
        <v>3088</v>
      </c>
      <c r="K124" s="73" t="s">
        <v>3088</v>
      </c>
      <c r="L124" s="73" t="s">
        <v>3088</v>
      </c>
      <c r="M124" s="73" t="s">
        <v>3088</v>
      </c>
      <c r="N124" s="73" t="s">
        <v>3088</v>
      </c>
      <c r="O124" s="73" t="s">
        <v>3088</v>
      </c>
      <c r="P124" s="73" t="s">
        <v>3088</v>
      </c>
      <c r="Q124" s="73" t="s">
        <v>3088</v>
      </c>
      <c r="R124" s="73" t="s">
        <v>3088</v>
      </c>
      <c r="S124" s="73" t="s">
        <v>3088</v>
      </c>
      <c r="T124" s="73" t="s">
        <v>3088</v>
      </c>
      <c r="U124" s="73" t="s">
        <v>3088</v>
      </c>
      <c r="V124" s="73" t="s">
        <v>3088</v>
      </c>
      <c r="W124" s="73" t="s">
        <v>3088</v>
      </c>
      <c r="X124" s="73" t="s">
        <v>3088</v>
      </c>
      <c r="Y124" s="73" t="s">
        <v>3088</v>
      </c>
      <c r="Z124" s="73" t="s">
        <v>3088</v>
      </c>
      <c r="AA124" s="73" t="s">
        <v>3088</v>
      </c>
      <c r="AB124" s="73" t="s">
        <v>3088</v>
      </c>
      <c r="AC124" s="73" t="s">
        <v>3088</v>
      </c>
      <c r="AD124" s="73" t="s">
        <v>3088</v>
      </c>
      <c r="AE124" s="73" t="s">
        <v>3088</v>
      </c>
      <c r="AF124" s="73" t="s">
        <v>3088</v>
      </c>
      <c r="AG124" s="73" t="s">
        <v>3088</v>
      </c>
      <c r="AH124" s="73" t="s">
        <v>3088</v>
      </c>
      <c r="AI124" s="73" t="s">
        <v>3088</v>
      </c>
      <c r="AJ124" s="73" t="s">
        <v>3088</v>
      </c>
      <c r="AK124" s="73" t="s">
        <v>3088</v>
      </c>
      <c r="AL124" s="73" t="s">
        <v>3088</v>
      </c>
      <c r="AM124" s="73" t="s">
        <v>3088</v>
      </c>
      <c r="AN124" s="73" t="s">
        <v>3088</v>
      </c>
      <c r="AO124" s="73" t="s">
        <v>3088</v>
      </c>
      <c r="AP124" s="73" t="s">
        <v>3088</v>
      </c>
      <c r="AQ124" s="73" t="s">
        <v>3088</v>
      </c>
      <c r="AR124" s="73" t="s">
        <v>3088</v>
      </c>
      <c r="AS124" s="73" t="s">
        <v>3088</v>
      </c>
      <c r="AT124" s="73" t="s">
        <v>3088</v>
      </c>
      <c r="AU124" s="73" t="s">
        <v>3088</v>
      </c>
      <c r="AV124" s="73" t="s">
        <v>3088</v>
      </c>
      <c r="AW124" s="73" t="s">
        <v>3088</v>
      </c>
      <c r="AX124" s="73" t="s">
        <v>3088</v>
      </c>
      <c r="AY124" s="73" t="s">
        <v>3088</v>
      </c>
      <c r="AZ124" s="73" t="s">
        <v>3088</v>
      </c>
      <c r="BA124" s="73" t="s">
        <v>3088</v>
      </c>
      <c r="BB124" s="73" t="s">
        <v>3088</v>
      </c>
      <c r="BC124" s="73" t="s">
        <v>3088</v>
      </c>
      <c r="BD124" s="73" t="s">
        <v>3088</v>
      </c>
      <c r="BE124" s="73" t="s">
        <v>3088</v>
      </c>
      <c r="BF124" s="73" t="s">
        <v>3088</v>
      </c>
      <c r="BG124" s="73" t="s">
        <v>3088</v>
      </c>
      <c r="BH124" s="73" t="s">
        <v>3088</v>
      </c>
      <c r="BI124" s="73" t="s">
        <v>3088</v>
      </c>
      <c r="BJ124" s="73" t="s">
        <v>3088</v>
      </c>
      <c r="BK124" s="73" t="s">
        <v>3088</v>
      </c>
      <c r="BL124" s="73" t="s">
        <v>3088</v>
      </c>
      <c r="BM124" s="73" t="s">
        <v>3088</v>
      </c>
      <c r="BN124" s="73" t="s">
        <v>3088</v>
      </c>
      <c r="BO124" s="73" t="s">
        <v>3088</v>
      </c>
      <c r="BP124" s="73" t="s">
        <v>3088</v>
      </c>
      <c r="BQ124" s="73" t="s">
        <v>3872</v>
      </c>
      <c r="BR124" s="73" t="s">
        <v>3088</v>
      </c>
    </row>
    <row r="125" spans="1:70">
      <c r="A125" s="73" t="s">
        <v>1896</v>
      </c>
      <c r="B125" s="73" t="s">
        <v>2335</v>
      </c>
      <c r="C125" s="73" t="s">
        <v>3088</v>
      </c>
      <c r="D125" s="73" t="s">
        <v>3088</v>
      </c>
      <c r="E125" s="73" t="s">
        <v>3088</v>
      </c>
      <c r="F125" s="73" t="s">
        <v>3088</v>
      </c>
      <c r="G125" s="73" t="s">
        <v>3089</v>
      </c>
      <c r="H125" s="73" t="s">
        <v>3088</v>
      </c>
      <c r="I125" s="73" t="s">
        <v>2309</v>
      </c>
      <c r="J125" s="73" t="s">
        <v>2336</v>
      </c>
      <c r="K125" s="73" t="s">
        <v>3095</v>
      </c>
      <c r="L125" s="73" t="s">
        <v>3088</v>
      </c>
      <c r="M125" s="73" t="s">
        <v>3088</v>
      </c>
      <c r="N125" s="73" t="s">
        <v>3088</v>
      </c>
      <c r="O125" s="73" t="s">
        <v>3088</v>
      </c>
      <c r="P125" s="73" t="s">
        <v>3088</v>
      </c>
      <c r="Q125" s="73" t="s">
        <v>3088</v>
      </c>
      <c r="R125" s="73" t="s">
        <v>3088</v>
      </c>
      <c r="S125" s="73" t="s">
        <v>3088</v>
      </c>
      <c r="T125" s="73" t="s">
        <v>3088</v>
      </c>
      <c r="U125" s="73" t="s">
        <v>3088</v>
      </c>
      <c r="V125" s="73" t="s">
        <v>3088</v>
      </c>
      <c r="W125" s="73" t="s">
        <v>3088</v>
      </c>
      <c r="X125" s="73" t="s">
        <v>3088</v>
      </c>
      <c r="Y125" s="73" t="s">
        <v>3088</v>
      </c>
      <c r="Z125" s="73" t="s">
        <v>3088</v>
      </c>
      <c r="AA125" s="73" t="s">
        <v>3088</v>
      </c>
      <c r="AB125" s="73" t="s">
        <v>3088</v>
      </c>
      <c r="AC125" s="73" t="s">
        <v>3088</v>
      </c>
      <c r="AD125" s="73" t="s">
        <v>3088</v>
      </c>
      <c r="AE125" s="73" t="s">
        <v>3088</v>
      </c>
      <c r="AF125" s="73" t="s">
        <v>3088</v>
      </c>
      <c r="AG125" s="73" t="s">
        <v>3088</v>
      </c>
      <c r="AH125" s="73" t="s">
        <v>3088</v>
      </c>
      <c r="AI125" s="73" t="s">
        <v>3088</v>
      </c>
      <c r="AJ125" s="73" t="s">
        <v>3088</v>
      </c>
      <c r="AK125" s="73" t="s">
        <v>3088</v>
      </c>
      <c r="AL125" s="73" t="s">
        <v>3088</v>
      </c>
      <c r="AM125" s="73" t="s">
        <v>3088</v>
      </c>
      <c r="AN125" s="73" t="s">
        <v>3088</v>
      </c>
      <c r="AO125" s="73" t="s">
        <v>3088</v>
      </c>
      <c r="AP125" s="73" t="s">
        <v>3088</v>
      </c>
      <c r="AQ125" s="73" t="s">
        <v>3088</v>
      </c>
      <c r="AR125" s="73" t="s">
        <v>3088</v>
      </c>
      <c r="AS125" s="73" t="s">
        <v>3088</v>
      </c>
      <c r="AT125" s="73" t="s">
        <v>3088</v>
      </c>
      <c r="AU125" s="73" t="s">
        <v>3088</v>
      </c>
      <c r="AV125" s="73" t="s">
        <v>3088</v>
      </c>
      <c r="AW125" s="73" t="s">
        <v>3088</v>
      </c>
      <c r="AX125" s="73" t="s">
        <v>3088</v>
      </c>
      <c r="AY125" s="73" t="s">
        <v>3088</v>
      </c>
      <c r="AZ125" s="73" t="s">
        <v>3088</v>
      </c>
      <c r="BA125" s="73" t="s">
        <v>3088</v>
      </c>
      <c r="BB125" s="73" t="s">
        <v>3088</v>
      </c>
      <c r="BC125" s="73" t="s">
        <v>3088</v>
      </c>
      <c r="BD125" s="73" t="s">
        <v>3088</v>
      </c>
      <c r="BE125" s="73" t="s">
        <v>3088</v>
      </c>
      <c r="BF125" s="73" t="s">
        <v>3088</v>
      </c>
      <c r="BG125" s="73" t="s">
        <v>3088</v>
      </c>
      <c r="BH125" s="73" t="s">
        <v>3088</v>
      </c>
      <c r="BI125" s="73" t="s">
        <v>3088</v>
      </c>
      <c r="BJ125" s="73" t="s">
        <v>3088</v>
      </c>
      <c r="BK125" s="73" t="s">
        <v>3088</v>
      </c>
      <c r="BL125" s="73" t="s">
        <v>3088</v>
      </c>
      <c r="BM125" s="73" t="s">
        <v>3088</v>
      </c>
      <c r="BN125" s="73" t="s">
        <v>3088</v>
      </c>
      <c r="BO125" s="73" t="s">
        <v>3088</v>
      </c>
      <c r="BP125" s="73" t="s">
        <v>3088</v>
      </c>
      <c r="BQ125" s="73" t="s">
        <v>3873</v>
      </c>
      <c r="BR125" s="73" t="s">
        <v>3097</v>
      </c>
    </row>
    <row r="126" spans="1:70">
      <c r="A126" s="73" t="s">
        <v>1896</v>
      </c>
      <c r="B126" s="73" t="s">
        <v>2378</v>
      </c>
      <c r="C126" s="73" t="s">
        <v>3088</v>
      </c>
      <c r="D126" s="73" t="s">
        <v>3088</v>
      </c>
      <c r="E126" s="73" t="s">
        <v>3088</v>
      </c>
      <c r="F126" s="73" t="s">
        <v>3088</v>
      </c>
      <c r="G126" s="73" t="s">
        <v>3089</v>
      </c>
      <c r="H126" s="73" t="s">
        <v>3088</v>
      </c>
      <c r="I126" s="73" t="s">
        <v>543</v>
      </c>
      <c r="J126" s="73" t="s">
        <v>2336</v>
      </c>
      <c r="K126" s="73" t="s">
        <v>3095</v>
      </c>
      <c r="L126" s="73" t="s">
        <v>3088</v>
      </c>
      <c r="M126" s="73" t="s">
        <v>3088</v>
      </c>
      <c r="N126" s="73" t="s">
        <v>3088</v>
      </c>
      <c r="O126" s="73" t="s">
        <v>3088</v>
      </c>
      <c r="P126" s="73" t="s">
        <v>3088</v>
      </c>
      <c r="Q126" s="73" t="s">
        <v>3088</v>
      </c>
      <c r="R126" s="73" t="s">
        <v>3088</v>
      </c>
      <c r="S126" s="73" t="s">
        <v>3088</v>
      </c>
      <c r="T126" s="73" t="s">
        <v>3088</v>
      </c>
      <c r="U126" s="73" t="s">
        <v>3088</v>
      </c>
      <c r="V126" s="73" t="s">
        <v>3088</v>
      </c>
      <c r="W126" s="73" t="s">
        <v>3088</v>
      </c>
      <c r="X126" s="73" t="s">
        <v>3088</v>
      </c>
      <c r="Y126" s="73" t="s">
        <v>3088</v>
      </c>
      <c r="Z126" s="73" t="s">
        <v>3088</v>
      </c>
      <c r="AA126" s="73" t="s">
        <v>3088</v>
      </c>
      <c r="AB126" s="73" t="s">
        <v>3088</v>
      </c>
      <c r="AC126" s="73" t="s">
        <v>3088</v>
      </c>
      <c r="AD126" s="73" t="s">
        <v>3088</v>
      </c>
      <c r="AE126" s="73" t="s">
        <v>3088</v>
      </c>
      <c r="AF126" s="73" t="s">
        <v>3088</v>
      </c>
      <c r="AG126" s="73" t="s">
        <v>3088</v>
      </c>
      <c r="AH126" s="73" t="s">
        <v>3088</v>
      </c>
      <c r="AI126" s="73" t="s">
        <v>3088</v>
      </c>
      <c r="AJ126" s="73" t="s">
        <v>3088</v>
      </c>
      <c r="AK126" s="73" t="s">
        <v>3088</v>
      </c>
      <c r="AL126" s="73" t="s">
        <v>3088</v>
      </c>
      <c r="AM126" s="73" t="s">
        <v>3088</v>
      </c>
      <c r="AN126" s="73" t="s">
        <v>3088</v>
      </c>
      <c r="AO126" s="73" t="s">
        <v>3088</v>
      </c>
      <c r="AP126" s="73" t="s">
        <v>3088</v>
      </c>
      <c r="AQ126" s="73" t="s">
        <v>3088</v>
      </c>
      <c r="AR126" s="73" t="s">
        <v>3088</v>
      </c>
      <c r="AS126" s="73" t="s">
        <v>3088</v>
      </c>
      <c r="AT126" s="73" t="s">
        <v>3088</v>
      </c>
      <c r="AU126" s="73" t="s">
        <v>3088</v>
      </c>
      <c r="AV126" s="73" t="s">
        <v>3088</v>
      </c>
      <c r="AW126" s="73" t="s">
        <v>3088</v>
      </c>
      <c r="AX126" s="73" t="s">
        <v>3088</v>
      </c>
      <c r="AY126" s="73" t="s">
        <v>3088</v>
      </c>
      <c r="AZ126" s="73" t="s">
        <v>3088</v>
      </c>
      <c r="BA126" s="73" t="s">
        <v>3088</v>
      </c>
      <c r="BB126" s="73" t="s">
        <v>3088</v>
      </c>
      <c r="BC126" s="73" t="s">
        <v>3088</v>
      </c>
      <c r="BD126" s="73" t="s">
        <v>3088</v>
      </c>
      <c r="BE126" s="73" t="s">
        <v>3088</v>
      </c>
      <c r="BF126" s="73" t="s">
        <v>3088</v>
      </c>
      <c r="BG126" s="73" t="s">
        <v>3088</v>
      </c>
      <c r="BH126" s="73" t="s">
        <v>3088</v>
      </c>
      <c r="BI126" s="73" t="s">
        <v>3088</v>
      </c>
      <c r="BJ126" s="73" t="s">
        <v>3088</v>
      </c>
      <c r="BK126" s="73" t="s">
        <v>3088</v>
      </c>
      <c r="BL126" s="73" t="s">
        <v>3088</v>
      </c>
      <c r="BM126" s="73" t="s">
        <v>3088</v>
      </c>
      <c r="BN126" s="73" t="s">
        <v>3088</v>
      </c>
      <c r="BO126" s="73" t="s">
        <v>3088</v>
      </c>
      <c r="BP126" s="73" t="s">
        <v>3088</v>
      </c>
      <c r="BQ126" s="73" t="s">
        <v>3874</v>
      </c>
      <c r="BR126" s="73" t="s">
        <v>3097</v>
      </c>
    </row>
    <row r="127" spans="1:70">
      <c r="A127" s="73" t="s">
        <v>1896</v>
      </c>
      <c r="B127" s="73" t="s">
        <v>2247</v>
      </c>
      <c r="C127" s="73" t="s">
        <v>2248</v>
      </c>
      <c r="D127" s="73" t="s">
        <v>3088</v>
      </c>
      <c r="E127" s="73" t="s">
        <v>3088</v>
      </c>
      <c r="F127" s="73" t="s">
        <v>3088</v>
      </c>
      <c r="G127" s="73" t="s">
        <v>3089</v>
      </c>
      <c r="H127" s="73" t="s">
        <v>3088</v>
      </c>
      <c r="I127" s="73" t="s">
        <v>108</v>
      </c>
      <c r="J127" s="73" t="s">
        <v>2249</v>
      </c>
      <c r="K127" s="73" t="s">
        <v>3095</v>
      </c>
      <c r="L127" s="73" t="s">
        <v>3088</v>
      </c>
      <c r="M127" s="73" t="s">
        <v>3088</v>
      </c>
      <c r="N127" s="73" t="s">
        <v>3088</v>
      </c>
      <c r="O127" s="73" t="s">
        <v>3088</v>
      </c>
      <c r="P127" s="73" t="s">
        <v>3088</v>
      </c>
      <c r="Q127" s="73" t="s">
        <v>3088</v>
      </c>
      <c r="R127" s="73" t="s">
        <v>3088</v>
      </c>
      <c r="S127" s="73" t="s">
        <v>3088</v>
      </c>
      <c r="T127" s="73" t="s">
        <v>3088</v>
      </c>
      <c r="U127" s="73" t="s">
        <v>3088</v>
      </c>
      <c r="V127" s="73" t="s">
        <v>3088</v>
      </c>
      <c r="W127" s="73" t="s">
        <v>3088</v>
      </c>
      <c r="X127" s="73" t="s">
        <v>3088</v>
      </c>
      <c r="Y127" s="73" t="s">
        <v>3088</v>
      </c>
      <c r="Z127" s="73" t="s">
        <v>3088</v>
      </c>
      <c r="AA127" s="73" t="s">
        <v>3088</v>
      </c>
      <c r="AB127" s="73" t="s">
        <v>3088</v>
      </c>
      <c r="AC127" s="73" t="s">
        <v>3088</v>
      </c>
      <c r="AD127" s="73" t="s">
        <v>3088</v>
      </c>
      <c r="AE127" s="73" t="s">
        <v>3088</v>
      </c>
      <c r="AF127" s="73" t="s">
        <v>3088</v>
      </c>
      <c r="AG127" s="73" t="s">
        <v>3088</v>
      </c>
      <c r="AH127" s="73" t="s">
        <v>3088</v>
      </c>
      <c r="AI127" s="73" t="s">
        <v>3088</v>
      </c>
      <c r="AJ127" s="73" t="s">
        <v>3088</v>
      </c>
      <c r="AK127" s="73" t="s">
        <v>3088</v>
      </c>
      <c r="AL127" s="73" t="s">
        <v>3088</v>
      </c>
      <c r="AM127" s="73" t="s">
        <v>3088</v>
      </c>
      <c r="AN127" s="73" t="s">
        <v>3088</v>
      </c>
      <c r="AO127" s="73" t="s">
        <v>3088</v>
      </c>
      <c r="AP127" s="73" t="s">
        <v>3088</v>
      </c>
      <c r="AQ127" s="73" t="s">
        <v>3088</v>
      </c>
      <c r="AR127" s="73" t="s">
        <v>3088</v>
      </c>
      <c r="AS127" s="73" t="s">
        <v>3088</v>
      </c>
      <c r="AT127" s="73" t="s">
        <v>3088</v>
      </c>
      <c r="AU127" s="73" t="s">
        <v>3088</v>
      </c>
      <c r="AV127" s="73" t="s">
        <v>3088</v>
      </c>
      <c r="AW127" s="73" t="s">
        <v>3088</v>
      </c>
      <c r="AX127" s="73" t="s">
        <v>3088</v>
      </c>
      <c r="AY127" s="73" t="s">
        <v>3088</v>
      </c>
      <c r="AZ127" s="73" t="s">
        <v>3088</v>
      </c>
      <c r="BA127" s="73" t="s">
        <v>3088</v>
      </c>
      <c r="BB127" s="73" t="s">
        <v>3088</v>
      </c>
      <c r="BC127" s="73" t="s">
        <v>3088</v>
      </c>
      <c r="BD127" s="73" t="s">
        <v>3088</v>
      </c>
      <c r="BE127" s="73" t="s">
        <v>3088</v>
      </c>
      <c r="BF127" s="73" t="s">
        <v>3088</v>
      </c>
      <c r="BG127" s="73" t="s">
        <v>3088</v>
      </c>
      <c r="BH127" s="73" t="s">
        <v>3088</v>
      </c>
      <c r="BI127" s="73" t="s">
        <v>3088</v>
      </c>
      <c r="BJ127" s="73" t="s">
        <v>3088</v>
      </c>
      <c r="BK127" s="73" t="s">
        <v>3088</v>
      </c>
      <c r="BL127" s="73" t="s">
        <v>3088</v>
      </c>
      <c r="BM127" s="73" t="s">
        <v>3088</v>
      </c>
      <c r="BN127" s="73" t="s">
        <v>3088</v>
      </c>
      <c r="BO127" s="73" t="s">
        <v>3088</v>
      </c>
      <c r="BP127" s="73" t="s">
        <v>3088</v>
      </c>
      <c r="BQ127" s="73" t="s">
        <v>3875</v>
      </c>
      <c r="BR127" s="73" t="s">
        <v>3097</v>
      </c>
    </row>
    <row r="128" spans="1:70">
      <c r="A128" s="73" t="s">
        <v>1896</v>
      </c>
      <c r="B128" s="73" t="s">
        <v>2337</v>
      </c>
      <c r="C128" s="73" t="s">
        <v>2248</v>
      </c>
      <c r="D128" s="73" t="s">
        <v>3088</v>
      </c>
      <c r="E128" s="73" t="s">
        <v>3088</v>
      </c>
      <c r="F128" s="73" t="s">
        <v>3088</v>
      </c>
      <c r="G128" s="73" t="s">
        <v>3089</v>
      </c>
      <c r="H128" s="73" t="s">
        <v>3088</v>
      </c>
      <c r="I128" s="73" t="s">
        <v>2338</v>
      </c>
      <c r="J128" s="73" t="s">
        <v>3088</v>
      </c>
      <c r="K128" s="73" t="s">
        <v>3088</v>
      </c>
      <c r="L128" s="73" t="s">
        <v>3088</v>
      </c>
      <c r="M128" s="73" t="s">
        <v>3088</v>
      </c>
      <c r="N128" s="73" t="s">
        <v>3088</v>
      </c>
      <c r="O128" s="73" t="s">
        <v>3088</v>
      </c>
      <c r="P128" s="73" t="s">
        <v>3088</v>
      </c>
      <c r="Q128" s="73" t="s">
        <v>3088</v>
      </c>
      <c r="R128" s="73" t="s">
        <v>3088</v>
      </c>
      <c r="S128" s="73" t="s">
        <v>3088</v>
      </c>
      <c r="T128" s="73" t="s">
        <v>3088</v>
      </c>
      <c r="U128" s="73" t="s">
        <v>3088</v>
      </c>
      <c r="V128" s="73" t="s">
        <v>3088</v>
      </c>
      <c r="W128" s="73" t="s">
        <v>3088</v>
      </c>
      <c r="X128" s="73" t="s">
        <v>3088</v>
      </c>
      <c r="Y128" s="73" t="s">
        <v>3088</v>
      </c>
      <c r="Z128" s="73" t="s">
        <v>3088</v>
      </c>
      <c r="AA128" s="73" t="s">
        <v>3088</v>
      </c>
      <c r="AB128" s="73" t="s">
        <v>3088</v>
      </c>
      <c r="AC128" s="73" t="s">
        <v>3088</v>
      </c>
      <c r="AD128" s="73" t="s">
        <v>3088</v>
      </c>
      <c r="AE128" s="73" t="s">
        <v>3088</v>
      </c>
      <c r="AF128" s="73" t="s">
        <v>3088</v>
      </c>
      <c r="AG128" s="73" t="s">
        <v>3088</v>
      </c>
      <c r="AH128" s="73" t="s">
        <v>3088</v>
      </c>
      <c r="AI128" s="73" t="s">
        <v>3088</v>
      </c>
      <c r="AJ128" s="73" t="s">
        <v>3088</v>
      </c>
      <c r="AK128" s="73" t="s">
        <v>3088</v>
      </c>
      <c r="AL128" s="73" t="s">
        <v>3088</v>
      </c>
      <c r="AM128" s="73" t="s">
        <v>3088</v>
      </c>
      <c r="AN128" s="73" t="s">
        <v>3088</v>
      </c>
      <c r="AO128" s="73" t="s">
        <v>3088</v>
      </c>
      <c r="AP128" s="73" t="s">
        <v>3088</v>
      </c>
      <c r="AQ128" s="73" t="s">
        <v>3088</v>
      </c>
      <c r="AR128" s="73" t="s">
        <v>3088</v>
      </c>
      <c r="AS128" s="73" t="s">
        <v>3088</v>
      </c>
      <c r="AT128" s="73" t="s">
        <v>3088</v>
      </c>
      <c r="AU128" s="73" t="s">
        <v>3088</v>
      </c>
      <c r="AV128" s="73" t="s">
        <v>3088</v>
      </c>
      <c r="AW128" s="73" t="s">
        <v>3088</v>
      </c>
      <c r="AX128" s="73" t="s">
        <v>3088</v>
      </c>
      <c r="AY128" s="73" t="s">
        <v>3088</v>
      </c>
      <c r="AZ128" s="73" t="s">
        <v>3088</v>
      </c>
      <c r="BA128" s="73" t="s">
        <v>3088</v>
      </c>
      <c r="BB128" s="73" t="s">
        <v>3088</v>
      </c>
      <c r="BC128" s="73" t="s">
        <v>3088</v>
      </c>
      <c r="BD128" s="73" t="s">
        <v>3088</v>
      </c>
      <c r="BE128" s="73" t="s">
        <v>3088</v>
      </c>
      <c r="BF128" s="73" t="s">
        <v>3088</v>
      </c>
      <c r="BG128" s="73" t="s">
        <v>3088</v>
      </c>
      <c r="BH128" s="73" t="s">
        <v>3088</v>
      </c>
      <c r="BI128" s="73" t="s">
        <v>3088</v>
      </c>
      <c r="BJ128" s="73" t="s">
        <v>3088</v>
      </c>
      <c r="BK128" s="73" t="s">
        <v>3088</v>
      </c>
      <c r="BL128" s="73" t="s">
        <v>3088</v>
      </c>
      <c r="BM128" s="73" t="s">
        <v>3088</v>
      </c>
      <c r="BN128" s="73" t="s">
        <v>3088</v>
      </c>
      <c r="BO128" s="73" t="s">
        <v>3088</v>
      </c>
      <c r="BP128" s="73" t="s">
        <v>3088</v>
      </c>
      <c r="BQ128" s="73" t="s">
        <v>3876</v>
      </c>
      <c r="BR128" s="73" t="s">
        <v>3088</v>
      </c>
    </row>
    <row r="129" spans="1:70">
      <c r="A129" s="73" t="s">
        <v>1898</v>
      </c>
      <c r="B129" s="73" t="s">
        <v>2381</v>
      </c>
      <c r="C129" s="73" t="s">
        <v>3088</v>
      </c>
      <c r="D129" s="73" t="s">
        <v>3088</v>
      </c>
      <c r="E129" s="73" t="s">
        <v>3088</v>
      </c>
      <c r="F129" s="73" t="s">
        <v>3088</v>
      </c>
      <c r="G129" s="73" t="s">
        <v>3089</v>
      </c>
      <c r="H129" s="73" t="s">
        <v>3088</v>
      </c>
      <c r="I129" s="73" t="s">
        <v>543</v>
      </c>
      <c r="J129" s="73" t="s">
        <v>3088</v>
      </c>
      <c r="K129" s="73" t="s">
        <v>3088</v>
      </c>
      <c r="L129" s="73" t="s">
        <v>3088</v>
      </c>
      <c r="M129" s="73" t="s">
        <v>3088</v>
      </c>
      <c r="N129" s="73" t="s">
        <v>3088</v>
      </c>
      <c r="O129" s="73" t="s">
        <v>3088</v>
      </c>
      <c r="P129" s="73" t="s">
        <v>3088</v>
      </c>
      <c r="Q129" s="73" t="s">
        <v>3088</v>
      </c>
      <c r="R129" s="73" t="s">
        <v>3088</v>
      </c>
      <c r="S129" s="73" t="s">
        <v>3088</v>
      </c>
      <c r="T129" s="73" t="s">
        <v>3088</v>
      </c>
      <c r="U129" s="73" t="s">
        <v>3088</v>
      </c>
      <c r="V129" s="73" t="s">
        <v>3088</v>
      </c>
      <c r="W129" s="73" t="s">
        <v>3088</v>
      </c>
      <c r="X129" s="73" t="s">
        <v>3088</v>
      </c>
      <c r="Y129" s="73" t="s">
        <v>3088</v>
      </c>
      <c r="Z129" s="73" t="s">
        <v>3088</v>
      </c>
      <c r="AA129" s="73" t="s">
        <v>3088</v>
      </c>
      <c r="AB129" s="73" t="s">
        <v>3088</v>
      </c>
      <c r="AC129" s="73" t="s">
        <v>3088</v>
      </c>
      <c r="AD129" s="73" t="s">
        <v>3088</v>
      </c>
      <c r="AE129" s="73" t="s">
        <v>3088</v>
      </c>
      <c r="AF129" s="73" t="s">
        <v>3088</v>
      </c>
      <c r="AG129" s="73" t="s">
        <v>3088</v>
      </c>
      <c r="AH129" s="73" t="s">
        <v>3088</v>
      </c>
      <c r="AI129" s="73" t="s">
        <v>3088</v>
      </c>
      <c r="AJ129" s="73" t="s">
        <v>3088</v>
      </c>
      <c r="AK129" s="73" t="s">
        <v>3088</v>
      </c>
      <c r="AL129" s="73" t="s">
        <v>3088</v>
      </c>
      <c r="AM129" s="73" t="s">
        <v>3088</v>
      </c>
      <c r="AN129" s="73" t="s">
        <v>3088</v>
      </c>
      <c r="AO129" s="73" t="s">
        <v>3088</v>
      </c>
      <c r="AP129" s="73" t="s">
        <v>3088</v>
      </c>
      <c r="AQ129" s="73" t="s">
        <v>3088</v>
      </c>
      <c r="AR129" s="73" t="s">
        <v>3088</v>
      </c>
      <c r="AS129" s="73" t="s">
        <v>3088</v>
      </c>
      <c r="AT129" s="73" t="s">
        <v>3088</v>
      </c>
      <c r="AU129" s="73" t="s">
        <v>3088</v>
      </c>
      <c r="AV129" s="73" t="s">
        <v>3088</v>
      </c>
      <c r="AW129" s="73" t="s">
        <v>3088</v>
      </c>
      <c r="AX129" s="73" t="s">
        <v>3088</v>
      </c>
      <c r="AY129" s="73" t="s">
        <v>3088</v>
      </c>
      <c r="AZ129" s="73" t="s">
        <v>3088</v>
      </c>
      <c r="BA129" s="73" t="s">
        <v>3088</v>
      </c>
      <c r="BB129" s="73" t="s">
        <v>3088</v>
      </c>
      <c r="BC129" s="73" t="s">
        <v>3088</v>
      </c>
      <c r="BD129" s="73" t="s">
        <v>3088</v>
      </c>
      <c r="BE129" s="73" t="s">
        <v>3088</v>
      </c>
      <c r="BF129" s="73" t="s">
        <v>3088</v>
      </c>
      <c r="BG129" s="73" t="s">
        <v>3088</v>
      </c>
      <c r="BH129" s="73" t="s">
        <v>3088</v>
      </c>
      <c r="BI129" s="73" t="s">
        <v>3088</v>
      </c>
      <c r="BJ129" s="73" t="s">
        <v>3088</v>
      </c>
      <c r="BK129" s="73" t="s">
        <v>3088</v>
      </c>
      <c r="BL129" s="73" t="s">
        <v>3088</v>
      </c>
      <c r="BM129" s="73" t="s">
        <v>3088</v>
      </c>
      <c r="BN129" s="73" t="s">
        <v>3088</v>
      </c>
      <c r="BO129" s="73" t="s">
        <v>3088</v>
      </c>
      <c r="BP129" s="73" t="s">
        <v>3088</v>
      </c>
      <c r="BQ129" s="73" t="s">
        <v>3877</v>
      </c>
      <c r="BR129" s="73" t="s">
        <v>3088</v>
      </c>
    </row>
    <row r="130" spans="1:70">
      <c r="A130" s="73" t="s">
        <v>1898</v>
      </c>
      <c r="B130" s="73" t="s">
        <v>3878</v>
      </c>
      <c r="C130" s="73" t="s">
        <v>2252</v>
      </c>
      <c r="D130" s="73" t="s">
        <v>3088</v>
      </c>
      <c r="E130" s="73" t="s">
        <v>3088</v>
      </c>
      <c r="F130" s="73" t="s">
        <v>3088</v>
      </c>
      <c r="G130" s="73" t="s">
        <v>3089</v>
      </c>
      <c r="H130" s="73" t="s">
        <v>3088</v>
      </c>
      <c r="I130" s="73" t="s">
        <v>3113</v>
      </c>
      <c r="J130" s="73" t="s">
        <v>3879</v>
      </c>
      <c r="K130" s="73" t="s">
        <v>3089</v>
      </c>
      <c r="L130" s="73" t="s">
        <v>3088</v>
      </c>
      <c r="M130" s="73" t="s">
        <v>3088</v>
      </c>
      <c r="N130" s="73" t="s">
        <v>3088</v>
      </c>
      <c r="O130" s="73" t="s">
        <v>3088</v>
      </c>
      <c r="P130" s="73" t="s">
        <v>3088</v>
      </c>
      <c r="Q130" s="73" t="s">
        <v>3088</v>
      </c>
      <c r="R130" s="73" t="s">
        <v>3088</v>
      </c>
      <c r="S130" s="73" t="s">
        <v>3088</v>
      </c>
      <c r="T130" s="73" t="s">
        <v>3088</v>
      </c>
      <c r="U130" s="73" t="s">
        <v>3088</v>
      </c>
      <c r="V130" s="73" t="s">
        <v>3088</v>
      </c>
      <c r="W130" s="73" t="s">
        <v>3088</v>
      </c>
      <c r="X130" s="73" t="s">
        <v>3088</v>
      </c>
      <c r="Y130" s="73" t="s">
        <v>3088</v>
      </c>
      <c r="Z130" s="73" t="s">
        <v>3088</v>
      </c>
      <c r="AA130" s="73" t="s">
        <v>3088</v>
      </c>
      <c r="AB130" s="73" t="s">
        <v>3088</v>
      </c>
      <c r="AC130" s="73" t="s">
        <v>3088</v>
      </c>
      <c r="AD130" s="73" t="s">
        <v>3088</v>
      </c>
      <c r="AE130" s="73" t="s">
        <v>3088</v>
      </c>
      <c r="AF130" s="73" t="s">
        <v>3088</v>
      </c>
      <c r="AG130" s="73" t="s">
        <v>3088</v>
      </c>
      <c r="AH130" s="73" t="s">
        <v>3088</v>
      </c>
      <c r="AI130" s="73" t="s">
        <v>3088</v>
      </c>
      <c r="AJ130" s="73" t="s">
        <v>3088</v>
      </c>
      <c r="AK130" s="73" t="s">
        <v>3088</v>
      </c>
      <c r="AL130" s="73" t="s">
        <v>3088</v>
      </c>
      <c r="AM130" s="73" t="s">
        <v>3088</v>
      </c>
      <c r="AN130" s="73" t="s">
        <v>3088</v>
      </c>
      <c r="AO130" s="73" t="s">
        <v>3088</v>
      </c>
      <c r="AP130" s="73" t="s">
        <v>3088</v>
      </c>
      <c r="AQ130" s="73" t="s">
        <v>3088</v>
      </c>
      <c r="AR130" s="73" t="s">
        <v>3088</v>
      </c>
      <c r="AS130" s="73" t="s">
        <v>3088</v>
      </c>
      <c r="AT130" s="73" t="s">
        <v>3088</v>
      </c>
      <c r="AU130" s="73" t="s">
        <v>3088</v>
      </c>
      <c r="AV130" s="73" t="s">
        <v>3088</v>
      </c>
      <c r="AW130" s="73" t="s">
        <v>3088</v>
      </c>
      <c r="AX130" s="73" t="s">
        <v>3088</v>
      </c>
      <c r="AY130" s="73" t="s">
        <v>3088</v>
      </c>
      <c r="AZ130" s="73" t="s">
        <v>3088</v>
      </c>
      <c r="BA130" s="73" t="s">
        <v>3088</v>
      </c>
      <c r="BB130" s="73" t="s">
        <v>3088</v>
      </c>
      <c r="BC130" s="73" t="s">
        <v>3088</v>
      </c>
      <c r="BD130" s="73" t="s">
        <v>3088</v>
      </c>
      <c r="BE130" s="73" t="s">
        <v>3088</v>
      </c>
      <c r="BF130" s="73" t="s">
        <v>3088</v>
      </c>
      <c r="BG130" s="73" t="s">
        <v>3088</v>
      </c>
      <c r="BH130" s="73" t="s">
        <v>3088</v>
      </c>
      <c r="BI130" s="73" t="s">
        <v>3088</v>
      </c>
      <c r="BJ130" s="73" t="s">
        <v>3088</v>
      </c>
      <c r="BK130" s="73" t="s">
        <v>3088</v>
      </c>
      <c r="BL130" s="73" t="s">
        <v>3088</v>
      </c>
      <c r="BM130" s="73" t="s">
        <v>3088</v>
      </c>
      <c r="BN130" s="73" t="s">
        <v>3088</v>
      </c>
      <c r="BO130" s="73" t="s">
        <v>3088</v>
      </c>
      <c r="BP130" s="73" t="s">
        <v>3088</v>
      </c>
      <c r="BQ130" s="73" t="s">
        <v>3880</v>
      </c>
      <c r="BR130" s="73" t="s">
        <v>3088</v>
      </c>
    </row>
    <row r="131" spans="1:70">
      <c r="A131" s="73" t="s">
        <v>1898</v>
      </c>
      <c r="B131" s="73" t="s">
        <v>3881</v>
      </c>
      <c r="C131" s="73" t="s">
        <v>2256</v>
      </c>
      <c r="D131" s="73" t="s">
        <v>3088</v>
      </c>
      <c r="E131" s="73" t="s">
        <v>3088</v>
      </c>
      <c r="F131" s="73" t="s">
        <v>3088</v>
      </c>
      <c r="G131" s="73" t="s">
        <v>3089</v>
      </c>
      <c r="H131" s="73" t="s">
        <v>3088</v>
      </c>
      <c r="I131" s="73" t="s">
        <v>3113</v>
      </c>
      <c r="J131" s="73" t="s">
        <v>3088</v>
      </c>
      <c r="K131" s="73" t="s">
        <v>3088</v>
      </c>
      <c r="L131" s="73" t="s">
        <v>3088</v>
      </c>
      <c r="M131" s="73" t="s">
        <v>3088</v>
      </c>
      <c r="N131" s="73" t="s">
        <v>3088</v>
      </c>
      <c r="O131" s="73" t="s">
        <v>3088</v>
      </c>
      <c r="P131" s="73" t="s">
        <v>3088</v>
      </c>
      <c r="Q131" s="73" t="s">
        <v>3088</v>
      </c>
      <c r="R131" s="73" t="s">
        <v>3088</v>
      </c>
      <c r="S131" s="73" t="s">
        <v>3088</v>
      </c>
      <c r="T131" s="73" t="s">
        <v>3088</v>
      </c>
      <c r="U131" s="73" t="s">
        <v>3088</v>
      </c>
      <c r="V131" s="73" t="s">
        <v>3088</v>
      </c>
      <c r="W131" s="73" t="s">
        <v>3088</v>
      </c>
      <c r="X131" s="73" t="s">
        <v>3088</v>
      </c>
      <c r="Y131" s="73" t="s">
        <v>3088</v>
      </c>
      <c r="Z131" s="73" t="s">
        <v>3088</v>
      </c>
      <c r="AA131" s="73" t="s">
        <v>3088</v>
      </c>
      <c r="AB131" s="73" t="s">
        <v>3088</v>
      </c>
      <c r="AC131" s="73" t="s">
        <v>3088</v>
      </c>
      <c r="AD131" s="73" t="s">
        <v>3088</v>
      </c>
      <c r="AE131" s="73" t="s">
        <v>3088</v>
      </c>
      <c r="AF131" s="73" t="s">
        <v>3088</v>
      </c>
      <c r="AG131" s="73" t="s">
        <v>3088</v>
      </c>
      <c r="AH131" s="73" t="s">
        <v>3088</v>
      </c>
      <c r="AI131" s="73" t="s">
        <v>3088</v>
      </c>
      <c r="AJ131" s="73" t="s">
        <v>3088</v>
      </c>
      <c r="AK131" s="73" t="s">
        <v>3088</v>
      </c>
      <c r="AL131" s="73" t="s">
        <v>3088</v>
      </c>
      <c r="AM131" s="73" t="s">
        <v>3088</v>
      </c>
      <c r="AN131" s="73" t="s">
        <v>3088</v>
      </c>
      <c r="AO131" s="73" t="s">
        <v>3088</v>
      </c>
      <c r="AP131" s="73" t="s">
        <v>3088</v>
      </c>
      <c r="AQ131" s="73" t="s">
        <v>3088</v>
      </c>
      <c r="AR131" s="73" t="s">
        <v>3088</v>
      </c>
      <c r="AS131" s="73" t="s">
        <v>3088</v>
      </c>
      <c r="AT131" s="73" t="s">
        <v>3088</v>
      </c>
      <c r="AU131" s="73" t="s">
        <v>3088</v>
      </c>
      <c r="AV131" s="73" t="s">
        <v>3088</v>
      </c>
      <c r="AW131" s="73" t="s">
        <v>3088</v>
      </c>
      <c r="AX131" s="73" t="s">
        <v>3088</v>
      </c>
      <c r="AY131" s="73" t="s">
        <v>3088</v>
      </c>
      <c r="AZ131" s="73" t="s">
        <v>3088</v>
      </c>
      <c r="BA131" s="73" t="s">
        <v>3088</v>
      </c>
      <c r="BB131" s="73" t="s">
        <v>3088</v>
      </c>
      <c r="BC131" s="73" t="s">
        <v>3088</v>
      </c>
      <c r="BD131" s="73" t="s">
        <v>3088</v>
      </c>
      <c r="BE131" s="73" t="s">
        <v>3088</v>
      </c>
      <c r="BF131" s="73" t="s">
        <v>3088</v>
      </c>
      <c r="BG131" s="73" t="s">
        <v>3088</v>
      </c>
      <c r="BH131" s="73" t="s">
        <v>3088</v>
      </c>
      <c r="BI131" s="73" t="s">
        <v>3088</v>
      </c>
      <c r="BJ131" s="73" t="s">
        <v>3088</v>
      </c>
      <c r="BK131" s="73" t="s">
        <v>3088</v>
      </c>
      <c r="BL131" s="73" t="s">
        <v>3088</v>
      </c>
      <c r="BM131" s="73" t="s">
        <v>3088</v>
      </c>
      <c r="BN131" s="73" t="s">
        <v>3088</v>
      </c>
      <c r="BO131" s="73" t="s">
        <v>3088</v>
      </c>
      <c r="BP131" s="73" t="s">
        <v>3088</v>
      </c>
      <c r="BQ131" s="73" t="s">
        <v>3882</v>
      </c>
      <c r="BR131" s="73" t="s">
        <v>3088</v>
      </c>
    </row>
    <row r="132" spans="1:70">
      <c r="A132" s="73" t="s">
        <v>1898</v>
      </c>
      <c r="B132" s="73" t="s">
        <v>2251</v>
      </c>
      <c r="C132" s="73" t="s">
        <v>2252</v>
      </c>
      <c r="D132" s="73" t="s">
        <v>3088</v>
      </c>
      <c r="E132" s="73" t="s">
        <v>3088</v>
      </c>
      <c r="F132" s="73" t="s">
        <v>3088</v>
      </c>
      <c r="G132" s="73" t="s">
        <v>3089</v>
      </c>
      <c r="H132" s="73" t="s">
        <v>3088</v>
      </c>
      <c r="I132" s="73" t="s">
        <v>108</v>
      </c>
      <c r="J132" s="73" t="s">
        <v>3088</v>
      </c>
      <c r="K132" s="73" t="s">
        <v>3088</v>
      </c>
      <c r="L132" s="73" t="s">
        <v>3088</v>
      </c>
      <c r="M132" s="73" t="s">
        <v>3088</v>
      </c>
      <c r="N132" s="73" t="s">
        <v>3088</v>
      </c>
      <c r="O132" s="73" t="s">
        <v>3088</v>
      </c>
      <c r="P132" s="73" t="s">
        <v>3088</v>
      </c>
      <c r="Q132" s="73" t="s">
        <v>3088</v>
      </c>
      <c r="R132" s="73" t="s">
        <v>3088</v>
      </c>
      <c r="S132" s="73" t="s">
        <v>3088</v>
      </c>
      <c r="T132" s="73" t="s">
        <v>3088</v>
      </c>
      <c r="U132" s="73" t="s">
        <v>3088</v>
      </c>
      <c r="V132" s="73" t="s">
        <v>3088</v>
      </c>
      <c r="W132" s="73" t="s">
        <v>3088</v>
      </c>
      <c r="X132" s="73" t="s">
        <v>3088</v>
      </c>
      <c r="Y132" s="73" t="s">
        <v>3088</v>
      </c>
      <c r="Z132" s="73" t="s">
        <v>3088</v>
      </c>
      <c r="AA132" s="73" t="s">
        <v>3088</v>
      </c>
      <c r="AB132" s="73" t="s">
        <v>3088</v>
      </c>
      <c r="AC132" s="73" t="s">
        <v>3088</v>
      </c>
      <c r="AD132" s="73" t="s">
        <v>3088</v>
      </c>
      <c r="AE132" s="73" t="s">
        <v>3088</v>
      </c>
      <c r="AF132" s="73" t="s">
        <v>3088</v>
      </c>
      <c r="AG132" s="73" t="s">
        <v>3088</v>
      </c>
      <c r="AH132" s="73" t="s">
        <v>3088</v>
      </c>
      <c r="AI132" s="73" t="s">
        <v>3088</v>
      </c>
      <c r="AJ132" s="73" t="s">
        <v>3088</v>
      </c>
      <c r="AK132" s="73" t="s">
        <v>3088</v>
      </c>
      <c r="AL132" s="73" t="s">
        <v>3088</v>
      </c>
      <c r="AM132" s="73" t="s">
        <v>3088</v>
      </c>
      <c r="AN132" s="73" t="s">
        <v>3088</v>
      </c>
      <c r="AO132" s="73" t="s">
        <v>3088</v>
      </c>
      <c r="AP132" s="73" t="s">
        <v>3088</v>
      </c>
      <c r="AQ132" s="73" t="s">
        <v>3088</v>
      </c>
      <c r="AR132" s="73" t="s">
        <v>3088</v>
      </c>
      <c r="AS132" s="73" t="s">
        <v>3088</v>
      </c>
      <c r="AT132" s="73" t="s">
        <v>3088</v>
      </c>
      <c r="AU132" s="73" t="s">
        <v>3088</v>
      </c>
      <c r="AV132" s="73" t="s">
        <v>3088</v>
      </c>
      <c r="AW132" s="73" t="s">
        <v>3088</v>
      </c>
      <c r="AX132" s="73" t="s">
        <v>3088</v>
      </c>
      <c r="AY132" s="73" t="s">
        <v>3088</v>
      </c>
      <c r="AZ132" s="73" t="s">
        <v>3088</v>
      </c>
      <c r="BA132" s="73" t="s">
        <v>3088</v>
      </c>
      <c r="BB132" s="73" t="s">
        <v>3088</v>
      </c>
      <c r="BC132" s="73" t="s">
        <v>3088</v>
      </c>
      <c r="BD132" s="73" t="s">
        <v>3088</v>
      </c>
      <c r="BE132" s="73" t="s">
        <v>3088</v>
      </c>
      <c r="BF132" s="73" t="s">
        <v>3088</v>
      </c>
      <c r="BG132" s="73" t="s">
        <v>3088</v>
      </c>
      <c r="BH132" s="73" t="s">
        <v>3088</v>
      </c>
      <c r="BI132" s="73" t="s">
        <v>3088</v>
      </c>
      <c r="BJ132" s="73" t="s">
        <v>3088</v>
      </c>
      <c r="BK132" s="73" t="s">
        <v>3088</v>
      </c>
      <c r="BL132" s="73" t="s">
        <v>3088</v>
      </c>
      <c r="BM132" s="73" t="s">
        <v>3088</v>
      </c>
      <c r="BN132" s="73" t="s">
        <v>3088</v>
      </c>
      <c r="BO132" s="73" t="s">
        <v>3088</v>
      </c>
      <c r="BP132" s="73" t="s">
        <v>3088</v>
      </c>
      <c r="BQ132" s="73" t="s">
        <v>3883</v>
      </c>
      <c r="BR132" s="73" t="s">
        <v>3088</v>
      </c>
    </row>
    <row r="133" spans="1:70">
      <c r="A133" s="73" t="s">
        <v>1898</v>
      </c>
      <c r="B133" s="73" t="s">
        <v>2253</v>
      </c>
      <c r="C133" s="73" t="s">
        <v>2252</v>
      </c>
      <c r="D133" s="73" t="s">
        <v>3088</v>
      </c>
      <c r="E133" s="73" t="s">
        <v>3088</v>
      </c>
      <c r="F133" s="73" t="s">
        <v>3088</v>
      </c>
      <c r="G133" s="73" t="s">
        <v>3089</v>
      </c>
      <c r="H133" s="73" t="s">
        <v>3088</v>
      </c>
      <c r="I133" s="73" t="s">
        <v>2193</v>
      </c>
      <c r="J133" s="73" t="s">
        <v>2254</v>
      </c>
      <c r="K133" s="73" t="s">
        <v>3095</v>
      </c>
      <c r="L133" s="73" t="s">
        <v>3088</v>
      </c>
      <c r="M133" s="73" t="s">
        <v>3088</v>
      </c>
      <c r="N133" s="73" t="s">
        <v>3088</v>
      </c>
      <c r="O133" s="73" t="s">
        <v>3088</v>
      </c>
      <c r="P133" s="73" t="s">
        <v>3088</v>
      </c>
      <c r="Q133" s="73" t="s">
        <v>3088</v>
      </c>
      <c r="R133" s="73" t="s">
        <v>3088</v>
      </c>
      <c r="S133" s="73" t="s">
        <v>3088</v>
      </c>
      <c r="T133" s="73" t="s">
        <v>3088</v>
      </c>
      <c r="U133" s="73" t="s">
        <v>3088</v>
      </c>
      <c r="V133" s="73" t="s">
        <v>3088</v>
      </c>
      <c r="W133" s="73" t="s">
        <v>3088</v>
      </c>
      <c r="X133" s="73" t="s">
        <v>3088</v>
      </c>
      <c r="Y133" s="73" t="s">
        <v>3088</v>
      </c>
      <c r="Z133" s="73" t="s">
        <v>3088</v>
      </c>
      <c r="AA133" s="73" t="s">
        <v>3088</v>
      </c>
      <c r="AB133" s="73" t="s">
        <v>3088</v>
      </c>
      <c r="AC133" s="73" t="s">
        <v>3088</v>
      </c>
      <c r="AD133" s="73" t="s">
        <v>3088</v>
      </c>
      <c r="AE133" s="73" t="s">
        <v>3088</v>
      </c>
      <c r="AF133" s="73" t="s">
        <v>3088</v>
      </c>
      <c r="AG133" s="73" t="s">
        <v>3088</v>
      </c>
      <c r="AH133" s="73" t="s">
        <v>3088</v>
      </c>
      <c r="AI133" s="73" t="s">
        <v>3088</v>
      </c>
      <c r="AJ133" s="73" t="s">
        <v>3088</v>
      </c>
      <c r="AK133" s="73" t="s">
        <v>3088</v>
      </c>
      <c r="AL133" s="73" t="s">
        <v>3088</v>
      </c>
      <c r="AM133" s="73" t="s">
        <v>3088</v>
      </c>
      <c r="AN133" s="73" t="s">
        <v>3088</v>
      </c>
      <c r="AO133" s="73" t="s">
        <v>3088</v>
      </c>
      <c r="AP133" s="73" t="s">
        <v>3088</v>
      </c>
      <c r="AQ133" s="73" t="s">
        <v>3088</v>
      </c>
      <c r="AR133" s="73" t="s">
        <v>3088</v>
      </c>
      <c r="AS133" s="73" t="s">
        <v>3088</v>
      </c>
      <c r="AT133" s="73" t="s">
        <v>3088</v>
      </c>
      <c r="AU133" s="73" t="s">
        <v>3088</v>
      </c>
      <c r="AV133" s="73" t="s">
        <v>3088</v>
      </c>
      <c r="AW133" s="73" t="s">
        <v>3088</v>
      </c>
      <c r="AX133" s="73" t="s">
        <v>3088</v>
      </c>
      <c r="AY133" s="73" t="s">
        <v>3088</v>
      </c>
      <c r="AZ133" s="73" t="s">
        <v>3088</v>
      </c>
      <c r="BA133" s="73" t="s">
        <v>3088</v>
      </c>
      <c r="BB133" s="73" t="s">
        <v>3088</v>
      </c>
      <c r="BC133" s="73" t="s">
        <v>3088</v>
      </c>
      <c r="BD133" s="73" t="s">
        <v>3088</v>
      </c>
      <c r="BE133" s="73" t="s">
        <v>3088</v>
      </c>
      <c r="BF133" s="73" t="s">
        <v>3088</v>
      </c>
      <c r="BG133" s="73" t="s">
        <v>3088</v>
      </c>
      <c r="BH133" s="73" t="s">
        <v>3088</v>
      </c>
      <c r="BI133" s="73" t="s">
        <v>3088</v>
      </c>
      <c r="BJ133" s="73" t="s">
        <v>3088</v>
      </c>
      <c r="BK133" s="73" t="s">
        <v>3088</v>
      </c>
      <c r="BL133" s="73" t="s">
        <v>3088</v>
      </c>
      <c r="BM133" s="73" t="s">
        <v>3088</v>
      </c>
      <c r="BN133" s="73" t="s">
        <v>3088</v>
      </c>
      <c r="BO133" s="73" t="s">
        <v>3088</v>
      </c>
      <c r="BP133" s="73" t="s">
        <v>3088</v>
      </c>
      <c r="BQ133" s="78" t="s">
        <v>3884</v>
      </c>
      <c r="BR133" s="73" t="s">
        <v>3097</v>
      </c>
    </row>
    <row r="134" spans="1:70">
      <c r="A134" s="73" t="s">
        <v>1898</v>
      </c>
      <c r="B134" s="73" t="s">
        <v>2255</v>
      </c>
      <c r="C134" s="73" t="s">
        <v>2256</v>
      </c>
      <c r="D134" s="73" t="s">
        <v>3088</v>
      </c>
      <c r="E134" s="73" t="s">
        <v>3088</v>
      </c>
      <c r="F134" s="73" t="s">
        <v>3088</v>
      </c>
      <c r="G134" s="73" t="s">
        <v>3089</v>
      </c>
      <c r="H134" s="73" t="s">
        <v>3088</v>
      </c>
      <c r="I134" s="73" t="s">
        <v>108</v>
      </c>
      <c r="J134" s="73" t="s">
        <v>3088</v>
      </c>
      <c r="K134" s="73" t="s">
        <v>3088</v>
      </c>
      <c r="L134" s="73" t="s">
        <v>2463</v>
      </c>
      <c r="M134" s="73" t="s">
        <v>3088</v>
      </c>
      <c r="N134" s="73" t="s">
        <v>3088</v>
      </c>
      <c r="O134" s="73" t="s">
        <v>3088</v>
      </c>
      <c r="P134" s="73" t="s">
        <v>3088</v>
      </c>
      <c r="Q134" s="73" t="s">
        <v>3088</v>
      </c>
      <c r="R134" s="73" t="s">
        <v>3088</v>
      </c>
      <c r="S134" s="73" t="s">
        <v>3088</v>
      </c>
      <c r="T134" s="73" t="s">
        <v>3088</v>
      </c>
      <c r="U134" s="73" t="s">
        <v>3088</v>
      </c>
      <c r="V134" s="73" t="s">
        <v>3088</v>
      </c>
      <c r="W134" s="73" t="s">
        <v>3088</v>
      </c>
      <c r="X134" s="73" t="s">
        <v>3088</v>
      </c>
      <c r="Y134" s="73" t="s">
        <v>3088</v>
      </c>
      <c r="Z134" s="73" t="s">
        <v>3088</v>
      </c>
      <c r="AA134" s="73" t="s">
        <v>3088</v>
      </c>
      <c r="AB134" s="73" t="s">
        <v>3088</v>
      </c>
      <c r="AC134" s="73" t="s">
        <v>3088</v>
      </c>
      <c r="AD134" s="73" t="s">
        <v>3088</v>
      </c>
      <c r="AE134" s="73" t="s">
        <v>3088</v>
      </c>
      <c r="AF134" s="73" t="s">
        <v>3088</v>
      </c>
      <c r="AG134" s="73" t="s">
        <v>3088</v>
      </c>
      <c r="AH134" s="73" t="s">
        <v>3088</v>
      </c>
      <c r="AI134" s="73" t="s">
        <v>3088</v>
      </c>
      <c r="AJ134" s="73" t="s">
        <v>3088</v>
      </c>
      <c r="AK134" s="73" t="s">
        <v>3088</v>
      </c>
      <c r="AL134" s="73" t="s">
        <v>3088</v>
      </c>
      <c r="AM134" s="73" t="s">
        <v>3088</v>
      </c>
      <c r="AN134" s="73" t="s">
        <v>3088</v>
      </c>
      <c r="AO134" s="73" t="s">
        <v>3088</v>
      </c>
      <c r="AP134" s="73" t="s">
        <v>3088</v>
      </c>
      <c r="AQ134" s="73" t="s">
        <v>3088</v>
      </c>
      <c r="AR134" s="73" t="s">
        <v>3088</v>
      </c>
      <c r="AS134" s="73" t="s">
        <v>3088</v>
      </c>
      <c r="AT134" s="73" t="s">
        <v>3088</v>
      </c>
      <c r="AU134" s="73" t="s">
        <v>3088</v>
      </c>
      <c r="AV134" s="73" t="s">
        <v>3088</v>
      </c>
      <c r="AW134" s="73" t="s">
        <v>3088</v>
      </c>
      <c r="AX134" s="73" t="s">
        <v>3088</v>
      </c>
      <c r="AY134" s="73" t="s">
        <v>3088</v>
      </c>
      <c r="AZ134" s="73" t="s">
        <v>3088</v>
      </c>
      <c r="BA134" s="73" t="s">
        <v>3088</v>
      </c>
      <c r="BB134" s="73" t="s">
        <v>3088</v>
      </c>
      <c r="BC134" s="73" t="s">
        <v>3088</v>
      </c>
      <c r="BD134" s="73" t="s">
        <v>3088</v>
      </c>
      <c r="BE134" s="73" t="s">
        <v>3088</v>
      </c>
      <c r="BF134" s="73" t="s">
        <v>3088</v>
      </c>
      <c r="BG134" s="73" t="s">
        <v>3088</v>
      </c>
      <c r="BH134" s="73" t="s">
        <v>3088</v>
      </c>
      <c r="BI134" s="73" t="s">
        <v>3088</v>
      </c>
      <c r="BJ134" s="73" t="s">
        <v>3088</v>
      </c>
      <c r="BK134" s="73" t="s">
        <v>3088</v>
      </c>
      <c r="BL134" s="73" t="s">
        <v>3088</v>
      </c>
      <c r="BM134" s="73" t="s">
        <v>3088</v>
      </c>
      <c r="BN134" s="73" t="s">
        <v>3088</v>
      </c>
      <c r="BO134" s="73" t="s">
        <v>3088</v>
      </c>
      <c r="BP134" s="73" t="s">
        <v>3088</v>
      </c>
      <c r="BQ134" s="73" t="s">
        <v>3885</v>
      </c>
      <c r="BR134" s="73" t="s">
        <v>3088</v>
      </c>
    </row>
    <row r="135" spans="1:70">
      <c r="A135" s="73" t="s">
        <v>1898</v>
      </c>
      <c r="B135" s="73" t="s">
        <v>2258</v>
      </c>
      <c r="C135" s="73" t="s">
        <v>2259</v>
      </c>
      <c r="D135" s="73" t="s">
        <v>3088</v>
      </c>
      <c r="E135" s="73" t="s">
        <v>3088</v>
      </c>
      <c r="F135" s="73" t="s">
        <v>3088</v>
      </c>
      <c r="G135" s="73" t="s">
        <v>3089</v>
      </c>
      <c r="H135" s="73" t="s">
        <v>3088</v>
      </c>
      <c r="I135" s="73" t="s">
        <v>108</v>
      </c>
      <c r="J135" s="73" t="s">
        <v>3886</v>
      </c>
      <c r="K135" s="73" t="s">
        <v>3089</v>
      </c>
      <c r="L135" s="73" t="s">
        <v>3122</v>
      </c>
      <c r="M135" s="73" t="s">
        <v>3886</v>
      </c>
      <c r="N135" s="73" t="s">
        <v>3089</v>
      </c>
      <c r="O135" s="73" t="s">
        <v>3862</v>
      </c>
      <c r="P135" s="73" t="s">
        <v>3886</v>
      </c>
      <c r="Q135" s="73" t="s">
        <v>3089</v>
      </c>
      <c r="R135" s="73" t="s">
        <v>3098</v>
      </c>
      <c r="S135" s="73" t="s">
        <v>3886</v>
      </c>
      <c r="T135" s="73" t="s">
        <v>3089</v>
      </c>
      <c r="U135" s="73" t="s">
        <v>3113</v>
      </c>
      <c r="V135" s="73" t="s">
        <v>3886</v>
      </c>
      <c r="W135" s="73" t="s">
        <v>3089</v>
      </c>
      <c r="X135" s="73" t="s">
        <v>3013</v>
      </c>
      <c r="Y135" s="73" t="s">
        <v>3886</v>
      </c>
      <c r="Z135" s="73" t="s">
        <v>3089</v>
      </c>
      <c r="AA135" s="73" t="s">
        <v>1201</v>
      </c>
      <c r="AB135" s="73" t="s">
        <v>3886</v>
      </c>
      <c r="AC135" s="73" t="s">
        <v>3089</v>
      </c>
      <c r="AD135" s="73" t="s">
        <v>3866</v>
      </c>
      <c r="AE135" s="73" t="s">
        <v>3886</v>
      </c>
      <c r="AF135" s="73" t="s">
        <v>3089</v>
      </c>
      <c r="AG135" s="73" t="s">
        <v>3088</v>
      </c>
      <c r="AH135" s="73" t="s">
        <v>3088</v>
      </c>
      <c r="AI135" s="73" t="s">
        <v>3088</v>
      </c>
      <c r="AJ135" s="73" t="s">
        <v>3088</v>
      </c>
      <c r="AK135" s="73" t="s">
        <v>3088</v>
      </c>
      <c r="AL135" s="73" t="s">
        <v>3088</v>
      </c>
      <c r="AM135" s="73" t="s">
        <v>3088</v>
      </c>
      <c r="AN135" s="73" t="s">
        <v>3088</v>
      </c>
      <c r="AO135" s="73" t="s">
        <v>3088</v>
      </c>
      <c r="AP135" s="73" t="s">
        <v>3088</v>
      </c>
      <c r="AQ135" s="73" t="s">
        <v>3088</v>
      </c>
      <c r="AR135" s="73" t="s">
        <v>3088</v>
      </c>
      <c r="AS135" s="73" t="s">
        <v>3088</v>
      </c>
      <c r="AT135" s="73" t="s">
        <v>3088</v>
      </c>
      <c r="AU135" s="73" t="s">
        <v>3088</v>
      </c>
      <c r="AV135" s="73" t="s">
        <v>3088</v>
      </c>
      <c r="AW135" s="73" t="s">
        <v>3088</v>
      </c>
      <c r="AX135" s="73" t="s">
        <v>3088</v>
      </c>
      <c r="AY135" s="73" t="s">
        <v>3088</v>
      </c>
      <c r="AZ135" s="73" t="s">
        <v>3088</v>
      </c>
      <c r="BA135" s="73" t="s">
        <v>3088</v>
      </c>
      <c r="BB135" s="73" t="s">
        <v>3088</v>
      </c>
      <c r="BC135" s="73" t="s">
        <v>3088</v>
      </c>
      <c r="BD135" s="73" t="s">
        <v>3088</v>
      </c>
      <c r="BE135" s="73" t="s">
        <v>3088</v>
      </c>
      <c r="BF135" s="73" t="s">
        <v>3088</v>
      </c>
      <c r="BG135" s="73" t="s">
        <v>3088</v>
      </c>
      <c r="BH135" s="73" t="s">
        <v>3088</v>
      </c>
      <c r="BI135" s="73" t="s">
        <v>3088</v>
      </c>
      <c r="BJ135" s="73" t="s">
        <v>3088</v>
      </c>
      <c r="BK135" s="73" t="s">
        <v>3088</v>
      </c>
      <c r="BL135" s="73" t="s">
        <v>3088</v>
      </c>
      <c r="BM135" s="73" t="s">
        <v>3088</v>
      </c>
      <c r="BN135" s="73" t="s">
        <v>3088</v>
      </c>
      <c r="BO135" s="73" t="s">
        <v>3088</v>
      </c>
      <c r="BP135" s="73" t="s">
        <v>3088</v>
      </c>
      <c r="BQ135" s="78" t="s">
        <v>3887</v>
      </c>
      <c r="BR135" s="73" t="s">
        <v>3088</v>
      </c>
    </row>
    <row r="136" spans="1:70">
      <c r="A136" s="73" t="s">
        <v>1898</v>
      </c>
      <c r="B136" s="73" t="s">
        <v>2262</v>
      </c>
      <c r="C136" s="73" t="s">
        <v>2259</v>
      </c>
      <c r="D136" s="73" t="s">
        <v>3088</v>
      </c>
      <c r="E136" s="73" t="s">
        <v>3088</v>
      </c>
      <c r="F136" s="73" t="s">
        <v>3088</v>
      </c>
      <c r="G136" s="73" t="s">
        <v>3089</v>
      </c>
      <c r="H136" s="73" t="s">
        <v>3088</v>
      </c>
      <c r="I136" s="73" t="s">
        <v>108</v>
      </c>
      <c r="J136" s="73" t="s">
        <v>3088</v>
      </c>
      <c r="K136" s="73" t="s">
        <v>3088</v>
      </c>
      <c r="L136" s="73" t="s">
        <v>3113</v>
      </c>
      <c r="M136" s="73" t="s">
        <v>2263</v>
      </c>
      <c r="N136" s="73" t="s">
        <v>3088</v>
      </c>
      <c r="O136" s="73" t="s">
        <v>3088</v>
      </c>
      <c r="P136" s="73" t="s">
        <v>3088</v>
      </c>
      <c r="Q136" s="73" t="s">
        <v>3088</v>
      </c>
      <c r="R136" s="73" t="s">
        <v>3088</v>
      </c>
      <c r="S136" s="73" t="s">
        <v>3088</v>
      </c>
      <c r="T136" s="73" t="s">
        <v>3088</v>
      </c>
      <c r="U136" s="73" t="s">
        <v>3088</v>
      </c>
      <c r="V136" s="73" t="s">
        <v>3088</v>
      </c>
      <c r="W136" s="73" t="s">
        <v>3088</v>
      </c>
      <c r="X136" s="73" t="s">
        <v>3088</v>
      </c>
      <c r="Y136" s="73" t="s">
        <v>3088</v>
      </c>
      <c r="Z136" s="73" t="s">
        <v>3088</v>
      </c>
      <c r="AA136" s="73" t="s">
        <v>3088</v>
      </c>
      <c r="AB136" s="73" t="s">
        <v>3088</v>
      </c>
      <c r="AC136" s="73" t="s">
        <v>3088</v>
      </c>
      <c r="AD136" s="73" t="s">
        <v>3088</v>
      </c>
      <c r="AE136" s="73" t="s">
        <v>3088</v>
      </c>
      <c r="AF136" s="73" t="s">
        <v>3088</v>
      </c>
      <c r="AG136" s="73" t="s">
        <v>3088</v>
      </c>
      <c r="AH136" s="73" t="s">
        <v>3088</v>
      </c>
      <c r="AI136" s="73" t="s">
        <v>3088</v>
      </c>
      <c r="AJ136" s="73" t="s">
        <v>3088</v>
      </c>
      <c r="AK136" s="73" t="s">
        <v>3088</v>
      </c>
      <c r="AL136" s="73" t="s">
        <v>3088</v>
      </c>
      <c r="AM136" s="73" t="s">
        <v>3088</v>
      </c>
      <c r="AN136" s="73" t="s">
        <v>3088</v>
      </c>
      <c r="AO136" s="73" t="s">
        <v>3088</v>
      </c>
      <c r="AP136" s="73" t="s">
        <v>3088</v>
      </c>
      <c r="AQ136" s="73" t="s">
        <v>3088</v>
      </c>
      <c r="AR136" s="73" t="s">
        <v>3088</v>
      </c>
      <c r="AS136" s="73" t="s">
        <v>3088</v>
      </c>
      <c r="AT136" s="73" t="s">
        <v>3088</v>
      </c>
      <c r="AU136" s="73" t="s">
        <v>3088</v>
      </c>
      <c r="AV136" s="73" t="s">
        <v>3088</v>
      </c>
      <c r="AW136" s="73" t="s">
        <v>3088</v>
      </c>
      <c r="AX136" s="73" t="s">
        <v>3088</v>
      </c>
      <c r="AY136" s="73" t="s">
        <v>3088</v>
      </c>
      <c r="AZ136" s="73" t="s">
        <v>3088</v>
      </c>
      <c r="BA136" s="73" t="s">
        <v>3088</v>
      </c>
      <c r="BB136" s="73" t="s">
        <v>3088</v>
      </c>
      <c r="BC136" s="73" t="s">
        <v>3088</v>
      </c>
      <c r="BD136" s="73" t="s">
        <v>3088</v>
      </c>
      <c r="BE136" s="73" t="s">
        <v>3088</v>
      </c>
      <c r="BF136" s="73" t="s">
        <v>3088</v>
      </c>
      <c r="BG136" s="73" t="s">
        <v>3088</v>
      </c>
      <c r="BH136" s="73" t="s">
        <v>3088</v>
      </c>
      <c r="BI136" s="73" t="s">
        <v>3088</v>
      </c>
      <c r="BJ136" s="73" t="s">
        <v>3088</v>
      </c>
      <c r="BK136" s="73" t="s">
        <v>3088</v>
      </c>
      <c r="BL136" s="73" t="s">
        <v>3088</v>
      </c>
      <c r="BM136" s="73" t="s">
        <v>3088</v>
      </c>
      <c r="BN136" s="73" t="s">
        <v>3088</v>
      </c>
      <c r="BO136" s="73" t="s">
        <v>3088</v>
      </c>
      <c r="BP136" s="73" t="s">
        <v>3088</v>
      </c>
      <c r="BQ136" s="73" t="s">
        <v>3888</v>
      </c>
      <c r="BR136" s="73" t="s">
        <v>3088</v>
      </c>
    </row>
    <row r="137" spans="1:70">
      <c r="A137" s="73" t="s">
        <v>1898</v>
      </c>
      <c r="B137" s="73" t="s">
        <v>2264</v>
      </c>
      <c r="C137" s="73" t="s">
        <v>2252</v>
      </c>
      <c r="D137" s="73" t="s">
        <v>3088</v>
      </c>
      <c r="E137" s="73" t="s">
        <v>3088</v>
      </c>
      <c r="F137" s="73" t="s">
        <v>3088</v>
      </c>
      <c r="G137" s="73" t="s">
        <v>3089</v>
      </c>
      <c r="H137" s="73" t="s">
        <v>3088</v>
      </c>
      <c r="I137" s="73" t="s">
        <v>108</v>
      </c>
      <c r="J137" s="73" t="s">
        <v>3088</v>
      </c>
      <c r="K137" s="73" t="s">
        <v>3088</v>
      </c>
      <c r="L137" s="73" t="s">
        <v>3889</v>
      </c>
      <c r="M137" s="73" t="s">
        <v>3088</v>
      </c>
      <c r="N137" s="73" t="s">
        <v>3088</v>
      </c>
      <c r="O137" s="73" t="s">
        <v>3088</v>
      </c>
      <c r="P137" s="73" t="s">
        <v>3088</v>
      </c>
      <c r="Q137" s="73" t="s">
        <v>3088</v>
      </c>
      <c r="R137" s="73" t="s">
        <v>3088</v>
      </c>
      <c r="S137" s="73" t="s">
        <v>3088</v>
      </c>
      <c r="T137" s="73" t="s">
        <v>3088</v>
      </c>
      <c r="U137" s="73" t="s">
        <v>3088</v>
      </c>
      <c r="V137" s="73" t="s">
        <v>3088</v>
      </c>
      <c r="W137" s="73" t="s">
        <v>3088</v>
      </c>
      <c r="X137" s="73" t="s">
        <v>3088</v>
      </c>
      <c r="Y137" s="73" t="s">
        <v>3088</v>
      </c>
      <c r="Z137" s="73" t="s">
        <v>3088</v>
      </c>
      <c r="AA137" s="73" t="s">
        <v>3088</v>
      </c>
      <c r="AB137" s="73" t="s">
        <v>3088</v>
      </c>
      <c r="AC137" s="73" t="s">
        <v>3088</v>
      </c>
      <c r="AD137" s="73" t="s">
        <v>3088</v>
      </c>
      <c r="AE137" s="73" t="s">
        <v>3088</v>
      </c>
      <c r="AF137" s="73" t="s">
        <v>3088</v>
      </c>
      <c r="AG137" s="73" t="s">
        <v>3088</v>
      </c>
      <c r="AH137" s="73" t="s">
        <v>3088</v>
      </c>
      <c r="AI137" s="73" t="s">
        <v>3088</v>
      </c>
      <c r="AJ137" s="73" t="s">
        <v>3088</v>
      </c>
      <c r="AK137" s="73" t="s">
        <v>3088</v>
      </c>
      <c r="AL137" s="73" t="s">
        <v>3088</v>
      </c>
      <c r="AM137" s="73" t="s">
        <v>3088</v>
      </c>
      <c r="AN137" s="73" t="s">
        <v>3088</v>
      </c>
      <c r="AO137" s="73" t="s">
        <v>3088</v>
      </c>
      <c r="AP137" s="73" t="s">
        <v>3088</v>
      </c>
      <c r="AQ137" s="73" t="s">
        <v>3088</v>
      </c>
      <c r="AR137" s="73" t="s">
        <v>3088</v>
      </c>
      <c r="AS137" s="73" t="s">
        <v>3088</v>
      </c>
      <c r="AT137" s="73" t="s">
        <v>3088</v>
      </c>
      <c r="AU137" s="73" t="s">
        <v>3088</v>
      </c>
      <c r="AV137" s="73" t="s">
        <v>3088</v>
      </c>
      <c r="AW137" s="73" t="s">
        <v>3088</v>
      </c>
      <c r="AX137" s="73" t="s">
        <v>3088</v>
      </c>
      <c r="AY137" s="73" t="s">
        <v>3088</v>
      </c>
      <c r="AZ137" s="73" t="s">
        <v>3088</v>
      </c>
      <c r="BA137" s="73" t="s">
        <v>3088</v>
      </c>
      <c r="BB137" s="73" t="s">
        <v>3088</v>
      </c>
      <c r="BC137" s="73" t="s">
        <v>3088</v>
      </c>
      <c r="BD137" s="73" t="s">
        <v>3088</v>
      </c>
      <c r="BE137" s="73" t="s">
        <v>3088</v>
      </c>
      <c r="BF137" s="73" t="s">
        <v>3088</v>
      </c>
      <c r="BG137" s="73" t="s">
        <v>3088</v>
      </c>
      <c r="BH137" s="73" t="s">
        <v>3088</v>
      </c>
      <c r="BI137" s="73" t="s">
        <v>3088</v>
      </c>
      <c r="BJ137" s="73" t="s">
        <v>3088</v>
      </c>
      <c r="BK137" s="73" t="s">
        <v>3088</v>
      </c>
      <c r="BL137" s="73" t="s">
        <v>3088</v>
      </c>
      <c r="BM137" s="73" t="s">
        <v>3088</v>
      </c>
      <c r="BN137" s="73" t="s">
        <v>3088</v>
      </c>
      <c r="BO137" s="73" t="s">
        <v>3088</v>
      </c>
      <c r="BP137" s="73" t="s">
        <v>3088</v>
      </c>
      <c r="BQ137" s="73" t="s">
        <v>3890</v>
      </c>
      <c r="BR137" s="73" t="s">
        <v>3088</v>
      </c>
    </row>
    <row r="138" spans="1:70">
      <c r="A138" s="73" t="s">
        <v>1898</v>
      </c>
      <c r="B138" s="73" t="s">
        <v>3016</v>
      </c>
      <c r="C138" s="73" t="s">
        <v>2252</v>
      </c>
      <c r="D138" s="73" t="s">
        <v>3088</v>
      </c>
      <c r="E138" s="73" t="s">
        <v>3088</v>
      </c>
      <c r="F138" s="73" t="s">
        <v>3088</v>
      </c>
      <c r="G138" s="73" t="s">
        <v>3089</v>
      </c>
      <c r="H138" s="73" t="s">
        <v>3088</v>
      </c>
      <c r="I138" s="73" t="s">
        <v>3013</v>
      </c>
      <c r="J138" s="73" t="s">
        <v>3088</v>
      </c>
      <c r="K138" s="73" t="s">
        <v>3088</v>
      </c>
      <c r="L138" s="73" t="s">
        <v>3088</v>
      </c>
      <c r="M138" s="73" t="s">
        <v>3088</v>
      </c>
      <c r="N138" s="73" t="s">
        <v>3088</v>
      </c>
      <c r="O138" s="73" t="s">
        <v>3088</v>
      </c>
      <c r="P138" s="73" t="s">
        <v>3088</v>
      </c>
      <c r="Q138" s="73" t="s">
        <v>3088</v>
      </c>
      <c r="R138" s="73" t="s">
        <v>3088</v>
      </c>
      <c r="S138" s="73" t="s">
        <v>3088</v>
      </c>
      <c r="T138" s="73" t="s">
        <v>3088</v>
      </c>
      <c r="U138" s="73" t="s">
        <v>3088</v>
      </c>
      <c r="V138" s="73" t="s">
        <v>3088</v>
      </c>
      <c r="W138" s="73" t="s">
        <v>3088</v>
      </c>
      <c r="X138" s="73" t="s">
        <v>3088</v>
      </c>
      <c r="Y138" s="73" t="s">
        <v>3088</v>
      </c>
      <c r="Z138" s="73" t="s">
        <v>3088</v>
      </c>
      <c r="AA138" s="73" t="s">
        <v>3088</v>
      </c>
      <c r="AB138" s="73" t="s">
        <v>3088</v>
      </c>
      <c r="AC138" s="73" t="s">
        <v>3088</v>
      </c>
      <c r="AD138" s="73" t="s">
        <v>3088</v>
      </c>
      <c r="AE138" s="73" t="s">
        <v>3088</v>
      </c>
      <c r="AF138" s="73" t="s">
        <v>3088</v>
      </c>
      <c r="AG138" s="73" t="s">
        <v>3088</v>
      </c>
      <c r="AH138" s="73" t="s">
        <v>3088</v>
      </c>
      <c r="AI138" s="73" t="s">
        <v>3088</v>
      </c>
      <c r="AJ138" s="73" t="s">
        <v>3088</v>
      </c>
      <c r="AK138" s="73" t="s">
        <v>3088</v>
      </c>
      <c r="AL138" s="73" t="s">
        <v>3088</v>
      </c>
      <c r="AM138" s="73" t="s">
        <v>3088</v>
      </c>
      <c r="AN138" s="73" t="s">
        <v>3088</v>
      </c>
      <c r="AO138" s="73" t="s">
        <v>3088</v>
      </c>
      <c r="AP138" s="73" t="s">
        <v>3088</v>
      </c>
      <c r="AQ138" s="73" t="s">
        <v>3088</v>
      </c>
      <c r="AR138" s="73" t="s">
        <v>3088</v>
      </c>
      <c r="AS138" s="73" t="s">
        <v>3088</v>
      </c>
      <c r="AT138" s="73" t="s">
        <v>3088</v>
      </c>
      <c r="AU138" s="73" t="s">
        <v>3088</v>
      </c>
      <c r="AV138" s="73" t="s">
        <v>3088</v>
      </c>
      <c r="AW138" s="73" t="s">
        <v>3088</v>
      </c>
      <c r="AX138" s="73" t="s">
        <v>3088</v>
      </c>
      <c r="AY138" s="73" t="s">
        <v>3088</v>
      </c>
      <c r="AZ138" s="73" t="s">
        <v>3088</v>
      </c>
      <c r="BA138" s="73" t="s">
        <v>3088</v>
      </c>
      <c r="BB138" s="73" t="s">
        <v>3088</v>
      </c>
      <c r="BC138" s="73" t="s">
        <v>3088</v>
      </c>
      <c r="BD138" s="73" t="s">
        <v>3088</v>
      </c>
      <c r="BE138" s="73" t="s">
        <v>3088</v>
      </c>
      <c r="BF138" s="73" t="s">
        <v>3088</v>
      </c>
      <c r="BG138" s="73" t="s">
        <v>3088</v>
      </c>
      <c r="BH138" s="73" t="s">
        <v>3088</v>
      </c>
      <c r="BI138" s="73" t="s">
        <v>3088</v>
      </c>
      <c r="BJ138" s="73" t="s">
        <v>3088</v>
      </c>
      <c r="BK138" s="73" t="s">
        <v>3088</v>
      </c>
      <c r="BL138" s="73" t="s">
        <v>3088</v>
      </c>
      <c r="BM138" s="73" t="s">
        <v>3088</v>
      </c>
      <c r="BN138" s="73" t="s">
        <v>3088</v>
      </c>
      <c r="BO138" s="73" t="s">
        <v>3088</v>
      </c>
      <c r="BP138" s="73" t="s">
        <v>3088</v>
      </c>
      <c r="BQ138" s="73" t="s">
        <v>3891</v>
      </c>
      <c r="BR138" s="73" t="s">
        <v>3088</v>
      </c>
    </row>
    <row r="139" spans="1:70">
      <c r="A139" s="73" t="s">
        <v>1898</v>
      </c>
      <c r="B139" s="73" t="s">
        <v>3892</v>
      </c>
      <c r="C139" s="73" t="s">
        <v>2252</v>
      </c>
      <c r="D139" s="73" t="s">
        <v>3088</v>
      </c>
      <c r="E139" s="73" t="s">
        <v>3088</v>
      </c>
      <c r="F139" s="73" t="s">
        <v>3088</v>
      </c>
      <c r="G139" s="73" t="s">
        <v>3089</v>
      </c>
      <c r="H139" s="73" t="s">
        <v>3088</v>
      </c>
      <c r="I139" s="73" t="s">
        <v>3093</v>
      </c>
      <c r="J139" s="73" t="s">
        <v>3088</v>
      </c>
      <c r="K139" s="73" t="s">
        <v>3088</v>
      </c>
      <c r="L139" s="73" t="s">
        <v>3088</v>
      </c>
      <c r="M139" s="73" t="s">
        <v>3088</v>
      </c>
      <c r="N139" s="73" t="s">
        <v>3088</v>
      </c>
      <c r="O139" s="73" t="s">
        <v>3088</v>
      </c>
      <c r="P139" s="73" t="s">
        <v>3088</v>
      </c>
      <c r="Q139" s="73" t="s">
        <v>3088</v>
      </c>
      <c r="R139" s="73" t="s">
        <v>3088</v>
      </c>
      <c r="S139" s="73" t="s">
        <v>3088</v>
      </c>
      <c r="T139" s="73" t="s">
        <v>3088</v>
      </c>
      <c r="U139" s="73" t="s">
        <v>3088</v>
      </c>
      <c r="V139" s="73" t="s">
        <v>3088</v>
      </c>
      <c r="W139" s="73" t="s">
        <v>3088</v>
      </c>
      <c r="X139" s="73" t="s">
        <v>3088</v>
      </c>
      <c r="Y139" s="73" t="s">
        <v>3088</v>
      </c>
      <c r="Z139" s="73" t="s">
        <v>3088</v>
      </c>
      <c r="AA139" s="73" t="s">
        <v>3088</v>
      </c>
      <c r="AB139" s="73" t="s">
        <v>3088</v>
      </c>
      <c r="AC139" s="73" t="s">
        <v>3088</v>
      </c>
      <c r="AD139" s="73" t="s">
        <v>3088</v>
      </c>
      <c r="AE139" s="73" t="s">
        <v>3088</v>
      </c>
      <c r="AF139" s="73" t="s">
        <v>3088</v>
      </c>
      <c r="AG139" s="73" t="s">
        <v>3088</v>
      </c>
      <c r="AH139" s="73" t="s">
        <v>3088</v>
      </c>
      <c r="AI139" s="73" t="s">
        <v>3088</v>
      </c>
      <c r="AJ139" s="73" t="s">
        <v>3088</v>
      </c>
      <c r="AK139" s="73" t="s">
        <v>3088</v>
      </c>
      <c r="AL139" s="73" t="s">
        <v>3088</v>
      </c>
      <c r="AM139" s="73" t="s">
        <v>3088</v>
      </c>
      <c r="AN139" s="73" t="s">
        <v>3088</v>
      </c>
      <c r="AO139" s="73" t="s">
        <v>3088</v>
      </c>
      <c r="AP139" s="73" t="s">
        <v>3088</v>
      </c>
      <c r="AQ139" s="73" t="s">
        <v>3088</v>
      </c>
      <c r="AR139" s="73" t="s">
        <v>3088</v>
      </c>
      <c r="AS139" s="73" t="s">
        <v>3088</v>
      </c>
      <c r="AT139" s="73" t="s">
        <v>3088</v>
      </c>
      <c r="AU139" s="73" t="s">
        <v>3088</v>
      </c>
      <c r="AV139" s="73" t="s">
        <v>3088</v>
      </c>
      <c r="AW139" s="73" t="s">
        <v>3088</v>
      </c>
      <c r="AX139" s="73" t="s">
        <v>3088</v>
      </c>
      <c r="AY139" s="73" t="s">
        <v>3088</v>
      </c>
      <c r="AZ139" s="73" t="s">
        <v>3088</v>
      </c>
      <c r="BA139" s="73" t="s">
        <v>3088</v>
      </c>
      <c r="BB139" s="73" t="s">
        <v>3088</v>
      </c>
      <c r="BC139" s="73" t="s">
        <v>3088</v>
      </c>
      <c r="BD139" s="73" t="s">
        <v>3088</v>
      </c>
      <c r="BE139" s="73" t="s">
        <v>3088</v>
      </c>
      <c r="BF139" s="73" t="s">
        <v>3088</v>
      </c>
      <c r="BG139" s="73" t="s">
        <v>3088</v>
      </c>
      <c r="BH139" s="73" t="s">
        <v>3088</v>
      </c>
      <c r="BI139" s="73" t="s">
        <v>3088</v>
      </c>
      <c r="BJ139" s="73" t="s">
        <v>3088</v>
      </c>
      <c r="BK139" s="73" t="s">
        <v>3088</v>
      </c>
      <c r="BL139" s="73" t="s">
        <v>3088</v>
      </c>
      <c r="BM139" s="73" t="s">
        <v>3088</v>
      </c>
      <c r="BN139" s="73" t="s">
        <v>3088</v>
      </c>
      <c r="BO139" s="73" t="s">
        <v>3088</v>
      </c>
      <c r="BP139" s="73" t="s">
        <v>3088</v>
      </c>
      <c r="BQ139" s="73" t="s">
        <v>3893</v>
      </c>
      <c r="BR139" s="73" t="s">
        <v>3088</v>
      </c>
    </row>
    <row r="140" spans="1:70">
      <c r="A140" s="73" t="s">
        <v>1898</v>
      </c>
      <c r="B140" s="73" t="s">
        <v>3894</v>
      </c>
      <c r="C140" s="73" t="s">
        <v>3895</v>
      </c>
      <c r="D140" s="73" t="s">
        <v>3088</v>
      </c>
      <c r="E140" s="73" t="s">
        <v>3088</v>
      </c>
      <c r="F140" s="73" t="s">
        <v>3088</v>
      </c>
      <c r="G140" s="73" t="s">
        <v>3089</v>
      </c>
      <c r="H140" s="73" t="s">
        <v>3088</v>
      </c>
      <c r="I140" s="73" t="s">
        <v>3093</v>
      </c>
      <c r="J140" s="73" t="s">
        <v>3088</v>
      </c>
      <c r="K140" s="73" t="s">
        <v>3088</v>
      </c>
      <c r="L140" s="73" t="s">
        <v>3088</v>
      </c>
      <c r="M140" s="73" t="s">
        <v>3088</v>
      </c>
      <c r="N140" s="73" t="s">
        <v>3088</v>
      </c>
      <c r="O140" s="73" t="s">
        <v>3088</v>
      </c>
      <c r="P140" s="73" t="s">
        <v>3088</v>
      </c>
      <c r="Q140" s="73" t="s">
        <v>3088</v>
      </c>
      <c r="R140" s="73" t="s">
        <v>3088</v>
      </c>
      <c r="S140" s="73" t="s">
        <v>3088</v>
      </c>
      <c r="T140" s="73" t="s">
        <v>3088</v>
      </c>
      <c r="U140" s="73" t="s">
        <v>3088</v>
      </c>
      <c r="V140" s="73" t="s">
        <v>3088</v>
      </c>
      <c r="W140" s="73" t="s">
        <v>3088</v>
      </c>
      <c r="X140" s="73" t="s">
        <v>3088</v>
      </c>
      <c r="Y140" s="73" t="s">
        <v>3088</v>
      </c>
      <c r="Z140" s="73" t="s">
        <v>3088</v>
      </c>
      <c r="AA140" s="73" t="s">
        <v>3088</v>
      </c>
      <c r="AB140" s="73" t="s">
        <v>3088</v>
      </c>
      <c r="AC140" s="73" t="s">
        <v>3088</v>
      </c>
      <c r="AD140" s="73" t="s">
        <v>3088</v>
      </c>
      <c r="AE140" s="73" t="s">
        <v>3088</v>
      </c>
      <c r="AF140" s="73" t="s">
        <v>3088</v>
      </c>
      <c r="AG140" s="73" t="s">
        <v>3088</v>
      </c>
      <c r="AH140" s="73" t="s">
        <v>3088</v>
      </c>
      <c r="AI140" s="73" t="s">
        <v>3088</v>
      </c>
      <c r="AJ140" s="73" t="s">
        <v>3088</v>
      </c>
      <c r="AK140" s="73" t="s">
        <v>3088</v>
      </c>
      <c r="AL140" s="73" t="s">
        <v>3088</v>
      </c>
      <c r="AM140" s="73" t="s">
        <v>3088</v>
      </c>
      <c r="AN140" s="73" t="s">
        <v>3088</v>
      </c>
      <c r="AO140" s="73" t="s">
        <v>3088</v>
      </c>
      <c r="AP140" s="73" t="s">
        <v>3088</v>
      </c>
      <c r="AQ140" s="73" t="s">
        <v>3088</v>
      </c>
      <c r="AR140" s="73" t="s">
        <v>3088</v>
      </c>
      <c r="AS140" s="73" t="s">
        <v>3088</v>
      </c>
      <c r="AT140" s="73" t="s">
        <v>3088</v>
      </c>
      <c r="AU140" s="73" t="s">
        <v>3088</v>
      </c>
      <c r="AV140" s="73" t="s">
        <v>3088</v>
      </c>
      <c r="AW140" s="73" t="s">
        <v>3088</v>
      </c>
      <c r="AX140" s="73" t="s">
        <v>3088</v>
      </c>
      <c r="AY140" s="73" t="s">
        <v>3088</v>
      </c>
      <c r="AZ140" s="73" t="s">
        <v>3088</v>
      </c>
      <c r="BA140" s="73" t="s">
        <v>3088</v>
      </c>
      <c r="BB140" s="73" t="s">
        <v>3088</v>
      </c>
      <c r="BC140" s="73" t="s">
        <v>3088</v>
      </c>
      <c r="BD140" s="73" t="s">
        <v>3088</v>
      </c>
      <c r="BE140" s="73" t="s">
        <v>3088</v>
      </c>
      <c r="BF140" s="73" t="s">
        <v>3088</v>
      </c>
      <c r="BG140" s="73" t="s">
        <v>3088</v>
      </c>
      <c r="BH140" s="73" t="s">
        <v>3088</v>
      </c>
      <c r="BI140" s="73" t="s">
        <v>3088</v>
      </c>
      <c r="BJ140" s="73" t="s">
        <v>3088</v>
      </c>
      <c r="BK140" s="73" t="s">
        <v>3088</v>
      </c>
      <c r="BL140" s="73" t="s">
        <v>3088</v>
      </c>
      <c r="BM140" s="73" t="s">
        <v>3088</v>
      </c>
      <c r="BN140" s="73" t="s">
        <v>3088</v>
      </c>
      <c r="BO140" s="73" t="s">
        <v>3088</v>
      </c>
      <c r="BP140" s="73" t="s">
        <v>3088</v>
      </c>
      <c r="BQ140" s="73" t="s">
        <v>3896</v>
      </c>
      <c r="BR140" s="73" t="s">
        <v>3088</v>
      </c>
    </row>
    <row r="141" spans="1:70">
      <c r="A141" s="73" t="s">
        <v>1898</v>
      </c>
      <c r="B141" s="73" t="s">
        <v>3001</v>
      </c>
      <c r="C141" s="73" t="s">
        <v>3088</v>
      </c>
      <c r="D141" s="73" t="s">
        <v>3088</v>
      </c>
      <c r="E141" s="73" t="s">
        <v>3088</v>
      </c>
      <c r="F141" s="73" t="s">
        <v>3088</v>
      </c>
      <c r="G141" s="73" t="s">
        <v>3089</v>
      </c>
      <c r="H141" s="73" t="s">
        <v>3088</v>
      </c>
      <c r="I141" s="73" t="s">
        <v>3093</v>
      </c>
      <c r="J141" s="73" t="s">
        <v>3088</v>
      </c>
      <c r="K141" s="73" t="s">
        <v>3088</v>
      </c>
      <c r="L141" s="73" t="s">
        <v>3003</v>
      </c>
      <c r="M141" s="73" t="s">
        <v>3088</v>
      </c>
      <c r="N141" s="73" t="s">
        <v>3088</v>
      </c>
      <c r="O141" s="73" t="s">
        <v>3088</v>
      </c>
      <c r="P141" s="73" t="s">
        <v>3088</v>
      </c>
      <c r="Q141" s="73" t="s">
        <v>3088</v>
      </c>
      <c r="R141" s="73" t="s">
        <v>3088</v>
      </c>
      <c r="S141" s="73" t="s">
        <v>3088</v>
      </c>
      <c r="T141" s="73" t="s">
        <v>3088</v>
      </c>
      <c r="U141" s="73" t="s">
        <v>3088</v>
      </c>
      <c r="V141" s="73" t="s">
        <v>3088</v>
      </c>
      <c r="W141" s="73" t="s">
        <v>3088</v>
      </c>
      <c r="X141" s="73" t="s">
        <v>3088</v>
      </c>
      <c r="Y141" s="73" t="s">
        <v>3088</v>
      </c>
      <c r="Z141" s="73" t="s">
        <v>3088</v>
      </c>
      <c r="AA141" s="73" t="s">
        <v>3088</v>
      </c>
      <c r="AB141" s="73" t="s">
        <v>3088</v>
      </c>
      <c r="AC141" s="73" t="s">
        <v>3088</v>
      </c>
      <c r="AD141" s="73" t="s">
        <v>3088</v>
      </c>
      <c r="AE141" s="73" t="s">
        <v>3088</v>
      </c>
      <c r="AF141" s="73" t="s">
        <v>3088</v>
      </c>
      <c r="AG141" s="73" t="s">
        <v>3088</v>
      </c>
      <c r="AH141" s="73" t="s">
        <v>3088</v>
      </c>
      <c r="AI141" s="73" t="s">
        <v>3088</v>
      </c>
      <c r="AJ141" s="73" t="s">
        <v>3088</v>
      </c>
      <c r="AK141" s="73" t="s">
        <v>3088</v>
      </c>
      <c r="AL141" s="73" t="s">
        <v>3088</v>
      </c>
      <c r="AM141" s="73" t="s">
        <v>3088</v>
      </c>
      <c r="AN141" s="73" t="s">
        <v>3088</v>
      </c>
      <c r="AO141" s="73" t="s">
        <v>3088</v>
      </c>
      <c r="AP141" s="73" t="s">
        <v>3088</v>
      </c>
      <c r="AQ141" s="73" t="s">
        <v>3088</v>
      </c>
      <c r="AR141" s="73" t="s">
        <v>3088</v>
      </c>
      <c r="AS141" s="73" t="s">
        <v>3088</v>
      </c>
      <c r="AT141" s="73" t="s">
        <v>3088</v>
      </c>
      <c r="AU141" s="73" t="s">
        <v>3088</v>
      </c>
      <c r="AV141" s="73" t="s">
        <v>3088</v>
      </c>
      <c r="AW141" s="73" t="s">
        <v>3088</v>
      </c>
      <c r="AX141" s="73" t="s">
        <v>3088</v>
      </c>
      <c r="AY141" s="73" t="s">
        <v>3088</v>
      </c>
      <c r="AZ141" s="73" t="s">
        <v>3088</v>
      </c>
      <c r="BA141" s="73" t="s">
        <v>3088</v>
      </c>
      <c r="BB141" s="73" t="s">
        <v>3088</v>
      </c>
      <c r="BC141" s="73" t="s">
        <v>3088</v>
      </c>
      <c r="BD141" s="73" t="s">
        <v>3088</v>
      </c>
      <c r="BE141" s="73" t="s">
        <v>3088</v>
      </c>
      <c r="BF141" s="73" t="s">
        <v>3088</v>
      </c>
      <c r="BG141" s="73" t="s">
        <v>3088</v>
      </c>
      <c r="BH141" s="73" t="s">
        <v>3088</v>
      </c>
      <c r="BI141" s="73" t="s">
        <v>3088</v>
      </c>
      <c r="BJ141" s="73" t="s">
        <v>3088</v>
      </c>
      <c r="BK141" s="73" t="s">
        <v>3088</v>
      </c>
      <c r="BL141" s="73" t="s">
        <v>3088</v>
      </c>
      <c r="BM141" s="73" t="s">
        <v>3088</v>
      </c>
      <c r="BN141" s="73" t="s">
        <v>3088</v>
      </c>
      <c r="BO141" s="73" t="s">
        <v>3088</v>
      </c>
      <c r="BP141" s="73" t="s">
        <v>3088</v>
      </c>
      <c r="BQ141" s="73" t="s">
        <v>3897</v>
      </c>
      <c r="BR141" s="73" t="s">
        <v>3088</v>
      </c>
    </row>
    <row r="142" spans="1:70">
      <c r="A142" s="73" t="s">
        <v>1898</v>
      </c>
      <c r="B142" s="73" t="s">
        <v>2266</v>
      </c>
      <c r="C142" s="73" t="s">
        <v>2252</v>
      </c>
      <c r="D142" s="73" t="s">
        <v>3088</v>
      </c>
      <c r="E142" s="73" t="s">
        <v>3088</v>
      </c>
      <c r="F142" s="73" t="s">
        <v>3088</v>
      </c>
      <c r="G142" s="73" t="s">
        <v>3089</v>
      </c>
      <c r="H142" s="73" t="s">
        <v>3088</v>
      </c>
      <c r="I142" s="73" t="s">
        <v>108</v>
      </c>
      <c r="J142" s="73" t="s">
        <v>3898</v>
      </c>
      <c r="K142" s="73" t="s">
        <v>3089</v>
      </c>
      <c r="L142" s="73" t="s">
        <v>3899</v>
      </c>
      <c r="M142" s="73" t="s">
        <v>3898</v>
      </c>
      <c r="N142" s="73" t="s">
        <v>3089</v>
      </c>
      <c r="O142" s="73" t="s">
        <v>3088</v>
      </c>
      <c r="P142" s="73" t="s">
        <v>3088</v>
      </c>
      <c r="Q142" s="73" t="s">
        <v>3088</v>
      </c>
      <c r="R142" s="73" t="s">
        <v>3088</v>
      </c>
      <c r="S142" s="73" t="s">
        <v>3088</v>
      </c>
      <c r="T142" s="73" t="s">
        <v>3088</v>
      </c>
      <c r="U142" s="73" t="s">
        <v>3088</v>
      </c>
      <c r="V142" s="73" t="s">
        <v>3088</v>
      </c>
      <c r="W142" s="73" t="s">
        <v>3088</v>
      </c>
      <c r="X142" s="73" t="s">
        <v>3088</v>
      </c>
      <c r="Y142" s="73" t="s">
        <v>3088</v>
      </c>
      <c r="Z142" s="73" t="s">
        <v>3088</v>
      </c>
      <c r="AA142" s="73" t="s">
        <v>3088</v>
      </c>
      <c r="AB142" s="73" t="s">
        <v>3088</v>
      </c>
      <c r="AC142" s="73" t="s">
        <v>3088</v>
      </c>
      <c r="AD142" s="73" t="s">
        <v>3088</v>
      </c>
      <c r="AE142" s="73" t="s">
        <v>3088</v>
      </c>
      <c r="AF142" s="73" t="s">
        <v>3088</v>
      </c>
      <c r="AG142" s="73" t="s">
        <v>3088</v>
      </c>
      <c r="AH142" s="73" t="s">
        <v>3088</v>
      </c>
      <c r="AI142" s="73" t="s">
        <v>3088</v>
      </c>
      <c r="AJ142" s="73" t="s">
        <v>3088</v>
      </c>
      <c r="AK142" s="73" t="s">
        <v>3088</v>
      </c>
      <c r="AL142" s="73" t="s">
        <v>3088</v>
      </c>
      <c r="AM142" s="73" t="s">
        <v>3088</v>
      </c>
      <c r="AN142" s="73" t="s">
        <v>3088</v>
      </c>
      <c r="AO142" s="73" t="s">
        <v>3088</v>
      </c>
      <c r="AP142" s="73" t="s">
        <v>3088</v>
      </c>
      <c r="AQ142" s="73" t="s">
        <v>3088</v>
      </c>
      <c r="AR142" s="73" t="s">
        <v>3088</v>
      </c>
      <c r="AS142" s="73" t="s">
        <v>3088</v>
      </c>
      <c r="AT142" s="73" t="s">
        <v>3088</v>
      </c>
      <c r="AU142" s="73" t="s">
        <v>3088</v>
      </c>
      <c r="AV142" s="73" t="s">
        <v>3088</v>
      </c>
      <c r="AW142" s="73" t="s">
        <v>3088</v>
      </c>
      <c r="AX142" s="73" t="s">
        <v>3088</v>
      </c>
      <c r="AY142" s="73" t="s">
        <v>3088</v>
      </c>
      <c r="AZ142" s="73" t="s">
        <v>3088</v>
      </c>
      <c r="BA142" s="73" t="s">
        <v>3088</v>
      </c>
      <c r="BB142" s="73" t="s">
        <v>3088</v>
      </c>
      <c r="BC142" s="73" t="s">
        <v>3088</v>
      </c>
      <c r="BD142" s="73" t="s">
        <v>3088</v>
      </c>
      <c r="BE142" s="73" t="s">
        <v>3088</v>
      </c>
      <c r="BF142" s="73" t="s">
        <v>3088</v>
      </c>
      <c r="BG142" s="73" t="s">
        <v>3088</v>
      </c>
      <c r="BH142" s="73" t="s">
        <v>3088</v>
      </c>
      <c r="BI142" s="73" t="s">
        <v>3088</v>
      </c>
      <c r="BJ142" s="73" t="s">
        <v>3088</v>
      </c>
      <c r="BK142" s="73" t="s">
        <v>3088</v>
      </c>
      <c r="BL142" s="73" t="s">
        <v>3088</v>
      </c>
      <c r="BM142" s="73" t="s">
        <v>3088</v>
      </c>
      <c r="BN142" s="73" t="s">
        <v>3088</v>
      </c>
      <c r="BO142" s="73" t="s">
        <v>3088</v>
      </c>
      <c r="BP142" s="73" t="s">
        <v>3088</v>
      </c>
      <c r="BQ142" s="73" t="s">
        <v>3900</v>
      </c>
      <c r="BR142" s="73" t="s">
        <v>3088</v>
      </c>
    </row>
    <row r="143" spans="1:70">
      <c r="A143" s="73" t="s">
        <v>1898</v>
      </c>
      <c r="B143" s="73" t="s">
        <v>2269</v>
      </c>
      <c r="C143" s="73" t="s">
        <v>2252</v>
      </c>
      <c r="D143" s="73" t="s">
        <v>3088</v>
      </c>
      <c r="E143" s="73" t="s">
        <v>3088</v>
      </c>
      <c r="F143" s="73" t="s">
        <v>3088</v>
      </c>
      <c r="G143" s="73" t="s">
        <v>3089</v>
      </c>
      <c r="H143" s="73" t="s">
        <v>3088</v>
      </c>
      <c r="I143" s="73" t="s">
        <v>108</v>
      </c>
      <c r="J143" s="73" t="s">
        <v>3088</v>
      </c>
      <c r="K143" s="73" t="s">
        <v>3088</v>
      </c>
      <c r="L143" s="73" t="s">
        <v>436</v>
      </c>
      <c r="M143" s="73" t="s">
        <v>3088</v>
      </c>
      <c r="N143" s="73" t="s">
        <v>3088</v>
      </c>
      <c r="O143" s="73" t="s">
        <v>3088</v>
      </c>
      <c r="P143" s="73" t="s">
        <v>3088</v>
      </c>
      <c r="Q143" s="73" t="s">
        <v>3088</v>
      </c>
      <c r="R143" s="73" t="s">
        <v>3088</v>
      </c>
      <c r="S143" s="73" t="s">
        <v>3088</v>
      </c>
      <c r="T143" s="73" t="s">
        <v>3088</v>
      </c>
      <c r="U143" s="73" t="s">
        <v>3088</v>
      </c>
      <c r="V143" s="73" t="s">
        <v>3088</v>
      </c>
      <c r="W143" s="73" t="s">
        <v>3088</v>
      </c>
      <c r="X143" s="73" t="s">
        <v>3088</v>
      </c>
      <c r="Y143" s="73" t="s">
        <v>3088</v>
      </c>
      <c r="Z143" s="73" t="s">
        <v>3088</v>
      </c>
      <c r="AA143" s="73" t="s">
        <v>3088</v>
      </c>
      <c r="AB143" s="73" t="s">
        <v>3088</v>
      </c>
      <c r="AC143" s="73" t="s">
        <v>3088</v>
      </c>
      <c r="AD143" s="73" t="s">
        <v>3088</v>
      </c>
      <c r="AE143" s="73" t="s">
        <v>3088</v>
      </c>
      <c r="AF143" s="73" t="s">
        <v>3088</v>
      </c>
      <c r="AG143" s="73" t="s">
        <v>3088</v>
      </c>
      <c r="AH143" s="73" t="s">
        <v>3088</v>
      </c>
      <c r="AI143" s="73" t="s">
        <v>3088</v>
      </c>
      <c r="AJ143" s="73" t="s">
        <v>3088</v>
      </c>
      <c r="AK143" s="73" t="s">
        <v>3088</v>
      </c>
      <c r="AL143" s="73" t="s">
        <v>3088</v>
      </c>
      <c r="AM143" s="73" t="s">
        <v>3088</v>
      </c>
      <c r="AN143" s="73" t="s">
        <v>3088</v>
      </c>
      <c r="AO143" s="73" t="s">
        <v>3088</v>
      </c>
      <c r="AP143" s="73" t="s">
        <v>3088</v>
      </c>
      <c r="AQ143" s="73" t="s">
        <v>3088</v>
      </c>
      <c r="AR143" s="73" t="s">
        <v>3088</v>
      </c>
      <c r="AS143" s="73" t="s">
        <v>3088</v>
      </c>
      <c r="AT143" s="73" t="s">
        <v>3088</v>
      </c>
      <c r="AU143" s="73" t="s">
        <v>3088</v>
      </c>
      <c r="AV143" s="73" t="s">
        <v>3088</v>
      </c>
      <c r="AW143" s="73" t="s">
        <v>3088</v>
      </c>
      <c r="AX143" s="73" t="s">
        <v>3088</v>
      </c>
      <c r="AY143" s="73" t="s">
        <v>3088</v>
      </c>
      <c r="AZ143" s="73" t="s">
        <v>3088</v>
      </c>
      <c r="BA143" s="73" t="s">
        <v>3088</v>
      </c>
      <c r="BB143" s="73" t="s">
        <v>3088</v>
      </c>
      <c r="BC143" s="73" t="s">
        <v>3088</v>
      </c>
      <c r="BD143" s="73" t="s">
        <v>3088</v>
      </c>
      <c r="BE143" s="73" t="s">
        <v>3088</v>
      </c>
      <c r="BF143" s="73" t="s">
        <v>3088</v>
      </c>
      <c r="BG143" s="73" t="s">
        <v>3088</v>
      </c>
      <c r="BH143" s="73" t="s">
        <v>3088</v>
      </c>
      <c r="BI143" s="73" t="s">
        <v>3088</v>
      </c>
      <c r="BJ143" s="73" t="s">
        <v>3088</v>
      </c>
      <c r="BK143" s="73" t="s">
        <v>3088</v>
      </c>
      <c r="BL143" s="73" t="s">
        <v>3088</v>
      </c>
      <c r="BM143" s="73" t="s">
        <v>3088</v>
      </c>
      <c r="BN143" s="73" t="s">
        <v>3088</v>
      </c>
      <c r="BO143" s="73" t="s">
        <v>3088</v>
      </c>
      <c r="BP143" s="73" t="s">
        <v>3088</v>
      </c>
      <c r="BQ143" s="73" t="s">
        <v>3901</v>
      </c>
      <c r="BR143" s="73" t="s">
        <v>3088</v>
      </c>
    </row>
    <row r="144" spans="1:70">
      <c r="A144" s="73" t="s">
        <v>1902</v>
      </c>
      <c r="B144" s="73" t="s">
        <v>2342</v>
      </c>
      <c r="C144" s="73" t="s">
        <v>3088</v>
      </c>
      <c r="D144" s="73" t="s">
        <v>3088</v>
      </c>
      <c r="E144" s="73" t="s">
        <v>3088</v>
      </c>
      <c r="F144" s="73" t="s">
        <v>3088</v>
      </c>
      <c r="G144" s="73" t="s">
        <v>3089</v>
      </c>
      <c r="H144" s="73" t="s">
        <v>3088</v>
      </c>
      <c r="I144" s="73" t="s">
        <v>2309</v>
      </c>
      <c r="J144" s="73" t="s">
        <v>2343</v>
      </c>
      <c r="K144" s="73" t="s">
        <v>3089</v>
      </c>
      <c r="L144" s="73" t="s">
        <v>3088</v>
      </c>
      <c r="M144" s="73" t="s">
        <v>3088</v>
      </c>
      <c r="N144" s="73" t="s">
        <v>3088</v>
      </c>
      <c r="O144" s="73" t="s">
        <v>3088</v>
      </c>
      <c r="P144" s="73" t="s">
        <v>3088</v>
      </c>
      <c r="Q144" s="73" t="s">
        <v>3088</v>
      </c>
      <c r="R144" s="73" t="s">
        <v>3088</v>
      </c>
      <c r="S144" s="73" t="s">
        <v>3088</v>
      </c>
      <c r="T144" s="73" t="s">
        <v>3088</v>
      </c>
      <c r="U144" s="73" t="s">
        <v>3088</v>
      </c>
      <c r="V144" s="73" t="s">
        <v>3088</v>
      </c>
      <c r="W144" s="73" t="s">
        <v>3088</v>
      </c>
      <c r="X144" s="73" t="s">
        <v>3088</v>
      </c>
      <c r="Y144" s="73" t="s">
        <v>3088</v>
      </c>
      <c r="Z144" s="73" t="s">
        <v>3088</v>
      </c>
      <c r="AA144" s="73" t="s">
        <v>3088</v>
      </c>
      <c r="AB144" s="73" t="s">
        <v>3088</v>
      </c>
      <c r="AC144" s="73" t="s">
        <v>3088</v>
      </c>
      <c r="AD144" s="73" t="s">
        <v>3088</v>
      </c>
      <c r="AE144" s="73" t="s">
        <v>3088</v>
      </c>
      <c r="AF144" s="73" t="s">
        <v>3088</v>
      </c>
      <c r="AG144" s="73" t="s">
        <v>3088</v>
      </c>
      <c r="AH144" s="73" t="s">
        <v>3088</v>
      </c>
      <c r="AI144" s="73" t="s">
        <v>3088</v>
      </c>
      <c r="AJ144" s="73" t="s">
        <v>3088</v>
      </c>
      <c r="AK144" s="73" t="s">
        <v>3088</v>
      </c>
      <c r="AL144" s="73" t="s">
        <v>3088</v>
      </c>
      <c r="AM144" s="73" t="s">
        <v>3088</v>
      </c>
      <c r="AN144" s="73" t="s">
        <v>3088</v>
      </c>
      <c r="AO144" s="73" t="s">
        <v>3088</v>
      </c>
      <c r="AP144" s="73" t="s">
        <v>3088</v>
      </c>
      <c r="AQ144" s="73" t="s">
        <v>3088</v>
      </c>
      <c r="AR144" s="73" t="s">
        <v>3088</v>
      </c>
      <c r="AS144" s="73" t="s">
        <v>3088</v>
      </c>
      <c r="AT144" s="73" t="s">
        <v>3088</v>
      </c>
      <c r="AU144" s="73" t="s">
        <v>3088</v>
      </c>
      <c r="AV144" s="73" t="s">
        <v>3088</v>
      </c>
      <c r="AW144" s="73" t="s">
        <v>3088</v>
      </c>
      <c r="AX144" s="73" t="s">
        <v>3088</v>
      </c>
      <c r="AY144" s="73" t="s">
        <v>3088</v>
      </c>
      <c r="AZ144" s="73" t="s">
        <v>3088</v>
      </c>
      <c r="BA144" s="73" t="s">
        <v>3088</v>
      </c>
      <c r="BB144" s="73" t="s">
        <v>3088</v>
      </c>
      <c r="BC144" s="73" t="s">
        <v>3088</v>
      </c>
      <c r="BD144" s="73" t="s">
        <v>3088</v>
      </c>
      <c r="BE144" s="73" t="s">
        <v>3088</v>
      </c>
      <c r="BF144" s="73" t="s">
        <v>3088</v>
      </c>
      <c r="BG144" s="73" t="s">
        <v>3088</v>
      </c>
      <c r="BH144" s="73" t="s">
        <v>3088</v>
      </c>
      <c r="BI144" s="73" t="s">
        <v>3088</v>
      </c>
      <c r="BJ144" s="73" t="s">
        <v>3088</v>
      </c>
      <c r="BK144" s="73" t="s">
        <v>3088</v>
      </c>
      <c r="BL144" s="73" t="s">
        <v>3088</v>
      </c>
      <c r="BM144" s="73" t="s">
        <v>3088</v>
      </c>
      <c r="BN144" s="73" t="s">
        <v>3088</v>
      </c>
      <c r="BO144" s="73" t="s">
        <v>3088</v>
      </c>
      <c r="BP144" s="73" t="s">
        <v>3088</v>
      </c>
      <c r="BQ144" s="73" t="s">
        <v>3902</v>
      </c>
      <c r="BR144" s="73" t="s">
        <v>3088</v>
      </c>
    </row>
    <row r="145" spans="1:70">
      <c r="A145" s="73" t="s">
        <v>1902</v>
      </c>
      <c r="B145" s="73" t="s">
        <v>3903</v>
      </c>
      <c r="C145" s="73" t="s">
        <v>3088</v>
      </c>
      <c r="D145" s="73" t="s">
        <v>3088</v>
      </c>
      <c r="E145" s="73" t="s">
        <v>3088</v>
      </c>
      <c r="F145" s="73" t="s">
        <v>3088</v>
      </c>
      <c r="G145" s="73" t="s">
        <v>3089</v>
      </c>
      <c r="H145" s="73" t="s">
        <v>3088</v>
      </c>
      <c r="I145" s="73" t="s">
        <v>805</v>
      </c>
      <c r="J145" s="73" t="s">
        <v>3904</v>
      </c>
      <c r="K145" s="73" t="s">
        <v>3089</v>
      </c>
      <c r="L145" s="73" t="s">
        <v>3088</v>
      </c>
      <c r="M145" s="73" t="s">
        <v>3088</v>
      </c>
      <c r="N145" s="73" t="s">
        <v>3088</v>
      </c>
      <c r="O145" s="73" t="s">
        <v>3088</v>
      </c>
      <c r="P145" s="73" t="s">
        <v>3088</v>
      </c>
      <c r="Q145" s="73" t="s">
        <v>3088</v>
      </c>
      <c r="R145" s="73" t="s">
        <v>3088</v>
      </c>
      <c r="S145" s="73" t="s">
        <v>3088</v>
      </c>
      <c r="T145" s="73" t="s">
        <v>3088</v>
      </c>
      <c r="U145" s="73" t="s">
        <v>3088</v>
      </c>
      <c r="V145" s="73" t="s">
        <v>3088</v>
      </c>
      <c r="W145" s="73" t="s">
        <v>3088</v>
      </c>
      <c r="X145" s="73" t="s">
        <v>3088</v>
      </c>
      <c r="Y145" s="73" t="s">
        <v>3088</v>
      </c>
      <c r="Z145" s="73" t="s">
        <v>3088</v>
      </c>
      <c r="AA145" s="73" t="s">
        <v>3088</v>
      </c>
      <c r="AB145" s="73" t="s">
        <v>3088</v>
      </c>
      <c r="AC145" s="73" t="s">
        <v>3088</v>
      </c>
      <c r="AD145" s="73" t="s">
        <v>3088</v>
      </c>
      <c r="AE145" s="73" t="s">
        <v>3088</v>
      </c>
      <c r="AF145" s="73" t="s">
        <v>3088</v>
      </c>
      <c r="AG145" s="73" t="s">
        <v>3088</v>
      </c>
      <c r="AH145" s="73" t="s">
        <v>3088</v>
      </c>
      <c r="AI145" s="73" t="s">
        <v>3088</v>
      </c>
      <c r="AJ145" s="73" t="s">
        <v>3088</v>
      </c>
      <c r="AK145" s="73" t="s">
        <v>3088</v>
      </c>
      <c r="AL145" s="73" t="s">
        <v>3088</v>
      </c>
      <c r="AM145" s="73" t="s">
        <v>3088</v>
      </c>
      <c r="AN145" s="73" t="s">
        <v>3088</v>
      </c>
      <c r="AO145" s="73" t="s">
        <v>3088</v>
      </c>
      <c r="AP145" s="73" t="s">
        <v>3088</v>
      </c>
      <c r="AQ145" s="73" t="s">
        <v>3088</v>
      </c>
      <c r="AR145" s="73" t="s">
        <v>3088</v>
      </c>
      <c r="AS145" s="73" t="s">
        <v>3088</v>
      </c>
      <c r="AT145" s="73" t="s">
        <v>3088</v>
      </c>
      <c r="AU145" s="73" t="s">
        <v>3088</v>
      </c>
      <c r="AV145" s="73" t="s">
        <v>3088</v>
      </c>
      <c r="AW145" s="73" t="s">
        <v>3088</v>
      </c>
      <c r="AX145" s="73" t="s">
        <v>3088</v>
      </c>
      <c r="AY145" s="73" t="s">
        <v>3088</v>
      </c>
      <c r="AZ145" s="73" t="s">
        <v>3088</v>
      </c>
      <c r="BA145" s="73" t="s">
        <v>3088</v>
      </c>
      <c r="BB145" s="73" t="s">
        <v>3088</v>
      </c>
      <c r="BC145" s="73" t="s">
        <v>3088</v>
      </c>
      <c r="BD145" s="73" t="s">
        <v>3088</v>
      </c>
      <c r="BE145" s="73" t="s">
        <v>3088</v>
      </c>
      <c r="BF145" s="73" t="s">
        <v>3088</v>
      </c>
      <c r="BG145" s="73" t="s">
        <v>3088</v>
      </c>
      <c r="BH145" s="73" t="s">
        <v>3088</v>
      </c>
      <c r="BI145" s="73" t="s">
        <v>3088</v>
      </c>
      <c r="BJ145" s="73" t="s">
        <v>3088</v>
      </c>
      <c r="BK145" s="73" t="s">
        <v>3088</v>
      </c>
      <c r="BL145" s="73" t="s">
        <v>3088</v>
      </c>
      <c r="BM145" s="73" t="s">
        <v>3088</v>
      </c>
      <c r="BN145" s="73" t="s">
        <v>3088</v>
      </c>
      <c r="BO145" s="73" t="s">
        <v>3088</v>
      </c>
      <c r="BP145" s="73" t="s">
        <v>3088</v>
      </c>
      <c r="BQ145" s="73" t="s">
        <v>3905</v>
      </c>
      <c r="BR145" s="73" t="s">
        <v>3088</v>
      </c>
    </row>
    <row r="146" spans="1:70">
      <c r="A146" s="73" t="s">
        <v>1902</v>
      </c>
      <c r="B146" s="73" t="s">
        <v>3906</v>
      </c>
      <c r="C146" s="73" t="s">
        <v>2280</v>
      </c>
      <c r="D146" s="73" t="s">
        <v>3088</v>
      </c>
      <c r="E146" s="73" t="s">
        <v>3088</v>
      </c>
      <c r="F146" s="73" t="s">
        <v>3088</v>
      </c>
      <c r="G146" s="73" t="s">
        <v>3089</v>
      </c>
      <c r="H146" s="73" t="s">
        <v>3088</v>
      </c>
      <c r="I146" s="73" t="s">
        <v>3122</v>
      </c>
      <c r="J146" s="73" t="s">
        <v>3907</v>
      </c>
      <c r="K146" s="73" t="s">
        <v>3095</v>
      </c>
      <c r="L146" s="73" t="s">
        <v>3088</v>
      </c>
      <c r="M146" s="73" t="s">
        <v>3088</v>
      </c>
      <c r="N146" s="73" t="s">
        <v>3088</v>
      </c>
      <c r="O146" s="73" t="s">
        <v>3088</v>
      </c>
      <c r="P146" s="73" t="s">
        <v>3088</v>
      </c>
      <c r="Q146" s="73" t="s">
        <v>3088</v>
      </c>
      <c r="R146" s="73" t="s">
        <v>3088</v>
      </c>
      <c r="S146" s="73" t="s">
        <v>3088</v>
      </c>
      <c r="T146" s="73" t="s">
        <v>3088</v>
      </c>
      <c r="U146" s="73" t="s">
        <v>3088</v>
      </c>
      <c r="V146" s="73" t="s">
        <v>3088</v>
      </c>
      <c r="W146" s="73" t="s">
        <v>3088</v>
      </c>
      <c r="X146" s="73" t="s">
        <v>3088</v>
      </c>
      <c r="Y146" s="73" t="s">
        <v>3088</v>
      </c>
      <c r="Z146" s="73" t="s">
        <v>3088</v>
      </c>
      <c r="AA146" s="73" t="s">
        <v>3088</v>
      </c>
      <c r="AB146" s="73" t="s">
        <v>3088</v>
      </c>
      <c r="AC146" s="73" t="s">
        <v>3088</v>
      </c>
      <c r="AD146" s="73" t="s">
        <v>3088</v>
      </c>
      <c r="AE146" s="73" t="s">
        <v>3088</v>
      </c>
      <c r="AF146" s="73" t="s">
        <v>3088</v>
      </c>
      <c r="AG146" s="73" t="s">
        <v>3088</v>
      </c>
      <c r="AH146" s="73" t="s">
        <v>3088</v>
      </c>
      <c r="AI146" s="73" t="s">
        <v>3088</v>
      </c>
      <c r="AJ146" s="73" t="s">
        <v>3088</v>
      </c>
      <c r="AK146" s="73" t="s">
        <v>3088</v>
      </c>
      <c r="AL146" s="73" t="s">
        <v>3088</v>
      </c>
      <c r="AM146" s="73" t="s">
        <v>3088</v>
      </c>
      <c r="AN146" s="73" t="s">
        <v>3088</v>
      </c>
      <c r="AO146" s="73" t="s">
        <v>3088</v>
      </c>
      <c r="AP146" s="73" t="s">
        <v>3088</v>
      </c>
      <c r="AQ146" s="73" t="s">
        <v>3088</v>
      </c>
      <c r="AR146" s="73" t="s">
        <v>3088</v>
      </c>
      <c r="AS146" s="73" t="s">
        <v>3088</v>
      </c>
      <c r="AT146" s="73" t="s">
        <v>3088</v>
      </c>
      <c r="AU146" s="73" t="s">
        <v>3088</v>
      </c>
      <c r="AV146" s="73" t="s">
        <v>3088</v>
      </c>
      <c r="AW146" s="73" t="s">
        <v>3088</v>
      </c>
      <c r="AX146" s="73" t="s">
        <v>3088</v>
      </c>
      <c r="AY146" s="73" t="s">
        <v>3088</v>
      </c>
      <c r="AZ146" s="73" t="s">
        <v>3088</v>
      </c>
      <c r="BA146" s="73" t="s">
        <v>3088</v>
      </c>
      <c r="BB146" s="73" t="s">
        <v>3088</v>
      </c>
      <c r="BC146" s="73" t="s">
        <v>3088</v>
      </c>
      <c r="BD146" s="73" t="s">
        <v>3088</v>
      </c>
      <c r="BE146" s="73" t="s">
        <v>3088</v>
      </c>
      <c r="BF146" s="73" t="s">
        <v>3088</v>
      </c>
      <c r="BG146" s="73" t="s">
        <v>3088</v>
      </c>
      <c r="BH146" s="73" t="s">
        <v>3088</v>
      </c>
      <c r="BI146" s="73" t="s">
        <v>3088</v>
      </c>
      <c r="BJ146" s="73" t="s">
        <v>3088</v>
      </c>
      <c r="BK146" s="73" t="s">
        <v>3088</v>
      </c>
      <c r="BL146" s="73" t="s">
        <v>3088</v>
      </c>
      <c r="BM146" s="73" t="s">
        <v>3088</v>
      </c>
      <c r="BN146" s="73" t="s">
        <v>3088</v>
      </c>
      <c r="BO146" s="73" t="s">
        <v>3088</v>
      </c>
      <c r="BP146" s="73" t="s">
        <v>3088</v>
      </c>
      <c r="BQ146" s="73" t="s">
        <v>3908</v>
      </c>
      <c r="BR146" s="73" t="s">
        <v>3097</v>
      </c>
    </row>
    <row r="147" spans="1:70">
      <c r="A147" s="73" t="s">
        <v>1902</v>
      </c>
      <c r="B147" s="73" t="s">
        <v>3909</v>
      </c>
      <c r="C147" s="73" t="s">
        <v>3088</v>
      </c>
      <c r="D147" s="73" t="s">
        <v>3088</v>
      </c>
      <c r="E147" s="73" t="s">
        <v>3088</v>
      </c>
      <c r="F147" s="73" t="s">
        <v>3088</v>
      </c>
      <c r="G147" s="73" t="s">
        <v>3089</v>
      </c>
      <c r="H147" s="73" t="s">
        <v>3088</v>
      </c>
      <c r="I147" s="73" t="s">
        <v>3122</v>
      </c>
      <c r="J147" s="73" t="s">
        <v>3088</v>
      </c>
      <c r="K147" s="73" t="s">
        <v>3088</v>
      </c>
      <c r="L147" s="73" t="s">
        <v>3088</v>
      </c>
      <c r="M147" s="73" t="s">
        <v>3088</v>
      </c>
      <c r="N147" s="73" t="s">
        <v>3088</v>
      </c>
      <c r="O147" s="73" t="s">
        <v>3088</v>
      </c>
      <c r="P147" s="73" t="s">
        <v>3088</v>
      </c>
      <c r="Q147" s="73" t="s">
        <v>3088</v>
      </c>
      <c r="R147" s="73" t="s">
        <v>3088</v>
      </c>
      <c r="S147" s="73" t="s">
        <v>3088</v>
      </c>
      <c r="T147" s="73" t="s">
        <v>3088</v>
      </c>
      <c r="U147" s="73" t="s">
        <v>3088</v>
      </c>
      <c r="V147" s="73" t="s">
        <v>3088</v>
      </c>
      <c r="W147" s="73" t="s">
        <v>3088</v>
      </c>
      <c r="X147" s="73" t="s">
        <v>3088</v>
      </c>
      <c r="Y147" s="73" t="s">
        <v>3088</v>
      </c>
      <c r="Z147" s="73" t="s">
        <v>3088</v>
      </c>
      <c r="AA147" s="73" t="s">
        <v>3088</v>
      </c>
      <c r="AB147" s="73" t="s">
        <v>3088</v>
      </c>
      <c r="AC147" s="73" t="s">
        <v>3088</v>
      </c>
      <c r="AD147" s="73" t="s">
        <v>3088</v>
      </c>
      <c r="AE147" s="73" t="s">
        <v>3088</v>
      </c>
      <c r="AF147" s="73" t="s">
        <v>3088</v>
      </c>
      <c r="AG147" s="73" t="s">
        <v>3088</v>
      </c>
      <c r="AH147" s="73" t="s">
        <v>3088</v>
      </c>
      <c r="AI147" s="73" t="s">
        <v>3088</v>
      </c>
      <c r="AJ147" s="73" t="s">
        <v>3088</v>
      </c>
      <c r="AK147" s="73" t="s">
        <v>3088</v>
      </c>
      <c r="AL147" s="73" t="s">
        <v>3088</v>
      </c>
      <c r="AM147" s="73" t="s">
        <v>3088</v>
      </c>
      <c r="AN147" s="73" t="s">
        <v>3088</v>
      </c>
      <c r="AO147" s="73" t="s">
        <v>3088</v>
      </c>
      <c r="AP147" s="73" t="s">
        <v>3088</v>
      </c>
      <c r="AQ147" s="73" t="s">
        <v>3088</v>
      </c>
      <c r="AR147" s="73" t="s">
        <v>3088</v>
      </c>
      <c r="AS147" s="73" t="s">
        <v>3088</v>
      </c>
      <c r="AT147" s="73" t="s">
        <v>3088</v>
      </c>
      <c r="AU147" s="73" t="s">
        <v>3088</v>
      </c>
      <c r="AV147" s="73" t="s">
        <v>3088</v>
      </c>
      <c r="AW147" s="73" t="s">
        <v>3088</v>
      </c>
      <c r="AX147" s="73" t="s">
        <v>3088</v>
      </c>
      <c r="AY147" s="73" t="s">
        <v>3088</v>
      </c>
      <c r="AZ147" s="73" t="s">
        <v>3088</v>
      </c>
      <c r="BA147" s="73" t="s">
        <v>3088</v>
      </c>
      <c r="BB147" s="73" t="s">
        <v>3088</v>
      </c>
      <c r="BC147" s="73" t="s">
        <v>3088</v>
      </c>
      <c r="BD147" s="73" t="s">
        <v>3088</v>
      </c>
      <c r="BE147" s="73" t="s">
        <v>3088</v>
      </c>
      <c r="BF147" s="73" t="s">
        <v>3088</v>
      </c>
      <c r="BG147" s="73" t="s">
        <v>3088</v>
      </c>
      <c r="BH147" s="73" t="s">
        <v>3088</v>
      </c>
      <c r="BI147" s="73" t="s">
        <v>3088</v>
      </c>
      <c r="BJ147" s="73" t="s">
        <v>3088</v>
      </c>
      <c r="BK147" s="73" t="s">
        <v>3088</v>
      </c>
      <c r="BL147" s="73" t="s">
        <v>3088</v>
      </c>
      <c r="BM147" s="73" t="s">
        <v>3088</v>
      </c>
      <c r="BN147" s="73" t="s">
        <v>3088</v>
      </c>
      <c r="BO147" s="73" t="s">
        <v>3088</v>
      </c>
      <c r="BP147" s="73" t="s">
        <v>3088</v>
      </c>
      <c r="BQ147" s="73" t="s">
        <v>3910</v>
      </c>
      <c r="BR147" s="73" t="s">
        <v>3088</v>
      </c>
    </row>
    <row r="148" spans="1:70">
      <c r="A148" s="73" t="s">
        <v>1902</v>
      </c>
      <c r="B148" s="73" t="s">
        <v>2272</v>
      </c>
      <c r="C148" s="73" t="s">
        <v>2273</v>
      </c>
      <c r="D148" s="73" t="s">
        <v>3088</v>
      </c>
      <c r="E148" s="73" t="s">
        <v>3088</v>
      </c>
      <c r="F148" s="73" t="s">
        <v>3088</v>
      </c>
      <c r="G148" s="73" t="s">
        <v>3089</v>
      </c>
      <c r="H148" s="73" t="s">
        <v>3088</v>
      </c>
      <c r="I148" s="73" t="s">
        <v>3093</v>
      </c>
      <c r="J148" s="73" t="s">
        <v>3911</v>
      </c>
      <c r="K148" s="73" t="s">
        <v>3089</v>
      </c>
      <c r="L148" s="73" t="s">
        <v>3122</v>
      </c>
      <c r="M148" s="73" t="s">
        <v>3911</v>
      </c>
      <c r="N148" s="73" t="s">
        <v>3089</v>
      </c>
      <c r="O148" s="73" t="s">
        <v>108</v>
      </c>
      <c r="P148" s="73" t="s">
        <v>3911</v>
      </c>
      <c r="Q148" s="73" t="s">
        <v>3089</v>
      </c>
      <c r="R148" s="73" t="s">
        <v>543</v>
      </c>
      <c r="S148" s="73" t="s">
        <v>3911</v>
      </c>
      <c r="T148" s="73" t="s">
        <v>3089</v>
      </c>
      <c r="U148" s="73" t="s">
        <v>3088</v>
      </c>
      <c r="V148" s="73" t="s">
        <v>3088</v>
      </c>
      <c r="W148" s="73" t="s">
        <v>3088</v>
      </c>
      <c r="X148" s="73" t="s">
        <v>3088</v>
      </c>
      <c r="Y148" s="73" t="s">
        <v>3088</v>
      </c>
      <c r="Z148" s="73" t="s">
        <v>3088</v>
      </c>
      <c r="AA148" s="73" t="s">
        <v>3088</v>
      </c>
      <c r="AB148" s="73" t="s">
        <v>3088</v>
      </c>
      <c r="AC148" s="73" t="s">
        <v>3088</v>
      </c>
      <c r="AD148" s="73" t="s">
        <v>3088</v>
      </c>
      <c r="AE148" s="73" t="s">
        <v>3088</v>
      </c>
      <c r="AF148" s="73" t="s">
        <v>3088</v>
      </c>
      <c r="AG148" s="73" t="s">
        <v>3088</v>
      </c>
      <c r="AH148" s="73" t="s">
        <v>3088</v>
      </c>
      <c r="AI148" s="73" t="s">
        <v>3088</v>
      </c>
      <c r="AJ148" s="73" t="s">
        <v>3088</v>
      </c>
      <c r="AK148" s="73" t="s">
        <v>3088</v>
      </c>
      <c r="AL148" s="73" t="s">
        <v>3088</v>
      </c>
      <c r="AM148" s="73" t="s">
        <v>3088</v>
      </c>
      <c r="AN148" s="73" t="s">
        <v>3088</v>
      </c>
      <c r="AO148" s="73" t="s">
        <v>3088</v>
      </c>
      <c r="AP148" s="73" t="s">
        <v>3088</v>
      </c>
      <c r="AQ148" s="73" t="s">
        <v>3088</v>
      </c>
      <c r="AR148" s="73" t="s">
        <v>3088</v>
      </c>
      <c r="AS148" s="73" t="s">
        <v>3088</v>
      </c>
      <c r="AT148" s="73" t="s">
        <v>3088</v>
      </c>
      <c r="AU148" s="73" t="s">
        <v>3088</v>
      </c>
      <c r="AV148" s="73" t="s">
        <v>3088</v>
      </c>
      <c r="AW148" s="73" t="s">
        <v>3088</v>
      </c>
      <c r="AX148" s="73" t="s">
        <v>3088</v>
      </c>
      <c r="AY148" s="73" t="s">
        <v>3088</v>
      </c>
      <c r="AZ148" s="73" t="s">
        <v>3088</v>
      </c>
      <c r="BA148" s="73" t="s">
        <v>3088</v>
      </c>
      <c r="BB148" s="73" t="s">
        <v>3088</v>
      </c>
      <c r="BC148" s="73" t="s">
        <v>3088</v>
      </c>
      <c r="BD148" s="73" t="s">
        <v>3088</v>
      </c>
      <c r="BE148" s="73" t="s">
        <v>3088</v>
      </c>
      <c r="BF148" s="73" t="s">
        <v>3088</v>
      </c>
      <c r="BG148" s="73" t="s">
        <v>3088</v>
      </c>
      <c r="BH148" s="73" t="s">
        <v>3088</v>
      </c>
      <c r="BI148" s="73" t="s">
        <v>3088</v>
      </c>
      <c r="BJ148" s="73" t="s">
        <v>3088</v>
      </c>
      <c r="BK148" s="73" t="s">
        <v>3088</v>
      </c>
      <c r="BL148" s="73" t="s">
        <v>3088</v>
      </c>
      <c r="BM148" s="73" t="s">
        <v>3088</v>
      </c>
      <c r="BN148" s="73" t="s">
        <v>3088</v>
      </c>
      <c r="BO148" s="73" t="s">
        <v>3088</v>
      </c>
      <c r="BP148" s="73" t="s">
        <v>3088</v>
      </c>
      <c r="BQ148" s="73" t="s">
        <v>3912</v>
      </c>
      <c r="BR148" s="73" t="s">
        <v>3088</v>
      </c>
    </row>
    <row r="149" spans="1:70">
      <c r="A149" s="73" t="s">
        <v>1902</v>
      </c>
      <c r="B149" s="73" t="s">
        <v>2276</v>
      </c>
      <c r="C149" s="73" t="s">
        <v>2248</v>
      </c>
      <c r="D149" s="73" t="s">
        <v>3088</v>
      </c>
      <c r="E149" s="73" t="s">
        <v>3088</v>
      </c>
      <c r="F149" s="73" t="s">
        <v>3088</v>
      </c>
      <c r="G149" s="73" t="s">
        <v>3089</v>
      </c>
      <c r="H149" s="73" t="s">
        <v>3088</v>
      </c>
      <c r="I149" s="73" t="s">
        <v>3122</v>
      </c>
      <c r="J149" s="73" t="s">
        <v>3913</v>
      </c>
      <c r="K149" s="73" t="s">
        <v>3089</v>
      </c>
      <c r="L149" s="73" t="s">
        <v>108</v>
      </c>
      <c r="M149" s="73" t="s">
        <v>3914</v>
      </c>
      <c r="N149" s="73" t="s">
        <v>3089</v>
      </c>
      <c r="O149" s="73" t="s">
        <v>3088</v>
      </c>
      <c r="P149" s="73" t="s">
        <v>3088</v>
      </c>
      <c r="Q149" s="73" t="s">
        <v>3088</v>
      </c>
      <c r="R149" s="73" t="s">
        <v>3088</v>
      </c>
      <c r="S149" s="73" t="s">
        <v>3088</v>
      </c>
      <c r="T149" s="73" t="s">
        <v>3088</v>
      </c>
      <c r="U149" s="73" t="s">
        <v>3088</v>
      </c>
      <c r="V149" s="73" t="s">
        <v>3088</v>
      </c>
      <c r="W149" s="73" t="s">
        <v>3088</v>
      </c>
      <c r="X149" s="73" t="s">
        <v>3088</v>
      </c>
      <c r="Y149" s="73" t="s">
        <v>3088</v>
      </c>
      <c r="Z149" s="73" t="s">
        <v>3088</v>
      </c>
      <c r="AA149" s="73" t="s">
        <v>3088</v>
      </c>
      <c r="AB149" s="73" t="s">
        <v>3088</v>
      </c>
      <c r="AC149" s="73" t="s">
        <v>3088</v>
      </c>
      <c r="AD149" s="73" t="s">
        <v>3088</v>
      </c>
      <c r="AE149" s="73" t="s">
        <v>3088</v>
      </c>
      <c r="AF149" s="73" t="s">
        <v>3088</v>
      </c>
      <c r="AG149" s="73" t="s">
        <v>3088</v>
      </c>
      <c r="AH149" s="73" t="s">
        <v>3088</v>
      </c>
      <c r="AI149" s="73" t="s">
        <v>3088</v>
      </c>
      <c r="AJ149" s="73" t="s">
        <v>3088</v>
      </c>
      <c r="AK149" s="73" t="s">
        <v>3088</v>
      </c>
      <c r="AL149" s="73" t="s">
        <v>3088</v>
      </c>
      <c r="AM149" s="73" t="s">
        <v>3088</v>
      </c>
      <c r="AN149" s="73" t="s">
        <v>3088</v>
      </c>
      <c r="AO149" s="73" t="s">
        <v>3088</v>
      </c>
      <c r="AP149" s="73" t="s">
        <v>3088</v>
      </c>
      <c r="AQ149" s="73" t="s">
        <v>3088</v>
      </c>
      <c r="AR149" s="73" t="s">
        <v>3088</v>
      </c>
      <c r="AS149" s="73" t="s">
        <v>3088</v>
      </c>
      <c r="AT149" s="73" t="s">
        <v>3088</v>
      </c>
      <c r="AU149" s="73" t="s">
        <v>3088</v>
      </c>
      <c r="AV149" s="73" t="s">
        <v>3088</v>
      </c>
      <c r="AW149" s="73" t="s">
        <v>3088</v>
      </c>
      <c r="AX149" s="73" t="s">
        <v>3088</v>
      </c>
      <c r="AY149" s="73" t="s">
        <v>3088</v>
      </c>
      <c r="AZ149" s="73" t="s">
        <v>3088</v>
      </c>
      <c r="BA149" s="73" t="s">
        <v>3088</v>
      </c>
      <c r="BB149" s="73" t="s">
        <v>3088</v>
      </c>
      <c r="BC149" s="73" t="s">
        <v>3088</v>
      </c>
      <c r="BD149" s="73" t="s">
        <v>3088</v>
      </c>
      <c r="BE149" s="73" t="s">
        <v>3088</v>
      </c>
      <c r="BF149" s="73" t="s">
        <v>3088</v>
      </c>
      <c r="BG149" s="73" t="s">
        <v>3088</v>
      </c>
      <c r="BH149" s="73" t="s">
        <v>3088</v>
      </c>
      <c r="BI149" s="73" t="s">
        <v>3088</v>
      </c>
      <c r="BJ149" s="73" t="s">
        <v>3088</v>
      </c>
      <c r="BK149" s="73" t="s">
        <v>3088</v>
      </c>
      <c r="BL149" s="73" t="s">
        <v>3088</v>
      </c>
      <c r="BM149" s="73" t="s">
        <v>3088</v>
      </c>
      <c r="BN149" s="73" t="s">
        <v>3088</v>
      </c>
      <c r="BO149" s="73" t="s">
        <v>3088</v>
      </c>
      <c r="BP149" s="73" t="s">
        <v>3088</v>
      </c>
      <c r="BQ149" s="73" t="s">
        <v>3915</v>
      </c>
      <c r="BR149" s="73" t="s">
        <v>3088</v>
      </c>
    </row>
    <row r="150" spans="1:70">
      <c r="A150" s="73" t="s">
        <v>1902</v>
      </c>
      <c r="B150" s="73" t="s">
        <v>2279</v>
      </c>
      <c r="C150" s="73" t="s">
        <v>2280</v>
      </c>
      <c r="D150" s="73" t="s">
        <v>3088</v>
      </c>
      <c r="E150" s="73" t="s">
        <v>3088</v>
      </c>
      <c r="F150" s="73" t="s">
        <v>3088</v>
      </c>
      <c r="G150" s="73" t="s">
        <v>3089</v>
      </c>
      <c r="H150" s="73" t="s">
        <v>3130</v>
      </c>
      <c r="I150" s="73" t="s">
        <v>108</v>
      </c>
      <c r="J150" s="73" t="s">
        <v>3916</v>
      </c>
      <c r="K150" s="73" t="s">
        <v>3089</v>
      </c>
      <c r="L150" s="73" t="s">
        <v>805</v>
      </c>
      <c r="M150" s="73" t="s">
        <v>3916</v>
      </c>
      <c r="N150" s="73" t="s">
        <v>3089</v>
      </c>
      <c r="O150" s="73" t="s">
        <v>3088</v>
      </c>
      <c r="P150" s="73" t="s">
        <v>3088</v>
      </c>
      <c r="Q150" s="73" t="s">
        <v>3088</v>
      </c>
      <c r="R150" s="73" t="s">
        <v>3088</v>
      </c>
      <c r="S150" s="73" t="s">
        <v>3088</v>
      </c>
      <c r="T150" s="73" t="s">
        <v>3088</v>
      </c>
      <c r="U150" s="73" t="s">
        <v>3088</v>
      </c>
      <c r="V150" s="73" t="s">
        <v>3088</v>
      </c>
      <c r="W150" s="73" t="s">
        <v>3088</v>
      </c>
      <c r="X150" s="73" t="s">
        <v>3088</v>
      </c>
      <c r="Y150" s="73" t="s">
        <v>3088</v>
      </c>
      <c r="Z150" s="73" t="s">
        <v>3088</v>
      </c>
      <c r="AA150" s="73" t="s">
        <v>3088</v>
      </c>
      <c r="AB150" s="73" t="s">
        <v>3088</v>
      </c>
      <c r="AC150" s="73" t="s">
        <v>3088</v>
      </c>
      <c r="AD150" s="73" t="s">
        <v>3088</v>
      </c>
      <c r="AE150" s="73" t="s">
        <v>3088</v>
      </c>
      <c r="AF150" s="73" t="s">
        <v>3088</v>
      </c>
      <c r="AG150" s="73" t="s">
        <v>3088</v>
      </c>
      <c r="AH150" s="73" t="s">
        <v>3088</v>
      </c>
      <c r="AI150" s="73" t="s">
        <v>3088</v>
      </c>
      <c r="AJ150" s="73" t="s">
        <v>3088</v>
      </c>
      <c r="AK150" s="73" t="s">
        <v>3088</v>
      </c>
      <c r="AL150" s="73" t="s">
        <v>3088</v>
      </c>
      <c r="AM150" s="73" t="s">
        <v>3088</v>
      </c>
      <c r="AN150" s="73" t="s">
        <v>3088</v>
      </c>
      <c r="AO150" s="73" t="s">
        <v>3088</v>
      </c>
      <c r="AP150" s="73" t="s">
        <v>3088</v>
      </c>
      <c r="AQ150" s="73" t="s">
        <v>3088</v>
      </c>
      <c r="AR150" s="73" t="s">
        <v>3088</v>
      </c>
      <c r="AS150" s="73" t="s">
        <v>3088</v>
      </c>
      <c r="AT150" s="73" t="s">
        <v>3088</v>
      </c>
      <c r="AU150" s="73" t="s">
        <v>3088</v>
      </c>
      <c r="AV150" s="73" t="s">
        <v>3088</v>
      </c>
      <c r="AW150" s="73" t="s">
        <v>3088</v>
      </c>
      <c r="AX150" s="73" t="s">
        <v>3088</v>
      </c>
      <c r="AY150" s="73" t="s">
        <v>3088</v>
      </c>
      <c r="AZ150" s="73" t="s">
        <v>3088</v>
      </c>
      <c r="BA150" s="73" t="s">
        <v>3088</v>
      </c>
      <c r="BB150" s="73" t="s">
        <v>3088</v>
      </c>
      <c r="BC150" s="73" t="s">
        <v>3088</v>
      </c>
      <c r="BD150" s="73" t="s">
        <v>3088</v>
      </c>
      <c r="BE150" s="73" t="s">
        <v>3088</v>
      </c>
      <c r="BF150" s="73" t="s">
        <v>3088</v>
      </c>
      <c r="BG150" s="73" t="s">
        <v>3088</v>
      </c>
      <c r="BH150" s="73" t="s">
        <v>3088</v>
      </c>
      <c r="BI150" s="73" t="s">
        <v>3088</v>
      </c>
      <c r="BJ150" s="73" t="s">
        <v>3088</v>
      </c>
      <c r="BK150" s="73" t="s">
        <v>3088</v>
      </c>
      <c r="BL150" s="73" t="s">
        <v>3088</v>
      </c>
      <c r="BM150" s="73" t="s">
        <v>3088</v>
      </c>
      <c r="BN150" s="73" t="s">
        <v>3088</v>
      </c>
      <c r="BO150" s="73" t="s">
        <v>3088</v>
      </c>
      <c r="BP150" s="73" t="s">
        <v>3088</v>
      </c>
      <c r="BQ150" s="73" t="s">
        <v>3917</v>
      </c>
      <c r="BR150" s="73" t="s">
        <v>3097</v>
      </c>
    </row>
    <row r="151" spans="1:70">
      <c r="A151" s="73" t="s">
        <v>1902</v>
      </c>
      <c r="B151" s="73" t="s">
        <v>2283</v>
      </c>
      <c r="C151" s="73" t="s">
        <v>2273</v>
      </c>
      <c r="D151" s="73" t="s">
        <v>3088</v>
      </c>
      <c r="E151" s="73" t="s">
        <v>3088</v>
      </c>
      <c r="F151" s="73" t="s">
        <v>3088</v>
      </c>
      <c r="G151" s="73" t="s">
        <v>3089</v>
      </c>
      <c r="H151" s="73" t="s">
        <v>3088</v>
      </c>
      <c r="I151" s="73" t="s">
        <v>108</v>
      </c>
      <c r="J151" s="73" t="s">
        <v>2284</v>
      </c>
      <c r="K151" s="73" t="s">
        <v>3095</v>
      </c>
      <c r="L151" s="73" t="s">
        <v>3088</v>
      </c>
      <c r="M151" s="73" t="s">
        <v>3088</v>
      </c>
      <c r="N151" s="73" t="s">
        <v>3088</v>
      </c>
      <c r="O151" s="73" t="s">
        <v>3088</v>
      </c>
      <c r="P151" s="73" t="s">
        <v>3088</v>
      </c>
      <c r="Q151" s="73" t="s">
        <v>3088</v>
      </c>
      <c r="R151" s="73" t="s">
        <v>3088</v>
      </c>
      <c r="S151" s="73" t="s">
        <v>3088</v>
      </c>
      <c r="T151" s="73" t="s">
        <v>3088</v>
      </c>
      <c r="U151" s="73" t="s">
        <v>3088</v>
      </c>
      <c r="V151" s="73" t="s">
        <v>3088</v>
      </c>
      <c r="W151" s="73" t="s">
        <v>3088</v>
      </c>
      <c r="X151" s="73" t="s">
        <v>3088</v>
      </c>
      <c r="Y151" s="73" t="s">
        <v>3088</v>
      </c>
      <c r="Z151" s="73" t="s">
        <v>3088</v>
      </c>
      <c r="AA151" s="73" t="s">
        <v>3088</v>
      </c>
      <c r="AB151" s="73" t="s">
        <v>3088</v>
      </c>
      <c r="AC151" s="73" t="s">
        <v>3088</v>
      </c>
      <c r="AD151" s="73" t="s">
        <v>3088</v>
      </c>
      <c r="AE151" s="73" t="s">
        <v>3088</v>
      </c>
      <c r="AF151" s="73" t="s">
        <v>3088</v>
      </c>
      <c r="AG151" s="73" t="s">
        <v>3088</v>
      </c>
      <c r="AH151" s="73" t="s">
        <v>3088</v>
      </c>
      <c r="AI151" s="73" t="s">
        <v>3088</v>
      </c>
      <c r="AJ151" s="73" t="s">
        <v>3088</v>
      </c>
      <c r="AK151" s="73" t="s">
        <v>3088</v>
      </c>
      <c r="AL151" s="73" t="s">
        <v>3088</v>
      </c>
      <c r="AM151" s="73" t="s">
        <v>3088</v>
      </c>
      <c r="AN151" s="73" t="s">
        <v>3088</v>
      </c>
      <c r="AO151" s="73" t="s">
        <v>3088</v>
      </c>
      <c r="AP151" s="73" t="s">
        <v>3088</v>
      </c>
      <c r="AQ151" s="73" t="s">
        <v>3088</v>
      </c>
      <c r="AR151" s="73" t="s">
        <v>3088</v>
      </c>
      <c r="AS151" s="73" t="s">
        <v>3088</v>
      </c>
      <c r="AT151" s="73" t="s">
        <v>3088</v>
      </c>
      <c r="AU151" s="73" t="s">
        <v>3088</v>
      </c>
      <c r="AV151" s="73" t="s">
        <v>3088</v>
      </c>
      <c r="AW151" s="73" t="s">
        <v>3088</v>
      </c>
      <c r="AX151" s="73" t="s">
        <v>3088</v>
      </c>
      <c r="AY151" s="73" t="s">
        <v>3088</v>
      </c>
      <c r="AZ151" s="73" t="s">
        <v>3088</v>
      </c>
      <c r="BA151" s="73" t="s">
        <v>3088</v>
      </c>
      <c r="BB151" s="73" t="s">
        <v>3088</v>
      </c>
      <c r="BC151" s="73" t="s">
        <v>3088</v>
      </c>
      <c r="BD151" s="73" t="s">
        <v>3088</v>
      </c>
      <c r="BE151" s="73" t="s">
        <v>3088</v>
      </c>
      <c r="BF151" s="73" t="s">
        <v>3088</v>
      </c>
      <c r="BG151" s="73" t="s">
        <v>3088</v>
      </c>
      <c r="BH151" s="73" t="s">
        <v>3088</v>
      </c>
      <c r="BI151" s="73" t="s">
        <v>3088</v>
      </c>
      <c r="BJ151" s="73" t="s">
        <v>3088</v>
      </c>
      <c r="BK151" s="73" t="s">
        <v>3088</v>
      </c>
      <c r="BL151" s="73" t="s">
        <v>3088</v>
      </c>
      <c r="BM151" s="73" t="s">
        <v>3088</v>
      </c>
      <c r="BN151" s="73" t="s">
        <v>3088</v>
      </c>
      <c r="BO151" s="73" t="s">
        <v>3088</v>
      </c>
      <c r="BP151" s="73" t="s">
        <v>3088</v>
      </c>
      <c r="BQ151" s="73" t="s">
        <v>3918</v>
      </c>
      <c r="BR151" s="73" t="s">
        <v>3097</v>
      </c>
    </row>
    <row r="152" spans="1:70">
      <c r="A152" s="73" t="s">
        <v>1902</v>
      </c>
      <c r="B152" s="73" t="s">
        <v>2344</v>
      </c>
      <c r="C152" s="73" t="s">
        <v>2273</v>
      </c>
      <c r="D152" s="73" t="s">
        <v>3088</v>
      </c>
      <c r="E152" s="73" t="s">
        <v>3088</v>
      </c>
      <c r="F152" s="73" t="s">
        <v>3088</v>
      </c>
      <c r="G152" s="73" t="s">
        <v>3089</v>
      </c>
      <c r="H152" s="73" t="s">
        <v>3088</v>
      </c>
      <c r="I152" s="73" t="s">
        <v>2309</v>
      </c>
      <c r="J152" s="73" t="s">
        <v>2345</v>
      </c>
      <c r="K152" s="73" t="s">
        <v>3089</v>
      </c>
      <c r="L152" s="73" t="s">
        <v>3088</v>
      </c>
      <c r="M152" s="73" t="s">
        <v>3088</v>
      </c>
      <c r="N152" s="73" t="s">
        <v>3088</v>
      </c>
      <c r="O152" s="73" t="s">
        <v>3088</v>
      </c>
      <c r="P152" s="73" t="s">
        <v>3088</v>
      </c>
      <c r="Q152" s="73" t="s">
        <v>3088</v>
      </c>
      <c r="R152" s="73" t="s">
        <v>3088</v>
      </c>
      <c r="S152" s="73" t="s">
        <v>3088</v>
      </c>
      <c r="T152" s="73" t="s">
        <v>3088</v>
      </c>
      <c r="U152" s="73" t="s">
        <v>3088</v>
      </c>
      <c r="V152" s="73" t="s">
        <v>3088</v>
      </c>
      <c r="W152" s="73" t="s">
        <v>3088</v>
      </c>
      <c r="X152" s="73" t="s">
        <v>3088</v>
      </c>
      <c r="Y152" s="73" t="s">
        <v>3088</v>
      </c>
      <c r="Z152" s="73" t="s">
        <v>3088</v>
      </c>
      <c r="AA152" s="73" t="s">
        <v>3088</v>
      </c>
      <c r="AB152" s="73" t="s">
        <v>3088</v>
      </c>
      <c r="AC152" s="73" t="s">
        <v>3088</v>
      </c>
      <c r="AD152" s="73" t="s">
        <v>3088</v>
      </c>
      <c r="AE152" s="73" t="s">
        <v>3088</v>
      </c>
      <c r="AF152" s="73" t="s">
        <v>3088</v>
      </c>
      <c r="AG152" s="73" t="s">
        <v>3088</v>
      </c>
      <c r="AH152" s="73" t="s">
        <v>3088</v>
      </c>
      <c r="AI152" s="73" t="s">
        <v>3088</v>
      </c>
      <c r="AJ152" s="73" t="s">
        <v>3088</v>
      </c>
      <c r="AK152" s="73" t="s">
        <v>3088</v>
      </c>
      <c r="AL152" s="73" t="s">
        <v>3088</v>
      </c>
      <c r="AM152" s="73" t="s">
        <v>3088</v>
      </c>
      <c r="AN152" s="73" t="s">
        <v>3088</v>
      </c>
      <c r="AO152" s="73" t="s">
        <v>3088</v>
      </c>
      <c r="AP152" s="73" t="s">
        <v>3088</v>
      </c>
      <c r="AQ152" s="73" t="s">
        <v>3088</v>
      </c>
      <c r="AR152" s="73" t="s">
        <v>3088</v>
      </c>
      <c r="AS152" s="73" t="s">
        <v>3088</v>
      </c>
      <c r="AT152" s="73" t="s">
        <v>3088</v>
      </c>
      <c r="AU152" s="73" t="s">
        <v>3088</v>
      </c>
      <c r="AV152" s="73" t="s">
        <v>3088</v>
      </c>
      <c r="AW152" s="73" t="s">
        <v>3088</v>
      </c>
      <c r="AX152" s="73" t="s">
        <v>3088</v>
      </c>
      <c r="AY152" s="73" t="s">
        <v>3088</v>
      </c>
      <c r="AZ152" s="73" t="s">
        <v>3088</v>
      </c>
      <c r="BA152" s="73" t="s">
        <v>3088</v>
      </c>
      <c r="BB152" s="73" t="s">
        <v>3088</v>
      </c>
      <c r="BC152" s="73" t="s">
        <v>3088</v>
      </c>
      <c r="BD152" s="73" t="s">
        <v>3088</v>
      </c>
      <c r="BE152" s="73" t="s">
        <v>3088</v>
      </c>
      <c r="BF152" s="73" t="s">
        <v>3088</v>
      </c>
      <c r="BG152" s="73" t="s">
        <v>3088</v>
      </c>
      <c r="BH152" s="73" t="s">
        <v>3088</v>
      </c>
      <c r="BI152" s="73" t="s">
        <v>3088</v>
      </c>
      <c r="BJ152" s="73" t="s">
        <v>3088</v>
      </c>
      <c r="BK152" s="73" t="s">
        <v>3088</v>
      </c>
      <c r="BL152" s="73" t="s">
        <v>3088</v>
      </c>
      <c r="BM152" s="73" t="s">
        <v>3088</v>
      </c>
      <c r="BN152" s="73" t="s">
        <v>3088</v>
      </c>
      <c r="BO152" s="73" t="s">
        <v>3088</v>
      </c>
      <c r="BP152" s="73" t="s">
        <v>3088</v>
      </c>
      <c r="BQ152" s="73" t="s">
        <v>3919</v>
      </c>
      <c r="BR152" s="73" t="s">
        <v>3088</v>
      </c>
    </row>
    <row r="153" spans="1:70">
      <c r="A153" s="73" t="s">
        <v>1902</v>
      </c>
      <c r="B153" s="73" t="s">
        <v>3920</v>
      </c>
      <c r="C153" s="73" t="s">
        <v>2280</v>
      </c>
      <c r="D153" s="73" t="s">
        <v>3088</v>
      </c>
      <c r="E153" s="73" t="s">
        <v>3088</v>
      </c>
      <c r="F153" s="73" t="s">
        <v>3088</v>
      </c>
      <c r="G153" s="73" t="s">
        <v>3089</v>
      </c>
      <c r="H153" s="73" t="s">
        <v>3088</v>
      </c>
      <c r="I153" s="73" t="s">
        <v>3093</v>
      </c>
      <c r="J153" s="73" t="s">
        <v>3088</v>
      </c>
      <c r="K153" s="73" t="s">
        <v>3088</v>
      </c>
      <c r="L153" s="73" t="s">
        <v>3088</v>
      </c>
      <c r="M153" s="73" t="s">
        <v>3088</v>
      </c>
      <c r="N153" s="73" t="s">
        <v>3088</v>
      </c>
      <c r="O153" s="73" t="s">
        <v>3088</v>
      </c>
      <c r="P153" s="73" t="s">
        <v>3088</v>
      </c>
      <c r="Q153" s="73" t="s">
        <v>3088</v>
      </c>
      <c r="R153" s="73" t="s">
        <v>3088</v>
      </c>
      <c r="S153" s="73" t="s">
        <v>3088</v>
      </c>
      <c r="T153" s="73" t="s">
        <v>3088</v>
      </c>
      <c r="U153" s="73" t="s">
        <v>3088</v>
      </c>
      <c r="V153" s="73" t="s">
        <v>3088</v>
      </c>
      <c r="W153" s="73" t="s">
        <v>3088</v>
      </c>
      <c r="X153" s="73" t="s">
        <v>3088</v>
      </c>
      <c r="Y153" s="73" t="s">
        <v>3088</v>
      </c>
      <c r="Z153" s="73" t="s">
        <v>3088</v>
      </c>
      <c r="AA153" s="73" t="s">
        <v>3088</v>
      </c>
      <c r="AB153" s="73" t="s">
        <v>3088</v>
      </c>
      <c r="AC153" s="73" t="s">
        <v>3088</v>
      </c>
      <c r="AD153" s="73" t="s">
        <v>3088</v>
      </c>
      <c r="AE153" s="73" t="s">
        <v>3088</v>
      </c>
      <c r="AF153" s="73" t="s">
        <v>3088</v>
      </c>
      <c r="AG153" s="73" t="s">
        <v>3088</v>
      </c>
      <c r="AH153" s="73" t="s">
        <v>3088</v>
      </c>
      <c r="AI153" s="73" t="s">
        <v>3088</v>
      </c>
      <c r="AJ153" s="73" t="s">
        <v>3088</v>
      </c>
      <c r="AK153" s="73" t="s">
        <v>3088</v>
      </c>
      <c r="AL153" s="73" t="s">
        <v>3088</v>
      </c>
      <c r="AM153" s="73" t="s">
        <v>3088</v>
      </c>
      <c r="AN153" s="73" t="s">
        <v>3088</v>
      </c>
      <c r="AO153" s="73" t="s">
        <v>3088</v>
      </c>
      <c r="AP153" s="73" t="s">
        <v>3088</v>
      </c>
      <c r="AQ153" s="73" t="s">
        <v>3088</v>
      </c>
      <c r="AR153" s="73" t="s">
        <v>3088</v>
      </c>
      <c r="AS153" s="73" t="s">
        <v>3088</v>
      </c>
      <c r="AT153" s="73" t="s">
        <v>3088</v>
      </c>
      <c r="AU153" s="73" t="s">
        <v>3088</v>
      </c>
      <c r="AV153" s="73" t="s">
        <v>3088</v>
      </c>
      <c r="AW153" s="73" t="s">
        <v>3088</v>
      </c>
      <c r="AX153" s="73" t="s">
        <v>3088</v>
      </c>
      <c r="AY153" s="73" t="s">
        <v>3088</v>
      </c>
      <c r="AZ153" s="73" t="s">
        <v>3088</v>
      </c>
      <c r="BA153" s="73" t="s">
        <v>3088</v>
      </c>
      <c r="BB153" s="73" t="s">
        <v>3088</v>
      </c>
      <c r="BC153" s="73" t="s">
        <v>3088</v>
      </c>
      <c r="BD153" s="73" t="s">
        <v>3088</v>
      </c>
      <c r="BE153" s="73" t="s">
        <v>3088</v>
      </c>
      <c r="BF153" s="73" t="s">
        <v>3088</v>
      </c>
      <c r="BG153" s="73" t="s">
        <v>3088</v>
      </c>
      <c r="BH153" s="73" t="s">
        <v>3088</v>
      </c>
      <c r="BI153" s="73" t="s">
        <v>3088</v>
      </c>
      <c r="BJ153" s="73" t="s">
        <v>3088</v>
      </c>
      <c r="BK153" s="73" t="s">
        <v>3088</v>
      </c>
      <c r="BL153" s="73" t="s">
        <v>3088</v>
      </c>
      <c r="BM153" s="73" t="s">
        <v>3088</v>
      </c>
      <c r="BN153" s="73" t="s">
        <v>3088</v>
      </c>
      <c r="BO153" s="73" t="s">
        <v>3088</v>
      </c>
      <c r="BP153" s="73" t="s">
        <v>3088</v>
      </c>
      <c r="BQ153" s="73" t="s">
        <v>3921</v>
      </c>
      <c r="BR153" s="73" t="s">
        <v>3088</v>
      </c>
    </row>
    <row r="154" spans="1:70">
      <c r="A154" s="73" t="s">
        <v>1902</v>
      </c>
      <c r="B154" s="73" t="s">
        <v>2285</v>
      </c>
      <c r="C154" s="73" t="s">
        <v>3088</v>
      </c>
      <c r="D154" s="73" t="s">
        <v>3088</v>
      </c>
      <c r="E154" s="73" t="s">
        <v>3088</v>
      </c>
      <c r="F154" s="73" t="s">
        <v>3088</v>
      </c>
      <c r="G154" s="73" t="s">
        <v>3089</v>
      </c>
      <c r="H154" s="73" t="s">
        <v>3088</v>
      </c>
      <c r="I154" s="73" t="s">
        <v>2135</v>
      </c>
      <c r="J154" s="73" t="s">
        <v>3088</v>
      </c>
      <c r="K154" s="73" t="s">
        <v>3088</v>
      </c>
      <c r="L154" s="73" t="s">
        <v>3088</v>
      </c>
      <c r="M154" s="73" t="s">
        <v>3088</v>
      </c>
      <c r="N154" s="73" t="s">
        <v>3088</v>
      </c>
      <c r="O154" s="73" t="s">
        <v>3088</v>
      </c>
      <c r="P154" s="73" t="s">
        <v>3088</v>
      </c>
      <c r="Q154" s="73" t="s">
        <v>3088</v>
      </c>
      <c r="R154" s="73" t="s">
        <v>3088</v>
      </c>
      <c r="S154" s="73" t="s">
        <v>3088</v>
      </c>
      <c r="T154" s="73" t="s">
        <v>3088</v>
      </c>
      <c r="U154" s="73" t="s">
        <v>3088</v>
      </c>
      <c r="V154" s="73" t="s">
        <v>3088</v>
      </c>
      <c r="W154" s="73" t="s">
        <v>3088</v>
      </c>
      <c r="X154" s="73" t="s">
        <v>3088</v>
      </c>
      <c r="Y154" s="73" t="s">
        <v>3088</v>
      </c>
      <c r="Z154" s="73" t="s">
        <v>3088</v>
      </c>
      <c r="AA154" s="73" t="s">
        <v>3088</v>
      </c>
      <c r="AB154" s="73" t="s">
        <v>3088</v>
      </c>
      <c r="AC154" s="73" t="s">
        <v>3088</v>
      </c>
      <c r="AD154" s="73" t="s">
        <v>3088</v>
      </c>
      <c r="AE154" s="73" t="s">
        <v>3088</v>
      </c>
      <c r="AF154" s="73" t="s">
        <v>3088</v>
      </c>
      <c r="AG154" s="73" t="s">
        <v>3088</v>
      </c>
      <c r="AH154" s="73" t="s">
        <v>3088</v>
      </c>
      <c r="AI154" s="73" t="s">
        <v>3088</v>
      </c>
      <c r="AJ154" s="73" t="s">
        <v>3088</v>
      </c>
      <c r="AK154" s="73" t="s">
        <v>3088</v>
      </c>
      <c r="AL154" s="73" t="s">
        <v>3088</v>
      </c>
      <c r="AM154" s="73" t="s">
        <v>3088</v>
      </c>
      <c r="AN154" s="73" t="s">
        <v>3088</v>
      </c>
      <c r="AO154" s="73" t="s">
        <v>3088</v>
      </c>
      <c r="AP154" s="73" t="s">
        <v>3088</v>
      </c>
      <c r="AQ154" s="73" t="s">
        <v>3088</v>
      </c>
      <c r="AR154" s="73" t="s">
        <v>3088</v>
      </c>
      <c r="AS154" s="73" t="s">
        <v>3088</v>
      </c>
      <c r="AT154" s="73" t="s">
        <v>3088</v>
      </c>
      <c r="AU154" s="73" t="s">
        <v>3088</v>
      </c>
      <c r="AV154" s="73" t="s">
        <v>3088</v>
      </c>
      <c r="AW154" s="73" t="s">
        <v>3088</v>
      </c>
      <c r="AX154" s="73" t="s">
        <v>3088</v>
      </c>
      <c r="AY154" s="73" t="s">
        <v>3088</v>
      </c>
      <c r="AZ154" s="73" t="s">
        <v>3088</v>
      </c>
      <c r="BA154" s="73" t="s">
        <v>3088</v>
      </c>
      <c r="BB154" s="73" t="s">
        <v>3088</v>
      </c>
      <c r="BC154" s="73" t="s">
        <v>3088</v>
      </c>
      <c r="BD154" s="73" t="s">
        <v>3088</v>
      </c>
      <c r="BE154" s="73" t="s">
        <v>3088</v>
      </c>
      <c r="BF154" s="73" t="s">
        <v>3088</v>
      </c>
      <c r="BG154" s="73" t="s">
        <v>3088</v>
      </c>
      <c r="BH154" s="73" t="s">
        <v>3088</v>
      </c>
      <c r="BI154" s="73" t="s">
        <v>3088</v>
      </c>
      <c r="BJ154" s="73" t="s">
        <v>3088</v>
      </c>
      <c r="BK154" s="73" t="s">
        <v>3088</v>
      </c>
      <c r="BL154" s="73" t="s">
        <v>3088</v>
      </c>
      <c r="BM154" s="73" t="s">
        <v>3088</v>
      </c>
      <c r="BN154" s="73" t="s">
        <v>3088</v>
      </c>
      <c r="BO154" s="73" t="s">
        <v>3088</v>
      </c>
      <c r="BP154" s="73" t="s">
        <v>3088</v>
      </c>
      <c r="BQ154" s="73" t="s">
        <v>3922</v>
      </c>
      <c r="BR154" s="73" t="s">
        <v>3088</v>
      </c>
    </row>
    <row r="155" spans="1:70">
      <c r="A155" s="73" t="s">
        <v>1902</v>
      </c>
      <c r="B155" s="73" t="s">
        <v>2286</v>
      </c>
      <c r="C155" s="73" t="s">
        <v>3088</v>
      </c>
      <c r="D155" s="73" t="s">
        <v>3088</v>
      </c>
      <c r="E155" s="73" t="s">
        <v>3088</v>
      </c>
      <c r="F155" s="73" t="s">
        <v>3088</v>
      </c>
      <c r="G155" s="73" t="s">
        <v>3089</v>
      </c>
      <c r="H155" s="73" t="s">
        <v>3088</v>
      </c>
      <c r="I155" s="73" t="s">
        <v>108</v>
      </c>
      <c r="J155" s="73" t="s">
        <v>3088</v>
      </c>
      <c r="K155" s="73" t="s">
        <v>3088</v>
      </c>
      <c r="L155" s="73" t="s">
        <v>3088</v>
      </c>
      <c r="M155" s="73" t="s">
        <v>3088</v>
      </c>
      <c r="N155" s="73" t="s">
        <v>3088</v>
      </c>
      <c r="O155" s="73" t="s">
        <v>3088</v>
      </c>
      <c r="P155" s="73" t="s">
        <v>3088</v>
      </c>
      <c r="Q155" s="73" t="s">
        <v>3088</v>
      </c>
      <c r="R155" s="73" t="s">
        <v>3088</v>
      </c>
      <c r="S155" s="73" t="s">
        <v>3088</v>
      </c>
      <c r="T155" s="73" t="s">
        <v>3088</v>
      </c>
      <c r="U155" s="73" t="s">
        <v>3088</v>
      </c>
      <c r="V155" s="73" t="s">
        <v>3088</v>
      </c>
      <c r="W155" s="73" t="s">
        <v>3088</v>
      </c>
      <c r="X155" s="73" t="s">
        <v>3088</v>
      </c>
      <c r="Y155" s="73" t="s">
        <v>3088</v>
      </c>
      <c r="Z155" s="73" t="s">
        <v>3088</v>
      </c>
      <c r="AA155" s="73" t="s">
        <v>3088</v>
      </c>
      <c r="AB155" s="73" t="s">
        <v>3088</v>
      </c>
      <c r="AC155" s="73" t="s">
        <v>3088</v>
      </c>
      <c r="AD155" s="73" t="s">
        <v>3088</v>
      </c>
      <c r="AE155" s="73" t="s">
        <v>3088</v>
      </c>
      <c r="AF155" s="73" t="s">
        <v>3088</v>
      </c>
      <c r="AG155" s="73" t="s">
        <v>3088</v>
      </c>
      <c r="AH155" s="73" t="s">
        <v>3088</v>
      </c>
      <c r="AI155" s="73" t="s">
        <v>3088</v>
      </c>
      <c r="AJ155" s="73" t="s">
        <v>3088</v>
      </c>
      <c r="AK155" s="73" t="s">
        <v>3088</v>
      </c>
      <c r="AL155" s="73" t="s">
        <v>3088</v>
      </c>
      <c r="AM155" s="73" t="s">
        <v>3088</v>
      </c>
      <c r="AN155" s="73" t="s">
        <v>3088</v>
      </c>
      <c r="AO155" s="73" t="s">
        <v>3088</v>
      </c>
      <c r="AP155" s="73" t="s">
        <v>3088</v>
      </c>
      <c r="AQ155" s="73" t="s">
        <v>3088</v>
      </c>
      <c r="AR155" s="73" t="s">
        <v>3088</v>
      </c>
      <c r="AS155" s="73" t="s">
        <v>3088</v>
      </c>
      <c r="AT155" s="73" t="s">
        <v>3088</v>
      </c>
      <c r="AU155" s="73" t="s">
        <v>3088</v>
      </c>
      <c r="AV155" s="73" t="s">
        <v>3088</v>
      </c>
      <c r="AW155" s="73" t="s">
        <v>3088</v>
      </c>
      <c r="AX155" s="73" t="s">
        <v>3088</v>
      </c>
      <c r="AY155" s="73" t="s">
        <v>3088</v>
      </c>
      <c r="AZ155" s="73" t="s">
        <v>3088</v>
      </c>
      <c r="BA155" s="73" t="s">
        <v>3088</v>
      </c>
      <c r="BB155" s="73" t="s">
        <v>3088</v>
      </c>
      <c r="BC155" s="73" t="s">
        <v>3088</v>
      </c>
      <c r="BD155" s="73" t="s">
        <v>3088</v>
      </c>
      <c r="BE155" s="73" t="s">
        <v>3088</v>
      </c>
      <c r="BF155" s="73" t="s">
        <v>3088</v>
      </c>
      <c r="BG155" s="73" t="s">
        <v>3088</v>
      </c>
      <c r="BH155" s="73" t="s">
        <v>3088</v>
      </c>
      <c r="BI155" s="73" t="s">
        <v>3088</v>
      </c>
      <c r="BJ155" s="73" t="s">
        <v>3088</v>
      </c>
      <c r="BK155" s="73" t="s">
        <v>3088</v>
      </c>
      <c r="BL155" s="73" t="s">
        <v>3088</v>
      </c>
      <c r="BM155" s="73" t="s">
        <v>3088</v>
      </c>
      <c r="BN155" s="73" t="s">
        <v>3088</v>
      </c>
      <c r="BO155" s="73" t="s">
        <v>3088</v>
      </c>
      <c r="BP155" s="73" t="s">
        <v>3088</v>
      </c>
      <c r="BQ155" s="73" t="s">
        <v>3923</v>
      </c>
      <c r="BR155" s="73" t="s">
        <v>3088</v>
      </c>
    </row>
    <row r="156" spans="1:70">
      <c r="A156" s="73" t="s">
        <v>1902</v>
      </c>
      <c r="B156" s="73" t="s">
        <v>2287</v>
      </c>
      <c r="C156" s="73" t="s">
        <v>2273</v>
      </c>
      <c r="D156" s="73" t="s">
        <v>3088</v>
      </c>
      <c r="E156" s="73" t="s">
        <v>3088</v>
      </c>
      <c r="F156" s="73" t="s">
        <v>3088</v>
      </c>
      <c r="G156" s="73" t="s">
        <v>3089</v>
      </c>
      <c r="H156" s="73" t="s">
        <v>3088</v>
      </c>
      <c r="I156" s="73" t="s">
        <v>108</v>
      </c>
      <c r="J156" s="73" t="s">
        <v>3924</v>
      </c>
      <c r="K156" s="73" t="s">
        <v>3089</v>
      </c>
      <c r="L156" s="73" t="s">
        <v>2193</v>
      </c>
      <c r="M156" s="73" t="s">
        <v>3924</v>
      </c>
      <c r="N156" s="73" t="s">
        <v>3089</v>
      </c>
      <c r="O156" s="73" t="s">
        <v>3088</v>
      </c>
      <c r="P156" s="73" t="s">
        <v>3088</v>
      </c>
      <c r="Q156" s="73" t="s">
        <v>3088</v>
      </c>
      <c r="R156" s="73" t="s">
        <v>3088</v>
      </c>
      <c r="S156" s="73" t="s">
        <v>3088</v>
      </c>
      <c r="T156" s="73" t="s">
        <v>3088</v>
      </c>
      <c r="U156" s="73" t="s">
        <v>3088</v>
      </c>
      <c r="V156" s="73" t="s">
        <v>3088</v>
      </c>
      <c r="W156" s="73" t="s">
        <v>3088</v>
      </c>
      <c r="X156" s="73" t="s">
        <v>3088</v>
      </c>
      <c r="Y156" s="73" t="s">
        <v>3088</v>
      </c>
      <c r="Z156" s="73" t="s">
        <v>3088</v>
      </c>
      <c r="AA156" s="73" t="s">
        <v>3088</v>
      </c>
      <c r="AB156" s="73" t="s">
        <v>3088</v>
      </c>
      <c r="AC156" s="73" t="s">
        <v>3088</v>
      </c>
      <c r="AD156" s="73" t="s">
        <v>3088</v>
      </c>
      <c r="AE156" s="73" t="s">
        <v>3088</v>
      </c>
      <c r="AF156" s="73" t="s">
        <v>3088</v>
      </c>
      <c r="AG156" s="73" t="s">
        <v>3088</v>
      </c>
      <c r="AH156" s="73" t="s">
        <v>3088</v>
      </c>
      <c r="AI156" s="73" t="s">
        <v>3088</v>
      </c>
      <c r="AJ156" s="73" t="s">
        <v>3088</v>
      </c>
      <c r="AK156" s="73" t="s">
        <v>3088</v>
      </c>
      <c r="AL156" s="73" t="s">
        <v>3088</v>
      </c>
      <c r="AM156" s="73" t="s">
        <v>3088</v>
      </c>
      <c r="AN156" s="73" t="s">
        <v>3088</v>
      </c>
      <c r="AO156" s="73" t="s">
        <v>3088</v>
      </c>
      <c r="AP156" s="73" t="s">
        <v>3088</v>
      </c>
      <c r="AQ156" s="73" t="s">
        <v>3088</v>
      </c>
      <c r="AR156" s="73" t="s">
        <v>3088</v>
      </c>
      <c r="AS156" s="73" t="s">
        <v>3088</v>
      </c>
      <c r="AT156" s="73" t="s">
        <v>3088</v>
      </c>
      <c r="AU156" s="73" t="s">
        <v>3088</v>
      </c>
      <c r="AV156" s="73" t="s">
        <v>3088</v>
      </c>
      <c r="AW156" s="73" t="s">
        <v>3088</v>
      </c>
      <c r="AX156" s="73" t="s">
        <v>3088</v>
      </c>
      <c r="AY156" s="73" t="s">
        <v>3088</v>
      </c>
      <c r="AZ156" s="73" t="s">
        <v>3088</v>
      </c>
      <c r="BA156" s="73" t="s">
        <v>3088</v>
      </c>
      <c r="BB156" s="73" t="s">
        <v>3088</v>
      </c>
      <c r="BC156" s="73" t="s">
        <v>3088</v>
      </c>
      <c r="BD156" s="73" t="s">
        <v>3088</v>
      </c>
      <c r="BE156" s="73" t="s">
        <v>3088</v>
      </c>
      <c r="BF156" s="73" t="s">
        <v>3088</v>
      </c>
      <c r="BG156" s="73" t="s">
        <v>3088</v>
      </c>
      <c r="BH156" s="73" t="s">
        <v>3088</v>
      </c>
      <c r="BI156" s="73" t="s">
        <v>3088</v>
      </c>
      <c r="BJ156" s="73" t="s">
        <v>3088</v>
      </c>
      <c r="BK156" s="73" t="s">
        <v>3088</v>
      </c>
      <c r="BL156" s="73" t="s">
        <v>3088</v>
      </c>
      <c r="BM156" s="73" t="s">
        <v>3088</v>
      </c>
      <c r="BN156" s="73" t="s">
        <v>3088</v>
      </c>
      <c r="BO156" s="73" t="s">
        <v>3088</v>
      </c>
      <c r="BP156" s="73" t="s">
        <v>3088</v>
      </c>
      <c r="BQ156" s="73" t="s">
        <v>3925</v>
      </c>
      <c r="BR156" s="73" t="s">
        <v>3088</v>
      </c>
    </row>
    <row r="157" spans="1:70">
      <c r="A157" s="73" t="s">
        <v>3926</v>
      </c>
      <c r="B157" s="73" t="s">
        <v>2291</v>
      </c>
      <c r="C157" s="73" t="s">
        <v>3088</v>
      </c>
      <c r="D157" s="73" t="s">
        <v>3088</v>
      </c>
      <c r="E157" s="73" t="s">
        <v>3088</v>
      </c>
      <c r="F157" s="73" t="s">
        <v>3088</v>
      </c>
      <c r="G157" s="73" t="s">
        <v>3089</v>
      </c>
      <c r="H157" s="73" t="s">
        <v>3088</v>
      </c>
      <c r="I157" s="73" t="s">
        <v>2135</v>
      </c>
      <c r="J157" s="73" t="s">
        <v>2292</v>
      </c>
      <c r="K157" s="73" t="s">
        <v>3089</v>
      </c>
      <c r="L157" s="73" t="s">
        <v>3088</v>
      </c>
      <c r="M157" s="73" t="s">
        <v>3088</v>
      </c>
      <c r="N157" s="73" t="s">
        <v>3088</v>
      </c>
      <c r="O157" s="73" t="s">
        <v>3088</v>
      </c>
      <c r="P157" s="73" t="s">
        <v>3088</v>
      </c>
      <c r="Q157" s="73" t="s">
        <v>3088</v>
      </c>
      <c r="R157" s="73" t="s">
        <v>3088</v>
      </c>
      <c r="S157" s="73" t="s">
        <v>3088</v>
      </c>
      <c r="T157" s="73" t="s">
        <v>3088</v>
      </c>
      <c r="U157" s="73" t="s">
        <v>3088</v>
      </c>
      <c r="V157" s="73" t="s">
        <v>3088</v>
      </c>
      <c r="W157" s="73" t="s">
        <v>3088</v>
      </c>
      <c r="X157" s="73" t="s">
        <v>3088</v>
      </c>
      <c r="Y157" s="73" t="s">
        <v>3088</v>
      </c>
      <c r="Z157" s="73" t="s">
        <v>3088</v>
      </c>
      <c r="AA157" s="73" t="s">
        <v>3088</v>
      </c>
      <c r="AB157" s="73" t="s">
        <v>3088</v>
      </c>
      <c r="AC157" s="73" t="s">
        <v>3088</v>
      </c>
      <c r="AD157" s="73" t="s">
        <v>3088</v>
      </c>
      <c r="AE157" s="73" t="s">
        <v>3088</v>
      </c>
      <c r="AF157" s="73" t="s">
        <v>3088</v>
      </c>
      <c r="AG157" s="73" t="s">
        <v>3088</v>
      </c>
      <c r="AH157" s="73" t="s">
        <v>3088</v>
      </c>
      <c r="AI157" s="73" t="s">
        <v>3088</v>
      </c>
      <c r="AJ157" s="73" t="s">
        <v>3088</v>
      </c>
      <c r="AK157" s="73" t="s">
        <v>3088</v>
      </c>
      <c r="AL157" s="73" t="s">
        <v>3088</v>
      </c>
      <c r="AM157" s="73" t="s">
        <v>3088</v>
      </c>
      <c r="AN157" s="73" t="s">
        <v>3088</v>
      </c>
      <c r="AO157" s="73" t="s">
        <v>3088</v>
      </c>
      <c r="AP157" s="73" t="s">
        <v>3088</v>
      </c>
      <c r="AQ157" s="73" t="s">
        <v>3088</v>
      </c>
      <c r="AR157" s="73" t="s">
        <v>3088</v>
      </c>
      <c r="AS157" s="73" t="s">
        <v>3088</v>
      </c>
      <c r="AT157" s="73" t="s">
        <v>3088</v>
      </c>
      <c r="AU157" s="73" t="s">
        <v>3088</v>
      </c>
      <c r="AV157" s="73" t="s">
        <v>3088</v>
      </c>
      <c r="AW157" s="73" t="s">
        <v>3088</v>
      </c>
      <c r="AX157" s="73" t="s">
        <v>3088</v>
      </c>
      <c r="AY157" s="73" t="s">
        <v>3088</v>
      </c>
      <c r="AZ157" s="73" t="s">
        <v>3088</v>
      </c>
      <c r="BA157" s="73" t="s">
        <v>3088</v>
      </c>
      <c r="BB157" s="73" t="s">
        <v>3088</v>
      </c>
      <c r="BC157" s="73" t="s">
        <v>3088</v>
      </c>
      <c r="BD157" s="73" t="s">
        <v>3088</v>
      </c>
      <c r="BE157" s="73" t="s">
        <v>3088</v>
      </c>
      <c r="BF157" s="73" t="s">
        <v>3088</v>
      </c>
      <c r="BG157" s="73" t="s">
        <v>3088</v>
      </c>
      <c r="BH157" s="73" t="s">
        <v>3088</v>
      </c>
      <c r="BI157" s="73" t="s">
        <v>3088</v>
      </c>
      <c r="BJ157" s="73" t="s">
        <v>3088</v>
      </c>
      <c r="BK157" s="73" t="s">
        <v>3088</v>
      </c>
      <c r="BL157" s="73" t="s">
        <v>3088</v>
      </c>
      <c r="BM157" s="73" t="s">
        <v>3088</v>
      </c>
      <c r="BN157" s="73" t="s">
        <v>3088</v>
      </c>
      <c r="BO157" s="73" t="s">
        <v>3088</v>
      </c>
      <c r="BP157" s="73" t="s">
        <v>3088</v>
      </c>
      <c r="BQ157" s="73" t="s">
        <v>3927</v>
      </c>
      <c r="BR157" s="73" t="s">
        <v>3088</v>
      </c>
    </row>
    <row r="158" spans="1:70">
      <c r="A158" s="73" t="s">
        <v>3926</v>
      </c>
      <c r="B158" s="73" t="s">
        <v>2293</v>
      </c>
      <c r="C158" s="73" t="s">
        <v>2294</v>
      </c>
      <c r="D158" s="73" t="s">
        <v>3088</v>
      </c>
      <c r="E158" s="73" t="s">
        <v>3088</v>
      </c>
      <c r="F158" s="73" t="s">
        <v>3088</v>
      </c>
      <c r="G158" s="73" t="s">
        <v>3089</v>
      </c>
      <c r="H158" s="73" t="s">
        <v>3088</v>
      </c>
      <c r="I158" s="73" t="s">
        <v>108</v>
      </c>
      <c r="J158" s="73" t="s">
        <v>2299</v>
      </c>
      <c r="K158" s="73" t="s">
        <v>3089</v>
      </c>
      <c r="L158" s="73" t="s">
        <v>3122</v>
      </c>
      <c r="M158" s="73" t="s">
        <v>2299</v>
      </c>
      <c r="N158" s="73" t="s">
        <v>3089</v>
      </c>
      <c r="O158" s="73" t="s">
        <v>3088</v>
      </c>
      <c r="P158" s="73" t="s">
        <v>3088</v>
      </c>
      <c r="Q158" s="73" t="s">
        <v>3088</v>
      </c>
      <c r="R158" s="73" t="s">
        <v>3088</v>
      </c>
      <c r="S158" s="73" t="s">
        <v>3088</v>
      </c>
      <c r="T158" s="73" t="s">
        <v>3088</v>
      </c>
      <c r="U158" s="73" t="s">
        <v>3088</v>
      </c>
      <c r="V158" s="73" t="s">
        <v>3088</v>
      </c>
      <c r="W158" s="73" t="s">
        <v>3088</v>
      </c>
      <c r="X158" s="73" t="s">
        <v>3088</v>
      </c>
      <c r="Y158" s="73" t="s">
        <v>3088</v>
      </c>
      <c r="Z158" s="73" t="s">
        <v>3088</v>
      </c>
      <c r="AA158" s="73" t="s">
        <v>3088</v>
      </c>
      <c r="AB158" s="73" t="s">
        <v>3088</v>
      </c>
      <c r="AC158" s="73" t="s">
        <v>3088</v>
      </c>
      <c r="AD158" s="73" t="s">
        <v>3088</v>
      </c>
      <c r="AE158" s="73" t="s">
        <v>3088</v>
      </c>
      <c r="AF158" s="73" t="s">
        <v>3088</v>
      </c>
      <c r="AG158" s="73" t="s">
        <v>3088</v>
      </c>
      <c r="AH158" s="73" t="s">
        <v>3088</v>
      </c>
      <c r="AI158" s="73" t="s">
        <v>3088</v>
      </c>
      <c r="AJ158" s="73" t="s">
        <v>3088</v>
      </c>
      <c r="AK158" s="73" t="s">
        <v>3088</v>
      </c>
      <c r="AL158" s="73" t="s">
        <v>3088</v>
      </c>
      <c r="AM158" s="73" t="s">
        <v>3088</v>
      </c>
      <c r="AN158" s="73" t="s">
        <v>3088</v>
      </c>
      <c r="AO158" s="73" t="s">
        <v>3088</v>
      </c>
      <c r="AP158" s="73" t="s">
        <v>3088</v>
      </c>
      <c r="AQ158" s="73" t="s">
        <v>3088</v>
      </c>
      <c r="AR158" s="73" t="s">
        <v>3088</v>
      </c>
      <c r="AS158" s="73" t="s">
        <v>3088</v>
      </c>
      <c r="AT158" s="73" t="s">
        <v>3088</v>
      </c>
      <c r="AU158" s="73" t="s">
        <v>3088</v>
      </c>
      <c r="AV158" s="73" t="s">
        <v>3088</v>
      </c>
      <c r="AW158" s="73" t="s">
        <v>3088</v>
      </c>
      <c r="AX158" s="73" t="s">
        <v>3088</v>
      </c>
      <c r="AY158" s="73" t="s">
        <v>3088</v>
      </c>
      <c r="AZ158" s="73" t="s">
        <v>3088</v>
      </c>
      <c r="BA158" s="73" t="s">
        <v>3088</v>
      </c>
      <c r="BB158" s="73" t="s">
        <v>3088</v>
      </c>
      <c r="BC158" s="73" t="s">
        <v>3088</v>
      </c>
      <c r="BD158" s="73" t="s">
        <v>3088</v>
      </c>
      <c r="BE158" s="73" t="s">
        <v>3088</v>
      </c>
      <c r="BF158" s="73" t="s">
        <v>3088</v>
      </c>
      <c r="BG158" s="73" t="s">
        <v>3088</v>
      </c>
      <c r="BH158" s="73" t="s">
        <v>3088</v>
      </c>
      <c r="BI158" s="73" t="s">
        <v>3088</v>
      </c>
      <c r="BJ158" s="73" t="s">
        <v>3088</v>
      </c>
      <c r="BK158" s="73" t="s">
        <v>3088</v>
      </c>
      <c r="BL158" s="73" t="s">
        <v>3088</v>
      </c>
      <c r="BM158" s="73" t="s">
        <v>3088</v>
      </c>
      <c r="BN158" s="73" t="s">
        <v>3088</v>
      </c>
      <c r="BO158" s="73" t="s">
        <v>3088</v>
      </c>
      <c r="BP158" s="73" t="s">
        <v>3088</v>
      </c>
      <c r="BQ158" s="73" t="s">
        <v>3928</v>
      </c>
      <c r="BR158" s="73" t="s">
        <v>3088</v>
      </c>
    </row>
    <row r="159" spans="1:70">
      <c r="A159" s="73" t="s">
        <v>3926</v>
      </c>
      <c r="B159" s="73" t="s">
        <v>3929</v>
      </c>
      <c r="C159" s="73" t="s">
        <v>2298</v>
      </c>
      <c r="D159" s="73" t="s">
        <v>3088</v>
      </c>
      <c r="E159" s="73" t="s">
        <v>3088</v>
      </c>
      <c r="F159" s="73" t="s">
        <v>3088</v>
      </c>
      <c r="G159" s="73" t="s">
        <v>3089</v>
      </c>
      <c r="H159" s="73" t="s">
        <v>3088</v>
      </c>
      <c r="I159" s="73" t="s">
        <v>3122</v>
      </c>
      <c r="J159" s="73" t="s">
        <v>2299</v>
      </c>
      <c r="K159" s="73" t="s">
        <v>3089</v>
      </c>
      <c r="L159" s="73" t="s">
        <v>3088</v>
      </c>
      <c r="M159" s="73" t="s">
        <v>3088</v>
      </c>
      <c r="N159" s="73" t="s">
        <v>3088</v>
      </c>
      <c r="O159" s="73" t="s">
        <v>3088</v>
      </c>
      <c r="P159" s="73" t="s">
        <v>3088</v>
      </c>
      <c r="Q159" s="73" t="s">
        <v>3088</v>
      </c>
      <c r="R159" s="73" t="s">
        <v>3088</v>
      </c>
      <c r="S159" s="73" t="s">
        <v>3088</v>
      </c>
      <c r="T159" s="73" t="s">
        <v>3088</v>
      </c>
      <c r="U159" s="73" t="s">
        <v>3088</v>
      </c>
      <c r="V159" s="73" t="s">
        <v>3088</v>
      </c>
      <c r="W159" s="73" t="s">
        <v>3088</v>
      </c>
      <c r="X159" s="73" t="s">
        <v>3088</v>
      </c>
      <c r="Y159" s="73" t="s">
        <v>3088</v>
      </c>
      <c r="Z159" s="73" t="s">
        <v>3088</v>
      </c>
      <c r="AA159" s="73" t="s">
        <v>3088</v>
      </c>
      <c r="AB159" s="73" t="s">
        <v>3088</v>
      </c>
      <c r="AC159" s="73" t="s">
        <v>3088</v>
      </c>
      <c r="AD159" s="73" t="s">
        <v>3088</v>
      </c>
      <c r="AE159" s="73" t="s">
        <v>3088</v>
      </c>
      <c r="AF159" s="73" t="s">
        <v>3088</v>
      </c>
      <c r="AG159" s="73" t="s">
        <v>3088</v>
      </c>
      <c r="AH159" s="73" t="s">
        <v>3088</v>
      </c>
      <c r="AI159" s="73" t="s">
        <v>3088</v>
      </c>
      <c r="AJ159" s="73" t="s">
        <v>3088</v>
      </c>
      <c r="AK159" s="73" t="s">
        <v>3088</v>
      </c>
      <c r="AL159" s="73" t="s">
        <v>3088</v>
      </c>
      <c r="AM159" s="73" t="s">
        <v>3088</v>
      </c>
      <c r="AN159" s="73" t="s">
        <v>3088</v>
      </c>
      <c r="AO159" s="73" t="s">
        <v>3088</v>
      </c>
      <c r="AP159" s="73" t="s">
        <v>3088</v>
      </c>
      <c r="AQ159" s="73" t="s">
        <v>3088</v>
      </c>
      <c r="AR159" s="73" t="s">
        <v>3088</v>
      </c>
      <c r="AS159" s="73" t="s">
        <v>3088</v>
      </c>
      <c r="AT159" s="73" t="s">
        <v>3088</v>
      </c>
      <c r="AU159" s="73" t="s">
        <v>3088</v>
      </c>
      <c r="AV159" s="73" t="s">
        <v>3088</v>
      </c>
      <c r="AW159" s="73" t="s">
        <v>3088</v>
      </c>
      <c r="AX159" s="73" t="s">
        <v>3088</v>
      </c>
      <c r="AY159" s="73" t="s">
        <v>3088</v>
      </c>
      <c r="AZ159" s="73" t="s">
        <v>3088</v>
      </c>
      <c r="BA159" s="73" t="s">
        <v>3088</v>
      </c>
      <c r="BB159" s="73" t="s">
        <v>3088</v>
      </c>
      <c r="BC159" s="73" t="s">
        <v>3088</v>
      </c>
      <c r="BD159" s="73" t="s">
        <v>3088</v>
      </c>
      <c r="BE159" s="73" t="s">
        <v>3088</v>
      </c>
      <c r="BF159" s="73" t="s">
        <v>3088</v>
      </c>
      <c r="BG159" s="73" t="s">
        <v>3088</v>
      </c>
      <c r="BH159" s="73" t="s">
        <v>3088</v>
      </c>
      <c r="BI159" s="73" t="s">
        <v>3088</v>
      </c>
      <c r="BJ159" s="73" t="s">
        <v>3088</v>
      </c>
      <c r="BK159" s="73" t="s">
        <v>3088</v>
      </c>
      <c r="BL159" s="73" t="s">
        <v>3088</v>
      </c>
      <c r="BM159" s="73" t="s">
        <v>3088</v>
      </c>
      <c r="BN159" s="73" t="s">
        <v>3088</v>
      </c>
      <c r="BO159" s="73" t="s">
        <v>3088</v>
      </c>
      <c r="BP159" s="73" t="s">
        <v>3088</v>
      </c>
      <c r="BQ159" s="73" t="s">
        <v>3930</v>
      </c>
      <c r="BR159" s="73" t="s">
        <v>3088</v>
      </c>
    </row>
    <row r="160" spans="1:70">
      <c r="A160" s="73" t="s">
        <v>3926</v>
      </c>
      <c r="B160" s="73" t="s">
        <v>2385</v>
      </c>
      <c r="C160" s="73" t="s">
        <v>2298</v>
      </c>
      <c r="D160" s="73" t="s">
        <v>3088</v>
      </c>
      <c r="E160" s="73" t="s">
        <v>3088</v>
      </c>
      <c r="F160" s="73" t="s">
        <v>3088</v>
      </c>
      <c r="G160" s="73" t="s">
        <v>3089</v>
      </c>
      <c r="H160" s="73" t="s">
        <v>3088</v>
      </c>
      <c r="I160" s="73" t="s">
        <v>543</v>
      </c>
      <c r="J160" s="73" t="s">
        <v>2386</v>
      </c>
      <c r="K160" s="73" t="s">
        <v>3089</v>
      </c>
      <c r="L160" s="73" t="s">
        <v>3088</v>
      </c>
      <c r="M160" s="73" t="s">
        <v>3088</v>
      </c>
      <c r="N160" s="73" t="s">
        <v>3088</v>
      </c>
      <c r="O160" s="73" t="s">
        <v>3088</v>
      </c>
      <c r="P160" s="73" t="s">
        <v>3088</v>
      </c>
      <c r="Q160" s="73" t="s">
        <v>3088</v>
      </c>
      <c r="R160" s="73" t="s">
        <v>3088</v>
      </c>
      <c r="S160" s="73" t="s">
        <v>3088</v>
      </c>
      <c r="T160" s="73" t="s">
        <v>3088</v>
      </c>
      <c r="U160" s="73" t="s">
        <v>3088</v>
      </c>
      <c r="V160" s="73" t="s">
        <v>3088</v>
      </c>
      <c r="W160" s="73" t="s">
        <v>3088</v>
      </c>
      <c r="X160" s="73" t="s">
        <v>3088</v>
      </c>
      <c r="Y160" s="73" t="s">
        <v>3088</v>
      </c>
      <c r="Z160" s="73" t="s">
        <v>3088</v>
      </c>
      <c r="AA160" s="73" t="s">
        <v>3088</v>
      </c>
      <c r="AB160" s="73" t="s">
        <v>3088</v>
      </c>
      <c r="AC160" s="73" t="s">
        <v>3088</v>
      </c>
      <c r="AD160" s="73" t="s">
        <v>3088</v>
      </c>
      <c r="AE160" s="73" t="s">
        <v>3088</v>
      </c>
      <c r="AF160" s="73" t="s">
        <v>3088</v>
      </c>
      <c r="AG160" s="73" t="s">
        <v>3088</v>
      </c>
      <c r="AH160" s="73" t="s">
        <v>3088</v>
      </c>
      <c r="AI160" s="73" t="s">
        <v>3088</v>
      </c>
      <c r="AJ160" s="73" t="s">
        <v>3088</v>
      </c>
      <c r="AK160" s="73" t="s">
        <v>3088</v>
      </c>
      <c r="AL160" s="73" t="s">
        <v>3088</v>
      </c>
      <c r="AM160" s="73" t="s">
        <v>3088</v>
      </c>
      <c r="AN160" s="73" t="s">
        <v>3088</v>
      </c>
      <c r="AO160" s="73" t="s">
        <v>3088</v>
      </c>
      <c r="AP160" s="73" t="s">
        <v>3088</v>
      </c>
      <c r="AQ160" s="73" t="s">
        <v>3088</v>
      </c>
      <c r="AR160" s="73" t="s">
        <v>3088</v>
      </c>
      <c r="AS160" s="73" t="s">
        <v>3088</v>
      </c>
      <c r="AT160" s="73" t="s">
        <v>3088</v>
      </c>
      <c r="AU160" s="73" t="s">
        <v>3088</v>
      </c>
      <c r="AV160" s="73" t="s">
        <v>3088</v>
      </c>
      <c r="AW160" s="73" t="s">
        <v>3088</v>
      </c>
      <c r="AX160" s="73" t="s">
        <v>3088</v>
      </c>
      <c r="AY160" s="73" t="s">
        <v>3088</v>
      </c>
      <c r="AZ160" s="73" t="s">
        <v>3088</v>
      </c>
      <c r="BA160" s="73" t="s">
        <v>3088</v>
      </c>
      <c r="BB160" s="73" t="s">
        <v>3088</v>
      </c>
      <c r="BC160" s="73" t="s">
        <v>3088</v>
      </c>
      <c r="BD160" s="73" t="s">
        <v>3088</v>
      </c>
      <c r="BE160" s="73" t="s">
        <v>3088</v>
      </c>
      <c r="BF160" s="73" t="s">
        <v>3088</v>
      </c>
      <c r="BG160" s="73" t="s">
        <v>3088</v>
      </c>
      <c r="BH160" s="73" t="s">
        <v>3088</v>
      </c>
      <c r="BI160" s="73" t="s">
        <v>3088</v>
      </c>
      <c r="BJ160" s="73" t="s">
        <v>3088</v>
      </c>
      <c r="BK160" s="73" t="s">
        <v>3088</v>
      </c>
      <c r="BL160" s="73" t="s">
        <v>3088</v>
      </c>
      <c r="BM160" s="73" t="s">
        <v>3088</v>
      </c>
      <c r="BN160" s="73" t="s">
        <v>3088</v>
      </c>
      <c r="BO160" s="73" t="s">
        <v>3088</v>
      </c>
      <c r="BP160" s="73" t="s">
        <v>3088</v>
      </c>
      <c r="BQ160" s="73" t="s">
        <v>3931</v>
      </c>
      <c r="BR160" s="73" t="s">
        <v>3088</v>
      </c>
    </row>
    <row r="161" spans="1:70">
      <c r="A161" s="73" t="s">
        <v>3926</v>
      </c>
      <c r="B161" s="73" t="s">
        <v>2297</v>
      </c>
      <c r="C161" s="73" t="s">
        <v>2298</v>
      </c>
      <c r="D161" s="73" t="s">
        <v>3088</v>
      </c>
      <c r="E161" s="73" t="s">
        <v>3088</v>
      </c>
      <c r="F161" s="73" t="s">
        <v>3088</v>
      </c>
      <c r="G161" s="73" t="s">
        <v>3089</v>
      </c>
      <c r="H161" s="73" t="s">
        <v>3088</v>
      </c>
      <c r="I161" s="73" t="s">
        <v>108</v>
      </c>
      <c r="J161" s="73" t="s">
        <v>2299</v>
      </c>
      <c r="K161" s="73" t="s">
        <v>3089</v>
      </c>
      <c r="L161" s="73" t="s">
        <v>3088</v>
      </c>
      <c r="M161" s="73" t="s">
        <v>3088</v>
      </c>
      <c r="N161" s="73" t="s">
        <v>3088</v>
      </c>
      <c r="O161" s="73" t="s">
        <v>3088</v>
      </c>
      <c r="P161" s="73" t="s">
        <v>3088</v>
      </c>
      <c r="Q161" s="73" t="s">
        <v>3088</v>
      </c>
      <c r="R161" s="73" t="s">
        <v>3088</v>
      </c>
      <c r="S161" s="73" t="s">
        <v>3088</v>
      </c>
      <c r="T161" s="73" t="s">
        <v>3088</v>
      </c>
      <c r="U161" s="73" t="s">
        <v>3088</v>
      </c>
      <c r="V161" s="73" t="s">
        <v>3088</v>
      </c>
      <c r="W161" s="73" t="s">
        <v>3088</v>
      </c>
      <c r="X161" s="73" t="s">
        <v>3088</v>
      </c>
      <c r="Y161" s="73" t="s">
        <v>3088</v>
      </c>
      <c r="Z161" s="73" t="s">
        <v>3088</v>
      </c>
      <c r="AA161" s="73" t="s">
        <v>3088</v>
      </c>
      <c r="AB161" s="73" t="s">
        <v>3088</v>
      </c>
      <c r="AC161" s="73" t="s">
        <v>3088</v>
      </c>
      <c r="AD161" s="73" t="s">
        <v>3088</v>
      </c>
      <c r="AE161" s="73" t="s">
        <v>3088</v>
      </c>
      <c r="AF161" s="73" t="s">
        <v>3088</v>
      </c>
      <c r="AG161" s="73" t="s">
        <v>3088</v>
      </c>
      <c r="AH161" s="73" t="s">
        <v>3088</v>
      </c>
      <c r="AI161" s="73" t="s">
        <v>3088</v>
      </c>
      <c r="AJ161" s="73" t="s">
        <v>3088</v>
      </c>
      <c r="AK161" s="73" t="s">
        <v>3088</v>
      </c>
      <c r="AL161" s="73" t="s">
        <v>3088</v>
      </c>
      <c r="AM161" s="73" t="s">
        <v>3088</v>
      </c>
      <c r="AN161" s="73" t="s">
        <v>3088</v>
      </c>
      <c r="AO161" s="73" t="s">
        <v>3088</v>
      </c>
      <c r="AP161" s="73" t="s">
        <v>3088</v>
      </c>
      <c r="AQ161" s="73" t="s">
        <v>3088</v>
      </c>
      <c r="AR161" s="73" t="s">
        <v>3088</v>
      </c>
      <c r="AS161" s="73" t="s">
        <v>3088</v>
      </c>
      <c r="AT161" s="73" t="s">
        <v>3088</v>
      </c>
      <c r="AU161" s="73" t="s">
        <v>3088</v>
      </c>
      <c r="AV161" s="73" t="s">
        <v>3088</v>
      </c>
      <c r="AW161" s="73" t="s">
        <v>3088</v>
      </c>
      <c r="AX161" s="73" t="s">
        <v>3088</v>
      </c>
      <c r="AY161" s="73" t="s">
        <v>3088</v>
      </c>
      <c r="AZ161" s="73" t="s">
        <v>3088</v>
      </c>
      <c r="BA161" s="73" t="s">
        <v>3088</v>
      </c>
      <c r="BB161" s="73" t="s">
        <v>3088</v>
      </c>
      <c r="BC161" s="73" t="s">
        <v>3088</v>
      </c>
      <c r="BD161" s="73" t="s">
        <v>3088</v>
      </c>
      <c r="BE161" s="73" t="s">
        <v>3088</v>
      </c>
      <c r="BF161" s="73" t="s">
        <v>3088</v>
      </c>
      <c r="BG161" s="73" t="s">
        <v>3088</v>
      </c>
      <c r="BH161" s="73" t="s">
        <v>3088</v>
      </c>
      <c r="BI161" s="73" t="s">
        <v>3088</v>
      </c>
      <c r="BJ161" s="73" t="s">
        <v>3088</v>
      </c>
      <c r="BK161" s="73" t="s">
        <v>3088</v>
      </c>
      <c r="BL161" s="73" t="s">
        <v>3088</v>
      </c>
      <c r="BM161" s="73" t="s">
        <v>3088</v>
      </c>
      <c r="BN161" s="73" t="s">
        <v>3088</v>
      </c>
      <c r="BO161" s="73" t="s">
        <v>3088</v>
      </c>
      <c r="BP161" s="73" t="s">
        <v>3088</v>
      </c>
      <c r="BQ161" s="73" t="s">
        <v>3932</v>
      </c>
      <c r="BR161" s="73" t="s">
        <v>3088</v>
      </c>
    </row>
    <row r="162" spans="1:70">
      <c r="A162" s="73" t="s">
        <v>3926</v>
      </c>
      <c r="B162" s="73" t="s">
        <v>2300</v>
      </c>
      <c r="C162" s="73" t="s">
        <v>2294</v>
      </c>
      <c r="D162" s="73" t="s">
        <v>3088</v>
      </c>
      <c r="E162" s="73" t="s">
        <v>3088</v>
      </c>
      <c r="F162" s="73" t="s">
        <v>3088</v>
      </c>
      <c r="G162" s="73" t="s">
        <v>3089</v>
      </c>
      <c r="H162" s="73" t="s">
        <v>3088</v>
      </c>
      <c r="I162" s="73" t="s">
        <v>108</v>
      </c>
      <c r="J162" s="73" t="s">
        <v>2299</v>
      </c>
      <c r="K162" s="73" t="s">
        <v>3089</v>
      </c>
      <c r="L162" s="73" t="s">
        <v>3088</v>
      </c>
      <c r="M162" s="73" t="s">
        <v>3088</v>
      </c>
      <c r="N162" s="73" t="s">
        <v>3088</v>
      </c>
      <c r="O162" s="73" t="s">
        <v>3088</v>
      </c>
      <c r="P162" s="73" t="s">
        <v>3088</v>
      </c>
      <c r="Q162" s="73" t="s">
        <v>3088</v>
      </c>
      <c r="R162" s="73" t="s">
        <v>3088</v>
      </c>
      <c r="S162" s="73" t="s">
        <v>3088</v>
      </c>
      <c r="T162" s="73" t="s">
        <v>3088</v>
      </c>
      <c r="U162" s="73" t="s">
        <v>3088</v>
      </c>
      <c r="V162" s="73" t="s">
        <v>3088</v>
      </c>
      <c r="W162" s="73" t="s">
        <v>3088</v>
      </c>
      <c r="X162" s="73" t="s">
        <v>3088</v>
      </c>
      <c r="Y162" s="73" t="s">
        <v>3088</v>
      </c>
      <c r="Z162" s="73" t="s">
        <v>3088</v>
      </c>
      <c r="AA162" s="73" t="s">
        <v>3088</v>
      </c>
      <c r="AB162" s="73" t="s">
        <v>3088</v>
      </c>
      <c r="AC162" s="73" t="s">
        <v>3088</v>
      </c>
      <c r="AD162" s="73" t="s">
        <v>3088</v>
      </c>
      <c r="AE162" s="73" t="s">
        <v>3088</v>
      </c>
      <c r="AF162" s="73" t="s">
        <v>3088</v>
      </c>
      <c r="AG162" s="73" t="s">
        <v>3088</v>
      </c>
      <c r="AH162" s="73" t="s">
        <v>3088</v>
      </c>
      <c r="AI162" s="73" t="s">
        <v>3088</v>
      </c>
      <c r="AJ162" s="73" t="s">
        <v>3088</v>
      </c>
      <c r="AK162" s="73" t="s">
        <v>3088</v>
      </c>
      <c r="AL162" s="73" t="s">
        <v>3088</v>
      </c>
      <c r="AM162" s="73" t="s">
        <v>3088</v>
      </c>
      <c r="AN162" s="73" t="s">
        <v>3088</v>
      </c>
      <c r="AO162" s="73" t="s">
        <v>3088</v>
      </c>
      <c r="AP162" s="73" t="s">
        <v>3088</v>
      </c>
      <c r="AQ162" s="73" t="s">
        <v>3088</v>
      </c>
      <c r="AR162" s="73" t="s">
        <v>3088</v>
      </c>
      <c r="AS162" s="73" t="s">
        <v>3088</v>
      </c>
      <c r="AT162" s="73" t="s">
        <v>3088</v>
      </c>
      <c r="AU162" s="73" t="s">
        <v>3088</v>
      </c>
      <c r="AV162" s="73" t="s">
        <v>3088</v>
      </c>
      <c r="AW162" s="73" t="s">
        <v>3088</v>
      </c>
      <c r="AX162" s="73" t="s">
        <v>3088</v>
      </c>
      <c r="AY162" s="73" t="s">
        <v>3088</v>
      </c>
      <c r="AZ162" s="73" t="s">
        <v>3088</v>
      </c>
      <c r="BA162" s="73" t="s">
        <v>3088</v>
      </c>
      <c r="BB162" s="73" t="s">
        <v>3088</v>
      </c>
      <c r="BC162" s="73" t="s">
        <v>3088</v>
      </c>
      <c r="BD162" s="73" t="s">
        <v>3088</v>
      </c>
      <c r="BE162" s="73" t="s">
        <v>3088</v>
      </c>
      <c r="BF162" s="73" t="s">
        <v>3088</v>
      </c>
      <c r="BG162" s="73" t="s">
        <v>3088</v>
      </c>
      <c r="BH162" s="73" t="s">
        <v>3088</v>
      </c>
      <c r="BI162" s="73" t="s">
        <v>3088</v>
      </c>
      <c r="BJ162" s="73" t="s">
        <v>3088</v>
      </c>
      <c r="BK162" s="73" t="s">
        <v>3088</v>
      </c>
      <c r="BL162" s="73" t="s">
        <v>3088</v>
      </c>
      <c r="BM162" s="73" t="s">
        <v>3088</v>
      </c>
      <c r="BN162" s="73" t="s">
        <v>3088</v>
      </c>
      <c r="BO162" s="73" t="s">
        <v>3088</v>
      </c>
      <c r="BP162" s="73" t="s">
        <v>3088</v>
      </c>
      <c r="BQ162" s="73" t="s">
        <v>3933</v>
      </c>
      <c r="BR162" s="73" t="s">
        <v>3088</v>
      </c>
    </row>
    <row r="163" spans="1:70">
      <c r="A163" s="73" t="s">
        <v>3926</v>
      </c>
      <c r="B163" s="73" t="s">
        <v>2301</v>
      </c>
      <c r="C163" s="73" t="s">
        <v>2302</v>
      </c>
      <c r="D163" s="73" t="s">
        <v>3088</v>
      </c>
      <c r="E163" s="73" t="s">
        <v>3088</v>
      </c>
      <c r="F163" s="73" t="s">
        <v>3088</v>
      </c>
      <c r="G163" s="73" t="s">
        <v>3089</v>
      </c>
      <c r="H163" s="73" t="s">
        <v>3088</v>
      </c>
      <c r="I163" s="73" t="s">
        <v>2193</v>
      </c>
      <c r="J163" s="73" t="s">
        <v>2303</v>
      </c>
      <c r="K163" s="73" t="s">
        <v>3089</v>
      </c>
      <c r="L163" s="73" t="s">
        <v>3088</v>
      </c>
      <c r="M163" s="73" t="s">
        <v>3088</v>
      </c>
      <c r="N163" s="73" t="s">
        <v>3088</v>
      </c>
      <c r="O163" s="73" t="s">
        <v>3088</v>
      </c>
      <c r="P163" s="73" t="s">
        <v>3088</v>
      </c>
      <c r="Q163" s="73" t="s">
        <v>3088</v>
      </c>
      <c r="R163" s="73" t="s">
        <v>3088</v>
      </c>
      <c r="S163" s="73" t="s">
        <v>3088</v>
      </c>
      <c r="T163" s="73" t="s">
        <v>3088</v>
      </c>
      <c r="U163" s="73" t="s">
        <v>3088</v>
      </c>
      <c r="V163" s="73" t="s">
        <v>3088</v>
      </c>
      <c r="W163" s="73" t="s">
        <v>3088</v>
      </c>
      <c r="X163" s="73" t="s">
        <v>3088</v>
      </c>
      <c r="Y163" s="73" t="s">
        <v>3088</v>
      </c>
      <c r="Z163" s="73" t="s">
        <v>3088</v>
      </c>
      <c r="AA163" s="73" t="s">
        <v>3088</v>
      </c>
      <c r="AB163" s="73" t="s">
        <v>3088</v>
      </c>
      <c r="AC163" s="73" t="s">
        <v>3088</v>
      </c>
      <c r="AD163" s="73" t="s">
        <v>3088</v>
      </c>
      <c r="AE163" s="73" t="s">
        <v>3088</v>
      </c>
      <c r="AF163" s="73" t="s">
        <v>3088</v>
      </c>
      <c r="AG163" s="73" t="s">
        <v>3088</v>
      </c>
      <c r="AH163" s="73" t="s">
        <v>3088</v>
      </c>
      <c r="AI163" s="73" t="s">
        <v>3088</v>
      </c>
      <c r="AJ163" s="73" t="s">
        <v>3088</v>
      </c>
      <c r="AK163" s="73" t="s">
        <v>3088</v>
      </c>
      <c r="AL163" s="73" t="s">
        <v>3088</v>
      </c>
      <c r="AM163" s="73" t="s">
        <v>3088</v>
      </c>
      <c r="AN163" s="73" t="s">
        <v>3088</v>
      </c>
      <c r="AO163" s="73" t="s">
        <v>3088</v>
      </c>
      <c r="AP163" s="73" t="s">
        <v>3088</v>
      </c>
      <c r="AQ163" s="73" t="s">
        <v>3088</v>
      </c>
      <c r="AR163" s="73" t="s">
        <v>3088</v>
      </c>
      <c r="AS163" s="73" t="s">
        <v>3088</v>
      </c>
      <c r="AT163" s="73" t="s">
        <v>3088</v>
      </c>
      <c r="AU163" s="73" t="s">
        <v>3088</v>
      </c>
      <c r="AV163" s="73" t="s">
        <v>3088</v>
      </c>
      <c r="AW163" s="73" t="s">
        <v>3088</v>
      </c>
      <c r="AX163" s="73" t="s">
        <v>3088</v>
      </c>
      <c r="AY163" s="73" t="s">
        <v>3088</v>
      </c>
      <c r="AZ163" s="73" t="s">
        <v>3088</v>
      </c>
      <c r="BA163" s="73" t="s">
        <v>3088</v>
      </c>
      <c r="BB163" s="73" t="s">
        <v>3088</v>
      </c>
      <c r="BC163" s="73" t="s">
        <v>3088</v>
      </c>
      <c r="BD163" s="73" t="s">
        <v>3088</v>
      </c>
      <c r="BE163" s="73" t="s">
        <v>3088</v>
      </c>
      <c r="BF163" s="73" t="s">
        <v>3088</v>
      </c>
      <c r="BG163" s="73" t="s">
        <v>3088</v>
      </c>
      <c r="BH163" s="73" t="s">
        <v>3088</v>
      </c>
      <c r="BI163" s="73" t="s">
        <v>3088</v>
      </c>
      <c r="BJ163" s="73" t="s">
        <v>3088</v>
      </c>
      <c r="BK163" s="73" t="s">
        <v>3088</v>
      </c>
      <c r="BL163" s="73" t="s">
        <v>3088</v>
      </c>
      <c r="BM163" s="73" t="s">
        <v>3088</v>
      </c>
      <c r="BN163" s="73" t="s">
        <v>3088</v>
      </c>
      <c r="BO163" s="73" t="s">
        <v>3088</v>
      </c>
      <c r="BP163" s="73" t="s">
        <v>3088</v>
      </c>
      <c r="BQ163" s="73" t="s">
        <v>3934</v>
      </c>
      <c r="BR163" s="73" t="s">
        <v>3088</v>
      </c>
    </row>
    <row r="164" spans="1:70">
      <c r="A164" s="73" t="s">
        <v>3926</v>
      </c>
      <c r="B164" s="73" t="s">
        <v>2304</v>
      </c>
      <c r="C164" s="73" t="s">
        <v>2305</v>
      </c>
      <c r="D164" s="73" t="s">
        <v>3088</v>
      </c>
      <c r="E164" s="73" t="s">
        <v>3088</v>
      </c>
      <c r="F164" s="73" t="s">
        <v>3088</v>
      </c>
      <c r="G164" s="73" t="s">
        <v>3089</v>
      </c>
      <c r="H164" s="73" t="s">
        <v>3088</v>
      </c>
      <c r="I164" s="73" t="s">
        <v>108</v>
      </c>
      <c r="J164" s="73" t="s">
        <v>3935</v>
      </c>
      <c r="K164" s="73" t="s">
        <v>3089</v>
      </c>
      <c r="L164" s="73" t="s">
        <v>2463</v>
      </c>
      <c r="M164" s="73" t="s">
        <v>2292</v>
      </c>
      <c r="N164" s="73" t="s">
        <v>3089</v>
      </c>
      <c r="O164" s="73" t="s">
        <v>3088</v>
      </c>
      <c r="P164" s="73" t="s">
        <v>3088</v>
      </c>
      <c r="Q164" s="73" t="s">
        <v>3088</v>
      </c>
      <c r="R164" s="73" t="s">
        <v>3088</v>
      </c>
      <c r="S164" s="73" t="s">
        <v>3088</v>
      </c>
      <c r="T164" s="73" t="s">
        <v>3088</v>
      </c>
      <c r="U164" s="73" t="s">
        <v>3088</v>
      </c>
      <c r="V164" s="73" t="s">
        <v>3088</v>
      </c>
      <c r="W164" s="73" t="s">
        <v>3088</v>
      </c>
      <c r="X164" s="73" t="s">
        <v>3088</v>
      </c>
      <c r="Y164" s="73" t="s">
        <v>3088</v>
      </c>
      <c r="Z164" s="73" t="s">
        <v>3088</v>
      </c>
      <c r="AA164" s="73" t="s">
        <v>3088</v>
      </c>
      <c r="AB164" s="73" t="s">
        <v>3088</v>
      </c>
      <c r="AC164" s="73" t="s">
        <v>3088</v>
      </c>
      <c r="AD164" s="73" t="s">
        <v>3088</v>
      </c>
      <c r="AE164" s="73" t="s">
        <v>3088</v>
      </c>
      <c r="AF164" s="73" t="s">
        <v>3088</v>
      </c>
      <c r="AG164" s="73" t="s">
        <v>3088</v>
      </c>
      <c r="AH164" s="73" t="s">
        <v>3088</v>
      </c>
      <c r="AI164" s="73" t="s">
        <v>3088</v>
      </c>
      <c r="AJ164" s="73" t="s">
        <v>3088</v>
      </c>
      <c r="AK164" s="73" t="s">
        <v>3088</v>
      </c>
      <c r="AL164" s="73" t="s">
        <v>3088</v>
      </c>
      <c r="AM164" s="73" t="s">
        <v>3088</v>
      </c>
      <c r="AN164" s="73" t="s">
        <v>3088</v>
      </c>
      <c r="AO164" s="73" t="s">
        <v>3088</v>
      </c>
      <c r="AP164" s="73" t="s">
        <v>3088</v>
      </c>
      <c r="AQ164" s="73" t="s">
        <v>3088</v>
      </c>
      <c r="AR164" s="73" t="s">
        <v>3088</v>
      </c>
      <c r="AS164" s="73" t="s">
        <v>3088</v>
      </c>
      <c r="AT164" s="73" t="s">
        <v>3088</v>
      </c>
      <c r="AU164" s="73" t="s">
        <v>3088</v>
      </c>
      <c r="AV164" s="73" t="s">
        <v>3088</v>
      </c>
      <c r="AW164" s="73" t="s">
        <v>3088</v>
      </c>
      <c r="AX164" s="73" t="s">
        <v>3088</v>
      </c>
      <c r="AY164" s="73" t="s">
        <v>3088</v>
      </c>
      <c r="AZ164" s="73" t="s">
        <v>3088</v>
      </c>
      <c r="BA164" s="73" t="s">
        <v>3088</v>
      </c>
      <c r="BB164" s="73" t="s">
        <v>3088</v>
      </c>
      <c r="BC164" s="73" t="s">
        <v>3088</v>
      </c>
      <c r="BD164" s="73" t="s">
        <v>3088</v>
      </c>
      <c r="BE164" s="73" t="s">
        <v>3088</v>
      </c>
      <c r="BF164" s="73" t="s">
        <v>3088</v>
      </c>
      <c r="BG164" s="73" t="s">
        <v>3088</v>
      </c>
      <c r="BH164" s="73" t="s">
        <v>3088</v>
      </c>
      <c r="BI164" s="73" t="s">
        <v>3088</v>
      </c>
      <c r="BJ164" s="73" t="s">
        <v>3088</v>
      </c>
      <c r="BK164" s="73" t="s">
        <v>3088</v>
      </c>
      <c r="BL164" s="73" t="s">
        <v>3088</v>
      </c>
      <c r="BM164" s="73" t="s">
        <v>3088</v>
      </c>
      <c r="BN164" s="73" t="s">
        <v>3088</v>
      </c>
      <c r="BO164" s="73" t="s">
        <v>3088</v>
      </c>
      <c r="BP164" s="73" t="s">
        <v>3088</v>
      </c>
      <c r="BQ164" s="73" t="s">
        <v>3936</v>
      </c>
      <c r="BR164" s="73" t="s">
        <v>3088</v>
      </c>
    </row>
    <row r="165" spans="1:70">
      <c r="A165" s="73" t="s">
        <v>3926</v>
      </c>
      <c r="B165" s="73" t="s">
        <v>3937</v>
      </c>
      <c r="C165" s="73" t="s">
        <v>2305</v>
      </c>
      <c r="D165" s="73" t="s">
        <v>3088</v>
      </c>
      <c r="E165" s="73" t="s">
        <v>3088</v>
      </c>
      <c r="F165" s="73" t="s">
        <v>3088</v>
      </c>
      <c r="G165" s="73" t="s">
        <v>3089</v>
      </c>
      <c r="H165" s="73" t="s">
        <v>3088</v>
      </c>
      <c r="I165" s="73" t="s">
        <v>3122</v>
      </c>
      <c r="J165" s="73" t="s">
        <v>2299</v>
      </c>
      <c r="K165" s="73" t="s">
        <v>3089</v>
      </c>
      <c r="L165" s="73" t="s">
        <v>3088</v>
      </c>
      <c r="M165" s="73" t="s">
        <v>3088</v>
      </c>
      <c r="N165" s="73" t="s">
        <v>3088</v>
      </c>
      <c r="O165" s="73" t="s">
        <v>3088</v>
      </c>
      <c r="P165" s="73" t="s">
        <v>3088</v>
      </c>
      <c r="Q165" s="73" t="s">
        <v>3088</v>
      </c>
      <c r="R165" s="73" t="s">
        <v>3088</v>
      </c>
      <c r="S165" s="73" t="s">
        <v>3088</v>
      </c>
      <c r="T165" s="73" t="s">
        <v>3088</v>
      </c>
      <c r="U165" s="73" t="s">
        <v>3088</v>
      </c>
      <c r="V165" s="73" t="s">
        <v>3088</v>
      </c>
      <c r="W165" s="73" t="s">
        <v>3088</v>
      </c>
      <c r="X165" s="73" t="s">
        <v>3088</v>
      </c>
      <c r="Y165" s="73" t="s">
        <v>3088</v>
      </c>
      <c r="Z165" s="73" t="s">
        <v>3088</v>
      </c>
      <c r="AA165" s="73" t="s">
        <v>3088</v>
      </c>
      <c r="AB165" s="73" t="s">
        <v>3088</v>
      </c>
      <c r="AC165" s="73" t="s">
        <v>3088</v>
      </c>
      <c r="AD165" s="73" t="s">
        <v>3088</v>
      </c>
      <c r="AE165" s="73" t="s">
        <v>3088</v>
      </c>
      <c r="AF165" s="73" t="s">
        <v>3088</v>
      </c>
      <c r="AG165" s="73" t="s">
        <v>3088</v>
      </c>
      <c r="AH165" s="73" t="s">
        <v>3088</v>
      </c>
      <c r="AI165" s="73" t="s">
        <v>3088</v>
      </c>
      <c r="AJ165" s="73" t="s">
        <v>3088</v>
      </c>
      <c r="AK165" s="73" t="s">
        <v>3088</v>
      </c>
      <c r="AL165" s="73" t="s">
        <v>3088</v>
      </c>
      <c r="AM165" s="73" t="s">
        <v>3088</v>
      </c>
      <c r="AN165" s="73" t="s">
        <v>3088</v>
      </c>
      <c r="AO165" s="73" t="s">
        <v>3088</v>
      </c>
      <c r="AP165" s="73" t="s">
        <v>3088</v>
      </c>
      <c r="AQ165" s="73" t="s">
        <v>3088</v>
      </c>
      <c r="AR165" s="73" t="s">
        <v>3088</v>
      </c>
      <c r="AS165" s="73" t="s">
        <v>3088</v>
      </c>
      <c r="AT165" s="73" t="s">
        <v>3088</v>
      </c>
      <c r="AU165" s="73" t="s">
        <v>3088</v>
      </c>
      <c r="AV165" s="73" t="s">
        <v>3088</v>
      </c>
      <c r="AW165" s="73" t="s">
        <v>3088</v>
      </c>
      <c r="AX165" s="73" t="s">
        <v>3088</v>
      </c>
      <c r="AY165" s="73" t="s">
        <v>3088</v>
      </c>
      <c r="AZ165" s="73" t="s">
        <v>3088</v>
      </c>
      <c r="BA165" s="73" t="s">
        <v>3088</v>
      </c>
      <c r="BB165" s="73" t="s">
        <v>3088</v>
      </c>
      <c r="BC165" s="73" t="s">
        <v>3088</v>
      </c>
      <c r="BD165" s="73" t="s">
        <v>3088</v>
      </c>
      <c r="BE165" s="73" t="s">
        <v>3088</v>
      </c>
      <c r="BF165" s="73" t="s">
        <v>3088</v>
      </c>
      <c r="BG165" s="73" t="s">
        <v>3088</v>
      </c>
      <c r="BH165" s="73" t="s">
        <v>3088</v>
      </c>
      <c r="BI165" s="73" t="s">
        <v>3088</v>
      </c>
      <c r="BJ165" s="73" t="s">
        <v>3088</v>
      </c>
      <c r="BK165" s="73" t="s">
        <v>3088</v>
      </c>
      <c r="BL165" s="73" t="s">
        <v>3088</v>
      </c>
      <c r="BM165" s="73" t="s">
        <v>3088</v>
      </c>
      <c r="BN165" s="73" t="s">
        <v>3088</v>
      </c>
      <c r="BO165" s="73" t="s">
        <v>3088</v>
      </c>
      <c r="BP165" s="73" t="s">
        <v>3088</v>
      </c>
      <c r="BQ165" s="73" t="s">
        <v>3938</v>
      </c>
      <c r="BR165" s="73" t="s">
        <v>3088</v>
      </c>
    </row>
    <row r="166" spans="1:70">
      <c r="A166" s="73" t="s">
        <v>3926</v>
      </c>
      <c r="B166" s="73" t="s">
        <v>2347</v>
      </c>
      <c r="C166" s="73" t="s">
        <v>2213</v>
      </c>
      <c r="D166" s="73" t="s">
        <v>3088</v>
      </c>
      <c r="E166" s="73" t="s">
        <v>3088</v>
      </c>
      <c r="F166" s="73" t="s">
        <v>3088</v>
      </c>
      <c r="G166" s="73" t="s">
        <v>3089</v>
      </c>
      <c r="H166" s="73" t="s">
        <v>3088</v>
      </c>
      <c r="I166" s="73" t="s">
        <v>554</v>
      </c>
      <c r="J166" s="73" t="s">
        <v>2299</v>
      </c>
      <c r="K166" s="73" t="s">
        <v>3089</v>
      </c>
      <c r="L166" s="73" t="s">
        <v>2394</v>
      </c>
      <c r="M166" s="73" t="s">
        <v>2299</v>
      </c>
      <c r="N166" s="73" t="s">
        <v>3089</v>
      </c>
      <c r="O166" s="73" t="s">
        <v>3088</v>
      </c>
      <c r="P166" s="73" t="s">
        <v>3088</v>
      </c>
      <c r="Q166" s="73" t="s">
        <v>3088</v>
      </c>
      <c r="R166" s="73" t="s">
        <v>3088</v>
      </c>
      <c r="S166" s="73" t="s">
        <v>3088</v>
      </c>
      <c r="T166" s="73" t="s">
        <v>3088</v>
      </c>
      <c r="U166" s="73" t="s">
        <v>3088</v>
      </c>
      <c r="V166" s="73" t="s">
        <v>3088</v>
      </c>
      <c r="W166" s="73" t="s">
        <v>3088</v>
      </c>
      <c r="X166" s="73" t="s">
        <v>3088</v>
      </c>
      <c r="Y166" s="73" t="s">
        <v>3088</v>
      </c>
      <c r="Z166" s="73" t="s">
        <v>3088</v>
      </c>
      <c r="AA166" s="73" t="s">
        <v>3088</v>
      </c>
      <c r="AB166" s="73" t="s">
        <v>3088</v>
      </c>
      <c r="AC166" s="73" t="s">
        <v>3088</v>
      </c>
      <c r="AD166" s="73" t="s">
        <v>3088</v>
      </c>
      <c r="AE166" s="73" t="s">
        <v>3088</v>
      </c>
      <c r="AF166" s="73" t="s">
        <v>3088</v>
      </c>
      <c r="AG166" s="73" t="s">
        <v>3088</v>
      </c>
      <c r="AH166" s="73" t="s">
        <v>3088</v>
      </c>
      <c r="AI166" s="73" t="s">
        <v>3088</v>
      </c>
      <c r="AJ166" s="73" t="s">
        <v>3088</v>
      </c>
      <c r="AK166" s="73" t="s">
        <v>3088</v>
      </c>
      <c r="AL166" s="73" t="s">
        <v>3088</v>
      </c>
      <c r="AM166" s="73" t="s">
        <v>3088</v>
      </c>
      <c r="AN166" s="73" t="s">
        <v>3088</v>
      </c>
      <c r="AO166" s="73" t="s">
        <v>3088</v>
      </c>
      <c r="AP166" s="73" t="s">
        <v>3088</v>
      </c>
      <c r="AQ166" s="73" t="s">
        <v>3088</v>
      </c>
      <c r="AR166" s="73" t="s">
        <v>3088</v>
      </c>
      <c r="AS166" s="73" t="s">
        <v>3088</v>
      </c>
      <c r="AT166" s="73" t="s">
        <v>3088</v>
      </c>
      <c r="AU166" s="73" t="s">
        <v>3088</v>
      </c>
      <c r="AV166" s="73" t="s">
        <v>3088</v>
      </c>
      <c r="AW166" s="73" t="s">
        <v>3088</v>
      </c>
      <c r="AX166" s="73" t="s">
        <v>3088</v>
      </c>
      <c r="AY166" s="73" t="s">
        <v>3088</v>
      </c>
      <c r="AZ166" s="73" t="s">
        <v>3088</v>
      </c>
      <c r="BA166" s="73" t="s">
        <v>3088</v>
      </c>
      <c r="BB166" s="73" t="s">
        <v>3088</v>
      </c>
      <c r="BC166" s="73" t="s">
        <v>3088</v>
      </c>
      <c r="BD166" s="73" t="s">
        <v>3088</v>
      </c>
      <c r="BE166" s="73" t="s">
        <v>3088</v>
      </c>
      <c r="BF166" s="73" t="s">
        <v>3088</v>
      </c>
      <c r="BG166" s="73" t="s">
        <v>3088</v>
      </c>
      <c r="BH166" s="73" t="s">
        <v>3088</v>
      </c>
      <c r="BI166" s="73" t="s">
        <v>3088</v>
      </c>
      <c r="BJ166" s="73" t="s">
        <v>3088</v>
      </c>
      <c r="BK166" s="73" t="s">
        <v>3088</v>
      </c>
      <c r="BL166" s="73" t="s">
        <v>3088</v>
      </c>
      <c r="BM166" s="73" t="s">
        <v>3088</v>
      </c>
      <c r="BN166" s="73" t="s">
        <v>3088</v>
      </c>
      <c r="BO166" s="73" t="s">
        <v>3088</v>
      </c>
      <c r="BP166" s="73" t="s">
        <v>3088</v>
      </c>
      <c r="BQ166" s="73" t="s">
        <v>3939</v>
      </c>
      <c r="BR166" s="73" t="s">
        <v>3088</v>
      </c>
    </row>
    <row r="167" spans="1:70">
      <c r="A167" s="73" t="s">
        <v>3926</v>
      </c>
      <c r="B167" s="73" t="s">
        <v>2477</v>
      </c>
      <c r="C167" s="73" t="s">
        <v>2213</v>
      </c>
      <c r="D167" s="73" t="s">
        <v>3088</v>
      </c>
      <c r="E167" s="73" t="s">
        <v>3088</v>
      </c>
      <c r="F167" s="73" t="s">
        <v>3088</v>
      </c>
      <c r="G167" s="73" t="s">
        <v>3089</v>
      </c>
      <c r="H167" s="73" t="s">
        <v>3088</v>
      </c>
      <c r="I167" s="73" t="s">
        <v>2463</v>
      </c>
      <c r="J167" s="73" t="s">
        <v>2292</v>
      </c>
      <c r="K167" s="73" t="s">
        <v>3089</v>
      </c>
      <c r="L167" s="73" t="s">
        <v>3088</v>
      </c>
      <c r="M167" s="73" t="s">
        <v>3088</v>
      </c>
      <c r="N167" s="73" t="s">
        <v>3088</v>
      </c>
      <c r="O167" s="73" t="s">
        <v>3088</v>
      </c>
      <c r="P167" s="73" t="s">
        <v>3088</v>
      </c>
      <c r="Q167" s="73" t="s">
        <v>3088</v>
      </c>
      <c r="R167" s="73" t="s">
        <v>3088</v>
      </c>
      <c r="S167" s="73" t="s">
        <v>3088</v>
      </c>
      <c r="T167" s="73" t="s">
        <v>3088</v>
      </c>
      <c r="U167" s="73" t="s">
        <v>3088</v>
      </c>
      <c r="V167" s="73" t="s">
        <v>3088</v>
      </c>
      <c r="W167" s="73" t="s">
        <v>3088</v>
      </c>
      <c r="X167" s="73" t="s">
        <v>3088</v>
      </c>
      <c r="Y167" s="73" t="s">
        <v>3088</v>
      </c>
      <c r="Z167" s="73" t="s">
        <v>3088</v>
      </c>
      <c r="AA167" s="73" t="s">
        <v>3088</v>
      </c>
      <c r="AB167" s="73" t="s">
        <v>3088</v>
      </c>
      <c r="AC167" s="73" t="s">
        <v>3088</v>
      </c>
      <c r="AD167" s="73" t="s">
        <v>3088</v>
      </c>
      <c r="AE167" s="73" t="s">
        <v>3088</v>
      </c>
      <c r="AF167" s="73" t="s">
        <v>3088</v>
      </c>
      <c r="AG167" s="73" t="s">
        <v>3088</v>
      </c>
      <c r="AH167" s="73" t="s">
        <v>3088</v>
      </c>
      <c r="AI167" s="73" t="s">
        <v>3088</v>
      </c>
      <c r="AJ167" s="73" t="s">
        <v>3088</v>
      </c>
      <c r="AK167" s="73" t="s">
        <v>3088</v>
      </c>
      <c r="AL167" s="73" t="s">
        <v>3088</v>
      </c>
      <c r="AM167" s="73" t="s">
        <v>3088</v>
      </c>
      <c r="AN167" s="73" t="s">
        <v>3088</v>
      </c>
      <c r="AO167" s="73" t="s">
        <v>3088</v>
      </c>
      <c r="AP167" s="73" t="s">
        <v>3088</v>
      </c>
      <c r="AQ167" s="73" t="s">
        <v>3088</v>
      </c>
      <c r="AR167" s="73" t="s">
        <v>3088</v>
      </c>
      <c r="AS167" s="73" t="s">
        <v>3088</v>
      </c>
      <c r="AT167" s="73" t="s">
        <v>3088</v>
      </c>
      <c r="AU167" s="73" t="s">
        <v>3088</v>
      </c>
      <c r="AV167" s="73" t="s">
        <v>3088</v>
      </c>
      <c r="AW167" s="73" t="s">
        <v>3088</v>
      </c>
      <c r="AX167" s="73" t="s">
        <v>3088</v>
      </c>
      <c r="AY167" s="73" t="s">
        <v>3088</v>
      </c>
      <c r="AZ167" s="73" t="s">
        <v>3088</v>
      </c>
      <c r="BA167" s="73" t="s">
        <v>3088</v>
      </c>
      <c r="BB167" s="73" t="s">
        <v>3088</v>
      </c>
      <c r="BC167" s="73" t="s">
        <v>3088</v>
      </c>
      <c r="BD167" s="73" t="s">
        <v>3088</v>
      </c>
      <c r="BE167" s="73" t="s">
        <v>3088</v>
      </c>
      <c r="BF167" s="73" t="s">
        <v>3088</v>
      </c>
      <c r="BG167" s="73" t="s">
        <v>3088</v>
      </c>
      <c r="BH167" s="73" t="s">
        <v>3088</v>
      </c>
      <c r="BI167" s="73" t="s">
        <v>3088</v>
      </c>
      <c r="BJ167" s="73" t="s">
        <v>3088</v>
      </c>
      <c r="BK167" s="73" t="s">
        <v>3088</v>
      </c>
      <c r="BL167" s="73" t="s">
        <v>3088</v>
      </c>
      <c r="BM167" s="73" t="s">
        <v>3088</v>
      </c>
      <c r="BN167" s="73" t="s">
        <v>3088</v>
      </c>
      <c r="BO167" s="73" t="s">
        <v>3088</v>
      </c>
      <c r="BP167" s="73" t="s">
        <v>3088</v>
      </c>
      <c r="BQ167" s="73" t="s">
        <v>3940</v>
      </c>
      <c r="BR167" s="73" t="s">
        <v>3088</v>
      </c>
    </row>
  </sheetData>
  <conditionalFormatting sqref="A2:BR167">
    <cfRule type="expression" dxfId="2"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D2:D301 E2:E301 F2:F301 G2:G301 K2:K301 N2:N301 Q2:Q301 T2:T301 W2:W301 Z2:Z301 AC2:AC301 AF2:AF301 AI2:AI301 AL2:AL301 AO2:AO301 AR2:AR301 AU2:AU301 AX2:AX301 BA2:BA301 BD2:BD301 BG2:BG301 BJ2:BJ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AM2:AM301 AP2:AP301 AS2:AS301 AV2:AV301 AY2:AY301 BB2:BB301 BE2:BE301 BH2:BH301 BK2:BK301 I2:I301 L2:L301 O2:O301 R2:R301 U2:U301 X2:X301 AA2:AA301 AD2:AD301 AG2:AG301 AJ2:AJ301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3941</v>
      </c>
      <c r="B1" s="295"/>
      <c r="C1" s="295"/>
      <c r="D1" s="295"/>
      <c r="E1" s="295"/>
    </row>
    <row r="2" spans="1:8" ht="43.5" customHeight="1">
      <c r="A2" s="42" t="s">
        <v>3942</v>
      </c>
      <c r="B2" s="42" t="s">
        <v>3943</v>
      </c>
      <c r="C2" s="42" t="s">
        <v>3944</v>
      </c>
      <c r="D2" s="42" t="s">
        <v>3945</v>
      </c>
      <c r="E2" s="42" t="s">
        <v>3946</v>
      </c>
      <c r="F2" s="43" t="s">
        <v>3947</v>
      </c>
      <c r="G2" s="44" t="s">
        <v>3948</v>
      </c>
      <c r="H2" s="45" t="s">
        <v>3949</v>
      </c>
    </row>
    <row r="3" spans="1:8" ht="15" customHeight="1">
      <c r="A3" s="38" t="s">
        <v>1860</v>
      </c>
      <c r="B3" s="38" t="s">
        <v>1856</v>
      </c>
      <c r="C3" s="38" t="s">
        <v>3950</v>
      </c>
      <c r="D3" s="38"/>
      <c r="E3" s="38" t="s">
        <v>3095</v>
      </c>
      <c r="F3" s="46" t="s">
        <v>3951</v>
      </c>
      <c r="G3" s="46" t="s">
        <v>3952</v>
      </c>
      <c r="H3" s="47" t="s">
        <v>3953</v>
      </c>
    </row>
    <row r="4" spans="1:8" ht="15" customHeight="1">
      <c r="A4" s="5" t="s">
        <v>1861</v>
      </c>
      <c r="B4" s="5" t="s">
        <v>1856</v>
      </c>
      <c r="C4" s="5" t="s">
        <v>3954</v>
      </c>
      <c r="D4" s="5"/>
      <c r="E4" s="5" t="s">
        <v>3095</v>
      </c>
      <c r="F4" s="46" t="s">
        <v>3955</v>
      </c>
      <c r="G4" s="46" t="s">
        <v>3956</v>
      </c>
      <c r="H4" s="47" t="s">
        <v>3957</v>
      </c>
    </row>
    <row r="5" spans="1:8" ht="15" customHeight="1">
      <c r="A5" s="38" t="s">
        <v>1862</v>
      </c>
      <c r="B5" s="38" t="s">
        <v>1856</v>
      </c>
      <c r="C5" s="38" t="s">
        <v>3958</v>
      </c>
      <c r="D5" s="38"/>
      <c r="E5" s="38" t="s">
        <v>3095</v>
      </c>
      <c r="F5" s="46" t="s">
        <v>3959</v>
      </c>
      <c r="G5" s="46" t="s">
        <v>3960</v>
      </c>
      <c r="H5" s="47" t="s">
        <v>3961</v>
      </c>
    </row>
    <row r="6" spans="1:8" ht="15" customHeight="1">
      <c r="A6" s="5" t="s">
        <v>1864</v>
      </c>
      <c r="B6" s="5" t="s">
        <v>1856</v>
      </c>
      <c r="C6" s="5" t="s">
        <v>3962</v>
      </c>
      <c r="D6" s="5"/>
      <c r="E6" s="5" t="s">
        <v>3095</v>
      </c>
      <c r="F6" s="46" t="s">
        <v>3963</v>
      </c>
      <c r="G6" s="46" t="s">
        <v>3964</v>
      </c>
      <c r="H6" s="47" t="s">
        <v>3965</v>
      </c>
    </row>
    <row r="7" spans="1:8" ht="15" customHeight="1">
      <c r="A7" s="38" t="s">
        <v>1866</v>
      </c>
      <c r="B7" s="38" t="s">
        <v>1856</v>
      </c>
      <c r="C7" s="38" t="s">
        <v>3966</v>
      </c>
      <c r="D7" s="38"/>
      <c r="E7" s="38" t="s">
        <v>3095</v>
      </c>
      <c r="F7" s="46" t="s">
        <v>3967</v>
      </c>
      <c r="G7" s="46" t="s">
        <v>3968</v>
      </c>
      <c r="H7" s="47" t="s">
        <v>3969</v>
      </c>
    </row>
    <row r="8" spans="1:8" ht="15" customHeight="1">
      <c r="A8" s="5" t="s">
        <v>1870</v>
      </c>
      <c r="B8" s="5" t="s">
        <v>1856</v>
      </c>
      <c r="C8" s="5" t="s">
        <v>3970</v>
      </c>
      <c r="D8" s="5"/>
      <c r="E8" s="5" t="s">
        <v>3095</v>
      </c>
      <c r="F8" s="46" t="s">
        <v>3971</v>
      </c>
      <c r="G8" s="46" t="s">
        <v>3972</v>
      </c>
      <c r="H8" s="47" t="s">
        <v>3973</v>
      </c>
    </row>
    <row r="9" spans="1:8" ht="15" customHeight="1">
      <c r="A9" s="38" t="s">
        <v>1872</v>
      </c>
      <c r="B9" s="38" t="s">
        <v>1856</v>
      </c>
      <c r="C9" s="38" t="s">
        <v>3974</v>
      </c>
      <c r="D9" s="38"/>
      <c r="E9" s="38" t="s">
        <v>3095</v>
      </c>
      <c r="F9" s="46" t="s">
        <v>3975</v>
      </c>
      <c r="G9" s="46" t="s">
        <v>3976</v>
      </c>
      <c r="H9" s="47" t="s">
        <v>3977</v>
      </c>
    </row>
    <row r="10" spans="1:8" ht="15" customHeight="1">
      <c r="A10" s="5" t="s">
        <v>1873</v>
      </c>
      <c r="B10" s="5" t="s">
        <v>1856</v>
      </c>
      <c r="C10" s="5" t="s">
        <v>3978</v>
      </c>
      <c r="D10" s="5"/>
      <c r="E10" s="5" t="s">
        <v>3095</v>
      </c>
      <c r="F10" s="46" t="s">
        <v>3979</v>
      </c>
      <c r="G10" s="46" t="s">
        <v>3980</v>
      </c>
      <c r="H10" s="47" t="s">
        <v>3981</v>
      </c>
    </row>
    <row r="11" spans="1:8" ht="15" customHeight="1">
      <c r="A11" s="38" t="s">
        <v>1874</v>
      </c>
      <c r="B11" s="38" t="s">
        <v>1850</v>
      </c>
      <c r="C11" s="38" t="s">
        <v>3982</v>
      </c>
      <c r="D11" s="38" t="s">
        <v>1860</v>
      </c>
      <c r="E11" s="38" t="s">
        <v>3095</v>
      </c>
      <c r="F11" s="79" t="s">
        <v>3983</v>
      </c>
      <c r="G11" s="79" t="s">
        <v>3952</v>
      </c>
      <c r="H11" s="47" t="s">
        <v>3984</v>
      </c>
    </row>
    <row r="12" spans="1:8" ht="15" customHeight="1">
      <c r="A12" s="5" t="s">
        <v>1875</v>
      </c>
      <c r="B12" s="5" t="s">
        <v>1850</v>
      </c>
      <c r="C12" s="5" t="s">
        <v>3985</v>
      </c>
      <c r="D12" s="5"/>
      <c r="E12" s="5" t="s">
        <v>3095</v>
      </c>
      <c r="F12" s="46" t="s">
        <v>3986</v>
      </c>
      <c r="G12" s="46" t="s">
        <v>3987</v>
      </c>
      <c r="H12" s="47" t="s">
        <v>3988</v>
      </c>
    </row>
    <row r="13" spans="1:8" ht="15" customHeight="1">
      <c r="A13" s="38" t="s">
        <v>1876</v>
      </c>
      <c r="B13" s="38" t="s">
        <v>1850</v>
      </c>
      <c r="C13" s="38" t="s">
        <v>3989</v>
      </c>
      <c r="D13" s="38"/>
      <c r="E13" s="38" t="s">
        <v>3095</v>
      </c>
      <c r="F13" s="46" t="s">
        <v>3990</v>
      </c>
      <c r="G13" s="46" t="s">
        <v>3991</v>
      </c>
      <c r="H13" s="47" t="s">
        <v>3992</v>
      </c>
    </row>
    <row r="14" spans="1:8" ht="15" customHeight="1">
      <c r="A14" s="5" t="s">
        <v>1881</v>
      </c>
      <c r="B14" s="5" t="s">
        <v>1850</v>
      </c>
      <c r="C14" s="5" t="s">
        <v>3993</v>
      </c>
      <c r="D14" s="5"/>
      <c r="E14" s="5" t="s">
        <v>3095</v>
      </c>
      <c r="F14" s="46" t="s">
        <v>3994</v>
      </c>
      <c r="G14" s="46" t="s">
        <v>3995</v>
      </c>
      <c r="H14" s="47" t="s">
        <v>3996</v>
      </c>
    </row>
    <row r="15" spans="1:8" ht="15" customHeight="1">
      <c r="A15" s="38" t="s">
        <v>1882</v>
      </c>
      <c r="B15" s="38" t="s">
        <v>1850</v>
      </c>
      <c r="C15" s="38" t="s">
        <v>3997</v>
      </c>
      <c r="D15" s="38"/>
      <c r="E15" s="38" t="s">
        <v>3095</v>
      </c>
      <c r="F15" s="46" t="s">
        <v>3998</v>
      </c>
      <c r="G15" s="46" t="s">
        <v>3999</v>
      </c>
      <c r="H15" s="47" t="s">
        <v>4000</v>
      </c>
    </row>
    <row r="16" spans="1:8" ht="15" customHeight="1">
      <c r="A16" s="5" t="s">
        <v>1884</v>
      </c>
      <c r="B16" s="5" t="s">
        <v>1850</v>
      </c>
      <c r="C16" s="5" t="s">
        <v>3954</v>
      </c>
      <c r="D16" s="5" t="s">
        <v>1861</v>
      </c>
      <c r="E16" s="5" t="s">
        <v>3095</v>
      </c>
      <c r="F16" s="46" t="s">
        <v>4001</v>
      </c>
      <c r="G16" s="46" t="s">
        <v>3956</v>
      </c>
      <c r="H16" s="47" t="s">
        <v>4002</v>
      </c>
    </row>
    <row r="17" spans="1:8" ht="15" customHeight="1">
      <c r="A17" s="38" t="s">
        <v>1889</v>
      </c>
      <c r="B17" s="38" t="s">
        <v>1850</v>
      </c>
      <c r="C17" s="38" t="s">
        <v>3974</v>
      </c>
      <c r="D17" s="38" t="s">
        <v>1872</v>
      </c>
      <c r="E17" s="38" t="s">
        <v>3095</v>
      </c>
      <c r="F17" s="46" t="s">
        <v>4003</v>
      </c>
      <c r="G17" s="46" t="s">
        <v>3976</v>
      </c>
      <c r="H17" s="47" t="s">
        <v>4004</v>
      </c>
    </row>
    <row r="18" spans="1:8" ht="15" customHeight="1">
      <c r="A18" s="5" t="s">
        <v>1891</v>
      </c>
      <c r="B18" s="5" t="s">
        <v>1850</v>
      </c>
      <c r="C18" s="5" t="s">
        <v>4005</v>
      </c>
      <c r="D18" s="5"/>
      <c r="E18" s="5" t="s">
        <v>3095</v>
      </c>
      <c r="F18" s="46" t="s">
        <v>4006</v>
      </c>
      <c r="G18" s="79" t="s">
        <v>4007</v>
      </c>
      <c r="H18" s="47" t="s">
        <v>4008</v>
      </c>
    </row>
    <row r="19" spans="1:8" ht="15" customHeight="1">
      <c r="A19" s="38" t="s">
        <v>1893</v>
      </c>
      <c r="B19" s="38" t="s">
        <v>1850</v>
      </c>
      <c r="C19" s="38" t="s">
        <v>4009</v>
      </c>
      <c r="D19" s="38"/>
      <c r="E19" s="38" t="s">
        <v>3095</v>
      </c>
      <c r="F19" s="46" t="s">
        <v>4010</v>
      </c>
      <c r="G19" s="46" t="s">
        <v>4011</v>
      </c>
      <c r="H19" s="47" t="s">
        <v>4012</v>
      </c>
    </row>
    <row r="20" spans="1:8" ht="15" customHeight="1">
      <c r="A20" s="5" t="s">
        <v>1896</v>
      </c>
      <c r="B20" s="5" t="s">
        <v>1850</v>
      </c>
      <c r="C20" s="5" t="s">
        <v>4013</v>
      </c>
      <c r="D20" s="5"/>
      <c r="E20" s="5" t="s">
        <v>3095</v>
      </c>
      <c r="F20" s="46" t="s">
        <v>4014</v>
      </c>
      <c r="G20" s="46" t="s">
        <v>4015</v>
      </c>
      <c r="H20" s="47" t="s">
        <v>4016</v>
      </c>
    </row>
    <row r="21" spans="1:8" ht="15" customHeight="1">
      <c r="A21" s="38" t="s">
        <v>1898</v>
      </c>
      <c r="B21" s="38" t="s">
        <v>1850</v>
      </c>
      <c r="C21" s="38" t="s">
        <v>4017</v>
      </c>
      <c r="D21" s="38"/>
      <c r="E21" s="38" t="s">
        <v>3095</v>
      </c>
      <c r="F21" s="79" t="s">
        <v>4018</v>
      </c>
      <c r="G21" s="79" t="s">
        <v>4019</v>
      </c>
      <c r="H21" s="47" t="s">
        <v>4020</v>
      </c>
    </row>
    <row r="22" spans="1:8" ht="15" customHeight="1">
      <c r="A22" s="5" t="s">
        <v>1902</v>
      </c>
      <c r="B22" s="5" t="s">
        <v>1850</v>
      </c>
      <c r="C22" s="5" t="s">
        <v>4021</v>
      </c>
      <c r="D22" s="5"/>
      <c r="E22" s="5" t="s">
        <v>3095</v>
      </c>
      <c r="F22" s="46" t="s">
        <v>4022</v>
      </c>
      <c r="G22" s="46" t="s">
        <v>4023</v>
      </c>
      <c r="H22" s="47" t="s">
        <v>4024</v>
      </c>
    </row>
    <row r="23" spans="1:8" ht="15" customHeight="1">
      <c r="A23" s="38" t="s">
        <v>4025</v>
      </c>
      <c r="B23" s="38" t="s">
        <v>4026</v>
      </c>
      <c r="C23" s="38" t="s">
        <v>3950</v>
      </c>
      <c r="D23" s="38" t="s">
        <v>1860</v>
      </c>
      <c r="E23" s="38" t="s">
        <v>3095</v>
      </c>
      <c r="F23" s="46" t="s">
        <v>4027</v>
      </c>
      <c r="G23" s="46" t="s">
        <v>3952</v>
      </c>
      <c r="H23" s="47" t="s">
        <v>3953</v>
      </c>
    </row>
    <row r="24" spans="1:8" ht="15" customHeight="1">
      <c r="A24" s="5" t="s">
        <v>4028</v>
      </c>
      <c r="B24" s="5" t="s">
        <v>4026</v>
      </c>
      <c r="C24" s="5" t="s">
        <v>3954</v>
      </c>
      <c r="D24" s="5" t="s">
        <v>1861</v>
      </c>
      <c r="E24" s="5" t="s">
        <v>3095</v>
      </c>
      <c r="F24" s="46" t="s">
        <v>4029</v>
      </c>
      <c r="G24" s="46" t="s">
        <v>3956</v>
      </c>
      <c r="H24" s="47" t="s">
        <v>3957</v>
      </c>
    </row>
    <row r="25" spans="1:8" ht="15" customHeight="1">
      <c r="A25" s="38" t="s">
        <v>4030</v>
      </c>
      <c r="B25" s="38" t="s">
        <v>4026</v>
      </c>
      <c r="C25" s="38" t="s">
        <v>3958</v>
      </c>
      <c r="D25" s="38" t="s">
        <v>1862</v>
      </c>
      <c r="E25" s="38" t="s">
        <v>3095</v>
      </c>
      <c r="F25" s="46" t="s">
        <v>4031</v>
      </c>
      <c r="G25" s="46" t="s">
        <v>3960</v>
      </c>
      <c r="H25" s="47" t="s">
        <v>3961</v>
      </c>
    </row>
    <row r="26" spans="1:8" ht="15" customHeight="1">
      <c r="A26" s="5" t="s">
        <v>4032</v>
      </c>
      <c r="B26" s="5" t="s">
        <v>4026</v>
      </c>
      <c r="C26" s="5" t="s">
        <v>3962</v>
      </c>
      <c r="D26" s="5" t="s">
        <v>1864</v>
      </c>
      <c r="E26" s="5" t="s">
        <v>3095</v>
      </c>
      <c r="F26" s="46" t="s">
        <v>4033</v>
      </c>
      <c r="G26" s="46" t="s">
        <v>3964</v>
      </c>
      <c r="H26" s="47" t="s">
        <v>3965</v>
      </c>
    </row>
    <row r="27" spans="1:8" ht="15" customHeight="1">
      <c r="A27" s="38" t="s">
        <v>4034</v>
      </c>
      <c r="B27" s="38" t="s">
        <v>4026</v>
      </c>
      <c r="C27" s="38" t="s">
        <v>3966</v>
      </c>
      <c r="D27" s="38" t="s">
        <v>1866</v>
      </c>
      <c r="E27" s="38" t="s">
        <v>3095</v>
      </c>
      <c r="F27" s="46" t="s">
        <v>4035</v>
      </c>
      <c r="G27" s="46" t="s">
        <v>3968</v>
      </c>
      <c r="H27" s="47" t="s">
        <v>3969</v>
      </c>
    </row>
    <row r="28" spans="1:8" ht="15" customHeight="1">
      <c r="A28" s="5" t="s">
        <v>4036</v>
      </c>
      <c r="B28" s="5" t="s">
        <v>4026</v>
      </c>
      <c r="C28" s="5" t="s">
        <v>4037</v>
      </c>
      <c r="D28" s="5" t="s">
        <v>1870</v>
      </c>
      <c r="E28" s="5" t="s">
        <v>3095</v>
      </c>
      <c r="F28" s="46" t="s">
        <v>4038</v>
      </c>
      <c r="G28" s="46" t="s">
        <v>3972</v>
      </c>
      <c r="H28" s="47" t="s">
        <v>3973</v>
      </c>
    </row>
    <row r="29" spans="1:8" ht="15" customHeight="1">
      <c r="A29" s="38" t="s">
        <v>4039</v>
      </c>
      <c r="B29" s="38" t="s">
        <v>4026</v>
      </c>
      <c r="C29" s="38" t="s">
        <v>3974</v>
      </c>
      <c r="D29" s="38" t="s">
        <v>1872</v>
      </c>
      <c r="E29" s="38" t="s">
        <v>3095</v>
      </c>
      <c r="F29" s="46" t="s">
        <v>4040</v>
      </c>
      <c r="G29" s="46" t="s">
        <v>3976</v>
      </c>
      <c r="H29" s="47" t="s">
        <v>3977</v>
      </c>
    </row>
    <row r="30" spans="1:8" ht="15" customHeight="1">
      <c r="A30" s="5" t="s">
        <v>4041</v>
      </c>
      <c r="B30" s="5" t="s">
        <v>4026</v>
      </c>
      <c r="C30" s="5" t="s">
        <v>3978</v>
      </c>
      <c r="D30" s="5" t="s">
        <v>1873</v>
      </c>
      <c r="E30" s="5" t="s">
        <v>3095</v>
      </c>
      <c r="F30" s="46" t="s">
        <v>4042</v>
      </c>
      <c r="G30" s="46" t="s">
        <v>3980</v>
      </c>
      <c r="H30" s="47" t="s">
        <v>3981</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3019</v>
      </c>
      <c r="B1" t="s">
        <v>4043</v>
      </c>
    </row>
    <row r="2" spans="1:16" ht="15" customHeight="1">
      <c r="A2" t="s">
        <v>1860</v>
      </c>
      <c r="B2" t="s">
        <v>2545</v>
      </c>
      <c r="C2" t="s">
        <v>2554</v>
      </c>
      <c r="D2" t="s">
        <v>2563</v>
      </c>
      <c r="E2" t="s">
        <v>2591</v>
      </c>
      <c r="F2" t="s">
        <v>2537</v>
      </c>
      <c r="G2" t="s">
        <v>2533</v>
      </c>
      <c r="H2" t="s">
        <v>2571</v>
      </c>
      <c r="I2" t="s">
        <v>2559</v>
      </c>
      <c r="J2" t="s">
        <v>2579</v>
      </c>
      <c r="K2" t="s">
        <v>2619</v>
      </c>
      <c r="L2" t="s">
        <v>3155</v>
      </c>
      <c r="M2" t="s">
        <v>4044</v>
      </c>
      <c r="N2" t="s">
        <v>4026</v>
      </c>
      <c r="O2" t="s">
        <v>2546</v>
      </c>
      <c r="P2" t="s">
        <v>2582</v>
      </c>
    </row>
    <row r="3" spans="1:16" ht="15" customHeight="1">
      <c r="A3" t="s">
        <v>1861</v>
      </c>
      <c r="B3" t="s">
        <v>2545</v>
      </c>
      <c r="C3" t="s">
        <v>2554</v>
      </c>
      <c r="D3" t="s">
        <v>2563</v>
      </c>
      <c r="E3" t="s">
        <v>2591</v>
      </c>
      <c r="F3" t="s">
        <v>2537</v>
      </c>
      <c r="G3" t="s">
        <v>2533</v>
      </c>
      <c r="H3" t="s">
        <v>2571</v>
      </c>
      <c r="I3" t="s">
        <v>2559</v>
      </c>
      <c r="J3" t="s">
        <v>2579</v>
      </c>
      <c r="K3" t="s">
        <v>2619</v>
      </c>
      <c r="L3" t="s">
        <v>3155</v>
      </c>
      <c r="M3" t="s">
        <v>4044</v>
      </c>
      <c r="N3" t="s">
        <v>4026</v>
      </c>
      <c r="O3" t="s">
        <v>2546</v>
      </c>
      <c r="P3" t="s">
        <v>2582</v>
      </c>
    </row>
    <row r="4" spans="1:16" ht="15" customHeight="1">
      <c r="A4" t="s">
        <v>1862</v>
      </c>
      <c r="B4" t="s">
        <v>2545</v>
      </c>
      <c r="C4" t="s">
        <v>2554</v>
      </c>
      <c r="D4" t="s">
        <v>2563</v>
      </c>
      <c r="E4" t="s">
        <v>2591</v>
      </c>
      <c r="F4" t="s">
        <v>2537</v>
      </c>
      <c r="G4" t="s">
        <v>2533</v>
      </c>
      <c r="H4" t="s">
        <v>2571</v>
      </c>
      <c r="I4" t="s">
        <v>2559</v>
      </c>
      <c r="J4" t="s">
        <v>2579</v>
      </c>
      <c r="K4" t="s">
        <v>2619</v>
      </c>
      <c r="L4" t="s">
        <v>3155</v>
      </c>
      <c r="M4" t="s">
        <v>4044</v>
      </c>
      <c r="N4" t="s">
        <v>4026</v>
      </c>
      <c r="O4" t="s">
        <v>2546</v>
      </c>
      <c r="P4" t="s">
        <v>2582</v>
      </c>
    </row>
    <row r="5" spans="1:16" ht="15" customHeight="1">
      <c r="A5" t="s">
        <v>1864</v>
      </c>
      <c r="B5" t="s">
        <v>2545</v>
      </c>
      <c r="C5" t="s">
        <v>2554</v>
      </c>
      <c r="D5" t="s">
        <v>2563</v>
      </c>
      <c r="E5" t="s">
        <v>2591</v>
      </c>
      <c r="F5" t="s">
        <v>2537</v>
      </c>
      <c r="G5" t="s">
        <v>2533</v>
      </c>
      <c r="H5" t="s">
        <v>2571</v>
      </c>
      <c r="I5" t="s">
        <v>2559</v>
      </c>
      <c r="J5" t="s">
        <v>2579</v>
      </c>
      <c r="K5" t="s">
        <v>2619</v>
      </c>
      <c r="L5" t="s">
        <v>3155</v>
      </c>
      <c r="M5" t="s">
        <v>4044</v>
      </c>
      <c r="N5" t="s">
        <v>4026</v>
      </c>
      <c r="O5" t="s">
        <v>2546</v>
      </c>
      <c r="P5" t="s">
        <v>2582</v>
      </c>
    </row>
    <row r="6" spans="1:16" ht="15" customHeight="1">
      <c r="A6" t="s">
        <v>1866</v>
      </c>
      <c r="B6" t="s">
        <v>2545</v>
      </c>
      <c r="C6" t="s">
        <v>2554</v>
      </c>
      <c r="D6" t="s">
        <v>2563</v>
      </c>
      <c r="E6" t="s">
        <v>2591</v>
      </c>
      <c r="F6" t="s">
        <v>2537</v>
      </c>
      <c r="G6" t="s">
        <v>2533</v>
      </c>
      <c r="H6" t="s">
        <v>2571</v>
      </c>
      <c r="I6" t="s">
        <v>2559</v>
      </c>
      <c r="J6" t="s">
        <v>2579</v>
      </c>
      <c r="K6" t="s">
        <v>2619</v>
      </c>
      <c r="L6" t="s">
        <v>3155</v>
      </c>
      <c r="M6" t="s">
        <v>4044</v>
      </c>
      <c r="N6" t="s">
        <v>4026</v>
      </c>
      <c r="O6" t="s">
        <v>2546</v>
      </c>
      <c r="P6" t="s">
        <v>2582</v>
      </c>
    </row>
    <row r="7" spans="1:16" ht="15" customHeight="1">
      <c r="A7" t="s">
        <v>1870</v>
      </c>
      <c r="B7" t="s">
        <v>2545</v>
      </c>
      <c r="C7" t="s">
        <v>2554</v>
      </c>
      <c r="D7" t="s">
        <v>2563</v>
      </c>
      <c r="E7" t="s">
        <v>2591</v>
      </c>
      <c r="F7" t="s">
        <v>2537</v>
      </c>
      <c r="G7" t="s">
        <v>2533</v>
      </c>
      <c r="H7" t="s">
        <v>2571</v>
      </c>
      <c r="I7" t="s">
        <v>2559</v>
      </c>
      <c r="J7" t="s">
        <v>2579</v>
      </c>
      <c r="K7" t="s">
        <v>2619</v>
      </c>
      <c r="L7" t="s">
        <v>3155</v>
      </c>
      <c r="M7" t="s">
        <v>4044</v>
      </c>
      <c r="N7" t="s">
        <v>4026</v>
      </c>
      <c r="O7" t="s">
        <v>2546</v>
      </c>
      <c r="P7" t="s">
        <v>2582</v>
      </c>
    </row>
    <row r="8" spans="1:16" ht="15" customHeight="1">
      <c r="A8" t="s">
        <v>1872</v>
      </c>
      <c r="B8" t="s">
        <v>2545</v>
      </c>
      <c r="C8" t="s">
        <v>2554</v>
      </c>
      <c r="D8" t="s">
        <v>2563</v>
      </c>
      <c r="E8" t="s">
        <v>2591</v>
      </c>
      <c r="F8" t="s">
        <v>2537</v>
      </c>
      <c r="G8" t="s">
        <v>2533</v>
      </c>
      <c r="H8" t="s">
        <v>2571</v>
      </c>
      <c r="I8" t="s">
        <v>2559</v>
      </c>
      <c r="J8" t="s">
        <v>2579</v>
      </c>
      <c r="K8" t="s">
        <v>2619</v>
      </c>
      <c r="L8" t="s">
        <v>3155</v>
      </c>
      <c r="M8" t="s">
        <v>4044</v>
      </c>
      <c r="N8" t="s">
        <v>4026</v>
      </c>
      <c r="O8" t="s">
        <v>2546</v>
      </c>
      <c r="P8" t="s">
        <v>2582</v>
      </c>
    </row>
    <row r="9" spans="1:16" ht="15" customHeight="1">
      <c r="A9" t="s">
        <v>1873</v>
      </c>
      <c r="B9" t="s">
        <v>2545</v>
      </c>
      <c r="C9" t="s">
        <v>2554</v>
      </c>
      <c r="D9" t="s">
        <v>2563</v>
      </c>
      <c r="E9" t="s">
        <v>2591</v>
      </c>
      <c r="F9" t="s">
        <v>2537</v>
      </c>
      <c r="G9" t="s">
        <v>2533</v>
      </c>
      <c r="H9" t="s">
        <v>2571</v>
      </c>
      <c r="I9" t="s">
        <v>2559</v>
      </c>
      <c r="J9" t="s">
        <v>2579</v>
      </c>
      <c r="K9" t="s">
        <v>2619</v>
      </c>
      <c r="L9" t="s">
        <v>3155</v>
      </c>
      <c r="M9" t="s">
        <v>4044</v>
      </c>
      <c r="N9" t="s">
        <v>4026</v>
      </c>
      <c r="O9" t="s">
        <v>2546</v>
      </c>
      <c r="P9" t="s">
        <v>2582</v>
      </c>
    </row>
    <row r="10" spans="1:16" ht="15" customHeight="1">
      <c r="A10" t="s">
        <v>1874</v>
      </c>
      <c r="B10" t="s">
        <v>3684</v>
      </c>
      <c r="C10" t="s">
        <v>2115</v>
      </c>
      <c r="D10" t="s">
        <v>2314</v>
      </c>
      <c r="E10" t="s">
        <v>2122</v>
      </c>
      <c r="F10" t="s">
        <v>2124</v>
      </c>
      <c r="G10" t="s">
        <v>2546</v>
      </c>
    </row>
    <row r="11" spans="1:16" ht="15" customHeight="1">
      <c r="A11" t="s">
        <v>1875</v>
      </c>
      <c r="B11" t="s">
        <v>2129</v>
      </c>
      <c r="C11" t="s">
        <v>3690</v>
      </c>
      <c r="D11" t="s">
        <v>2139</v>
      </c>
      <c r="E11" t="s">
        <v>2131</v>
      </c>
      <c r="F11" t="s">
        <v>2546</v>
      </c>
    </row>
    <row r="12" spans="1:16" ht="15" customHeight="1">
      <c r="A12" t="s">
        <v>1876</v>
      </c>
      <c r="B12" t="s">
        <v>2143</v>
      </c>
      <c r="C12" t="s">
        <v>2546</v>
      </c>
    </row>
    <row r="13" spans="1:16" ht="15" customHeight="1">
      <c r="A13" t="s">
        <v>1881</v>
      </c>
      <c r="B13" t="s">
        <v>2162</v>
      </c>
      <c r="C13" t="s">
        <v>2152</v>
      </c>
      <c r="D13" t="s">
        <v>2155</v>
      </c>
      <c r="E13" t="s">
        <v>2546</v>
      </c>
    </row>
    <row r="14" spans="1:16" ht="15" customHeight="1">
      <c r="A14" t="s">
        <v>1882</v>
      </c>
      <c r="B14" t="s">
        <v>2129</v>
      </c>
      <c r="C14" t="s">
        <v>2174</v>
      </c>
      <c r="D14" t="s">
        <v>2167</v>
      </c>
      <c r="E14" t="s">
        <v>2546</v>
      </c>
    </row>
    <row r="15" spans="1:16" ht="15" customHeight="1">
      <c r="A15" t="s">
        <v>1884</v>
      </c>
      <c r="B15" t="s">
        <v>3745</v>
      </c>
      <c r="C15" t="s">
        <v>2187</v>
      </c>
      <c r="D15" t="s">
        <v>2182</v>
      </c>
      <c r="E15" t="s">
        <v>2180</v>
      </c>
      <c r="F15" t="s">
        <v>2546</v>
      </c>
    </row>
    <row r="16" spans="1:16" ht="15" customHeight="1">
      <c r="A16" t="s">
        <v>1889</v>
      </c>
      <c r="B16" t="s">
        <v>2174</v>
      </c>
      <c r="C16" t="s">
        <v>2182</v>
      </c>
      <c r="D16" t="s">
        <v>2167</v>
      </c>
      <c r="E16" t="s">
        <v>2204</v>
      </c>
      <c r="F16" t="s">
        <v>2546</v>
      </c>
    </row>
    <row r="17" spans="1:9" ht="15" customHeight="1">
      <c r="A17" t="s">
        <v>1891</v>
      </c>
      <c r="B17" t="s">
        <v>2211</v>
      </c>
      <c r="C17" t="s">
        <v>2213</v>
      </c>
      <c r="D17" t="s">
        <v>2223</v>
      </c>
      <c r="E17" t="s">
        <v>2546</v>
      </c>
    </row>
    <row r="18" spans="1:9" ht="15" customHeight="1">
      <c r="A18" t="s">
        <v>1893</v>
      </c>
      <c r="B18" t="s">
        <v>2217</v>
      </c>
      <c r="C18" t="s">
        <v>2331</v>
      </c>
      <c r="D18" t="s">
        <v>2220</v>
      </c>
      <c r="E18" t="s">
        <v>2226</v>
      </c>
      <c r="F18" t="s">
        <v>3823</v>
      </c>
      <c r="G18" t="s">
        <v>3806</v>
      </c>
      <c r="H18" t="s">
        <v>2223</v>
      </c>
      <c r="I18" t="s">
        <v>2546</v>
      </c>
    </row>
    <row r="19" spans="1:9" ht="15" customHeight="1">
      <c r="A19" t="s">
        <v>1896</v>
      </c>
      <c r="B19" t="s">
        <v>2220</v>
      </c>
      <c r="C19" t="s">
        <v>2237</v>
      </c>
      <c r="D19" t="s">
        <v>2241</v>
      </c>
      <c r="E19" t="s">
        <v>3853</v>
      </c>
      <c r="F19" t="s">
        <v>2546</v>
      </c>
    </row>
    <row r="20" spans="1:9" ht="15" customHeight="1">
      <c r="A20" t="s">
        <v>1898</v>
      </c>
      <c r="B20" t="s">
        <v>2252</v>
      </c>
      <c r="C20" t="s">
        <v>2259</v>
      </c>
      <c r="D20" t="s">
        <v>2256</v>
      </c>
      <c r="E20" t="s">
        <v>4045</v>
      </c>
      <c r="F20" t="s">
        <v>2546</v>
      </c>
    </row>
    <row r="21" spans="1:9" ht="15" customHeight="1">
      <c r="A21" t="s">
        <v>1902</v>
      </c>
      <c r="B21" t="s">
        <v>2280</v>
      </c>
      <c r="C21" t="s">
        <v>2273</v>
      </c>
      <c r="D21" t="s">
        <v>2546</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4046</v>
      </c>
      <c r="B1" s="296"/>
      <c r="C1" s="296"/>
      <c r="D1" s="296"/>
      <c r="E1" s="296"/>
    </row>
    <row r="2" spans="1:5" ht="43.5" customHeight="1">
      <c r="A2" s="37" t="s">
        <v>4047</v>
      </c>
      <c r="B2" s="37" t="s">
        <v>4048</v>
      </c>
      <c r="C2" s="37" t="s">
        <v>4049</v>
      </c>
      <c r="D2" s="37" t="s">
        <v>4050</v>
      </c>
      <c r="E2" s="37" t="s">
        <v>1452</v>
      </c>
    </row>
    <row r="3" spans="1:5" ht="15" customHeight="1">
      <c r="A3" s="38" t="s">
        <v>4051</v>
      </c>
      <c r="B3" s="39">
        <v>45901</v>
      </c>
      <c r="C3" s="39">
        <v>46215</v>
      </c>
      <c r="D3" s="38"/>
      <c r="E3" s="38" t="s">
        <v>4052</v>
      </c>
    </row>
    <row r="4" spans="1:5" ht="15" customHeight="1">
      <c r="A4" s="5" t="s">
        <v>4053</v>
      </c>
      <c r="B4" s="36">
        <v>45901</v>
      </c>
      <c r="C4" s="36">
        <v>46186</v>
      </c>
      <c r="D4" s="5"/>
      <c r="E4" s="5" t="s">
        <v>4054</v>
      </c>
    </row>
    <row r="5" spans="1:5" ht="15" customHeight="1">
      <c r="A5" s="38" t="s">
        <v>4051</v>
      </c>
      <c r="B5" s="39">
        <v>46216</v>
      </c>
      <c r="C5" s="39">
        <v>46237</v>
      </c>
      <c r="D5" s="38" t="s">
        <v>4055</v>
      </c>
      <c r="E5" s="38" t="s">
        <v>4056</v>
      </c>
    </row>
    <row r="6" spans="1:5" ht="26.25" customHeight="1">
      <c r="A6" s="5" t="s">
        <v>4053</v>
      </c>
      <c r="B6" s="36">
        <v>46187</v>
      </c>
      <c r="C6" s="36">
        <v>46259</v>
      </c>
      <c r="D6" s="5" t="s">
        <v>4057</v>
      </c>
      <c r="E6" s="5" t="s">
        <v>4058</v>
      </c>
    </row>
    <row r="7" spans="1:5" ht="15" customHeight="1">
      <c r="A7" s="38" t="s">
        <v>4051</v>
      </c>
      <c r="B7" s="39">
        <v>46238</v>
      </c>
      <c r="C7" s="39">
        <v>46568</v>
      </c>
      <c r="D7" s="38"/>
      <c r="E7" s="38" t="s">
        <v>4059</v>
      </c>
    </row>
    <row r="8" spans="1:5" ht="15" customHeight="1">
      <c r="A8" s="5" t="s">
        <v>4053</v>
      </c>
      <c r="B8" s="36">
        <v>46260</v>
      </c>
      <c r="C8" s="36">
        <v>46550</v>
      </c>
      <c r="D8" s="5"/>
      <c r="E8" s="5" t="s">
        <v>4060</v>
      </c>
    </row>
    <row r="9" spans="1:5" ht="15" customHeight="1">
      <c r="A9" s="38" t="s">
        <v>1825</v>
      </c>
      <c r="B9" s="39">
        <v>46013</v>
      </c>
      <c r="C9" s="39">
        <v>46026</v>
      </c>
      <c r="D9" s="38" t="s">
        <v>4061</v>
      </c>
      <c r="E9" s="38" t="s">
        <v>4062</v>
      </c>
    </row>
    <row r="10" spans="1:5" ht="15" customHeight="1">
      <c r="A10" s="5" t="s">
        <v>1825</v>
      </c>
      <c r="B10" s="36">
        <v>46113</v>
      </c>
      <c r="C10" s="36">
        <v>46117</v>
      </c>
      <c r="D10" s="5" t="s">
        <v>4063</v>
      </c>
      <c r="E10" s="5" t="s">
        <v>4064</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4065</v>
      </c>
    </row>
    <row r="2" spans="1:2" ht="15" customHeight="1">
      <c r="A2" s="70" t="s">
        <v>1201</v>
      </c>
      <c r="B2" s="70" t="s">
        <v>4066</v>
      </c>
    </row>
    <row r="3" spans="1:2" ht="15" customHeight="1">
      <c r="A3" s="70" t="s">
        <v>3241</v>
      </c>
      <c r="B3" s="70" t="s">
        <v>4067</v>
      </c>
    </row>
    <row r="4" spans="1:2" ht="15" customHeight="1">
      <c r="A4" s="70" t="s">
        <v>3122</v>
      </c>
      <c r="B4" s="70"/>
    </row>
    <row r="5" spans="1:2" ht="15" customHeight="1">
      <c r="A5" s="70" t="s">
        <v>543</v>
      </c>
      <c r="B5" s="70"/>
    </row>
    <row r="6" spans="1:2" ht="15" customHeight="1">
      <c r="A6" s="70" t="s">
        <v>3180</v>
      </c>
      <c r="B6" s="70" t="s">
        <v>4068</v>
      </c>
    </row>
    <row r="7" spans="1:2" ht="15" customHeight="1">
      <c r="A7" s="70" t="s">
        <v>2463</v>
      </c>
      <c r="B7" s="70"/>
    </row>
    <row r="8" spans="1:2" ht="15" customHeight="1">
      <c r="A8" s="70" t="s">
        <v>108</v>
      </c>
      <c r="B8" s="70" t="s">
        <v>4069</v>
      </c>
    </row>
    <row r="9" spans="1:2" ht="15" customHeight="1">
      <c r="A9" s="70" t="s">
        <v>3113</v>
      </c>
      <c r="B9" s="70" t="s">
        <v>4070</v>
      </c>
    </row>
    <row r="10" spans="1:2" ht="15" customHeight="1">
      <c r="A10" s="70" t="s">
        <v>227</v>
      </c>
      <c r="B10" s="70"/>
    </row>
    <row r="11" spans="1:2" ht="15" customHeight="1">
      <c r="A11" s="70" t="s">
        <v>133</v>
      </c>
      <c r="B11" s="70"/>
    </row>
    <row r="12" spans="1:2" ht="15" customHeight="1">
      <c r="A12" s="70" t="s">
        <v>3013</v>
      </c>
      <c r="B12" s="70"/>
    </row>
    <row r="13" spans="1:2" ht="15" customHeight="1">
      <c r="A13" s="70" t="s">
        <v>505</v>
      </c>
      <c r="B13" s="70" t="s">
        <v>4071</v>
      </c>
    </row>
    <row r="14" spans="1:2" ht="15" customHeight="1">
      <c r="A14" s="70" t="s">
        <v>4072</v>
      </c>
      <c r="B14" s="70"/>
    </row>
    <row r="15" spans="1:2" ht="15" customHeight="1">
      <c r="A15" s="72" t="s">
        <v>3243</v>
      </c>
      <c r="B15" s="72" t="s">
        <v>4073</v>
      </c>
    </row>
    <row r="16" spans="1:2" ht="15" customHeight="1">
      <c r="A16" s="71" t="s">
        <v>3862</v>
      </c>
      <c r="B16" s="71"/>
    </row>
    <row r="17" spans="1:2" ht="15" customHeight="1">
      <c r="A17" s="71" t="s">
        <v>3866</v>
      </c>
      <c r="B17" s="71"/>
    </row>
    <row r="18" spans="1:2" ht="15" customHeight="1">
      <c r="A18" s="71" t="s">
        <v>3098</v>
      </c>
      <c r="B18" s="71"/>
    </row>
    <row r="19" spans="1:2" ht="15" customHeight="1">
      <c r="A19" s="71" t="s">
        <v>3863</v>
      </c>
      <c r="B19" s="71"/>
    </row>
    <row r="20" spans="1:2" ht="15" customHeight="1">
      <c r="A20" s="71" t="s">
        <v>3864</v>
      </c>
      <c r="B20" s="71"/>
    </row>
    <row r="21" spans="1:2" ht="15" customHeight="1">
      <c r="A21" s="71" t="s">
        <v>3865</v>
      </c>
      <c r="B21" s="71"/>
    </row>
    <row r="22" spans="1:2" ht="15" customHeight="1">
      <c r="A22" s="71" t="s">
        <v>2193</v>
      </c>
      <c r="B22" s="71" t="s">
        <v>4074</v>
      </c>
    </row>
    <row r="23" spans="1:2" ht="15" customHeight="1">
      <c r="A23" s="71" t="s">
        <v>3093</v>
      </c>
      <c r="B23" s="71"/>
    </row>
    <row r="24" spans="1:2" ht="15" customHeight="1">
      <c r="A24" s="71" t="s">
        <v>2324</v>
      </c>
      <c r="B24" s="71"/>
    </row>
    <row r="25" spans="1:2" ht="15" customHeight="1">
      <c r="A25" s="71" t="s">
        <v>3003</v>
      </c>
      <c r="B25" s="71"/>
    </row>
    <row r="26" spans="1:2" ht="15" customHeight="1">
      <c r="A26" s="71" t="s">
        <v>2135</v>
      </c>
      <c r="B26" s="71" t="s">
        <v>4075</v>
      </c>
    </row>
    <row r="27" spans="1:2" ht="15" customHeight="1">
      <c r="A27" s="71" t="s">
        <v>2338</v>
      </c>
      <c r="B27" s="71" t="s">
        <v>4076</v>
      </c>
    </row>
    <row r="28" spans="1:2">
      <c r="A28" s="71" t="s">
        <v>2309</v>
      </c>
      <c r="B28" s="71" t="s">
        <v>4077</v>
      </c>
    </row>
    <row r="29" spans="1:2">
      <c r="A29" s="71" t="s">
        <v>3702</v>
      </c>
      <c r="B29" s="71"/>
    </row>
    <row r="30" spans="1:2">
      <c r="A30" s="71" t="s">
        <v>805</v>
      </c>
      <c r="B30" s="71"/>
    </row>
    <row r="31" spans="1:2">
      <c r="A31" s="71" t="s">
        <v>801</v>
      </c>
      <c r="B31" s="71"/>
    </row>
    <row r="32" spans="1:2">
      <c r="A32" s="71" t="s">
        <v>799</v>
      </c>
      <c r="B32" s="71"/>
    </row>
    <row r="33" spans="1:2">
      <c r="A33" s="71" t="s">
        <v>3899</v>
      </c>
      <c r="B33" s="71"/>
    </row>
    <row r="34" spans="1:2">
      <c r="A34" s="71" t="s">
        <v>3279</v>
      </c>
      <c r="B34" s="71"/>
    </row>
    <row r="35" spans="1:2">
      <c r="A35" s="71" t="s">
        <v>3606</v>
      </c>
      <c r="B35" s="71"/>
    </row>
    <row r="36" spans="1:2">
      <c r="A36" s="71" t="s">
        <v>3889</v>
      </c>
      <c r="B36" s="71"/>
    </row>
    <row r="37" spans="1:2">
      <c r="A37" s="71" t="s">
        <v>436</v>
      </c>
      <c r="B37" s="71"/>
    </row>
    <row r="38" spans="1:2">
      <c r="A38" s="71" t="s">
        <v>2790</v>
      </c>
      <c r="B38" s="71"/>
    </row>
    <row r="39" spans="1:2">
      <c r="A39" s="71" t="s">
        <v>2916</v>
      </c>
      <c r="B39" s="71"/>
    </row>
    <row r="40" spans="1:2">
      <c r="A40" s="71" t="s">
        <v>3250</v>
      </c>
      <c r="B40" s="71"/>
    </row>
    <row r="41" spans="1:2">
      <c r="A41" s="71" t="s">
        <v>554</v>
      </c>
      <c r="B41" s="71" t="s">
        <v>4078</v>
      </c>
    </row>
    <row r="42" spans="1:2">
      <c r="A42" s="71" t="s">
        <v>2394</v>
      </c>
      <c r="B42" s="71" t="s">
        <v>4079</v>
      </c>
    </row>
    <row r="43" spans="1:2">
      <c r="A43" s="71" t="s">
        <v>2400</v>
      </c>
      <c r="B43" s="71"/>
    </row>
    <row r="44" spans="1:2">
      <c r="A44" s="71" t="s">
        <v>3310</v>
      </c>
      <c r="B44" s="71"/>
    </row>
    <row r="45" spans="1:2">
      <c r="A45" s="71" t="s">
        <v>1997</v>
      </c>
      <c r="B45" s="71"/>
    </row>
    <row r="46" spans="1:2">
      <c r="A46" s="71" t="s">
        <v>3306</v>
      </c>
      <c r="B46" s="71"/>
    </row>
    <row r="47" spans="1:2">
      <c r="A47" s="71" t="s">
        <v>3307</v>
      </c>
      <c r="B47" s="71"/>
    </row>
    <row r="48" spans="1:2">
      <c r="A48" s="71" t="s">
        <v>3762</v>
      </c>
      <c r="B48" s="71"/>
    </row>
    <row r="49" spans="1:2">
      <c r="A49" s="71" t="s">
        <v>3317</v>
      </c>
      <c r="B49" s="71"/>
    </row>
    <row r="50" spans="1:2">
      <c r="A50" s="71" t="s">
        <v>3316</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4080</v>
      </c>
      <c r="B1" s="298"/>
    </row>
    <row r="2" spans="1:2" ht="30" customHeight="1">
      <c r="A2" s="299" t="s">
        <v>4081</v>
      </c>
      <c r="B2" s="299"/>
    </row>
    <row r="3" spans="1:2" ht="21.75" customHeight="1">
      <c r="A3" s="48" t="s">
        <v>4082</v>
      </c>
      <c r="B3" s="5" t="s">
        <v>4083</v>
      </c>
    </row>
    <row r="4" spans="1:2" ht="21.75" customHeight="1">
      <c r="A4" s="48" t="s">
        <v>4084</v>
      </c>
      <c r="B4" s="5" t="s">
        <v>4085</v>
      </c>
    </row>
    <row r="5" spans="1:2" ht="21.75" customHeight="1">
      <c r="A5" s="48" t="s">
        <v>4086</v>
      </c>
      <c r="B5" s="5" t="s">
        <v>4087</v>
      </c>
    </row>
    <row r="6" spans="1:2" ht="21.75" customHeight="1">
      <c r="A6" s="48" t="s">
        <v>4088</v>
      </c>
      <c r="B6" s="5" t="s">
        <v>4089</v>
      </c>
    </row>
    <row r="7" spans="1:2" ht="21.75" customHeight="1">
      <c r="A7" s="48" t="s">
        <v>4090</v>
      </c>
      <c r="B7" s="5" t="s">
        <v>4091</v>
      </c>
    </row>
    <row r="8" spans="1:2" ht="21.75" customHeight="1">
      <c r="A8" s="48" t="s">
        <v>4092</v>
      </c>
      <c r="B8" s="5" t="s">
        <v>4093</v>
      </c>
    </row>
    <row r="10" spans="1:2" ht="30" customHeight="1">
      <c r="A10" s="300" t="s">
        <v>4094</v>
      </c>
      <c r="B10" s="300"/>
    </row>
    <row r="11" spans="1:2" ht="21.75" customHeight="1">
      <c r="A11" s="49" t="s">
        <v>4095</v>
      </c>
      <c r="B11" s="19" t="s">
        <v>4096</v>
      </c>
    </row>
    <row r="12" spans="1:2" ht="21.75" customHeight="1">
      <c r="A12" s="50" t="s">
        <v>4097</v>
      </c>
      <c r="B12" s="51" t="s">
        <v>4098</v>
      </c>
    </row>
    <row r="13" spans="1:2" ht="21.75" customHeight="1">
      <c r="A13" s="49" t="s">
        <v>4099</v>
      </c>
      <c r="B13" s="19" t="s">
        <v>4100</v>
      </c>
    </row>
    <row r="14" spans="1:2" ht="21.75" customHeight="1">
      <c r="A14" s="52" t="s">
        <v>4101</v>
      </c>
      <c r="B14" s="35" t="s">
        <v>4102</v>
      </c>
    </row>
    <row r="15" spans="1:2" ht="21.75" customHeight="1">
      <c r="A15" s="53" t="s">
        <v>4103</v>
      </c>
      <c r="B15" s="54" t="s">
        <v>4104</v>
      </c>
    </row>
    <row r="17" spans="1:2" ht="30" customHeight="1">
      <c r="A17" s="301" t="s">
        <v>4105</v>
      </c>
      <c r="B17" s="301"/>
    </row>
    <row r="18" spans="1:2" ht="21.75" customHeight="1">
      <c r="A18" s="53" t="s">
        <v>4106</v>
      </c>
      <c r="B18" s="54" t="s">
        <v>4107</v>
      </c>
    </row>
    <row r="19" spans="1:2" ht="21.75" customHeight="1">
      <c r="A19" s="53" t="s">
        <v>4108</v>
      </c>
      <c r="B19" s="54" t="s">
        <v>4109</v>
      </c>
    </row>
    <row r="20" spans="1:2" ht="21.75" customHeight="1">
      <c r="A20" s="53" t="s">
        <v>4110</v>
      </c>
      <c r="B20" s="54" t="s">
        <v>4111</v>
      </c>
    </row>
    <row r="21" spans="1:2" ht="21.75" customHeight="1">
      <c r="A21" s="53" t="s">
        <v>4112</v>
      </c>
      <c r="B21" s="54" t="s">
        <v>4113</v>
      </c>
    </row>
    <row r="22" spans="1:2" ht="21.75" customHeight="1">
      <c r="A22" s="53" t="s">
        <v>4114</v>
      </c>
      <c r="B22" s="54" t="s">
        <v>4115</v>
      </c>
    </row>
    <row r="24" spans="1:2" ht="30" customHeight="1">
      <c r="A24" s="297" t="s">
        <v>4116</v>
      </c>
      <c r="B24" s="297"/>
    </row>
    <row r="25" spans="1:2" ht="279.75" customHeight="1">
      <c r="A25" s="55" t="s">
        <v>4117</v>
      </c>
      <c r="B25" s="56" t="s">
        <v>4118</v>
      </c>
    </row>
    <row r="27" spans="1:2" ht="30" customHeight="1">
      <c r="A27" s="297" t="s">
        <v>4119</v>
      </c>
      <c r="B27" s="297"/>
    </row>
    <row r="28" spans="1:2" ht="21.75" customHeight="1">
      <c r="A28" s="49" t="s">
        <v>4120</v>
      </c>
      <c r="B28" s="19" t="s">
        <v>4121</v>
      </c>
    </row>
    <row r="29" spans="1:2" ht="21.75" customHeight="1">
      <c r="A29" s="49" t="s">
        <v>4122</v>
      </c>
      <c r="B29" s="19" t="s">
        <v>4123</v>
      </c>
    </row>
    <row r="30" spans="1:2" ht="21.75" customHeight="1">
      <c r="A30" s="49" t="s">
        <v>4124</v>
      </c>
      <c r="B30" s="19" t="s">
        <v>4125</v>
      </c>
    </row>
    <row r="31" spans="1:2" ht="21.75" customHeight="1">
      <c r="A31" s="49" t="s">
        <v>4126</v>
      </c>
      <c r="B31" s="19" t="s">
        <v>4127</v>
      </c>
    </row>
    <row r="32" spans="1:2" ht="21.75" customHeight="1">
      <c r="A32" s="49" t="s">
        <v>4128</v>
      </c>
      <c r="B32" s="19" t="s">
        <v>4129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4130</v>
      </c>
      <c r="B1" t="s">
        <v>3943</v>
      </c>
    </row>
    <row r="2" spans="1:2" ht="15" customHeight="1">
      <c r="A2" t="s">
        <v>1459</v>
      </c>
      <c r="B2" t="s">
        <v>4131</v>
      </c>
    </row>
    <row r="3" spans="1:2" ht="15" customHeight="1">
      <c r="A3" t="s">
        <v>850</v>
      </c>
      <c r="B3" t="s">
        <v>4131</v>
      </c>
    </row>
    <row r="4" spans="1:2" ht="15" customHeight="1">
      <c r="A4" t="s">
        <v>852</v>
      </c>
      <c r="B4" t="s">
        <v>4131</v>
      </c>
    </row>
    <row r="5" spans="1:2" ht="15" customHeight="1">
      <c r="A5" t="s">
        <v>854</v>
      </c>
      <c r="B5" t="s">
        <v>4131</v>
      </c>
    </row>
    <row r="6" spans="1:2" ht="15" customHeight="1">
      <c r="A6" t="s">
        <v>1050</v>
      </c>
      <c r="B6" t="s">
        <v>4131</v>
      </c>
    </row>
    <row r="7" spans="1:2" ht="15" customHeight="1">
      <c r="A7" t="s">
        <v>1486</v>
      </c>
      <c r="B7" t="s">
        <v>4131</v>
      </c>
    </row>
    <row r="8" spans="1:2" ht="15" customHeight="1">
      <c r="A8" t="s">
        <v>1492</v>
      </c>
      <c r="B8" t="s">
        <v>4131</v>
      </c>
    </row>
    <row r="9" spans="1:2" ht="15" customHeight="1">
      <c r="A9" t="s">
        <v>1497</v>
      </c>
      <c r="B9" t="s">
        <v>4131</v>
      </c>
    </row>
    <row r="10" spans="1:2" ht="15" customHeight="1">
      <c r="A10" t="s">
        <v>838</v>
      </c>
      <c r="B10" t="s">
        <v>4131</v>
      </c>
    </row>
    <row r="11" spans="1:2" ht="15" customHeight="1">
      <c r="A11" t="s">
        <v>843</v>
      </c>
      <c r="B11" t="s">
        <v>4131</v>
      </c>
    </row>
    <row r="12" spans="1:2" ht="15" customHeight="1">
      <c r="A12" t="s">
        <v>1513</v>
      </c>
      <c r="B12" t="s">
        <v>4131</v>
      </c>
    </row>
    <row r="13" spans="1:2" ht="15" customHeight="1">
      <c r="A13" t="s">
        <v>1519</v>
      </c>
      <c r="B13" t="s">
        <v>4131</v>
      </c>
    </row>
    <row r="14" spans="1:2" ht="15" customHeight="1">
      <c r="A14" t="s">
        <v>1524</v>
      </c>
      <c r="B14" t="s">
        <v>4131</v>
      </c>
    </row>
    <row r="15" spans="1:2" ht="15" customHeight="1">
      <c r="A15" t="s">
        <v>1530</v>
      </c>
      <c r="B15" t="s">
        <v>4131</v>
      </c>
    </row>
    <row r="16" spans="1:2" ht="15" customHeight="1">
      <c r="A16" t="s">
        <v>1535</v>
      </c>
      <c r="B16" t="s">
        <v>4131</v>
      </c>
    </row>
    <row r="17" spans="1:2" ht="15" customHeight="1">
      <c r="A17" t="s">
        <v>1541</v>
      </c>
      <c r="B17" t="s">
        <v>4131</v>
      </c>
    </row>
    <row r="18" spans="1:2" ht="15" customHeight="1">
      <c r="A18" t="s">
        <v>1547</v>
      </c>
      <c r="B18" t="s">
        <v>4131</v>
      </c>
    </row>
    <row r="19" spans="1:2" ht="15" customHeight="1">
      <c r="A19" t="s">
        <v>1552</v>
      </c>
      <c r="B19" t="s">
        <v>4131</v>
      </c>
    </row>
    <row r="20" spans="1:2" ht="15" customHeight="1">
      <c r="A20" t="s">
        <v>1557</v>
      </c>
      <c r="B20" t="s">
        <v>4131</v>
      </c>
    </row>
    <row r="21" spans="1:2" ht="15" customHeight="1">
      <c r="A21" t="s">
        <v>1563</v>
      </c>
      <c r="B21" t="s">
        <v>4131</v>
      </c>
    </row>
    <row r="22" spans="1:2" ht="15" customHeight="1">
      <c r="A22" t="s">
        <v>1569</v>
      </c>
      <c r="B22" t="s">
        <v>4131</v>
      </c>
    </row>
    <row r="23" spans="1:2" ht="15" customHeight="1">
      <c r="A23" t="s">
        <v>1574</v>
      </c>
      <c r="B23" t="s">
        <v>4131</v>
      </c>
    </row>
    <row r="24" spans="1:2" ht="15" customHeight="1">
      <c r="A24" t="s">
        <v>1579</v>
      </c>
      <c r="B24" t="s">
        <v>4131</v>
      </c>
    </row>
    <row r="25" spans="1:2" ht="15" customHeight="1">
      <c r="A25" t="s">
        <v>1584</v>
      </c>
      <c r="B25" t="s">
        <v>4131</v>
      </c>
    </row>
    <row r="26" spans="1:2" ht="15" customHeight="1">
      <c r="A26" t="s">
        <v>1125</v>
      </c>
      <c r="B26" t="s">
        <v>4131</v>
      </c>
    </row>
    <row r="27" spans="1:2" ht="15" customHeight="1">
      <c r="A27" t="s">
        <v>1593</v>
      </c>
      <c r="B27" t="s">
        <v>4131</v>
      </c>
    </row>
    <row r="28" spans="1:2" ht="15" customHeight="1">
      <c r="A28" t="s">
        <v>1598</v>
      </c>
      <c r="B28" t="s">
        <v>4131</v>
      </c>
    </row>
    <row r="29" spans="1:2" ht="15" customHeight="1">
      <c r="A29" t="s">
        <v>1603</v>
      </c>
      <c r="B29" t="s">
        <v>4131</v>
      </c>
    </row>
    <row r="30" spans="1:2" ht="15" customHeight="1">
      <c r="A30" t="s">
        <v>1609</v>
      </c>
      <c r="B30" t="s">
        <v>4131</v>
      </c>
    </row>
    <row r="31" spans="1:2" ht="15" customHeight="1">
      <c r="A31" t="s">
        <v>1615</v>
      </c>
      <c r="B31" t="s">
        <v>4131</v>
      </c>
    </row>
    <row r="32" spans="1:2" ht="15" customHeight="1">
      <c r="A32" t="s">
        <v>1621</v>
      </c>
      <c r="B32" t="s">
        <v>4131</v>
      </c>
    </row>
    <row r="33" spans="1:2" ht="15" customHeight="1">
      <c r="A33" t="s">
        <v>1627</v>
      </c>
      <c r="B33" t="s">
        <v>4131</v>
      </c>
    </row>
    <row r="34" spans="1:2" ht="15" customHeight="1">
      <c r="A34" t="s">
        <v>1632</v>
      </c>
      <c r="B34" t="s">
        <v>4131</v>
      </c>
    </row>
    <row r="35" spans="1:2" ht="15" customHeight="1">
      <c r="A35" t="s">
        <v>1638</v>
      </c>
      <c r="B35" t="s">
        <v>4131</v>
      </c>
    </row>
    <row r="36" spans="1:2" ht="15" customHeight="1">
      <c r="A36" t="s">
        <v>1643</v>
      </c>
      <c r="B36" t="s">
        <v>4131</v>
      </c>
    </row>
    <row r="37" spans="1:2" ht="15" customHeight="1">
      <c r="A37" t="s">
        <v>1648</v>
      </c>
      <c r="B37" t="s">
        <v>4131</v>
      </c>
    </row>
    <row r="38" spans="1:2" ht="15" customHeight="1">
      <c r="A38" t="s">
        <v>1653</v>
      </c>
      <c r="B38" t="s">
        <v>4131</v>
      </c>
    </row>
    <row r="39" spans="1:2" ht="15" customHeight="1">
      <c r="A39" t="s">
        <v>1658</v>
      </c>
      <c r="B39" t="s">
        <v>4131</v>
      </c>
    </row>
    <row r="40" spans="1:2" ht="15" customHeight="1">
      <c r="A40" t="s">
        <v>1664</v>
      </c>
      <c r="B40" t="s">
        <v>4131</v>
      </c>
    </row>
    <row r="41" spans="1:2" ht="15" customHeight="1">
      <c r="A41" t="s">
        <v>1669</v>
      </c>
      <c r="B41" t="s">
        <v>4131</v>
      </c>
    </row>
    <row r="42" spans="1:2" ht="15" customHeight="1">
      <c r="A42" t="s">
        <v>1674</v>
      </c>
      <c r="B42" t="s">
        <v>4131</v>
      </c>
    </row>
    <row r="43" spans="1:2" ht="15" customHeight="1">
      <c r="A43" t="s">
        <v>1679</v>
      </c>
      <c r="B43" t="s">
        <v>4131</v>
      </c>
    </row>
    <row r="44" spans="1:2" ht="15" customHeight="1">
      <c r="A44" t="s">
        <v>1684</v>
      </c>
      <c r="B44" t="s">
        <v>4131</v>
      </c>
    </row>
    <row r="45" spans="1:2" ht="15" customHeight="1">
      <c r="A45" t="s">
        <v>1689</v>
      </c>
      <c r="B45" t="s">
        <v>4131</v>
      </c>
    </row>
    <row r="46" spans="1:2" ht="15" customHeight="1">
      <c r="A46" t="s">
        <v>1695</v>
      </c>
      <c r="B46" t="s">
        <v>4131</v>
      </c>
    </row>
    <row r="47" spans="1:2" ht="15" customHeight="1">
      <c r="A47" t="s">
        <v>1700</v>
      </c>
      <c r="B47" t="s">
        <v>4131</v>
      </c>
    </row>
    <row r="48" spans="1:2" ht="15" customHeight="1">
      <c r="A48" t="s">
        <v>1706</v>
      </c>
      <c r="B48" t="s">
        <v>4131</v>
      </c>
    </row>
    <row r="49" spans="1:2" ht="15" customHeight="1">
      <c r="A49" t="s">
        <v>1712</v>
      </c>
      <c r="B49" t="s">
        <v>4131</v>
      </c>
    </row>
    <row r="50" spans="1:2" ht="15" customHeight="1">
      <c r="A50" t="s">
        <v>1717</v>
      </c>
      <c r="B50" t="s">
        <v>4131</v>
      </c>
    </row>
    <row r="51" spans="1:2" ht="15" customHeight="1">
      <c r="A51" t="s">
        <v>1722</v>
      </c>
      <c r="B51" t="s">
        <v>4131</v>
      </c>
    </row>
    <row r="52" spans="1:2" ht="15" customHeight="1">
      <c r="A52" t="s">
        <v>1728</v>
      </c>
      <c r="B52" t="s">
        <v>4131</v>
      </c>
    </row>
    <row r="53" spans="1:2" ht="15" customHeight="1">
      <c r="A53" t="s">
        <v>1734</v>
      </c>
      <c r="B53" t="s">
        <v>4131</v>
      </c>
    </row>
    <row r="54" spans="1:2" ht="15" customHeight="1">
      <c r="A54" t="s">
        <v>1739</v>
      </c>
      <c r="B54" t="s">
        <v>4131</v>
      </c>
    </row>
    <row r="55" spans="1:2" ht="15" customHeight="1">
      <c r="A55" t="s">
        <v>1744</v>
      </c>
      <c r="B55" t="s">
        <v>4131</v>
      </c>
    </row>
    <row r="56" spans="1:2" ht="15" customHeight="1">
      <c r="A56" t="s">
        <v>1749</v>
      </c>
      <c r="B56" t="s">
        <v>4131</v>
      </c>
    </row>
    <row r="57" spans="1:2" ht="15" customHeight="1">
      <c r="A57" t="s">
        <v>1754</v>
      </c>
      <c r="B57" t="s">
        <v>4131</v>
      </c>
    </row>
    <row r="58" spans="1:2" ht="15" customHeight="1">
      <c r="A58" t="s">
        <v>1759</v>
      </c>
      <c r="B58" t="s">
        <v>4131</v>
      </c>
    </row>
    <row r="59" spans="1:2" ht="15" customHeight="1">
      <c r="A59" t="s">
        <v>1764</v>
      </c>
      <c r="B59" t="s">
        <v>4131</v>
      </c>
    </row>
    <row r="60" spans="1:2" ht="15" customHeight="1">
      <c r="A60" t="s">
        <v>1769</v>
      </c>
      <c r="B60" t="s">
        <v>4131</v>
      </c>
    </row>
    <row r="61" spans="1:2" ht="15" customHeight="1">
      <c r="A61" t="s">
        <v>1774</v>
      </c>
      <c r="B61" t="s">
        <v>4131</v>
      </c>
    </row>
    <row r="62" spans="1:2" ht="15" customHeight="1">
      <c r="A62" t="s">
        <v>1779</v>
      </c>
      <c r="B62" t="s">
        <v>4131</v>
      </c>
    </row>
    <row r="63" spans="1:2" ht="15" customHeight="1">
      <c r="A63" t="s">
        <v>1784</v>
      </c>
      <c r="B63" t="s">
        <v>4131</v>
      </c>
    </row>
    <row r="64" spans="1:2" ht="15" customHeight="1">
      <c r="A64" t="s">
        <v>1790</v>
      </c>
      <c r="B64" t="s">
        <v>4131</v>
      </c>
    </row>
    <row r="65" spans="1:2" ht="15" customHeight="1">
      <c r="A65" t="s">
        <v>1795</v>
      </c>
      <c r="B65" t="s">
        <v>4131</v>
      </c>
    </row>
    <row r="66" spans="1:2" ht="15" customHeight="1">
      <c r="A66" t="s">
        <v>1800</v>
      </c>
      <c r="B66" t="s">
        <v>4131</v>
      </c>
    </row>
    <row r="67" spans="1:2" ht="15" customHeight="1">
      <c r="A67" t="s">
        <v>1806</v>
      </c>
      <c r="B67" t="s">
        <v>4131</v>
      </c>
    </row>
    <row r="68" spans="1:2" ht="15" customHeight="1">
      <c r="A68" t="s">
        <v>1812</v>
      </c>
      <c r="B68" t="s">
        <v>4131</v>
      </c>
    </row>
    <row r="69" spans="1:2" ht="15" customHeight="1">
      <c r="A69" t="s">
        <v>969</v>
      </c>
      <c r="B69" t="s">
        <v>4131</v>
      </c>
    </row>
    <row r="70" spans="1:2" ht="15" customHeight="1">
      <c r="A70" t="s">
        <v>20</v>
      </c>
      <c r="B70" t="s">
        <v>4132</v>
      </c>
    </row>
    <row r="71" spans="1:2" ht="15" customHeight="1">
      <c r="A71" t="s">
        <v>28</v>
      </c>
      <c r="B71" t="s">
        <v>4132</v>
      </c>
    </row>
    <row r="72" spans="1:2" ht="15" customHeight="1">
      <c r="A72" t="s">
        <v>34</v>
      </c>
      <c r="B72" t="s">
        <v>4132</v>
      </c>
    </row>
    <row r="73" spans="1:2" ht="15" customHeight="1">
      <c r="A73" t="s">
        <v>40</v>
      </c>
      <c r="B73" t="s">
        <v>4132</v>
      </c>
    </row>
    <row r="74" spans="1:2" ht="15" customHeight="1">
      <c r="A74" t="s">
        <v>47</v>
      </c>
      <c r="B74" t="s">
        <v>4132</v>
      </c>
    </row>
    <row r="75" spans="1:2" ht="15" customHeight="1">
      <c r="A75" t="s">
        <v>52</v>
      </c>
      <c r="B75" t="s">
        <v>4132</v>
      </c>
    </row>
    <row r="76" spans="1:2" ht="15" customHeight="1">
      <c r="A76" t="s">
        <v>57</v>
      </c>
      <c r="B76" t="s">
        <v>4132</v>
      </c>
    </row>
    <row r="77" spans="1:2" ht="15" customHeight="1">
      <c r="A77" t="s">
        <v>62</v>
      </c>
      <c r="B77" t="s">
        <v>4132</v>
      </c>
    </row>
    <row r="78" spans="1:2" ht="15" customHeight="1">
      <c r="A78" t="s">
        <v>68</v>
      </c>
      <c r="B78" t="s">
        <v>4132</v>
      </c>
    </row>
    <row r="79" spans="1:2" ht="15" customHeight="1">
      <c r="A79" t="s">
        <v>73</v>
      </c>
      <c r="B79" t="s">
        <v>4132</v>
      </c>
    </row>
    <row r="80" spans="1:2" ht="15" customHeight="1">
      <c r="A80" t="s">
        <v>78</v>
      </c>
      <c r="B80" t="s">
        <v>4132</v>
      </c>
    </row>
    <row r="81" spans="1:2" ht="15" customHeight="1">
      <c r="A81" t="s">
        <v>85</v>
      </c>
      <c r="B81" t="s">
        <v>4132</v>
      </c>
    </row>
    <row r="82" spans="1:2" ht="15" customHeight="1">
      <c r="A82" t="s">
        <v>91</v>
      </c>
      <c r="B82" t="s">
        <v>4132</v>
      </c>
    </row>
    <row r="83" spans="1:2" ht="15" customHeight="1">
      <c r="A83" t="s">
        <v>97</v>
      </c>
      <c r="B83" t="s">
        <v>4132</v>
      </c>
    </row>
    <row r="84" spans="1:2" ht="15" customHeight="1">
      <c r="A84" t="s">
        <v>104</v>
      </c>
      <c r="B84" t="s">
        <v>4132</v>
      </c>
    </row>
    <row r="85" spans="1:2" ht="15" customHeight="1">
      <c r="A85" t="s">
        <v>111</v>
      </c>
      <c r="B85" t="s">
        <v>4132</v>
      </c>
    </row>
    <row r="86" spans="1:2" ht="15" customHeight="1">
      <c r="A86" t="s">
        <v>118</v>
      </c>
      <c r="B86" t="s">
        <v>4132</v>
      </c>
    </row>
    <row r="87" spans="1:2" ht="15" customHeight="1">
      <c r="A87" t="s">
        <v>124</v>
      </c>
      <c r="B87" t="s">
        <v>4132</v>
      </c>
    </row>
    <row r="88" spans="1:2" ht="15" customHeight="1">
      <c r="A88" t="s">
        <v>131</v>
      </c>
      <c r="B88" t="s">
        <v>4132</v>
      </c>
    </row>
    <row r="89" spans="1:2" ht="15" customHeight="1">
      <c r="A89" t="s">
        <v>136</v>
      </c>
      <c r="B89" t="s">
        <v>4132</v>
      </c>
    </row>
    <row r="90" spans="1:2" ht="15" customHeight="1">
      <c r="A90" t="s">
        <v>142</v>
      </c>
      <c r="B90" t="s">
        <v>4132</v>
      </c>
    </row>
    <row r="91" spans="1:2" ht="15" customHeight="1">
      <c r="A91" t="s">
        <v>147</v>
      </c>
      <c r="B91" t="s">
        <v>4132</v>
      </c>
    </row>
    <row r="92" spans="1:2" ht="15" customHeight="1">
      <c r="A92" t="s">
        <v>152</v>
      </c>
      <c r="B92" t="s">
        <v>4132</v>
      </c>
    </row>
    <row r="93" spans="1:2" ht="15" customHeight="1">
      <c r="A93" t="s">
        <v>157</v>
      </c>
      <c r="B93" t="s">
        <v>4132</v>
      </c>
    </row>
    <row r="94" spans="1:2" ht="15" customHeight="1">
      <c r="A94" t="s">
        <v>162</v>
      </c>
      <c r="B94" t="s">
        <v>4132</v>
      </c>
    </row>
    <row r="95" spans="1:2" ht="15" customHeight="1">
      <c r="A95" t="s">
        <v>167</v>
      </c>
      <c r="B95" t="s">
        <v>4132</v>
      </c>
    </row>
    <row r="96" spans="1:2" ht="15" customHeight="1">
      <c r="A96" t="s">
        <v>174</v>
      </c>
      <c r="B96" t="s">
        <v>4132</v>
      </c>
    </row>
    <row r="97" spans="1:2" ht="15" customHeight="1">
      <c r="A97" t="s">
        <v>180</v>
      </c>
      <c r="B97" t="s">
        <v>4132</v>
      </c>
    </row>
    <row r="98" spans="1:2" ht="15" customHeight="1">
      <c r="A98" t="s">
        <v>186</v>
      </c>
      <c r="B98" t="s">
        <v>4132</v>
      </c>
    </row>
    <row r="99" spans="1:2" ht="15" customHeight="1">
      <c r="A99" t="s">
        <v>192</v>
      </c>
      <c r="B99" t="s">
        <v>4132</v>
      </c>
    </row>
    <row r="100" spans="1:2" ht="15" customHeight="1">
      <c r="A100" t="s">
        <v>197</v>
      </c>
      <c r="B100" t="s">
        <v>4132</v>
      </c>
    </row>
    <row r="101" spans="1:2" ht="15" customHeight="1">
      <c r="A101" t="s">
        <v>202</v>
      </c>
      <c r="B101" t="s">
        <v>4132</v>
      </c>
    </row>
    <row r="102" spans="1:2" ht="15" customHeight="1">
      <c r="A102" t="s">
        <v>209</v>
      </c>
      <c r="B102" t="s">
        <v>4132</v>
      </c>
    </row>
    <row r="103" spans="1:2" ht="15" customHeight="1">
      <c r="A103" t="s">
        <v>216</v>
      </c>
      <c r="B103" t="s">
        <v>4132</v>
      </c>
    </row>
    <row r="104" spans="1:2" ht="15" customHeight="1">
      <c r="A104" t="s">
        <v>222</v>
      </c>
      <c r="B104" t="s">
        <v>4132</v>
      </c>
    </row>
    <row r="105" spans="1:2" ht="15" customHeight="1">
      <c r="A105" t="s">
        <v>230</v>
      </c>
      <c r="B105" t="s">
        <v>4132</v>
      </c>
    </row>
    <row r="106" spans="1:2" ht="15" customHeight="1">
      <c r="A106" t="s">
        <v>237</v>
      </c>
      <c r="B106" t="s">
        <v>4132</v>
      </c>
    </row>
    <row r="107" spans="1:2" ht="15" customHeight="1">
      <c r="A107" t="s">
        <v>242</v>
      </c>
      <c r="B107" t="s">
        <v>4132</v>
      </c>
    </row>
    <row r="108" spans="1:2" ht="15" customHeight="1">
      <c r="A108" t="s">
        <v>247</v>
      </c>
      <c r="B108" t="s">
        <v>4132</v>
      </c>
    </row>
    <row r="109" spans="1:2" ht="15" customHeight="1">
      <c r="A109" t="s">
        <v>253</v>
      </c>
      <c r="B109" t="s">
        <v>4132</v>
      </c>
    </row>
    <row r="110" spans="1:2" ht="15" customHeight="1">
      <c r="A110" t="s">
        <v>257</v>
      </c>
      <c r="B110" t="s">
        <v>4132</v>
      </c>
    </row>
    <row r="111" spans="1:2" ht="15" customHeight="1">
      <c r="A111" t="s">
        <v>261</v>
      </c>
      <c r="B111" t="s">
        <v>4132</v>
      </c>
    </row>
    <row r="112" spans="1:2" ht="15" customHeight="1">
      <c r="A112" t="s">
        <v>266</v>
      </c>
      <c r="B112" t="s">
        <v>4132</v>
      </c>
    </row>
    <row r="113" spans="1:2" ht="15" customHeight="1">
      <c r="A113" t="s">
        <v>273</v>
      </c>
      <c r="B113" t="s">
        <v>4132</v>
      </c>
    </row>
    <row r="114" spans="1:2" ht="15" customHeight="1">
      <c r="A114" t="s">
        <v>280</v>
      </c>
      <c r="B114" t="s">
        <v>4132</v>
      </c>
    </row>
    <row r="115" spans="1:2" ht="15" customHeight="1">
      <c r="A115" t="s">
        <v>284</v>
      </c>
      <c r="B115" t="s">
        <v>4132</v>
      </c>
    </row>
    <row r="116" spans="1:2" ht="15" customHeight="1">
      <c r="A116" t="s">
        <v>289</v>
      </c>
      <c r="B116" t="s">
        <v>4132</v>
      </c>
    </row>
    <row r="117" spans="1:2" ht="15" customHeight="1">
      <c r="A117" t="s">
        <v>292</v>
      </c>
      <c r="B117" t="s">
        <v>4132</v>
      </c>
    </row>
    <row r="118" spans="1:2" ht="15" customHeight="1">
      <c r="A118" t="s">
        <v>296</v>
      </c>
      <c r="B118" t="s">
        <v>4132</v>
      </c>
    </row>
    <row r="119" spans="1:2" ht="15" customHeight="1">
      <c r="A119" t="s">
        <v>301</v>
      </c>
      <c r="B119" t="s">
        <v>4132</v>
      </c>
    </row>
    <row r="120" spans="1:2" ht="15" customHeight="1">
      <c r="A120" t="s">
        <v>306</v>
      </c>
      <c r="B120" t="s">
        <v>4132</v>
      </c>
    </row>
    <row r="121" spans="1:2" ht="15" customHeight="1">
      <c r="A121" t="s">
        <v>307</v>
      </c>
      <c r="B121" t="s">
        <v>4132</v>
      </c>
    </row>
    <row r="122" spans="1:2" ht="15" customHeight="1">
      <c r="A122" t="s">
        <v>312</v>
      </c>
      <c r="B122" t="s">
        <v>4132</v>
      </c>
    </row>
    <row r="123" spans="1:2" ht="15" customHeight="1">
      <c r="A123" t="s">
        <v>319</v>
      </c>
      <c r="B123" t="s">
        <v>4132</v>
      </c>
    </row>
    <row r="124" spans="1:2" ht="15" customHeight="1">
      <c r="A124" t="s">
        <v>324</v>
      </c>
      <c r="B124" t="s">
        <v>4132</v>
      </c>
    </row>
    <row r="125" spans="1:2" ht="15" customHeight="1">
      <c r="A125" t="s">
        <v>330</v>
      </c>
      <c r="B125" t="s">
        <v>4132</v>
      </c>
    </row>
    <row r="126" spans="1:2" ht="15" customHeight="1">
      <c r="A126" t="s">
        <v>334</v>
      </c>
      <c r="B126" t="s">
        <v>4132</v>
      </c>
    </row>
    <row r="127" spans="1:2" ht="15" customHeight="1">
      <c r="A127" t="s">
        <v>340</v>
      </c>
      <c r="B127" t="s">
        <v>4132</v>
      </c>
    </row>
    <row r="128" spans="1:2" ht="15" customHeight="1">
      <c r="A128" t="s">
        <v>346</v>
      </c>
      <c r="B128" t="s">
        <v>4132</v>
      </c>
    </row>
    <row r="129" spans="1:2" ht="15" customHeight="1">
      <c r="A129" t="s">
        <v>351</v>
      </c>
      <c r="B129" t="s">
        <v>4132</v>
      </c>
    </row>
    <row r="130" spans="1:2" ht="15" customHeight="1">
      <c r="A130" t="s">
        <v>358</v>
      </c>
      <c r="B130" t="s">
        <v>4132</v>
      </c>
    </row>
    <row r="131" spans="1:2" ht="15" customHeight="1">
      <c r="A131" t="s">
        <v>363</v>
      </c>
      <c r="B131" t="s">
        <v>4132</v>
      </c>
    </row>
    <row r="132" spans="1:2" ht="15" customHeight="1">
      <c r="A132" t="s">
        <v>369</v>
      </c>
      <c r="B132" t="s">
        <v>4132</v>
      </c>
    </row>
    <row r="133" spans="1:2" ht="15" customHeight="1">
      <c r="A133" t="s">
        <v>373</v>
      </c>
      <c r="B133" t="s">
        <v>4132</v>
      </c>
    </row>
    <row r="134" spans="1:2" ht="15" customHeight="1">
      <c r="A134" t="s">
        <v>376</v>
      </c>
      <c r="B134" t="s">
        <v>4132</v>
      </c>
    </row>
    <row r="135" spans="1:2" ht="15" customHeight="1">
      <c r="A135" t="s">
        <v>381</v>
      </c>
      <c r="B135" t="s">
        <v>4132</v>
      </c>
    </row>
    <row r="136" spans="1:2" ht="15" customHeight="1">
      <c r="A136" t="s">
        <v>386</v>
      </c>
      <c r="B136" t="s">
        <v>4132</v>
      </c>
    </row>
    <row r="137" spans="1:2" ht="15" customHeight="1">
      <c r="A137" t="s">
        <v>390</v>
      </c>
      <c r="B137" t="s">
        <v>4132</v>
      </c>
    </row>
    <row r="138" spans="1:2" ht="15" customHeight="1">
      <c r="A138" t="s">
        <v>395</v>
      </c>
      <c r="B138" t="s">
        <v>4132</v>
      </c>
    </row>
    <row r="139" spans="1:2" ht="15" customHeight="1">
      <c r="A139" t="s">
        <v>399</v>
      </c>
      <c r="B139" t="s">
        <v>4132</v>
      </c>
    </row>
    <row r="140" spans="1:2" ht="15" customHeight="1">
      <c r="A140" t="s">
        <v>404</v>
      </c>
      <c r="B140" t="s">
        <v>4132</v>
      </c>
    </row>
    <row r="141" spans="1:2" ht="15" customHeight="1">
      <c r="A141" t="s">
        <v>411</v>
      </c>
      <c r="B141" t="s">
        <v>4132</v>
      </c>
    </row>
    <row r="142" spans="1:2" ht="15" customHeight="1">
      <c r="A142" t="s">
        <v>416</v>
      </c>
      <c r="B142" t="s">
        <v>4132</v>
      </c>
    </row>
    <row r="143" spans="1:2" ht="15" customHeight="1">
      <c r="A143" t="s">
        <v>421</v>
      </c>
      <c r="B143" t="s">
        <v>4132</v>
      </c>
    </row>
    <row r="144" spans="1:2" ht="15" customHeight="1">
      <c r="A144" t="s">
        <v>426</v>
      </c>
      <c r="B144" t="s">
        <v>4132</v>
      </c>
    </row>
    <row r="145" spans="1:2" ht="15" customHeight="1">
      <c r="A145" t="s">
        <v>430</v>
      </c>
      <c r="B145" t="s">
        <v>4132</v>
      </c>
    </row>
    <row r="146" spans="1:2" ht="15" customHeight="1">
      <c r="A146" t="s">
        <v>434</v>
      </c>
      <c r="B146" t="s">
        <v>4132</v>
      </c>
    </row>
    <row r="147" spans="1:2" ht="15" customHeight="1">
      <c r="A147" t="s">
        <v>439</v>
      </c>
      <c r="B147" t="s">
        <v>4132</v>
      </c>
    </row>
    <row r="148" spans="1:2" ht="15" customHeight="1">
      <c r="A148" t="s">
        <v>444</v>
      </c>
      <c r="B148" t="s">
        <v>4132</v>
      </c>
    </row>
    <row r="149" spans="1:2">
      <c r="A149" t="s">
        <v>450</v>
      </c>
      <c r="B149" t="s">
        <v>4132</v>
      </c>
    </row>
    <row r="150" spans="1:2">
      <c r="A150" t="s">
        <v>455</v>
      </c>
      <c r="B150" t="s">
        <v>4132</v>
      </c>
    </row>
    <row r="151" spans="1:2">
      <c r="A151" t="s">
        <v>460</v>
      </c>
      <c r="B151" t="s">
        <v>4132</v>
      </c>
    </row>
    <row r="152" spans="1:2">
      <c r="A152" t="s">
        <v>466</v>
      </c>
      <c r="B152" t="s">
        <v>4132</v>
      </c>
    </row>
    <row r="153" spans="1:2">
      <c r="A153" t="s">
        <v>473</v>
      </c>
      <c r="B153" t="s">
        <v>4132</v>
      </c>
    </row>
    <row r="154" spans="1:2">
      <c r="A154" t="s">
        <v>477</v>
      </c>
      <c r="B154" t="s">
        <v>4132</v>
      </c>
    </row>
    <row r="155" spans="1:2">
      <c r="A155" t="s">
        <v>483</v>
      </c>
      <c r="B155" t="s">
        <v>4132</v>
      </c>
    </row>
    <row r="156" spans="1:2">
      <c r="A156" t="s">
        <v>488</v>
      </c>
      <c r="B156" t="s">
        <v>4132</v>
      </c>
    </row>
    <row r="157" spans="1:2">
      <c r="A157" t="s">
        <v>493</v>
      </c>
      <c r="B157" t="s">
        <v>4132</v>
      </c>
    </row>
    <row r="158" spans="1:2">
      <c r="A158" t="s">
        <v>497</v>
      </c>
      <c r="B158" t="s">
        <v>4132</v>
      </c>
    </row>
    <row r="159" spans="1:2">
      <c r="A159" t="s">
        <v>502</v>
      </c>
      <c r="B159" t="s">
        <v>4132</v>
      </c>
    </row>
    <row r="160" spans="1:2">
      <c r="A160" t="s">
        <v>508</v>
      </c>
      <c r="B160" t="s">
        <v>4132</v>
      </c>
    </row>
    <row r="161" spans="1:2">
      <c r="A161" t="s">
        <v>513</v>
      </c>
      <c r="B161" t="s">
        <v>4132</v>
      </c>
    </row>
    <row r="162" spans="1:2">
      <c r="A162" t="s">
        <v>518</v>
      </c>
      <c r="B162" t="s">
        <v>4132</v>
      </c>
    </row>
    <row r="163" spans="1:2">
      <c r="A163" t="s">
        <v>521</v>
      </c>
      <c r="B163" t="s">
        <v>4132</v>
      </c>
    </row>
    <row r="164" spans="1:2">
      <c r="A164" t="s">
        <v>527</v>
      </c>
      <c r="B164" t="s">
        <v>4132</v>
      </c>
    </row>
    <row r="165" spans="1:2">
      <c r="A165" t="s">
        <v>532</v>
      </c>
      <c r="B165" t="s">
        <v>4132</v>
      </c>
    </row>
    <row r="166" spans="1:2">
      <c r="A166" t="s">
        <v>537</v>
      </c>
      <c r="B166" t="s">
        <v>4132</v>
      </c>
    </row>
    <row r="167" spans="1:2">
      <c r="A167" t="s">
        <v>542</v>
      </c>
      <c r="B167" t="s">
        <v>4132</v>
      </c>
    </row>
    <row r="168" spans="1:2">
      <c r="A168" t="s">
        <v>547</v>
      </c>
      <c r="B168" t="s">
        <v>4132</v>
      </c>
    </row>
    <row r="169" spans="1:2">
      <c r="A169" t="s">
        <v>552</v>
      </c>
      <c r="B169" t="s">
        <v>4132</v>
      </c>
    </row>
    <row r="170" spans="1:2">
      <c r="A170" t="s">
        <v>557</v>
      </c>
      <c r="B170" t="s">
        <v>4132</v>
      </c>
    </row>
    <row r="171" spans="1:2">
      <c r="A171" t="s">
        <v>562</v>
      </c>
      <c r="B171" t="s">
        <v>4132</v>
      </c>
    </row>
    <row r="172" spans="1:2">
      <c r="A172" t="s">
        <v>566</v>
      </c>
      <c r="B172" t="s">
        <v>4132</v>
      </c>
    </row>
    <row r="173" spans="1:2">
      <c r="A173" t="s">
        <v>570</v>
      </c>
      <c r="B173" t="s">
        <v>4132</v>
      </c>
    </row>
    <row r="174" spans="1:2">
      <c r="A174" t="s">
        <v>575</v>
      </c>
      <c r="B174" t="s">
        <v>4132</v>
      </c>
    </row>
    <row r="175" spans="1:2">
      <c r="A175" t="s">
        <v>581</v>
      </c>
      <c r="B175" t="s">
        <v>4132</v>
      </c>
    </row>
    <row r="176" spans="1:2">
      <c r="A176" t="s">
        <v>584</v>
      </c>
      <c r="B176" t="s">
        <v>4132</v>
      </c>
    </row>
    <row r="177" spans="1:2">
      <c r="A177" t="s">
        <v>588</v>
      </c>
      <c r="B177" t="s">
        <v>4132</v>
      </c>
    </row>
    <row r="178" spans="1:2">
      <c r="A178" t="s">
        <v>592</v>
      </c>
      <c r="B178" t="s">
        <v>4132</v>
      </c>
    </row>
    <row r="179" spans="1:2">
      <c r="A179" t="s">
        <v>595</v>
      </c>
      <c r="B179" t="s">
        <v>4132</v>
      </c>
    </row>
    <row r="180" spans="1:2">
      <c r="A180" t="s">
        <v>602</v>
      </c>
      <c r="B180" t="s">
        <v>4132</v>
      </c>
    </row>
    <row r="181" spans="1:2">
      <c r="A181" t="s">
        <v>606</v>
      </c>
      <c r="B181" t="s">
        <v>4132</v>
      </c>
    </row>
    <row r="182" spans="1:2">
      <c r="A182" t="s">
        <v>611</v>
      </c>
      <c r="B182" t="s">
        <v>4132</v>
      </c>
    </row>
    <row r="183" spans="1:2">
      <c r="A183" t="s">
        <v>614</v>
      </c>
      <c r="B183" t="s">
        <v>4132</v>
      </c>
    </row>
    <row r="184" spans="1:2">
      <c r="A184" t="s">
        <v>617</v>
      </c>
      <c r="B184" t="s">
        <v>4132</v>
      </c>
    </row>
    <row r="185" spans="1:2">
      <c r="A185" t="s">
        <v>620</v>
      </c>
      <c r="B185" t="s">
        <v>4132</v>
      </c>
    </row>
    <row r="186" spans="1:2">
      <c r="A186" t="s">
        <v>625</v>
      </c>
      <c r="B186" t="s">
        <v>4132</v>
      </c>
    </row>
    <row r="187" spans="1:2">
      <c r="A187" t="s">
        <v>629</v>
      </c>
      <c r="B187" t="s">
        <v>4132</v>
      </c>
    </row>
    <row r="188" spans="1:2">
      <c r="A188" t="s">
        <v>634</v>
      </c>
      <c r="B188" t="s">
        <v>4132</v>
      </c>
    </row>
    <row r="189" spans="1:2">
      <c r="A189" t="s">
        <v>638</v>
      </c>
      <c r="B189" t="s">
        <v>4132</v>
      </c>
    </row>
    <row r="190" spans="1:2">
      <c r="A190" t="s">
        <v>642</v>
      </c>
      <c r="B190" t="s">
        <v>4132</v>
      </c>
    </row>
    <row r="191" spans="1:2">
      <c r="A191" t="s">
        <v>646</v>
      </c>
      <c r="B191" t="s">
        <v>4132</v>
      </c>
    </row>
    <row r="192" spans="1:2">
      <c r="A192" t="s">
        <v>650</v>
      </c>
      <c r="B192" t="s">
        <v>4132</v>
      </c>
    </row>
    <row r="193" spans="1:2">
      <c r="A193" t="s">
        <v>653</v>
      </c>
      <c r="B193" t="s">
        <v>4132</v>
      </c>
    </row>
    <row r="194" spans="1:2">
      <c r="A194" t="s">
        <v>656</v>
      </c>
      <c r="B194" t="s">
        <v>4132</v>
      </c>
    </row>
    <row r="195" spans="1:2">
      <c r="A195" t="s">
        <v>659</v>
      </c>
      <c r="B195" t="s">
        <v>4132</v>
      </c>
    </row>
    <row r="196" spans="1:2">
      <c r="A196" t="s">
        <v>662</v>
      </c>
      <c r="B196" t="s">
        <v>4132</v>
      </c>
    </row>
    <row r="197" spans="1:2">
      <c r="A197" t="s">
        <v>668</v>
      </c>
      <c r="B197" t="s">
        <v>4132</v>
      </c>
    </row>
    <row r="198" spans="1:2">
      <c r="A198" t="s">
        <v>675</v>
      </c>
      <c r="B198" t="s">
        <v>4132</v>
      </c>
    </row>
    <row r="199" spans="1:2">
      <c r="A199" t="s">
        <v>679</v>
      </c>
      <c r="B199" t="s">
        <v>4132</v>
      </c>
    </row>
    <row r="200" spans="1:2">
      <c r="A200" t="s">
        <v>684</v>
      </c>
      <c r="B200" t="s">
        <v>4132</v>
      </c>
    </row>
    <row r="201" spans="1:2">
      <c r="A201" t="s">
        <v>688</v>
      </c>
      <c r="B201" t="s">
        <v>4132</v>
      </c>
    </row>
    <row r="202" spans="1:2">
      <c r="A202" t="s">
        <v>692</v>
      </c>
      <c r="B202" t="s">
        <v>4132</v>
      </c>
    </row>
    <row r="203" spans="1:2">
      <c r="A203" t="s">
        <v>695</v>
      </c>
      <c r="B203" t="s">
        <v>4132</v>
      </c>
    </row>
    <row r="204" spans="1:2">
      <c r="A204" t="s">
        <v>698</v>
      </c>
      <c r="B204" t="s">
        <v>4132</v>
      </c>
    </row>
    <row r="205" spans="1:2">
      <c r="A205" t="s">
        <v>701</v>
      </c>
      <c r="B205" t="s">
        <v>4132</v>
      </c>
    </row>
    <row r="206" spans="1:2">
      <c r="A206" t="s">
        <v>704</v>
      </c>
      <c r="B206" t="s">
        <v>4132</v>
      </c>
    </row>
    <row r="207" spans="1:2">
      <c r="A207" t="s">
        <v>707</v>
      </c>
      <c r="B207" t="s">
        <v>4132</v>
      </c>
    </row>
    <row r="208" spans="1:2">
      <c r="A208" t="s">
        <v>710</v>
      </c>
      <c r="B208" t="s">
        <v>4132</v>
      </c>
    </row>
    <row r="209" spans="1:2">
      <c r="A209" t="s">
        <v>715</v>
      </c>
      <c r="B209" t="s">
        <v>4132</v>
      </c>
    </row>
    <row r="210" spans="1:2">
      <c r="A210" t="s">
        <v>719</v>
      </c>
      <c r="B210" t="s">
        <v>4132</v>
      </c>
    </row>
    <row r="211" spans="1:2">
      <c r="A211" t="s">
        <v>722</v>
      </c>
      <c r="B211" t="s">
        <v>4132</v>
      </c>
    </row>
    <row r="212" spans="1:2">
      <c r="A212" t="s">
        <v>728</v>
      </c>
      <c r="B212" t="s">
        <v>4132</v>
      </c>
    </row>
    <row r="213" spans="1:2">
      <c r="A213" t="s">
        <v>732</v>
      </c>
      <c r="B213" t="s">
        <v>4132</v>
      </c>
    </row>
    <row r="214" spans="1:2">
      <c r="A214" t="s">
        <v>736</v>
      </c>
      <c r="B214" t="s">
        <v>4132</v>
      </c>
    </row>
    <row r="215" spans="1:2">
      <c r="A215" t="s">
        <v>741</v>
      </c>
      <c r="B215" t="s">
        <v>4132</v>
      </c>
    </row>
    <row r="216" spans="1:2">
      <c r="A216" t="s">
        <v>745</v>
      </c>
      <c r="B216" t="s">
        <v>4132</v>
      </c>
    </row>
    <row r="217" spans="1:2">
      <c r="A217" t="s">
        <v>749</v>
      </c>
      <c r="B217" t="s">
        <v>4132</v>
      </c>
    </row>
    <row r="218" spans="1:2">
      <c r="A218" t="s">
        <v>754</v>
      </c>
      <c r="B218" t="s">
        <v>4132</v>
      </c>
    </row>
    <row r="219" spans="1:2">
      <c r="A219" t="s">
        <v>759</v>
      </c>
      <c r="B219" t="s">
        <v>4132</v>
      </c>
    </row>
    <row r="220" spans="1:2">
      <c r="A220" t="s">
        <v>765</v>
      </c>
      <c r="B220" t="s">
        <v>4132</v>
      </c>
    </row>
    <row r="221" spans="1:2">
      <c r="A221" t="s">
        <v>770</v>
      </c>
      <c r="B221" t="s">
        <v>4132</v>
      </c>
    </row>
    <row r="222" spans="1:2">
      <c r="A222" t="s">
        <v>774</v>
      </c>
      <c r="B222" t="s">
        <v>4132</v>
      </c>
    </row>
    <row r="223" spans="1:2">
      <c r="A223" t="s">
        <v>779</v>
      </c>
      <c r="B223" t="s">
        <v>4132</v>
      </c>
    </row>
    <row r="224" spans="1:2">
      <c r="A224" t="s">
        <v>785</v>
      </c>
      <c r="B224" t="s">
        <v>4132</v>
      </c>
    </row>
    <row r="225" spans="1:2">
      <c r="A225" t="s">
        <v>788</v>
      </c>
      <c r="B225" t="s">
        <v>4132</v>
      </c>
    </row>
    <row r="226" spans="1:2">
      <c r="A226" t="s">
        <v>792</v>
      </c>
      <c r="B226" t="s">
        <v>4132</v>
      </c>
    </row>
    <row r="227" spans="1:2">
      <c r="A227" t="s">
        <v>794</v>
      </c>
      <c r="B227" t="s">
        <v>4132</v>
      </c>
    </row>
    <row r="228" spans="1:2">
      <c r="A228" t="s">
        <v>796</v>
      </c>
      <c r="B228" t="s">
        <v>4132</v>
      </c>
    </row>
    <row r="229" spans="1:2">
      <c r="A229" t="s">
        <v>799</v>
      </c>
      <c r="B229" t="s">
        <v>4132</v>
      </c>
    </row>
    <row r="230" spans="1:2">
      <c r="A230" t="s">
        <v>801</v>
      </c>
      <c r="B230" t="s">
        <v>4132</v>
      </c>
    </row>
    <row r="231" spans="1:2">
      <c r="A231" t="s">
        <v>802</v>
      </c>
      <c r="B231" t="s">
        <v>4132</v>
      </c>
    </row>
    <row r="232" spans="1:2">
      <c r="A232" t="s">
        <v>803</v>
      </c>
      <c r="B232" t="s">
        <v>4132</v>
      </c>
    </row>
    <row r="233" spans="1:2">
      <c r="A233" t="s">
        <v>804</v>
      </c>
      <c r="B233" t="s">
        <v>4132</v>
      </c>
    </row>
    <row r="234" spans="1:2">
      <c r="A234" t="s">
        <v>805</v>
      </c>
      <c r="B234" t="s">
        <v>4132</v>
      </c>
    </row>
    <row r="235" spans="1:2">
      <c r="A235" t="s">
        <v>806</v>
      </c>
      <c r="B235" t="s">
        <v>4132</v>
      </c>
    </row>
    <row r="236" spans="1:2">
      <c r="A236" t="s">
        <v>811</v>
      </c>
      <c r="B236" t="s">
        <v>4132</v>
      </c>
    </row>
    <row r="237" spans="1:2">
      <c r="A237" t="s">
        <v>814</v>
      </c>
      <c r="B237" t="s">
        <v>4132</v>
      </c>
    </row>
    <row r="238" spans="1:2">
      <c r="A238" t="s">
        <v>819</v>
      </c>
      <c r="B238" t="s">
        <v>4132</v>
      </c>
    </row>
    <row r="239" spans="1:2">
      <c r="A239" t="s">
        <v>822</v>
      </c>
      <c r="B239" t="s">
        <v>4132</v>
      </c>
    </row>
    <row r="240" spans="1:2">
      <c r="A240" t="s">
        <v>826</v>
      </c>
      <c r="B240" t="s">
        <v>4132</v>
      </c>
    </row>
    <row r="241" spans="1:2">
      <c r="A241" t="s">
        <v>829</v>
      </c>
      <c r="B241" t="s">
        <v>4132</v>
      </c>
    </row>
    <row r="242" spans="1:2">
      <c r="A242" t="s">
        <v>833</v>
      </c>
      <c r="B242" t="s">
        <v>4132</v>
      </c>
    </row>
    <row r="243" spans="1:2">
      <c r="A243" t="s">
        <v>838</v>
      </c>
      <c r="B243" t="s">
        <v>4132</v>
      </c>
    </row>
    <row r="244" spans="1:2">
      <c r="A244" t="s">
        <v>843</v>
      </c>
      <c r="B244" t="s">
        <v>4132</v>
      </c>
    </row>
    <row r="245" spans="1:2">
      <c r="A245" t="s">
        <v>847</v>
      </c>
      <c r="B245" t="s">
        <v>4132</v>
      </c>
    </row>
    <row r="246" spans="1:2">
      <c r="A246" t="s">
        <v>850</v>
      </c>
      <c r="B246" t="s">
        <v>4132</v>
      </c>
    </row>
    <row r="247" spans="1:2">
      <c r="A247" t="s">
        <v>852</v>
      </c>
      <c r="B247" t="s">
        <v>4132</v>
      </c>
    </row>
    <row r="248" spans="1:2">
      <c r="A248" t="s">
        <v>854</v>
      </c>
      <c r="B248" t="s">
        <v>4132</v>
      </c>
    </row>
    <row r="249" spans="1:2">
      <c r="A249" t="s">
        <v>856</v>
      </c>
      <c r="B249" t="s">
        <v>4132</v>
      </c>
    </row>
    <row r="250" spans="1:2">
      <c r="A250" t="s">
        <v>860</v>
      </c>
      <c r="B250" t="s">
        <v>4132</v>
      </c>
    </row>
    <row r="251" spans="1:2">
      <c r="A251" t="s">
        <v>864</v>
      </c>
      <c r="B251" t="s">
        <v>4132</v>
      </c>
    </row>
    <row r="252" spans="1:2">
      <c r="A252" t="s">
        <v>867</v>
      </c>
      <c r="B252" t="s">
        <v>4132</v>
      </c>
    </row>
    <row r="253" spans="1:2">
      <c r="A253" t="s">
        <v>868</v>
      </c>
      <c r="B253" t="s">
        <v>4132</v>
      </c>
    </row>
    <row r="254" spans="1:2">
      <c r="A254" t="s">
        <v>870</v>
      </c>
      <c r="B254" t="s">
        <v>4132</v>
      </c>
    </row>
    <row r="255" spans="1:2">
      <c r="A255" t="s">
        <v>872</v>
      </c>
      <c r="B255" t="s">
        <v>4132</v>
      </c>
    </row>
    <row r="256" spans="1:2">
      <c r="A256" t="s">
        <v>875</v>
      </c>
      <c r="B256" t="s">
        <v>4132</v>
      </c>
    </row>
    <row r="257" spans="1:2">
      <c r="A257" t="s">
        <v>877</v>
      </c>
      <c r="B257" t="s">
        <v>4132</v>
      </c>
    </row>
    <row r="258" spans="1:2">
      <c r="A258" t="s">
        <v>878</v>
      </c>
      <c r="B258" t="s">
        <v>4132</v>
      </c>
    </row>
    <row r="259" spans="1:2">
      <c r="A259" t="s">
        <v>879</v>
      </c>
      <c r="B259" t="s">
        <v>4132</v>
      </c>
    </row>
    <row r="260" spans="1:2">
      <c r="A260" t="s">
        <v>883</v>
      </c>
      <c r="B260" t="s">
        <v>4132</v>
      </c>
    </row>
    <row r="261" spans="1:2">
      <c r="A261" t="s">
        <v>886</v>
      </c>
      <c r="B261" t="s">
        <v>4132</v>
      </c>
    </row>
    <row r="262" spans="1:2">
      <c r="A262" t="s">
        <v>890</v>
      </c>
      <c r="B262" t="s">
        <v>4132</v>
      </c>
    </row>
    <row r="263" spans="1:2">
      <c r="A263" t="s">
        <v>893</v>
      </c>
      <c r="B263" t="s">
        <v>4132</v>
      </c>
    </row>
    <row r="264" spans="1:2">
      <c r="A264" t="s">
        <v>896</v>
      </c>
      <c r="B264" t="s">
        <v>4132</v>
      </c>
    </row>
    <row r="265" spans="1:2">
      <c r="A265" t="s">
        <v>899</v>
      </c>
      <c r="B265" t="s">
        <v>4132</v>
      </c>
    </row>
    <row r="266" spans="1:2">
      <c r="A266" t="s">
        <v>905</v>
      </c>
      <c r="B266" t="s">
        <v>4132</v>
      </c>
    </row>
    <row r="267" spans="1:2">
      <c r="A267" t="s">
        <v>908</v>
      </c>
      <c r="B267" t="s">
        <v>4132</v>
      </c>
    </row>
    <row r="268" spans="1:2">
      <c r="A268" t="s">
        <v>912</v>
      </c>
      <c r="B268" t="s">
        <v>4132</v>
      </c>
    </row>
    <row r="269" spans="1:2">
      <c r="A269" t="s">
        <v>915</v>
      </c>
      <c r="B269" t="s">
        <v>4132</v>
      </c>
    </row>
    <row r="270" spans="1:2">
      <c r="A270" t="s">
        <v>920</v>
      </c>
      <c r="B270" t="s">
        <v>4132</v>
      </c>
    </row>
    <row r="271" spans="1:2">
      <c r="A271" t="s">
        <v>926</v>
      </c>
      <c r="B271" t="s">
        <v>4132</v>
      </c>
    </row>
    <row r="272" spans="1:2">
      <c r="A272" t="s">
        <v>931</v>
      </c>
      <c r="B272" t="s">
        <v>4132</v>
      </c>
    </row>
    <row r="273" spans="1:2">
      <c r="A273" t="s">
        <v>935</v>
      </c>
      <c r="B273" t="s">
        <v>4132</v>
      </c>
    </row>
    <row r="274" spans="1:2">
      <c r="A274" t="s">
        <v>941</v>
      </c>
      <c r="B274" t="s">
        <v>4132</v>
      </c>
    </row>
    <row r="275" spans="1:2">
      <c r="A275" t="s">
        <v>945</v>
      </c>
      <c r="B275" t="s">
        <v>4132</v>
      </c>
    </row>
    <row r="276" spans="1:2">
      <c r="A276" t="s">
        <v>949</v>
      </c>
      <c r="B276" t="s">
        <v>4132</v>
      </c>
    </row>
    <row r="277" spans="1:2">
      <c r="A277" t="s">
        <v>951</v>
      </c>
      <c r="B277" t="s">
        <v>4132</v>
      </c>
    </row>
    <row r="278" spans="1:2">
      <c r="A278" t="s">
        <v>954</v>
      </c>
      <c r="B278" t="s">
        <v>4132</v>
      </c>
    </row>
    <row r="279" spans="1:2">
      <c r="A279" t="s">
        <v>956</v>
      </c>
      <c r="B279" t="s">
        <v>4132</v>
      </c>
    </row>
    <row r="280" spans="1:2">
      <c r="A280" t="s">
        <v>959</v>
      </c>
      <c r="B280" t="s">
        <v>4132</v>
      </c>
    </row>
    <row r="281" spans="1:2">
      <c r="A281" t="s">
        <v>964</v>
      </c>
      <c r="B281" t="s">
        <v>4132</v>
      </c>
    </row>
    <row r="282" spans="1:2">
      <c r="A282" t="s">
        <v>967</v>
      </c>
      <c r="B282" t="s">
        <v>4132</v>
      </c>
    </row>
    <row r="283" spans="1:2">
      <c r="A283" t="s">
        <v>969</v>
      </c>
      <c r="B283" t="s">
        <v>4132</v>
      </c>
    </row>
    <row r="284" spans="1:2">
      <c r="A284" t="s">
        <v>972</v>
      </c>
      <c r="B284" t="s">
        <v>4132</v>
      </c>
    </row>
    <row r="285" spans="1:2">
      <c r="A285" t="s">
        <v>977</v>
      </c>
      <c r="B285" t="s">
        <v>4132</v>
      </c>
    </row>
    <row r="286" spans="1:2">
      <c r="A286" t="s">
        <v>981</v>
      </c>
      <c r="B286" t="s">
        <v>4132</v>
      </c>
    </row>
    <row r="287" spans="1:2">
      <c r="A287" t="s">
        <v>984</v>
      </c>
      <c r="B287" t="s">
        <v>4132</v>
      </c>
    </row>
    <row r="288" spans="1:2">
      <c r="A288" t="s">
        <v>988</v>
      </c>
      <c r="B288" t="s">
        <v>4132</v>
      </c>
    </row>
    <row r="289" spans="1:2">
      <c r="A289" t="s">
        <v>992</v>
      </c>
      <c r="B289" t="s">
        <v>4132</v>
      </c>
    </row>
    <row r="290" spans="1:2">
      <c r="A290" t="s">
        <v>997</v>
      </c>
      <c r="B290" t="s">
        <v>4132</v>
      </c>
    </row>
    <row r="291" spans="1:2">
      <c r="A291" t="s">
        <v>1001</v>
      </c>
      <c r="B291" t="s">
        <v>4132</v>
      </c>
    </row>
    <row r="292" spans="1:2">
      <c r="A292" t="s">
        <v>1007</v>
      </c>
      <c r="B292" t="s">
        <v>4132</v>
      </c>
    </row>
    <row r="293" spans="1:2">
      <c r="A293" t="s">
        <v>1012</v>
      </c>
      <c r="B293" t="s">
        <v>4132</v>
      </c>
    </row>
    <row r="294" spans="1:2">
      <c r="A294" t="s">
        <v>1016</v>
      </c>
      <c r="B294" t="s">
        <v>4132</v>
      </c>
    </row>
    <row r="295" spans="1:2">
      <c r="A295" t="s">
        <v>1018</v>
      </c>
      <c r="B295" t="s">
        <v>4132</v>
      </c>
    </row>
    <row r="296" spans="1:2">
      <c r="A296" t="s">
        <v>1024</v>
      </c>
      <c r="B296" t="s">
        <v>4132</v>
      </c>
    </row>
    <row r="297" spans="1:2">
      <c r="A297" t="s">
        <v>1026</v>
      </c>
      <c r="B297" t="s">
        <v>4132</v>
      </c>
    </row>
    <row r="298" spans="1:2">
      <c r="A298" t="s">
        <v>1032</v>
      </c>
      <c r="B298" t="s">
        <v>4132</v>
      </c>
    </row>
    <row r="299" spans="1:2">
      <c r="A299" t="s">
        <v>1036</v>
      </c>
      <c r="B299" t="s">
        <v>4132</v>
      </c>
    </row>
    <row r="300" spans="1:2">
      <c r="A300" t="s">
        <v>1038</v>
      </c>
      <c r="B300" t="s">
        <v>4132</v>
      </c>
    </row>
    <row r="301" spans="1:2">
      <c r="A301" t="s">
        <v>1041</v>
      </c>
      <c r="B301" t="s">
        <v>4132</v>
      </c>
    </row>
    <row r="302" spans="1:2">
      <c r="A302" t="s">
        <v>1047</v>
      </c>
      <c r="B302" t="s">
        <v>4132</v>
      </c>
    </row>
    <row r="303" spans="1:2">
      <c r="A303" t="s">
        <v>1050</v>
      </c>
      <c r="B303" t="s">
        <v>4132</v>
      </c>
    </row>
    <row r="304" spans="1:2">
      <c r="A304" t="s">
        <v>1053</v>
      </c>
      <c r="B304" t="s">
        <v>4132</v>
      </c>
    </row>
    <row r="305" spans="1:2">
      <c r="A305" t="s">
        <v>1056</v>
      </c>
      <c r="B305" t="s">
        <v>4132</v>
      </c>
    </row>
    <row r="306" spans="1:2">
      <c r="A306" t="s">
        <v>1058</v>
      </c>
      <c r="B306" t="s">
        <v>4132</v>
      </c>
    </row>
    <row r="307" spans="1:2">
      <c r="A307" t="s">
        <v>1063</v>
      </c>
      <c r="B307" t="s">
        <v>4132</v>
      </c>
    </row>
    <row r="308" spans="1:2">
      <c r="A308" t="s">
        <v>1069</v>
      </c>
      <c r="B308" t="s">
        <v>4132</v>
      </c>
    </row>
    <row r="309" spans="1:2">
      <c r="A309" t="s">
        <v>1074</v>
      </c>
      <c r="B309" t="s">
        <v>4132</v>
      </c>
    </row>
    <row r="310" spans="1:2">
      <c r="A310" t="s">
        <v>1077</v>
      </c>
      <c r="B310" t="s">
        <v>4132</v>
      </c>
    </row>
    <row r="311" spans="1:2">
      <c r="A311" t="s">
        <v>1079</v>
      </c>
      <c r="B311" t="s">
        <v>4132</v>
      </c>
    </row>
    <row r="312" spans="1:2">
      <c r="A312" t="s">
        <v>1080</v>
      </c>
      <c r="B312" t="s">
        <v>4132</v>
      </c>
    </row>
    <row r="313" spans="1:2">
      <c r="A313" t="s">
        <v>1083</v>
      </c>
      <c r="B313" t="s">
        <v>4132</v>
      </c>
    </row>
    <row r="314" spans="1:2">
      <c r="A314" t="s">
        <v>1085</v>
      </c>
      <c r="B314" t="s">
        <v>4132</v>
      </c>
    </row>
    <row r="315" spans="1:2">
      <c r="A315" t="s">
        <v>1089</v>
      </c>
      <c r="B315" t="s">
        <v>4132</v>
      </c>
    </row>
    <row r="316" spans="1:2">
      <c r="A316" t="s">
        <v>1091</v>
      </c>
      <c r="B316" t="s">
        <v>4132</v>
      </c>
    </row>
    <row r="317" spans="1:2">
      <c r="A317" t="s">
        <v>1093</v>
      </c>
      <c r="B317" t="s">
        <v>4132</v>
      </c>
    </row>
    <row r="318" spans="1:2">
      <c r="A318" t="s">
        <v>1097</v>
      </c>
      <c r="B318" t="s">
        <v>4132</v>
      </c>
    </row>
    <row r="319" spans="1:2">
      <c r="A319" t="s">
        <v>1102</v>
      </c>
      <c r="B319" t="s">
        <v>4132</v>
      </c>
    </row>
    <row r="320" spans="1:2">
      <c r="A320" t="s">
        <v>1105</v>
      </c>
      <c r="B320" t="s">
        <v>4132</v>
      </c>
    </row>
    <row r="321" spans="1:2">
      <c r="A321" t="s">
        <v>1109</v>
      </c>
      <c r="B321" t="s">
        <v>4132</v>
      </c>
    </row>
    <row r="322" spans="1:2">
      <c r="A322" t="s">
        <v>1113</v>
      </c>
      <c r="B322" t="s">
        <v>4132</v>
      </c>
    </row>
    <row r="323" spans="1:2">
      <c r="A323" t="s">
        <v>1114</v>
      </c>
      <c r="B323" t="s">
        <v>4132</v>
      </c>
    </row>
    <row r="324" spans="1:2">
      <c r="A324" t="s">
        <v>1117</v>
      </c>
      <c r="B324" t="s">
        <v>4132</v>
      </c>
    </row>
    <row r="325" spans="1:2">
      <c r="A325" t="s">
        <v>1121</v>
      </c>
      <c r="B325" t="s">
        <v>4132</v>
      </c>
    </row>
    <row r="326" spans="1:2">
      <c r="A326" t="s">
        <v>1125</v>
      </c>
      <c r="B326" t="s">
        <v>4132</v>
      </c>
    </row>
    <row r="327" spans="1:2">
      <c r="A327" t="s">
        <v>1129</v>
      </c>
      <c r="B327" t="s">
        <v>4132</v>
      </c>
    </row>
    <row r="328" spans="1:2">
      <c r="A328" t="s">
        <v>1134</v>
      </c>
      <c r="B328" t="s">
        <v>4132</v>
      </c>
    </row>
    <row r="329" spans="1:2">
      <c r="A329" t="s">
        <v>1136</v>
      </c>
      <c r="B329" t="s">
        <v>4132</v>
      </c>
    </row>
    <row r="330" spans="1:2">
      <c r="A330" t="s">
        <v>1138</v>
      </c>
      <c r="B330" t="s">
        <v>4132</v>
      </c>
    </row>
    <row r="331" spans="1:2">
      <c r="A331" t="s">
        <v>1142</v>
      </c>
      <c r="B331" t="s">
        <v>4132</v>
      </c>
    </row>
    <row r="332" spans="1:2">
      <c r="A332" t="s">
        <v>1145</v>
      </c>
      <c r="B332" t="s">
        <v>4132</v>
      </c>
    </row>
    <row r="333" spans="1:2">
      <c r="A333" t="s">
        <v>1149</v>
      </c>
      <c r="B333" t="s">
        <v>4132</v>
      </c>
    </row>
    <row r="334" spans="1:2">
      <c r="A334" t="s">
        <v>1155</v>
      </c>
      <c r="B334" t="s">
        <v>4132</v>
      </c>
    </row>
    <row r="335" spans="1:2">
      <c r="A335" t="s">
        <v>1158</v>
      </c>
      <c r="B335" t="s">
        <v>4132</v>
      </c>
    </row>
    <row r="336" spans="1:2">
      <c r="A336" t="s">
        <v>1161</v>
      </c>
      <c r="B336" t="s">
        <v>4132</v>
      </c>
    </row>
    <row r="337" spans="1:2">
      <c r="A337" t="s">
        <v>1165</v>
      </c>
      <c r="B337" t="s">
        <v>4132</v>
      </c>
    </row>
    <row r="338" spans="1:2">
      <c r="A338" t="s">
        <v>1169</v>
      </c>
      <c r="B338" t="s">
        <v>4132</v>
      </c>
    </row>
    <row r="339" spans="1:2">
      <c r="A339" t="s">
        <v>1173</v>
      </c>
      <c r="B339" t="s">
        <v>4132</v>
      </c>
    </row>
    <row r="340" spans="1:2">
      <c r="A340" t="s">
        <v>1176</v>
      </c>
      <c r="B340" t="s">
        <v>4132</v>
      </c>
    </row>
    <row r="341" spans="1:2">
      <c r="A341" t="s">
        <v>1179</v>
      </c>
      <c r="B341" t="s">
        <v>4132</v>
      </c>
    </row>
    <row r="342" spans="1:2">
      <c r="A342" t="s">
        <v>1182</v>
      </c>
      <c r="B342" t="s">
        <v>4132</v>
      </c>
    </row>
    <row r="343" spans="1:2">
      <c r="A343" t="s">
        <v>1185</v>
      </c>
      <c r="B343" t="s">
        <v>4132</v>
      </c>
    </row>
    <row r="344" spans="1:2">
      <c r="A344" t="s">
        <v>1191</v>
      </c>
      <c r="B344" t="s">
        <v>4132</v>
      </c>
    </row>
    <row r="345" spans="1:2">
      <c r="A345" t="s">
        <v>1195</v>
      </c>
      <c r="B345" t="s">
        <v>4132</v>
      </c>
    </row>
    <row r="346" spans="1:2">
      <c r="A346" t="s">
        <v>1198</v>
      </c>
      <c r="B346" t="s">
        <v>4132</v>
      </c>
    </row>
    <row r="347" spans="1:2">
      <c r="A347" t="s">
        <v>1208</v>
      </c>
      <c r="B347" t="s">
        <v>4132</v>
      </c>
    </row>
    <row r="348" spans="1:2">
      <c r="A348" t="s">
        <v>1213</v>
      </c>
      <c r="B348" t="s">
        <v>4132</v>
      </c>
    </row>
    <row r="349" spans="1:2">
      <c r="A349" t="s">
        <v>1217</v>
      </c>
      <c r="B349" t="s">
        <v>4132</v>
      </c>
    </row>
    <row r="350" spans="1:2">
      <c r="A350" t="s">
        <v>1220</v>
      </c>
      <c r="B350" t="s">
        <v>4132</v>
      </c>
    </row>
    <row r="351" spans="1:2">
      <c r="A351" t="s">
        <v>1221</v>
      </c>
      <c r="B351" t="s">
        <v>4132</v>
      </c>
    </row>
    <row r="352" spans="1:2">
      <c r="A352" t="s">
        <v>1224</v>
      </c>
      <c r="B352" t="s">
        <v>4132</v>
      </c>
    </row>
    <row r="353" spans="1:2">
      <c r="A353" t="s">
        <v>1228</v>
      </c>
      <c r="B353" t="s">
        <v>4132</v>
      </c>
    </row>
    <row r="354" spans="1:2">
      <c r="A354" t="s">
        <v>1232</v>
      </c>
      <c r="B354" t="s">
        <v>4132</v>
      </c>
    </row>
    <row r="355" spans="1:2">
      <c r="A355" t="s">
        <v>1234</v>
      </c>
      <c r="B355" t="s">
        <v>4132</v>
      </c>
    </row>
    <row r="356" spans="1:2">
      <c r="A356" t="s">
        <v>1239</v>
      </c>
      <c r="B356" t="s">
        <v>4132</v>
      </c>
    </row>
    <row r="357" spans="1:2">
      <c r="A357" t="s">
        <v>1243</v>
      </c>
      <c r="B357" t="s">
        <v>4132</v>
      </c>
    </row>
    <row r="358" spans="1:2">
      <c r="A358" t="s">
        <v>4133</v>
      </c>
      <c r="B358" t="s">
        <v>4132</v>
      </c>
    </row>
    <row r="359" spans="1:2">
      <c r="A359" t="s">
        <v>1255</v>
      </c>
      <c r="B359" t="s">
        <v>4132</v>
      </c>
    </row>
    <row r="360" spans="1:2">
      <c r="A360" t="s">
        <v>1263</v>
      </c>
      <c r="B360" t="s">
        <v>4132</v>
      </c>
    </row>
    <row r="361" spans="1:2">
      <c r="A361" t="s">
        <v>1269</v>
      </c>
      <c r="B361" t="s">
        <v>4132</v>
      </c>
    </row>
    <row r="362" spans="1:2">
      <c r="A362" t="s">
        <v>1271</v>
      </c>
      <c r="B362" t="s">
        <v>4132</v>
      </c>
    </row>
    <row r="363" spans="1:2">
      <c r="A363" t="s">
        <v>1276</v>
      </c>
      <c r="B363" t="s">
        <v>4132</v>
      </c>
    </row>
    <row r="364" spans="1:2">
      <c r="A364" t="s">
        <v>1280</v>
      </c>
      <c r="B364" t="s">
        <v>4132</v>
      </c>
    </row>
    <row r="365" spans="1:2">
      <c r="A365" t="s">
        <v>1285</v>
      </c>
      <c r="B365" t="s">
        <v>4132</v>
      </c>
    </row>
    <row r="366" spans="1:2">
      <c r="A366" t="s">
        <v>1288</v>
      </c>
      <c r="B366" t="s">
        <v>4132</v>
      </c>
    </row>
    <row r="367" spans="1:2">
      <c r="A367" t="s">
        <v>1292</v>
      </c>
      <c r="B367" t="s">
        <v>4132</v>
      </c>
    </row>
    <row r="368" spans="1:2">
      <c r="A368" t="s">
        <v>1293</v>
      </c>
      <c r="B368" t="s">
        <v>4132</v>
      </c>
    </row>
    <row r="369" spans="1:2">
      <c r="A369" t="s">
        <v>1295</v>
      </c>
      <c r="B369" t="s">
        <v>4132</v>
      </c>
    </row>
    <row r="370" spans="1:2">
      <c r="A370" t="s">
        <v>1297</v>
      </c>
      <c r="B370" t="s">
        <v>4132</v>
      </c>
    </row>
    <row r="371" spans="1:2">
      <c r="A371" t="s">
        <v>1302</v>
      </c>
      <c r="B371" t="s">
        <v>4132</v>
      </c>
    </row>
    <row r="372" spans="1:2">
      <c r="A372" t="s">
        <v>1308</v>
      </c>
      <c r="B372" t="s">
        <v>4132</v>
      </c>
    </row>
    <row r="373" spans="1:2">
      <c r="A373" t="s">
        <v>1309</v>
      </c>
      <c r="B373" t="s">
        <v>4132</v>
      </c>
    </row>
    <row r="374" spans="1:2">
      <c r="A374" t="s">
        <v>1310</v>
      </c>
      <c r="B374" t="s">
        <v>4132</v>
      </c>
    </row>
    <row r="375" spans="1:2">
      <c r="A375" t="s">
        <v>1311</v>
      </c>
      <c r="B375" t="s">
        <v>4132</v>
      </c>
    </row>
    <row r="376" spans="1:2">
      <c r="A376" t="s">
        <v>1313</v>
      </c>
      <c r="B376" t="s">
        <v>4132</v>
      </c>
    </row>
    <row r="377" spans="1:2">
      <c r="A377" t="s">
        <v>1314</v>
      </c>
      <c r="B377" t="s">
        <v>4132</v>
      </c>
    </row>
    <row r="378" spans="1:2">
      <c r="A378" t="s">
        <v>1319</v>
      </c>
      <c r="B378" t="s">
        <v>4132</v>
      </c>
    </row>
    <row r="379" spans="1:2">
      <c r="A379" t="s">
        <v>1320</v>
      </c>
      <c r="B379" t="s">
        <v>4132</v>
      </c>
    </row>
    <row r="380" spans="1:2">
      <c r="A380" t="s">
        <v>1321</v>
      </c>
      <c r="B380" t="s">
        <v>4132</v>
      </c>
    </row>
    <row r="381" spans="1:2">
      <c r="A381" t="s">
        <v>1322</v>
      </c>
      <c r="B381" t="s">
        <v>4132</v>
      </c>
    </row>
    <row r="382" spans="1:2">
      <c r="A382" t="s">
        <v>1324</v>
      </c>
      <c r="B382" t="s">
        <v>4132</v>
      </c>
    </row>
    <row r="383" spans="1:2">
      <c r="A383" t="s">
        <v>1325</v>
      </c>
      <c r="B383" t="s">
        <v>4132</v>
      </c>
    </row>
    <row r="384" spans="1:2">
      <c r="A384" t="s">
        <v>1326</v>
      </c>
      <c r="B384" t="s">
        <v>4132</v>
      </c>
    </row>
    <row r="385" spans="1:2">
      <c r="A385" t="s">
        <v>1327</v>
      </c>
      <c r="B385" t="s">
        <v>4132</v>
      </c>
    </row>
    <row r="386" spans="1:2">
      <c r="A386" t="s">
        <v>1328</v>
      </c>
      <c r="B386" t="s">
        <v>4132</v>
      </c>
    </row>
    <row r="387" spans="1:2">
      <c r="A387" t="s">
        <v>1329</v>
      </c>
      <c r="B387" t="s">
        <v>4132</v>
      </c>
    </row>
    <row r="388" spans="1:2">
      <c r="A388" t="s">
        <v>1330</v>
      </c>
      <c r="B388" t="s">
        <v>4132</v>
      </c>
    </row>
    <row r="389" spans="1:2">
      <c r="A389" t="s">
        <v>1335</v>
      </c>
      <c r="B389" t="s">
        <v>4132</v>
      </c>
    </row>
    <row r="390" spans="1:2">
      <c r="A390" t="s">
        <v>1336</v>
      </c>
      <c r="B390" t="s">
        <v>4132</v>
      </c>
    </row>
    <row r="391" spans="1:2">
      <c r="A391" t="s">
        <v>1337</v>
      </c>
      <c r="B391" t="s">
        <v>4132</v>
      </c>
    </row>
    <row r="392" spans="1:2">
      <c r="A392" t="s">
        <v>1338</v>
      </c>
      <c r="B392" t="s">
        <v>4132</v>
      </c>
    </row>
    <row r="393" spans="1:2">
      <c r="A393" t="s">
        <v>1339</v>
      </c>
      <c r="B393" t="s">
        <v>4132</v>
      </c>
    </row>
    <row r="394" spans="1:2">
      <c r="A394" t="s">
        <v>1343</v>
      </c>
      <c r="B394" t="s">
        <v>4132</v>
      </c>
    </row>
    <row r="395" spans="1:2">
      <c r="A395" t="s">
        <v>1344</v>
      </c>
      <c r="B395" t="s">
        <v>4132</v>
      </c>
    </row>
    <row r="396" spans="1:2">
      <c r="A396" t="s">
        <v>1345</v>
      </c>
      <c r="B396" t="s">
        <v>4132</v>
      </c>
    </row>
    <row r="397" spans="1:2">
      <c r="A397" t="s">
        <v>1351</v>
      </c>
      <c r="B397" t="s">
        <v>4132</v>
      </c>
    </row>
    <row r="398" spans="1:2">
      <c r="A398" t="s">
        <v>1352</v>
      </c>
      <c r="B398" t="s">
        <v>4132</v>
      </c>
    </row>
    <row r="399" spans="1:2">
      <c r="A399" t="s">
        <v>1357</v>
      </c>
      <c r="B399" t="s">
        <v>4132</v>
      </c>
    </row>
    <row r="400" spans="1:2">
      <c r="A400" t="s">
        <v>1361</v>
      </c>
      <c r="B400" t="s">
        <v>4132</v>
      </c>
    </row>
    <row r="401" spans="1:2">
      <c r="A401" t="s">
        <v>1362</v>
      </c>
      <c r="B401" t="s">
        <v>4132</v>
      </c>
    </row>
    <row r="402" spans="1:2">
      <c r="A402" t="s">
        <v>1363</v>
      </c>
      <c r="B402" t="s">
        <v>4132</v>
      </c>
    </row>
    <row r="403" spans="1:2">
      <c r="A403" t="s">
        <v>1370</v>
      </c>
      <c r="B403" t="s">
        <v>4132</v>
      </c>
    </row>
    <row r="404" spans="1:2">
      <c r="A404" t="s">
        <v>1371</v>
      </c>
      <c r="B404" t="s">
        <v>4132</v>
      </c>
    </row>
    <row r="405" spans="1:2">
      <c r="A405" t="s">
        <v>1379</v>
      </c>
      <c r="B405" t="s">
        <v>4132</v>
      </c>
    </row>
    <row r="406" spans="1:2">
      <c r="A406" t="s">
        <v>1383</v>
      </c>
      <c r="B406" t="s">
        <v>4132</v>
      </c>
    </row>
    <row r="407" spans="1:2">
      <c r="A407" t="s">
        <v>1386</v>
      </c>
      <c r="B407" t="s">
        <v>4132</v>
      </c>
    </row>
    <row r="408" spans="1:2">
      <c r="A408" t="s">
        <v>1391</v>
      </c>
      <c r="B408" t="s">
        <v>4132</v>
      </c>
    </row>
    <row r="409" spans="1:2">
      <c r="A409" t="s">
        <v>1396</v>
      </c>
      <c r="B409" t="s">
        <v>4132</v>
      </c>
    </row>
    <row r="410" spans="1:2">
      <c r="A410" t="s">
        <v>1401</v>
      </c>
      <c r="B410" t="s">
        <v>4132</v>
      </c>
    </row>
    <row r="411" spans="1:2">
      <c r="A411" t="s">
        <v>1403</v>
      </c>
      <c r="B411" t="s">
        <v>4132</v>
      </c>
    </row>
    <row r="412" spans="1:2">
      <c r="A412" t="s">
        <v>1405</v>
      </c>
      <c r="B412" t="s">
        <v>4132</v>
      </c>
    </row>
    <row r="413" spans="1:2">
      <c r="A413" t="s">
        <v>1407</v>
      </c>
      <c r="B413" t="s">
        <v>4132</v>
      </c>
    </row>
    <row r="414" spans="1:2">
      <c r="A414" t="s">
        <v>1409</v>
      </c>
      <c r="B414" t="s">
        <v>4132</v>
      </c>
    </row>
    <row r="415" spans="1:2">
      <c r="A415" t="s">
        <v>1411</v>
      </c>
      <c r="B415" t="s">
        <v>4132</v>
      </c>
    </row>
    <row r="416" spans="1:2">
      <c r="A416" t="s">
        <v>1413</v>
      </c>
      <c r="B416" t="s">
        <v>4132</v>
      </c>
    </row>
    <row r="417" spans="1:2">
      <c r="A417" t="s">
        <v>1415</v>
      </c>
      <c r="B417" t="s">
        <v>4132</v>
      </c>
    </row>
    <row r="418" spans="1:2">
      <c r="A418" t="s">
        <v>1417</v>
      </c>
      <c r="B418" t="s">
        <v>4132</v>
      </c>
    </row>
    <row r="419" spans="1:2">
      <c r="A419" t="s">
        <v>1419</v>
      </c>
      <c r="B419" t="s">
        <v>4132</v>
      </c>
    </row>
    <row r="420" spans="1:2">
      <c r="A420" t="s">
        <v>1421</v>
      </c>
      <c r="B420" t="s">
        <v>4132</v>
      </c>
    </row>
    <row r="421" spans="1:2">
      <c r="A421" t="s">
        <v>1423</v>
      </c>
      <c r="B421" t="s">
        <v>4132</v>
      </c>
    </row>
    <row r="422" spans="1:2">
      <c r="A422" t="s">
        <v>485</v>
      </c>
      <c r="B422" t="s">
        <v>4132</v>
      </c>
    </row>
    <row r="423" spans="1:2">
      <c r="A423" t="s">
        <v>1426</v>
      </c>
      <c r="B423" t="s">
        <v>4132</v>
      </c>
    </row>
    <row r="424" spans="1:2">
      <c r="A424" t="s">
        <v>1428</v>
      </c>
      <c r="B424" t="s">
        <v>4132</v>
      </c>
    </row>
    <row r="425" spans="1:2">
      <c r="A425" t="s">
        <v>1430</v>
      </c>
      <c r="B425" t="s">
        <v>4132</v>
      </c>
    </row>
    <row r="426" spans="1:2">
      <c r="A426" t="s">
        <v>1432</v>
      </c>
      <c r="B426" t="s">
        <v>4132</v>
      </c>
    </row>
    <row r="427" spans="1:2">
      <c r="A427" t="s">
        <v>1434</v>
      </c>
      <c r="B427" t="s">
        <v>4132</v>
      </c>
    </row>
    <row r="428" spans="1:2">
      <c r="A428" t="s">
        <v>1436</v>
      </c>
      <c r="B428" t="s">
        <v>4132</v>
      </c>
    </row>
    <row r="429" spans="1:2">
      <c r="A429" t="s">
        <v>1438</v>
      </c>
      <c r="B429" t="s">
        <v>4132</v>
      </c>
    </row>
    <row r="430" spans="1:2">
      <c r="A430" t="s">
        <v>1440</v>
      </c>
      <c r="B430" t="s">
        <v>4132</v>
      </c>
    </row>
    <row r="431" spans="1:2">
      <c r="A431" t="s">
        <v>1442</v>
      </c>
      <c r="B431" t="s">
        <v>4132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07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3019</v>
      </c>
      <c r="C1" t="s">
        <v>2107</v>
      </c>
      <c r="D1" t="s">
        <v>2108</v>
      </c>
      <c r="E1" t="s">
        <v>2109</v>
      </c>
      <c r="F1" t="s">
        <v>1452</v>
      </c>
      <c r="G1" t="s">
        <v>4134</v>
      </c>
      <c r="H1" t="s">
        <v>2111</v>
      </c>
      <c r="I1" t="s">
        <v>4135</v>
      </c>
    </row>
    <row r="2" spans="1:9">
      <c r="A2" s="93" t="s">
        <v>4136</v>
      </c>
      <c r="B2" t="s">
        <v>1874</v>
      </c>
      <c r="C2" t="s">
        <v>2114</v>
      </c>
      <c r="D2" t="s">
        <v>2115</v>
      </c>
      <c r="E2" t="s">
        <v>1559</v>
      </c>
      <c r="F2" t="s">
        <v>2117</v>
      </c>
      <c r="G2" t="s">
        <v>4137</v>
      </c>
      <c r="H2" t="s">
        <v>108</v>
      </c>
      <c r="I2" t="s">
        <v>3984</v>
      </c>
    </row>
    <row r="3" spans="1:9">
      <c r="A3" s="93" t="s">
        <v>4136</v>
      </c>
      <c r="B3" t="s">
        <v>1874</v>
      </c>
      <c r="C3" t="s">
        <v>2118</v>
      </c>
      <c r="E3" t="s">
        <v>2119</v>
      </c>
      <c r="G3" t="s">
        <v>4138</v>
      </c>
      <c r="H3" t="s">
        <v>108</v>
      </c>
      <c r="I3" t="s">
        <v>3984</v>
      </c>
    </row>
    <row r="4" spans="1:9">
      <c r="A4" s="93" t="s">
        <v>4136</v>
      </c>
      <c r="B4" t="s">
        <v>1874</v>
      </c>
      <c r="C4" t="s">
        <v>2121</v>
      </c>
      <c r="D4" t="s">
        <v>2122</v>
      </c>
      <c r="E4" t="s">
        <v>108</v>
      </c>
      <c r="G4" t="s">
        <v>4137</v>
      </c>
      <c r="H4" t="s">
        <v>108</v>
      </c>
      <c r="I4" t="s">
        <v>3984</v>
      </c>
    </row>
    <row r="5" spans="1:9">
      <c r="A5" s="93" t="s">
        <v>4136</v>
      </c>
      <c r="B5" t="s">
        <v>1874</v>
      </c>
      <c r="C5" t="s">
        <v>2123</v>
      </c>
      <c r="D5" t="s">
        <v>2124</v>
      </c>
      <c r="E5" t="s">
        <v>108</v>
      </c>
      <c r="F5" t="s">
        <v>2125</v>
      </c>
      <c r="G5" t="s">
        <v>4137</v>
      </c>
      <c r="H5" t="s">
        <v>108</v>
      </c>
      <c r="I5" t="s">
        <v>3984</v>
      </c>
    </row>
    <row r="6" spans="1:9">
      <c r="A6" s="93" t="s">
        <v>4136</v>
      </c>
      <c r="B6" t="s">
        <v>1874</v>
      </c>
      <c r="C6" t="s">
        <v>2126</v>
      </c>
      <c r="E6" t="s">
        <v>108</v>
      </c>
      <c r="G6" t="s">
        <v>4137</v>
      </c>
      <c r="H6" t="s">
        <v>108</v>
      </c>
      <c r="I6" t="s">
        <v>3984</v>
      </c>
    </row>
    <row r="7" spans="1:9">
      <c r="A7" s="93" t="s">
        <v>4136</v>
      </c>
      <c r="B7" t="s">
        <v>1875</v>
      </c>
      <c r="C7" t="s">
        <v>2128</v>
      </c>
      <c r="D7" t="s">
        <v>2129</v>
      </c>
      <c r="E7" t="s">
        <v>108</v>
      </c>
      <c r="G7" t="s">
        <v>4137</v>
      </c>
      <c r="H7" t="s">
        <v>108</v>
      </c>
      <c r="I7" t="s">
        <v>3988</v>
      </c>
    </row>
    <row r="8" spans="1:9">
      <c r="A8" s="93" t="s">
        <v>4136</v>
      </c>
      <c r="B8" t="s">
        <v>1875</v>
      </c>
      <c r="C8" t="s">
        <v>2130</v>
      </c>
      <c r="D8" t="s">
        <v>2131</v>
      </c>
      <c r="E8" t="s">
        <v>108</v>
      </c>
      <c r="F8" t="s">
        <v>2132</v>
      </c>
      <c r="G8" t="s">
        <v>4137</v>
      </c>
      <c r="H8" t="s">
        <v>108</v>
      </c>
      <c r="I8" t="s">
        <v>3988</v>
      </c>
    </row>
    <row r="9" spans="1:9">
      <c r="A9" s="93" t="s">
        <v>4136</v>
      </c>
      <c r="B9" t="s">
        <v>1875</v>
      </c>
      <c r="C9" t="s">
        <v>2133</v>
      </c>
      <c r="D9" t="s">
        <v>2131</v>
      </c>
      <c r="E9" t="s">
        <v>108</v>
      </c>
      <c r="G9" t="s">
        <v>4137</v>
      </c>
      <c r="H9" t="s">
        <v>108</v>
      </c>
      <c r="I9" t="s">
        <v>3988</v>
      </c>
    </row>
    <row r="10" spans="1:9">
      <c r="A10" s="93" t="s">
        <v>4136</v>
      </c>
      <c r="B10" t="s">
        <v>1875</v>
      </c>
      <c r="C10" t="s">
        <v>2134</v>
      </c>
      <c r="E10" t="s">
        <v>2135</v>
      </c>
      <c r="F10" t="s">
        <v>2137</v>
      </c>
      <c r="G10" t="s">
        <v>4139</v>
      </c>
      <c r="H10" t="s">
        <v>2136</v>
      </c>
      <c r="I10" t="s">
        <v>3988</v>
      </c>
    </row>
    <row r="11" spans="1:9">
      <c r="A11" s="93" t="s">
        <v>4136</v>
      </c>
      <c r="B11" t="s">
        <v>1875</v>
      </c>
      <c r="C11" t="s">
        <v>2138</v>
      </c>
      <c r="D11" t="s">
        <v>2139</v>
      </c>
      <c r="E11" t="s">
        <v>108</v>
      </c>
      <c r="F11" t="s">
        <v>2140</v>
      </c>
      <c r="G11" t="s">
        <v>4137</v>
      </c>
      <c r="H11" t="s">
        <v>108</v>
      </c>
      <c r="I11" t="s">
        <v>3988</v>
      </c>
    </row>
    <row r="12" spans="1:9">
      <c r="A12" s="93" t="s">
        <v>4136</v>
      </c>
      <c r="B12" t="s">
        <v>3697</v>
      </c>
      <c r="C12" t="s">
        <v>2142</v>
      </c>
      <c r="D12" t="s">
        <v>2143</v>
      </c>
      <c r="E12" t="s">
        <v>108</v>
      </c>
      <c r="G12" t="s">
        <v>4137</v>
      </c>
      <c r="H12" t="s">
        <v>108</v>
      </c>
      <c r="I12" t="s">
        <v>3992</v>
      </c>
    </row>
    <row r="13" spans="1:9">
      <c r="A13" s="93" t="s">
        <v>4136</v>
      </c>
      <c r="B13" t="s">
        <v>3697</v>
      </c>
      <c r="C13" t="s">
        <v>2144</v>
      </c>
      <c r="D13" t="s">
        <v>2143</v>
      </c>
      <c r="E13" t="s">
        <v>2145</v>
      </c>
      <c r="G13" t="s">
        <v>4138</v>
      </c>
      <c r="H13" t="s">
        <v>108</v>
      </c>
      <c r="I13" t="s">
        <v>3992</v>
      </c>
    </row>
    <row r="14" spans="1:9">
      <c r="A14" s="93" t="s">
        <v>4136</v>
      </c>
      <c r="B14" t="s">
        <v>3697</v>
      </c>
      <c r="C14" t="s">
        <v>2146</v>
      </c>
      <c r="D14" t="s">
        <v>2143</v>
      </c>
      <c r="E14" t="s">
        <v>2147</v>
      </c>
      <c r="F14" t="s">
        <v>2148</v>
      </c>
      <c r="G14" t="s">
        <v>4137</v>
      </c>
      <c r="H14" t="s">
        <v>108</v>
      </c>
      <c r="I14" t="s">
        <v>3992</v>
      </c>
    </row>
    <row r="15" spans="1:9">
      <c r="A15" s="93" t="s">
        <v>4136</v>
      </c>
      <c r="B15" t="s">
        <v>3697</v>
      </c>
      <c r="C15" t="s">
        <v>2149</v>
      </c>
      <c r="D15" t="s">
        <v>2143</v>
      </c>
      <c r="E15" t="s">
        <v>108</v>
      </c>
      <c r="G15" t="s">
        <v>4137</v>
      </c>
      <c r="H15" t="s">
        <v>108</v>
      </c>
      <c r="I15" t="s">
        <v>3992</v>
      </c>
    </row>
    <row r="16" spans="1:9">
      <c r="A16" s="93" t="s">
        <v>4136</v>
      </c>
      <c r="B16" t="s">
        <v>1881</v>
      </c>
      <c r="C16" t="s">
        <v>2151</v>
      </c>
      <c r="D16" t="s">
        <v>2152</v>
      </c>
      <c r="E16" t="s">
        <v>2153</v>
      </c>
      <c r="G16" t="s">
        <v>4137</v>
      </c>
      <c r="H16" t="s">
        <v>108</v>
      </c>
      <c r="I16" t="s">
        <v>3996</v>
      </c>
    </row>
    <row r="17" spans="1:9">
      <c r="A17" s="93" t="s">
        <v>4136</v>
      </c>
      <c r="B17" t="s">
        <v>1881</v>
      </c>
      <c r="C17" t="s">
        <v>2154</v>
      </c>
      <c r="D17" t="s">
        <v>2155</v>
      </c>
      <c r="E17" t="s">
        <v>108</v>
      </c>
      <c r="G17" t="s">
        <v>4137</v>
      </c>
      <c r="H17" t="s">
        <v>108</v>
      </c>
      <c r="I17" t="s">
        <v>3996</v>
      </c>
    </row>
    <row r="18" spans="1:9">
      <c r="A18" s="93" t="s">
        <v>4136</v>
      </c>
      <c r="B18" t="s">
        <v>1881</v>
      </c>
      <c r="C18" t="s">
        <v>2156</v>
      </c>
      <c r="D18" t="s">
        <v>2152</v>
      </c>
      <c r="E18" t="s">
        <v>2157</v>
      </c>
      <c r="G18" t="s">
        <v>4137</v>
      </c>
      <c r="H18" t="s">
        <v>108</v>
      </c>
      <c r="I18" t="s">
        <v>3996</v>
      </c>
    </row>
    <row r="19" spans="1:9">
      <c r="A19" s="93" t="s">
        <v>4136</v>
      </c>
      <c r="B19" t="s">
        <v>1881</v>
      </c>
      <c r="C19" t="s">
        <v>2158</v>
      </c>
      <c r="D19" t="s">
        <v>2155</v>
      </c>
      <c r="E19" t="s">
        <v>2159</v>
      </c>
      <c r="F19" t="s">
        <v>2160</v>
      </c>
      <c r="G19" t="s">
        <v>4137</v>
      </c>
      <c r="H19" t="s">
        <v>108</v>
      </c>
      <c r="I19" t="s">
        <v>3996</v>
      </c>
    </row>
    <row r="20" spans="1:9">
      <c r="A20" s="93" t="s">
        <v>4136</v>
      </c>
      <c r="B20" t="s">
        <v>1881</v>
      </c>
      <c r="C20" t="s">
        <v>2161</v>
      </c>
      <c r="D20" t="s">
        <v>2162</v>
      </c>
      <c r="E20" t="s">
        <v>108</v>
      </c>
      <c r="F20" t="s">
        <v>2163</v>
      </c>
      <c r="G20" t="s">
        <v>4137</v>
      </c>
      <c r="H20" t="s">
        <v>108</v>
      </c>
      <c r="I20" t="s">
        <v>3996</v>
      </c>
    </row>
    <row r="21" spans="1:9">
      <c r="A21" s="93" t="s">
        <v>4136</v>
      </c>
      <c r="B21" t="s">
        <v>1881</v>
      </c>
      <c r="C21" t="s">
        <v>2164</v>
      </c>
      <c r="D21" t="s">
        <v>2162</v>
      </c>
      <c r="E21" t="s">
        <v>108</v>
      </c>
      <c r="G21" t="s">
        <v>4137</v>
      </c>
      <c r="H21" t="s">
        <v>108</v>
      </c>
      <c r="I21" t="s">
        <v>3996</v>
      </c>
    </row>
    <row r="22" spans="1:9">
      <c r="A22" s="93" t="s">
        <v>4136</v>
      </c>
      <c r="B22" t="s">
        <v>1882</v>
      </c>
      <c r="C22" t="s">
        <v>2166</v>
      </c>
      <c r="D22" t="s">
        <v>2167</v>
      </c>
      <c r="E22" t="s">
        <v>108</v>
      </c>
      <c r="F22" t="s">
        <v>2168</v>
      </c>
      <c r="G22" t="s">
        <v>4137</v>
      </c>
      <c r="H22" t="s">
        <v>108</v>
      </c>
      <c r="I22" t="s">
        <v>4000</v>
      </c>
    </row>
    <row r="23" spans="1:9">
      <c r="A23" s="93" t="s">
        <v>4136</v>
      </c>
      <c r="B23" t="s">
        <v>1882</v>
      </c>
      <c r="C23" t="s">
        <v>2169</v>
      </c>
      <c r="D23" t="s">
        <v>2129</v>
      </c>
      <c r="E23" t="s">
        <v>2170</v>
      </c>
      <c r="G23" t="s">
        <v>4139</v>
      </c>
      <c r="H23" t="s">
        <v>2136</v>
      </c>
      <c r="I23" t="s">
        <v>4000</v>
      </c>
    </row>
    <row r="24" spans="1:9">
      <c r="A24" s="93" t="s">
        <v>4136</v>
      </c>
      <c r="B24" t="s">
        <v>1882</v>
      </c>
      <c r="C24" t="s">
        <v>2171</v>
      </c>
      <c r="D24" t="s">
        <v>2129</v>
      </c>
      <c r="E24" t="s">
        <v>2135</v>
      </c>
      <c r="G24" t="s">
        <v>4139</v>
      </c>
      <c r="H24" t="s">
        <v>2136</v>
      </c>
      <c r="I24" t="s">
        <v>4000</v>
      </c>
    </row>
    <row r="25" spans="1:9">
      <c r="A25" s="93" t="s">
        <v>4136</v>
      </c>
      <c r="B25" t="s">
        <v>1882</v>
      </c>
      <c r="C25" t="s">
        <v>2172</v>
      </c>
      <c r="D25" t="s">
        <v>2129</v>
      </c>
      <c r="E25" t="s">
        <v>2135</v>
      </c>
      <c r="G25" t="s">
        <v>4139</v>
      </c>
      <c r="H25" t="s">
        <v>2136</v>
      </c>
      <c r="I25" t="s">
        <v>4000</v>
      </c>
    </row>
    <row r="26" spans="1:9">
      <c r="A26" s="93" t="s">
        <v>4136</v>
      </c>
      <c r="B26" t="s">
        <v>1882</v>
      </c>
      <c r="C26" t="s">
        <v>2173</v>
      </c>
      <c r="D26" t="s">
        <v>2174</v>
      </c>
      <c r="E26" t="s">
        <v>2135</v>
      </c>
      <c r="G26" t="s">
        <v>4139</v>
      </c>
      <c r="H26" t="s">
        <v>2136</v>
      </c>
      <c r="I26" t="s">
        <v>4000</v>
      </c>
    </row>
    <row r="27" spans="1:9">
      <c r="A27" s="93" t="s">
        <v>4136</v>
      </c>
      <c r="B27" t="s">
        <v>1882</v>
      </c>
      <c r="C27" t="s">
        <v>2175</v>
      </c>
      <c r="E27" t="s">
        <v>2135</v>
      </c>
      <c r="G27" t="s">
        <v>4139</v>
      </c>
      <c r="H27" t="s">
        <v>2136</v>
      </c>
      <c r="I27" t="s">
        <v>4000</v>
      </c>
    </row>
    <row r="28" spans="1:9">
      <c r="A28" s="93" t="s">
        <v>4136</v>
      </c>
      <c r="B28" t="s">
        <v>1882</v>
      </c>
      <c r="C28" t="s">
        <v>2176</v>
      </c>
      <c r="E28" t="s">
        <v>2135</v>
      </c>
      <c r="G28" t="s">
        <v>4139</v>
      </c>
      <c r="H28" t="s">
        <v>2136</v>
      </c>
      <c r="I28" t="s">
        <v>4000</v>
      </c>
    </row>
    <row r="29" spans="1:9">
      <c r="A29" s="93" t="s">
        <v>4136</v>
      </c>
      <c r="B29" t="s">
        <v>1882</v>
      </c>
      <c r="C29" t="s">
        <v>2177</v>
      </c>
      <c r="E29" t="s">
        <v>2135</v>
      </c>
      <c r="G29" t="s">
        <v>4139</v>
      </c>
      <c r="H29" t="s">
        <v>2136</v>
      </c>
      <c r="I29" t="s">
        <v>4000</v>
      </c>
    </row>
    <row r="30" spans="1:9">
      <c r="A30" s="93" t="s">
        <v>4136</v>
      </c>
      <c r="B30" t="s">
        <v>1884</v>
      </c>
      <c r="C30" t="s">
        <v>2179</v>
      </c>
      <c r="D30" t="s">
        <v>2180</v>
      </c>
      <c r="E30" t="s">
        <v>108</v>
      </c>
      <c r="G30" t="s">
        <v>4137</v>
      </c>
      <c r="H30" t="s">
        <v>108</v>
      </c>
      <c r="I30" t="s">
        <v>4002</v>
      </c>
    </row>
    <row r="31" spans="1:9">
      <c r="A31" s="93" t="s">
        <v>4136</v>
      </c>
      <c r="B31" t="s">
        <v>1884</v>
      </c>
      <c r="C31" t="s">
        <v>2181</v>
      </c>
      <c r="D31" t="s">
        <v>2182</v>
      </c>
      <c r="E31" t="s">
        <v>108</v>
      </c>
      <c r="G31" t="s">
        <v>4137</v>
      </c>
      <c r="H31" t="s">
        <v>108</v>
      </c>
      <c r="I31" t="s">
        <v>4002</v>
      </c>
    </row>
    <row r="32" spans="1:9">
      <c r="A32" s="93" t="s">
        <v>4136</v>
      </c>
      <c r="B32" t="s">
        <v>1884</v>
      </c>
      <c r="C32" t="s">
        <v>2183</v>
      </c>
      <c r="D32" t="s">
        <v>2182</v>
      </c>
      <c r="E32" t="s">
        <v>2184</v>
      </c>
      <c r="F32" t="s">
        <v>2185</v>
      </c>
      <c r="G32" t="s">
        <v>4137</v>
      </c>
      <c r="H32" t="s">
        <v>108</v>
      </c>
      <c r="I32" t="s">
        <v>4002</v>
      </c>
    </row>
    <row r="33" spans="1:9">
      <c r="A33" s="93" t="s">
        <v>4136</v>
      </c>
      <c r="B33" t="s">
        <v>1884</v>
      </c>
      <c r="C33" t="s">
        <v>2186</v>
      </c>
      <c r="D33" t="s">
        <v>2187</v>
      </c>
      <c r="E33" t="s">
        <v>108</v>
      </c>
      <c r="G33" t="s">
        <v>4137</v>
      </c>
      <c r="H33" t="s">
        <v>108</v>
      </c>
      <c r="I33" t="s">
        <v>4002</v>
      </c>
    </row>
    <row r="34" spans="1:9">
      <c r="A34" s="93" t="s">
        <v>4136</v>
      </c>
      <c r="B34" t="s">
        <v>1884</v>
      </c>
      <c r="C34" t="s">
        <v>2188</v>
      </c>
      <c r="E34" t="s">
        <v>2189</v>
      </c>
      <c r="G34" t="s">
        <v>4137</v>
      </c>
      <c r="H34" t="s">
        <v>108</v>
      </c>
      <c r="I34" t="s">
        <v>4002</v>
      </c>
    </row>
    <row r="35" spans="1:9">
      <c r="A35" s="93" t="s">
        <v>4136</v>
      </c>
      <c r="B35" t="s">
        <v>1884</v>
      </c>
      <c r="C35" t="s">
        <v>2190</v>
      </c>
      <c r="E35" t="s">
        <v>2135</v>
      </c>
      <c r="G35" t="s">
        <v>4139</v>
      </c>
      <c r="H35" t="s">
        <v>2136</v>
      </c>
      <c r="I35" t="s">
        <v>4002</v>
      </c>
    </row>
    <row r="36" spans="1:9">
      <c r="A36" s="93" t="s">
        <v>4136</v>
      </c>
      <c r="B36" t="s">
        <v>1884</v>
      </c>
      <c r="C36" t="s">
        <v>2191</v>
      </c>
      <c r="E36" t="s">
        <v>2135</v>
      </c>
      <c r="G36" t="s">
        <v>4139</v>
      </c>
      <c r="H36" t="s">
        <v>2136</v>
      </c>
      <c r="I36" t="s">
        <v>4002</v>
      </c>
    </row>
    <row r="37" spans="1:9">
      <c r="A37" s="93" t="s">
        <v>4136</v>
      </c>
      <c r="B37" t="s">
        <v>1884</v>
      </c>
      <c r="C37" t="s">
        <v>2192</v>
      </c>
      <c r="D37" t="s">
        <v>2182</v>
      </c>
      <c r="E37" t="s">
        <v>2193</v>
      </c>
      <c r="G37" t="s">
        <v>4137</v>
      </c>
      <c r="H37" t="s">
        <v>2193</v>
      </c>
      <c r="I37" t="s">
        <v>4002</v>
      </c>
    </row>
    <row r="38" spans="1:9">
      <c r="A38" s="93" t="s">
        <v>4136</v>
      </c>
      <c r="B38" t="s">
        <v>1884</v>
      </c>
      <c r="C38" t="s">
        <v>2194</v>
      </c>
      <c r="D38" t="s">
        <v>2187</v>
      </c>
      <c r="E38" t="s">
        <v>108</v>
      </c>
      <c r="G38" t="s">
        <v>4137</v>
      </c>
      <c r="H38" t="s">
        <v>108</v>
      </c>
      <c r="I38" t="s">
        <v>4002</v>
      </c>
    </row>
    <row r="39" spans="1:9">
      <c r="A39" s="93" t="s">
        <v>4136</v>
      </c>
      <c r="B39" t="s">
        <v>1889</v>
      </c>
      <c r="C39" t="s">
        <v>2196</v>
      </c>
      <c r="E39" t="s">
        <v>2193</v>
      </c>
      <c r="G39" t="s">
        <v>4137</v>
      </c>
      <c r="H39" t="s">
        <v>2193</v>
      </c>
      <c r="I39" t="s">
        <v>4004</v>
      </c>
    </row>
    <row r="40" spans="1:9">
      <c r="A40" s="93" t="s">
        <v>4136</v>
      </c>
      <c r="B40" t="s">
        <v>1889</v>
      </c>
      <c r="C40" t="s">
        <v>2197</v>
      </c>
      <c r="E40" t="s">
        <v>2193</v>
      </c>
      <c r="G40" t="s">
        <v>4137</v>
      </c>
      <c r="H40" t="s">
        <v>2193</v>
      </c>
      <c r="I40" t="s">
        <v>4004</v>
      </c>
    </row>
    <row r="41" spans="1:9">
      <c r="A41" s="93" t="s">
        <v>4136</v>
      </c>
      <c r="B41" t="s">
        <v>1889</v>
      </c>
      <c r="C41" t="s">
        <v>2198</v>
      </c>
      <c r="E41" t="s">
        <v>2199</v>
      </c>
      <c r="G41" t="s">
        <v>4137</v>
      </c>
      <c r="H41" t="s">
        <v>2193</v>
      </c>
      <c r="I41" t="s">
        <v>4004</v>
      </c>
    </row>
    <row r="42" spans="1:9">
      <c r="A42" s="93" t="s">
        <v>4136</v>
      </c>
      <c r="B42" t="s">
        <v>1889</v>
      </c>
      <c r="C42" t="s">
        <v>2200</v>
      </c>
      <c r="D42" t="s">
        <v>2182</v>
      </c>
      <c r="E42" t="s">
        <v>108</v>
      </c>
      <c r="G42" t="s">
        <v>4137</v>
      </c>
      <c r="H42" t="s">
        <v>108</v>
      </c>
      <c r="I42" t="s">
        <v>4004</v>
      </c>
    </row>
    <row r="43" spans="1:9">
      <c r="A43" s="93" t="s">
        <v>4136</v>
      </c>
      <c r="B43" t="s">
        <v>1889</v>
      </c>
      <c r="C43" t="s">
        <v>2201</v>
      </c>
      <c r="D43" t="s">
        <v>2182</v>
      </c>
      <c r="E43" t="s">
        <v>108</v>
      </c>
      <c r="G43" t="s">
        <v>4137</v>
      </c>
      <c r="H43" t="s">
        <v>108</v>
      </c>
      <c r="I43" t="s">
        <v>4004</v>
      </c>
    </row>
    <row r="44" spans="1:9">
      <c r="A44" s="93" t="s">
        <v>4136</v>
      </c>
      <c r="B44" t="s">
        <v>1889</v>
      </c>
      <c r="C44" t="s">
        <v>2202</v>
      </c>
      <c r="D44" t="s">
        <v>2174</v>
      </c>
      <c r="E44" t="s">
        <v>108</v>
      </c>
      <c r="G44" t="s">
        <v>4137</v>
      </c>
      <c r="H44" t="s">
        <v>108</v>
      </c>
      <c r="I44" t="s">
        <v>4004</v>
      </c>
    </row>
    <row r="45" spans="1:9">
      <c r="A45" s="93" t="s">
        <v>4136</v>
      </c>
      <c r="B45" t="s">
        <v>1889</v>
      </c>
      <c r="C45" t="s">
        <v>2203</v>
      </c>
      <c r="D45" t="s">
        <v>2204</v>
      </c>
      <c r="E45" t="s">
        <v>2193</v>
      </c>
      <c r="G45" t="s">
        <v>4137</v>
      </c>
      <c r="H45" t="s">
        <v>2193</v>
      </c>
      <c r="I45" t="s">
        <v>4004</v>
      </c>
    </row>
    <row r="46" spans="1:9">
      <c r="A46" s="93" t="s">
        <v>4136</v>
      </c>
      <c r="B46" t="s">
        <v>1889</v>
      </c>
      <c r="C46" t="s">
        <v>2205</v>
      </c>
      <c r="D46" t="s">
        <v>2204</v>
      </c>
      <c r="E46" t="s">
        <v>2193</v>
      </c>
      <c r="G46" t="s">
        <v>4137</v>
      </c>
      <c r="H46" t="s">
        <v>2193</v>
      </c>
      <c r="I46" t="s">
        <v>4004</v>
      </c>
    </row>
    <row r="47" spans="1:9">
      <c r="A47" s="93" t="s">
        <v>4136</v>
      </c>
      <c r="B47" t="s">
        <v>1889</v>
      </c>
      <c r="C47" t="s">
        <v>2206</v>
      </c>
      <c r="E47" t="s">
        <v>2135</v>
      </c>
      <c r="G47" t="s">
        <v>4139</v>
      </c>
      <c r="H47" t="s">
        <v>2136</v>
      </c>
      <c r="I47" t="s">
        <v>4004</v>
      </c>
    </row>
    <row r="48" spans="1:9">
      <c r="A48" s="93" t="s">
        <v>4136</v>
      </c>
      <c r="B48" t="s">
        <v>1889</v>
      </c>
      <c r="C48" t="s">
        <v>2207</v>
      </c>
      <c r="D48" t="s">
        <v>2204</v>
      </c>
      <c r="E48" t="s">
        <v>108</v>
      </c>
      <c r="F48" t="s">
        <v>2208</v>
      </c>
      <c r="G48" t="s">
        <v>4137</v>
      </c>
      <c r="H48" t="s">
        <v>108</v>
      </c>
      <c r="I48" t="s">
        <v>4004</v>
      </c>
    </row>
    <row r="49" spans="1:9">
      <c r="A49" s="93" t="s">
        <v>4136</v>
      </c>
      <c r="B49" t="s">
        <v>1891</v>
      </c>
      <c r="C49" t="s">
        <v>2210</v>
      </c>
      <c r="D49" t="s">
        <v>2211</v>
      </c>
      <c r="E49" t="s">
        <v>108</v>
      </c>
      <c r="G49" t="s">
        <v>4137</v>
      </c>
      <c r="H49" t="s">
        <v>108</v>
      </c>
      <c r="I49" t="s">
        <v>4008</v>
      </c>
    </row>
    <row r="50" spans="1:9">
      <c r="A50" s="93" t="s">
        <v>4136</v>
      </c>
      <c r="B50" t="s">
        <v>1891</v>
      </c>
      <c r="C50" t="s">
        <v>2212</v>
      </c>
      <c r="D50" t="s">
        <v>2213</v>
      </c>
      <c r="E50" t="s">
        <v>108</v>
      </c>
      <c r="G50" t="s">
        <v>4137</v>
      </c>
      <c r="H50" t="s">
        <v>108</v>
      </c>
      <c r="I50" t="s">
        <v>4008</v>
      </c>
    </row>
    <row r="51" spans="1:9">
      <c r="A51" s="93" t="s">
        <v>4136</v>
      </c>
      <c r="B51" t="s">
        <v>1891</v>
      </c>
      <c r="C51" t="s">
        <v>2214</v>
      </c>
      <c r="D51" t="s">
        <v>2213</v>
      </c>
      <c r="E51" t="s">
        <v>108</v>
      </c>
      <c r="G51" t="s">
        <v>4137</v>
      </c>
      <c r="H51" t="s">
        <v>108</v>
      </c>
      <c r="I51" t="s">
        <v>4008</v>
      </c>
    </row>
    <row r="52" spans="1:9">
      <c r="A52" s="93" t="s">
        <v>4136</v>
      </c>
      <c r="B52" t="s">
        <v>1893</v>
      </c>
      <c r="C52" t="s">
        <v>2216</v>
      </c>
      <c r="D52" t="s">
        <v>2217</v>
      </c>
      <c r="E52" t="s">
        <v>2193</v>
      </c>
      <c r="F52" t="s">
        <v>2218</v>
      </c>
      <c r="G52" t="s">
        <v>4137</v>
      </c>
      <c r="H52" t="s">
        <v>2193</v>
      </c>
      <c r="I52" t="s">
        <v>4012</v>
      </c>
    </row>
    <row r="53" spans="1:9">
      <c r="A53" s="93" t="s">
        <v>4136</v>
      </c>
      <c r="B53" t="s">
        <v>1893</v>
      </c>
      <c r="C53" t="s">
        <v>2219</v>
      </c>
      <c r="D53" t="s">
        <v>2220</v>
      </c>
      <c r="E53" t="s">
        <v>108</v>
      </c>
      <c r="F53" t="s">
        <v>2221</v>
      </c>
      <c r="G53" t="s">
        <v>4137</v>
      </c>
      <c r="H53" t="s">
        <v>108</v>
      </c>
      <c r="I53" t="s">
        <v>4012</v>
      </c>
    </row>
    <row r="54" spans="1:9">
      <c r="A54" s="93" t="s">
        <v>4136</v>
      </c>
      <c r="B54" t="s">
        <v>1893</v>
      </c>
      <c r="C54" t="s">
        <v>2222</v>
      </c>
      <c r="D54" t="s">
        <v>2223</v>
      </c>
      <c r="E54" t="s">
        <v>108</v>
      </c>
      <c r="F54" t="s">
        <v>2224</v>
      </c>
      <c r="G54" t="s">
        <v>4137</v>
      </c>
      <c r="H54" t="s">
        <v>108</v>
      </c>
      <c r="I54" t="s">
        <v>4012</v>
      </c>
    </row>
    <row r="55" spans="1:9">
      <c r="A55" s="93" t="s">
        <v>4136</v>
      </c>
      <c r="B55" t="s">
        <v>1893</v>
      </c>
      <c r="C55" t="s">
        <v>2225</v>
      </c>
      <c r="D55" t="s">
        <v>2226</v>
      </c>
      <c r="E55" t="s">
        <v>108</v>
      </c>
      <c r="F55" t="s">
        <v>2227</v>
      </c>
      <c r="G55" t="s">
        <v>4137</v>
      </c>
      <c r="H55" t="s">
        <v>108</v>
      </c>
      <c r="I55" t="s">
        <v>4012</v>
      </c>
    </row>
    <row r="56" spans="1:9">
      <c r="A56" s="93" t="s">
        <v>4136</v>
      </c>
      <c r="B56" t="s">
        <v>1893</v>
      </c>
      <c r="C56" t="s">
        <v>2228</v>
      </c>
      <c r="E56" t="s">
        <v>2135</v>
      </c>
      <c r="G56" t="s">
        <v>4139</v>
      </c>
      <c r="H56" t="s">
        <v>2136</v>
      </c>
      <c r="I56" t="s">
        <v>4012</v>
      </c>
    </row>
    <row r="57" spans="1:9">
      <c r="A57" s="93" t="s">
        <v>4136</v>
      </c>
      <c r="B57" t="s">
        <v>1896</v>
      </c>
      <c r="C57" t="s">
        <v>2230</v>
      </c>
      <c r="D57" t="s">
        <v>2220</v>
      </c>
      <c r="E57" t="s">
        <v>108</v>
      </c>
      <c r="F57" t="s">
        <v>2231</v>
      </c>
      <c r="G57" t="s">
        <v>4137</v>
      </c>
      <c r="H57" t="s">
        <v>108</v>
      </c>
      <c r="I57" t="s">
        <v>4016</v>
      </c>
    </row>
    <row r="58" spans="1:9">
      <c r="A58" s="93" t="s">
        <v>4136</v>
      </c>
      <c r="B58" t="s">
        <v>1896</v>
      </c>
      <c r="C58" t="s">
        <v>2232</v>
      </c>
      <c r="D58" t="s">
        <v>2220</v>
      </c>
      <c r="E58" t="s">
        <v>108</v>
      </c>
      <c r="G58" t="s">
        <v>4137</v>
      </c>
      <c r="H58" t="s">
        <v>108</v>
      </c>
      <c r="I58" t="s">
        <v>4016</v>
      </c>
    </row>
    <row r="59" spans="1:9">
      <c r="A59" s="93" t="s">
        <v>4136</v>
      </c>
      <c r="B59" t="s">
        <v>1896</v>
      </c>
      <c r="C59" t="s">
        <v>2233</v>
      </c>
      <c r="D59" t="s">
        <v>2234</v>
      </c>
      <c r="E59" t="s">
        <v>108</v>
      </c>
      <c r="F59" t="s">
        <v>2235</v>
      </c>
      <c r="G59" t="s">
        <v>4137</v>
      </c>
      <c r="H59" t="s">
        <v>108</v>
      </c>
      <c r="I59" t="s">
        <v>4016</v>
      </c>
    </row>
    <row r="60" spans="1:9">
      <c r="A60" s="93" t="s">
        <v>4136</v>
      </c>
      <c r="B60" t="s">
        <v>1896</v>
      </c>
      <c r="C60" t="s">
        <v>2236</v>
      </c>
      <c r="D60" t="s">
        <v>2237</v>
      </c>
      <c r="E60" t="s">
        <v>108</v>
      </c>
      <c r="F60" t="s">
        <v>2231</v>
      </c>
      <c r="G60" t="s">
        <v>4137</v>
      </c>
      <c r="H60" t="s">
        <v>108</v>
      </c>
      <c r="I60" t="s">
        <v>4016</v>
      </c>
    </row>
    <row r="61" spans="1:9">
      <c r="A61" s="93" t="s">
        <v>4136</v>
      </c>
      <c r="B61" t="s">
        <v>1896</v>
      </c>
      <c r="C61" t="s">
        <v>2238</v>
      </c>
      <c r="D61" t="s">
        <v>2237</v>
      </c>
      <c r="E61" t="s">
        <v>108</v>
      </c>
      <c r="F61" t="s">
        <v>2239</v>
      </c>
      <c r="G61" t="s">
        <v>4137</v>
      </c>
      <c r="H61" t="s">
        <v>108</v>
      </c>
      <c r="I61" t="s">
        <v>4016</v>
      </c>
    </row>
    <row r="62" spans="1:9">
      <c r="A62" s="93" t="s">
        <v>4136</v>
      </c>
      <c r="B62" t="s">
        <v>1896</v>
      </c>
      <c r="C62" t="s">
        <v>2240</v>
      </c>
      <c r="D62" t="s">
        <v>2241</v>
      </c>
      <c r="E62" t="s">
        <v>2193</v>
      </c>
      <c r="G62" t="s">
        <v>4137</v>
      </c>
      <c r="H62" t="s">
        <v>2193</v>
      </c>
      <c r="I62" t="s">
        <v>4016</v>
      </c>
    </row>
    <row r="63" spans="1:9">
      <c r="A63" s="93" t="s">
        <v>4136</v>
      </c>
      <c r="B63" t="s">
        <v>1896</v>
      </c>
      <c r="C63" t="s">
        <v>2242</v>
      </c>
      <c r="D63" t="s">
        <v>2220</v>
      </c>
      <c r="E63" t="s">
        <v>2243</v>
      </c>
      <c r="F63" t="s">
        <v>2244</v>
      </c>
      <c r="G63" t="s">
        <v>4138</v>
      </c>
      <c r="H63" t="s">
        <v>108</v>
      </c>
      <c r="I63" t="s">
        <v>4016</v>
      </c>
    </row>
    <row r="64" spans="1:9">
      <c r="A64" s="93" t="s">
        <v>4136</v>
      </c>
      <c r="B64" t="s">
        <v>1896</v>
      </c>
      <c r="C64" t="s">
        <v>2245</v>
      </c>
      <c r="D64" t="s">
        <v>2241</v>
      </c>
      <c r="E64" t="s">
        <v>2246</v>
      </c>
      <c r="G64" t="s">
        <v>4137</v>
      </c>
      <c r="H64" t="s">
        <v>108</v>
      </c>
      <c r="I64" t="s">
        <v>4016</v>
      </c>
    </row>
    <row r="65" spans="1:9">
      <c r="A65" s="93" t="s">
        <v>4136</v>
      </c>
      <c r="B65" t="s">
        <v>1896</v>
      </c>
      <c r="C65" t="s">
        <v>2247</v>
      </c>
      <c r="D65" t="s">
        <v>2248</v>
      </c>
      <c r="E65" t="s">
        <v>108</v>
      </c>
      <c r="F65" t="s">
        <v>2249</v>
      </c>
      <c r="G65" t="s">
        <v>4137</v>
      </c>
      <c r="H65" t="s">
        <v>108</v>
      </c>
      <c r="I65" t="s">
        <v>4016</v>
      </c>
    </row>
    <row r="66" spans="1:9">
      <c r="A66" s="93" t="s">
        <v>4136</v>
      </c>
      <c r="B66" t="s">
        <v>1898</v>
      </c>
      <c r="C66" t="s">
        <v>2251</v>
      </c>
      <c r="D66" t="s">
        <v>2252</v>
      </c>
      <c r="E66" t="s">
        <v>108</v>
      </c>
      <c r="G66" t="s">
        <v>4137</v>
      </c>
      <c r="H66" t="s">
        <v>108</v>
      </c>
      <c r="I66" t="s">
        <v>4020</v>
      </c>
    </row>
    <row r="67" spans="1:9">
      <c r="A67" s="93" t="s">
        <v>4136</v>
      </c>
      <c r="B67" t="s">
        <v>1898</v>
      </c>
      <c r="C67" t="s">
        <v>2253</v>
      </c>
      <c r="D67" t="s">
        <v>2252</v>
      </c>
      <c r="E67" t="s">
        <v>2193</v>
      </c>
      <c r="F67" t="s">
        <v>2254</v>
      </c>
      <c r="G67" t="s">
        <v>4137</v>
      </c>
      <c r="H67" t="s">
        <v>2193</v>
      </c>
      <c r="I67" t="s">
        <v>4020</v>
      </c>
    </row>
    <row r="68" spans="1:9">
      <c r="A68" s="93" t="s">
        <v>4136</v>
      </c>
      <c r="B68" t="s">
        <v>1898</v>
      </c>
      <c r="C68" t="s">
        <v>2255</v>
      </c>
      <c r="D68" t="s">
        <v>2256</v>
      </c>
      <c r="E68" t="s">
        <v>2257</v>
      </c>
      <c r="G68" t="s">
        <v>4137</v>
      </c>
      <c r="H68" t="s">
        <v>108</v>
      </c>
      <c r="I68" t="s">
        <v>4020</v>
      </c>
    </row>
    <row r="69" spans="1:9">
      <c r="A69" s="93" t="s">
        <v>4136</v>
      </c>
      <c r="B69" t="s">
        <v>1898</v>
      </c>
      <c r="C69" t="s">
        <v>2258</v>
      </c>
      <c r="D69" t="s">
        <v>2259</v>
      </c>
      <c r="E69" t="s">
        <v>2260</v>
      </c>
      <c r="F69" t="s">
        <v>2261</v>
      </c>
      <c r="G69" t="s">
        <v>4138</v>
      </c>
      <c r="H69" t="s">
        <v>108</v>
      </c>
      <c r="I69" t="s">
        <v>4020</v>
      </c>
    </row>
    <row r="70" spans="1:9">
      <c r="A70" s="93" t="s">
        <v>4136</v>
      </c>
      <c r="B70" t="s">
        <v>1898</v>
      </c>
      <c r="C70" t="s">
        <v>2262</v>
      </c>
      <c r="D70" t="s">
        <v>2259</v>
      </c>
      <c r="E70" t="s">
        <v>2147</v>
      </c>
      <c r="F70" t="s">
        <v>2263</v>
      </c>
      <c r="G70" t="s">
        <v>4137</v>
      </c>
      <c r="H70" t="s">
        <v>108</v>
      </c>
      <c r="I70" t="s">
        <v>4020</v>
      </c>
    </row>
    <row r="71" spans="1:9">
      <c r="A71" s="93" t="s">
        <v>4136</v>
      </c>
      <c r="B71" t="s">
        <v>1898</v>
      </c>
      <c r="C71" t="s">
        <v>2264</v>
      </c>
      <c r="D71" t="s">
        <v>2252</v>
      </c>
      <c r="E71" t="s">
        <v>2265</v>
      </c>
      <c r="G71" t="s">
        <v>4137</v>
      </c>
      <c r="H71" t="s">
        <v>108</v>
      </c>
      <c r="I71" t="s">
        <v>4020</v>
      </c>
    </row>
    <row r="72" spans="1:9">
      <c r="A72" s="93" t="s">
        <v>4136</v>
      </c>
      <c r="B72" t="s">
        <v>1898</v>
      </c>
      <c r="C72" t="s">
        <v>2266</v>
      </c>
      <c r="D72" t="s">
        <v>2252</v>
      </c>
      <c r="E72" t="s">
        <v>2267</v>
      </c>
      <c r="F72" t="s">
        <v>2268</v>
      </c>
      <c r="G72" t="s">
        <v>4137</v>
      </c>
      <c r="H72" t="s">
        <v>108</v>
      </c>
      <c r="I72" t="s">
        <v>4020</v>
      </c>
    </row>
    <row r="73" spans="1:9">
      <c r="A73" s="93" t="s">
        <v>4136</v>
      </c>
      <c r="B73" t="s">
        <v>1898</v>
      </c>
      <c r="C73" t="s">
        <v>2269</v>
      </c>
      <c r="D73" t="s">
        <v>2252</v>
      </c>
      <c r="E73" t="s">
        <v>2270</v>
      </c>
      <c r="G73" t="s">
        <v>4137</v>
      </c>
      <c r="H73" t="s">
        <v>108</v>
      </c>
      <c r="I73" t="s">
        <v>4020</v>
      </c>
    </row>
    <row r="74" spans="1:9">
      <c r="A74" s="93" t="s">
        <v>4136</v>
      </c>
      <c r="B74" t="s">
        <v>1902</v>
      </c>
      <c r="C74" t="s">
        <v>2272</v>
      </c>
      <c r="D74" t="s">
        <v>2273</v>
      </c>
      <c r="E74" t="s">
        <v>2274</v>
      </c>
      <c r="F74" t="s">
        <v>2275</v>
      </c>
      <c r="G74" t="s">
        <v>4137</v>
      </c>
      <c r="H74" t="s">
        <v>108</v>
      </c>
      <c r="I74" t="s">
        <v>4024</v>
      </c>
    </row>
    <row r="75" spans="1:9">
      <c r="A75" s="93" t="s">
        <v>4136</v>
      </c>
      <c r="B75" t="s">
        <v>1902</v>
      </c>
      <c r="C75" t="s">
        <v>2276</v>
      </c>
      <c r="D75" t="s">
        <v>2248</v>
      </c>
      <c r="E75" t="s">
        <v>2277</v>
      </c>
      <c r="F75" t="s">
        <v>2278</v>
      </c>
      <c r="G75" t="s">
        <v>4137</v>
      </c>
      <c r="H75" t="s">
        <v>108</v>
      </c>
      <c r="I75" t="s">
        <v>4024</v>
      </c>
    </row>
    <row r="76" spans="1:9">
      <c r="A76" s="93" t="s">
        <v>4136</v>
      </c>
      <c r="B76" t="s">
        <v>1902</v>
      </c>
      <c r="C76" t="s">
        <v>2279</v>
      </c>
      <c r="D76" t="s">
        <v>2280</v>
      </c>
      <c r="E76" t="s">
        <v>2281</v>
      </c>
      <c r="F76" t="s">
        <v>2282</v>
      </c>
      <c r="G76" t="s">
        <v>4137</v>
      </c>
      <c r="H76" t="s">
        <v>108</v>
      </c>
      <c r="I76" t="s">
        <v>4024</v>
      </c>
    </row>
    <row r="77" spans="1:9">
      <c r="A77" s="93" t="s">
        <v>4136</v>
      </c>
      <c r="B77" t="s">
        <v>1902</v>
      </c>
      <c r="C77" t="s">
        <v>2283</v>
      </c>
      <c r="D77" t="s">
        <v>2273</v>
      </c>
      <c r="E77" t="s">
        <v>108</v>
      </c>
      <c r="F77" t="s">
        <v>2284</v>
      </c>
      <c r="G77" t="s">
        <v>4137</v>
      </c>
      <c r="H77" t="s">
        <v>108</v>
      </c>
      <c r="I77" t="s">
        <v>4024</v>
      </c>
    </row>
    <row r="78" spans="1:9">
      <c r="A78" s="93" t="s">
        <v>4136</v>
      </c>
      <c r="B78" t="s">
        <v>1902</v>
      </c>
      <c r="C78" t="s">
        <v>2285</v>
      </c>
      <c r="E78" t="s">
        <v>2135</v>
      </c>
      <c r="G78" t="s">
        <v>4139</v>
      </c>
      <c r="H78" t="s">
        <v>2136</v>
      </c>
      <c r="I78" t="s">
        <v>4024</v>
      </c>
    </row>
    <row r="79" spans="1:9">
      <c r="A79" s="93" t="s">
        <v>4136</v>
      </c>
      <c r="B79" t="s">
        <v>1902</v>
      </c>
      <c r="C79" t="s">
        <v>2286</v>
      </c>
      <c r="E79" t="s">
        <v>108</v>
      </c>
      <c r="G79" t="s">
        <v>4137</v>
      </c>
      <c r="H79" t="s">
        <v>108</v>
      </c>
      <c r="I79" t="s">
        <v>4024</v>
      </c>
    </row>
    <row r="80" spans="1:9">
      <c r="A80" s="93" t="s">
        <v>4136</v>
      </c>
      <c r="B80" t="s">
        <v>1902</v>
      </c>
      <c r="C80" t="s">
        <v>2287</v>
      </c>
      <c r="D80" t="s">
        <v>2273</v>
      </c>
      <c r="E80" t="s">
        <v>2288</v>
      </c>
      <c r="F80" t="s">
        <v>2289</v>
      </c>
      <c r="G80" t="s">
        <v>4137</v>
      </c>
      <c r="H80" t="s">
        <v>2288</v>
      </c>
      <c r="I80" t="s">
        <v>4024</v>
      </c>
    </row>
    <row r="81" spans="1:9">
      <c r="A81" s="93" t="s">
        <v>4136</v>
      </c>
      <c r="B81" t="s">
        <v>3926</v>
      </c>
      <c r="C81" t="s">
        <v>2291</v>
      </c>
      <c r="E81" t="s">
        <v>2135</v>
      </c>
      <c r="F81" t="s">
        <v>2292</v>
      </c>
      <c r="G81" t="s">
        <v>4139</v>
      </c>
      <c r="H81" t="s">
        <v>2136</v>
      </c>
    </row>
    <row r="82" spans="1:9">
      <c r="A82" s="93" t="s">
        <v>4136</v>
      </c>
      <c r="B82" t="s">
        <v>3926</v>
      </c>
      <c r="C82" t="s">
        <v>2293</v>
      </c>
      <c r="D82" t="s">
        <v>2294</v>
      </c>
      <c r="E82" t="s">
        <v>2295</v>
      </c>
      <c r="F82" t="s">
        <v>2296</v>
      </c>
      <c r="G82" t="s">
        <v>4137</v>
      </c>
      <c r="H82" t="s">
        <v>108</v>
      </c>
    </row>
    <row r="83" spans="1:9">
      <c r="A83" s="93" t="s">
        <v>4136</v>
      </c>
      <c r="B83" t="s">
        <v>3926</v>
      </c>
      <c r="C83" t="s">
        <v>2297</v>
      </c>
      <c r="D83" t="s">
        <v>2298</v>
      </c>
      <c r="E83" t="s">
        <v>108</v>
      </c>
      <c r="F83" t="s">
        <v>2299</v>
      </c>
      <c r="G83" t="s">
        <v>4137</v>
      </c>
      <c r="H83" t="s">
        <v>108</v>
      </c>
    </row>
    <row r="84" spans="1:9">
      <c r="A84" s="93" t="s">
        <v>4136</v>
      </c>
      <c r="B84" t="s">
        <v>3926</v>
      </c>
      <c r="C84" t="s">
        <v>2300</v>
      </c>
      <c r="D84" t="s">
        <v>2294</v>
      </c>
      <c r="E84" t="s">
        <v>108</v>
      </c>
      <c r="F84" t="s">
        <v>2299</v>
      </c>
      <c r="G84" t="s">
        <v>4137</v>
      </c>
      <c r="H84" t="s">
        <v>108</v>
      </c>
    </row>
    <row r="85" spans="1:9">
      <c r="A85" s="93" t="s">
        <v>4136</v>
      </c>
      <c r="B85" t="s">
        <v>3926</v>
      </c>
      <c r="C85" t="s">
        <v>2301</v>
      </c>
      <c r="D85" t="s">
        <v>2302</v>
      </c>
      <c r="E85" t="s">
        <v>2193</v>
      </c>
      <c r="F85" t="s">
        <v>2303</v>
      </c>
      <c r="G85" t="s">
        <v>4137</v>
      </c>
      <c r="H85" t="s">
        <v>2193</v>
      </c>
    </row>
    <row r="86" spans="1:9">
      <c r="A86" s="93" t="s">
        <v>4136</v>
      </c>
      <c r="B86" t="s">
        <v>3926</v>
      </c>
      <c r="C86" t="s">
        <v>2304</v>
      </c>
      <c r="D86" t="s">
        <v>2305</v>
      </c>
      <c r="E86" t="s">
        <v>2257</v>
      </c>
      <c r="F86" t="s">
        <v>2306</v>
      </c>
      <c r="G86" t="s">
        <v>4137</v>
      </c>
      <c r="H86" t="s">
        <v>108</v>
      </c>
    </row>
    <row r="87" spans="1:9">
      <c r="A87" s="93" t="s">
        <v>4140</v>
      </c>
      <c r="B87" t="s">
        <v>1874</v>
      </c>
      <c r="C87" t="s">
        <v>2308</v>
      </c>
      <c r="D87" t="s">
        <v>2122</v>
      </c>
      <c r="E87" t="s">
        <v>2309</v>
      </c>
      <c r="F87" t="s">
        <v>2312</v>
      </c>
      <c r="G87" t="s">
        <v>4141</v>
      </c>
      <c r="H87" t="s">
        <v>2311</v>
      </c>
      <c r="I87" t="s">
        <v>3984</v>
      </c>
    </row>
    <row r="88" spans="1:9">
      <c r="A88" s="93" t="s">
        <v>4140</v>
      </c>
      <c r="B88" t="s">
        <v>1874</v>
      </c>
      <c r="C88" t="s">
        <v>2114</v>
      </c>
      <c r="D88" t="s">
        <v>2115</v>
      </c>
      <c r="E88" t="s">
        <v>1559</v>
      </c>
      <c r="F88" t="s">
        <v>2117</v>
      </c>
      <c r="G88" t="s">
        <v>4142</v>
      </c>
      <c r="H88" t="s">
        <v>108</v>
      </c>
      <c r="I88" t="s">
        <v>3984</v>
      </c>
    </row>
    <row r="89" spans="1:9">
      <c r="A89" s="93" t="s">
        <v>4140</v>
      </c>
      <c r="B89" t="s">
        <v>1874</v>
      </c>
      <c r="C89" t="s">
        <v>2118</v>
      </c>
      <c r="E89" t="s">
        <v>2119</v>
      </c>
      <c r="G89" t="s">
        <v>4142</v>
      </c>
      <c r="H89" t="s">
        <v>108</v>
      </c>
      <c r="I89" t="s">
        <v>3984</v>
      </c>
    </row>
    <row r="90" spans="1:9">
      <c r="A90" s="93" t="s">
        <v>4140</v>
      </c>
      <c r="B90" t="s">
        <v>1874</v>
      </c>
      <c r="C90" t="s">
        <v>2121</v>
      </c>
      <c r="D90" t="s">
        <v>2122</v>
      </c>
      <c r="E90" t="s">
        <v>108</v>
      </c>
      <c r="G90" t="s">
        <v>4142</v>
      </c>
      <c r="H90" t="s">
        <v>108</v>
      </c>
      <c r="I90" t="s">
        <v>3984</v>
      </c>
    </row>
    <row r="91" spans="1:9">
      <c r="A91" s="93" t="s">
        <v>4140</v>
      </c>
      <c r="B91" t="s">
        <v>1874</v>
      </c>
      <c r="C91" t="s">
        <v>2123</v>
      </c>
      <c r="D91" t="s">
        <v>2124</v>
      </c>
      <c r="E91" t="s">
        <v>108</v>
      </c>
      <c r="F91" t="s">
        <v>2125</v>
      </c>
      <c r="G91" t="s">
        <v>4142</v>
      </c>
      <c r="H91" t="s">
        <v>108</v>
      </c>
      <c r="I91" t="s">
        <v>3984</v>
      </c>
    </row>
    <row r="92" spans="1:9">
      <c r="A92" s="93" t="s">
        <v>4140</v>
      </c>
      <c r="B92" t="s">
        <v>1874</v>
      </c>
      <c r="C92" t="s">
        <v>2126</v>
      </c>
      <c r="E92" t="s">
        <v>108</v>
      </c>
      <c r="G92" t="s">
        <v>4142</v>
      </c>
      <c r="H92" t="s">
        <v>108</v>
      </c>
      <c r="I92" t="s">
        <v>3984</v>
      </c>
    </row>
    <row r="93" spans="1:9">
      <c r="A93" s="93" t="s">
        <v>4140</v>
      </c>
      <c r="B93" t="s">
        <v>1874</v>
      </c>
      <c r="C93" t="s">
        <v>2313</v>
      </c>
      <c r="D93" t="s">
        <v>2314</v>
      </c>
      <c r="E93" t="s">
        <v>2309</v>
      </c>
      <c r="G93" t="s">
        <v>4141</v>
      </c>
      <c r="H93" t="s">
        <v>2311</v>
      </c>
      <c r="I93" t="s">
        <v>3984</v>
      </c>
    </row>
    <row r="94" spans="1:9">
      <c r="A94" s="93" t="s">
        <v>4140</v>
      </c>
      <c r="B94" t="s">
        <v>1874</v>
      </c>
      <c r="C94" t="s">
        <v>2315</v>
      </c>
      <c r="D94" t="s">
        <v>2314</v>
      </c>
      <c r="E94" t="s">
        <v>2309</v>
      </c>
      <c r="G94" t="s">
        <v>4141</v>
      </c>
      <c r="H94" t="s">
        <v>2311</v>
      </c>
      <c r="I94" t="s">
        <v>3984</v>
      </c>
    </row>
    <row r="95" spans="1:9">
      <c r="A95" s="93" t="s">
        <v>4140</v>
      </c>
      <c r="B95" t="s">
        <v>1874</v>
      </c>
      <c r="C95" t="s">
        <v>2316</v>
      </c>
      <c r="D95" t="s">
        <v>2124</v>
      </c>
      <c r="E95" t="s">
        <v>2309</v>
      </c>
      <c r="G95" t="s">
        <v>4141</v>
      </c>
      <c r="H95" t="s">
        <v>2311</v>
      </c>
      <c r="I95" t="s">
        <v>3984</v>
      </c>
    </row>
    <row r="96" spans="1:9">
      <c r="A96" s="93" t="s">
        <v>4140</v>
      </c>
      <c r="B96" t="s">
        <v>1875</v>
      </c>
      <c r="C96" t="s">
        <v>2128</v>
      </c>
      <c r="D96" t="s">
        <v>2129</v>
      </c>
      <c r="E96" t="s">
        <v>108</v>
      </c>
      <c r="G96" t="s">
        <v>4142</v>
      </c>
      <c r="H96" t="s">
        <v>108</v>
      </c>
      <c r="I96" t="s">
        <v>3988</v>
      </c>
    </row>
    <row r="97" spans="1:9">
      <c r="A97" s="93" t="s">
        <v>4140</v>
      </c>
      <c r="B97" t="s">
        <v>1875</v>
      </c>
      <c r="C97" t="s">
        <v>2130</v>
      </c>
      <c r="D97" t="s">
        <v>2131</v>
      </c>
      <c r="E97" t="s">
        <v>108</v>
      </c>
      <c r="F97" t="s">
        <v>2132</v>
      </c>
      <c r="G97" t="s">
        <v>4142</v>
      </c>
      <c r="H97" t="s">
        <v>108</v>
      </c>
      <c r="I97" t="s">
        <v>3988</v>
      </c>
    </row>
    <row r="98" spans="1:9">
      <c r="A98" s="93" t="s">
        <v>4140</v>
      </c>
      <c r="B98" t="s">
        <v>1875</v>
      </c>
      <c r="C98" t="s">
        <v>2133</v>
      </c>
      <c r="D98" t="s">
        <v>2131</v>
      </c>
      <c r="E98" t="s">
        <v>108</v>
      </c>
      <c r="G98" t="s">
        <v>4142</v>
      </c>
      <c r="H98" t="s">
        <v>108</v>
      </c>
      <c r="I98" t="s">
        <v>3988</v>
      </c>
    </row>
    <row r="99" spans="1:9">
      <c r="A99" s="93" t="s">
        <v>4140</v>
      </c>
      <c r="B99" t="s">
        <v>1875</v>
      </c>
      <c r="C99" t="s">
        <v>2134</v>
      </c>
      <c r="E99" t="s">
        <v>2135</v>
      </c>
      <c r="F99" t="s">
        <v>2137</v>
      </c>
      <c r="G99" t="s">
        <v>4141</v>
      </c>
      <c r="H99" t="s">
        <v>2318</v>
      </c>
      <c r="I99" t="s">
        <v>3988</v>
      </c>
    </row>
    <row r="100" spans="1:9">
      <c r="A100" s="93" t="s">
        <v>4140</v>
      </c>
      <c r="B100" t="s">
        <v>1875</v>
      </c>
      <c r="C100" t="s">
        <v>2138</v>
      </c>
      <c r="D100" t="s">
        <v>2139</v>
      </c>
      <c r="E100" t="s">
        <v>108</v>
      </c>
      <c r="F100" t="s">
        <v>2140</v>
      </c>
      <c r="G100" t="s">
        <v>4142</v>
      </c>
      <c r="H100" t="s">
        <v>108</v>
      </c>
      <c r="I100" t="s">
        <v>3988</v>
      </c>
    </row>
    <row r="101" spans="1:9">
      <c r="A101" s="93" t="s">
        <v>4140</v>
      </c>
      <c r="B101" t="s">
        <v>3697</v>
      </c>
      <c r="C101" t="s">
        <v>2142</v>
      </c>
      <c r="D101" t="s">
        <v>2143</v>
      </c>
      <c r="E101" t="s">
        <v>108</v>
      </c>
      <c r="G101" t="s">
        <v>4142</v>
      </c>
      <c r="H101" t="s">
        <v>108</v>
      </c>
      <c r="I101" t="s">
        <v>3992</v>
      </c>
    </row>
    <row r="102" spans="1:9">
      <c r="A102" s="93" t="s">
        <v>4140</v>
      </c>
      <c r="B102" t="s">
        <v>3697</v>
      </c>
      <c r="C102" t="s">
        <v>2144</v>
      </c>
      <c r="D102" t="s">
        <v>2143</v>
      </c>
      <c r="E102" t="s">
        <v>2145</v>
      </c>
      <c r="G102" t="s">
        <v>4142</v>
      </c>
      <c r="H102" t="s">
        <v>108</v>
      </c>
      <c r="I102" t="s">
        <v>3992</v>
      </c>
    </row>
    <row r="103" spans="1:9">
      <c r="A103" s="93" t="s">
        <v>4140</v>
      </c>
      <c r="B103" t="s">
        <v>3697</v>
      </c>
      <c r="C103" t="s">
        <v>2146</v>
      </c>
      <c r="D103" t="s">
        <v>2143</v>
      </c>
      <c r="E103" t="s">
        <v>2147</v>
      </c>
      <c r="F103" t="s">
        <v>2148</v>
      </c>
      <c r="G103" t="s">
        <v>4142</v>
      </c>
      <c r="H103" t="s">
        <v>108</v>
      </c>
      <c r="I103" t="s">
        <v>3992</v>
      </c>
    </row>
    <row r="104" spans="1:9">
      <c r="A104" s="93" t="s">
        <v>4140</v>
      </c>
      <c r="B104" t="s">
        <v>3697</v>
      </c>
      <c r="C104" t="s">
        <v>2149</v>
      </c>
      <c r="D104" t="s">
        <v>2143</v>
      </c>
      <c r="E104" t="s">
        <v>108</v>
      </c>
      <c r="G104" t="s">
        <v>4142</v>
      </c>
      <c r="H104" t="s">
        <v>108</v>
      </c>
      <c r="I104" t="s">
        <v>3992</v>
      </c>
    </row>
    <row r="105" spans="1:9">
      <c r="A105" s="93" t="s">
        <v>4140</v>
      </c>
      <c r="B105" t="s">
        <v>1881</v>
      </c>
      <c r="C105" t="s">
        <v>2151</v>
      </c>
      <c r="D105" t="s">
        <v>2152</v>
      </c>
      <c r="E105" t="s">
        <v>2153</v>
      </c>
      <c r="G105" t="s">
        <v>4142</v>
      </c>
      <c r="H105" t="s">
        <v>108</v>
      </c>
      <c r="I105" t="s">
        <v>3996</v>
      </c>
    </row>
    <row r="106" spans="1:9">
      <c r="A106" s="93" t="s">
        <v>4140</v>
      </c>
      <c r="B106" t="s">
        <v>1881</v>
      </c>
      <c r="C106" t="s">
        <v>2154</v>
      </c>
      <c r="D106" t="s">
        <v>2155</v>
      </c>
      <c r="E106" t="s">
        <v>108</v>
      </c>
      <c r="G106" t="s">
        <v>4142</v>
      </c>
      <c r="H106" t="s">
        <v>108</v>
      </c>
      <c r="I106" t="s">
        <v>3996</v>
      </c>
    </row>
    <row r="107" spans="1:9">
      <c r="A107" s="93" t="s">
        <v>4140</v>
      </c>
      <c r="B107" t="s">
        <v>1881</v>
      </c>
      <c r="C107" t="s">
        <v>2156</v>
      </c>
      <c r="D107" t="s">
        <v>2152</v>
      </c>
      <c r="E107" t="s">
        <v>2157</v>
      </c>
      <c r="G107" t="s">
        <v>4142</v>
      </c>
      <c r="H107" t="s">
        <v>108</v>
      </c>
      <c r="I107" t="s">
        <v>3996</v>
      </c>
    </row>
    <row r="108" spans="1:9">
      <c r="A108" s="93" t="s">
        <v>4140</v>
      </c>
      <c r="B108" t="s">
        <v>1881</v>
      </c>
      <c r="C108" t="s">
        <v>2158</v>
      </c>
      <c r="D108" t="s">
        <v>2155</v>
      </c>
      <c r="E108" t="s">
        <v>2159</v>
      </c>
      <c r="F108" t="s">
        <v>2160</v>
      </c>
      <c r="G108" t="s">
        <v>4142</v>
      </c>
      <c r="H108" t="s">
        <v>108</v>
      </c>
      <c r="I108" t="s">
        <v>3996</v>
      </c>
    </row>
    <row r="109" spans="1:9">
      <c r="A109" s="93" t="s">
        <v>4140</v>
      </c>
      <c r="B109" t="s">
        <v>1881</v>
      </c>
      <c r="C109" t="s">
        <v>2161</v>
      </c>
      <c r="D109" t="s">
        <v>2162</v>
      </c>
      <c r="E109" t="s">
        <v>108</v>
      </c>
      <c r="F109" t="s">
        <v>2163</v>
      </c>
      <c r="G109" t="s">
        <v>4142</v>
      </c>
      <c r="H109" t="s">
        <v>108</v>
      </c>
      <c r="I109" t="s">
        <v>3996</v>
      </c>
    </row>
    <row r="110" spans="1:9">
      <c r="A110" s="93" t="s">
        <v>4140</v>
      </c>
      <c r="B110" t="s">
        <v>1881</v>
      </c>
      <c r="C110" t="s">
        <v>2164</v>
      </c>
      <c r="D110" t="s">
        <v>2162</v>
      </c>
      <c r="E110" t="s">
        <v>108</v>
      </c>
      <c r="G110" t="s">
        <v>4142</v>
      </c>
      <c r="H110" t="s">
        <v>108</v>
      </c>
      <c r="I110" t="s">
        <v>3996</v>
      </c>
    </row>
    <row r="111" spans="1:9">
      <c r="A111" s="93" t="s">
        <v>4140</v>
      </c>
      <c r="B111" t="s">
        <v>1882</v>
      </c>
      <c r="C111" t="s">
        <v>2166</v>
      </c>
      <c r="D111" t="s">
        <v>2167</v>
      </c>
      <c r="E111" t="s">
        <v>108</v>
      </c>
      <c r="F111" t="s">
        <v>2168</v>
      </c>
      <c r="G111" t="s">
        <v>4142</v>
      </c>
      <c r="H111" t="s">
        <v>108</v>
      </c>
      <c r="I111" t="s">
        <v>4000</v>
      </c>
    </row>
    <row r="112" spans="1:9">
      <c r="A112" s="93" t="s">
        <v>4140</v>
      </c>
      <c r="B112" t="s">
        <v>1882</v>
      </c>
      <c r="C112" t="s">
        <v>2169</v>
      </c>
      <c r="D112" t="s">
        <v>2129</v>
      </c>
      <c r="E112" t="s">
        <v>2170</v>
      </c>
      <c r="G112" t="s">
        <v>4141</v>
      </c>
      <c r="H112" t="s">
        <v>2318</v>
      </c>
      <c r="I112" t="s">
        <v>4000</v>
      </c>
    </row>
    <row r="113" spans="1:9">
      <c r="A113" s="93" t="s">
        <v>4140</v>
      </c>
      <c r="B113" t="s">
        <v>1882</v>
      </c>
      <c r="C113" t="s">
        <v>2171</v>
      </c>
      <c r="D113" t="s">
        <v>2129</v>
      </c>
      <c r="E113" t="s">
        <v>2135</v>
      </c>
      <c r="G113" t="s">
        <v>4141</v>
      </c>
      <c r="H113" t="s">
        <v>2318</v>
      </c>
      <c r="I113" t="s">
        <v>4000</v>
      </c>
    </row>
    <row r="114" spans="1:9">
      <c r="A114" s="93" t="s">
        <v>4140</v>
      </c>
      <c r="B114" t="s">
        <v>1882</v>
      </c>
      <c r="C114" t="s">
        <v>2172</v>
      </c>
      <c r="D114" t="s">
        <v>2129</v>
      </c>
      <c r="E114" t="s">
        <v>2135</v>
      </c>
      <c r="G114" t="s">
        <v>4141</v>
      </c>
      <c r="H114" t="s">
        <v>2318</v>
      </c>
      <c r="I114" t="s">
        <v>4000</v>
      </c>
    </row>
    <row r="115" spans="1:9">
      <c r="A115" s="93" t="s">
        <v>4140</v>
      </c>
      <c r="B115" t="s">
        <v>1882</v>
      </c>
      <c r="C115" t="s">
        <v>2173</v>
      </c>
      <c r="D115" t="s">
        <v>2174</v>
      </c>
      <c r="E115" t="s">
        <v>2135</v>
      </c>
      <c r="G115" t="s">
        <v>4141</v>
      </c>
      <c r="H115" t="s">
        <v>2318</v>
      </c>
      <c r="I115" t="s">
        <v>4000</v>
      </c>
    </row>
    <row r="116" spans="1:9">
      <c r="A116" s="93" t="s">
        <v>4140</v>
      </c>
      <c r="B116" t="s">
        <v>1882</v>
      </c>
      <c r="C116" t="s">
        <v>2175</v>
      </c>
      <c r="E116" t="s">
        <v>2135</v>
      </c>
      <c r="G116" t="s">
        <v>4141</v>
      </c>
      <c r="H116" t="s">
        <v>2318</v>
      </c>
      <c r="I116" t="s">
        <v>4000</v>
      </c>
    </row>
    <row r="117" spans="1:9">
      <c r="A117" s="93" t="s">
        <v>4140</v>
      </c>
      <c r="B117" t="s">
        <v>1882</v>
      </c>
      <c r="C117" t="s">
        <v>2176</v>
      </c>
      <c r="E117" t="s">
        <v>2135</v>
      </c>
      <c r="G117" t="s">
        <v>4141</v>
      </c>
      <c r="H117" t="s">
        <v>2318</v>
      </c>
      <c r="I117" t="s">
        <v>4000</v>
      </c>
    </row>
    <row r="118" spans="1:9">
      <c r="A118" s="93" t="s">
        <v>4140</v>
      </c>
      <c r="B118" t="s">
        <v>1882</v>
      </c>
      <c r="C118" t="s">
        <v>2177</v>
      </c>
      <c r="E118" t="s">
        <v>2135</v>
      </c>
      <c r="G118" t="s">
        <v>4141</v>
      </c>
      <c r="H118" t="s">
        <v>2318</v>
      </c>
      <c r="I118" t="s">
        <v>4000</v>
      </c>
    </row>
    <row r="119" spans="1:9">
      <c r="A119" s="93" t="s">
        <v>4140</v>
      </c>
      <c r="B119" t="s">
        <v>1884</v>
      </c>
      <c r="C119" t="s">
        <v>2179</v>
      </c>
      <c r="D119" t="s">
        <v>2180</v>
      </c>
      <c r="E119" t="s">
        <v>108</v>
      </c>
      <c r="G119" t="s">
        <v>4142</v>
      </c>
      <c r="H119" t="s">
        <v>108</v>
      </c>
      <c r="I119" t="s">
        <v>4002</v>
      </c>
    </row>
    <row r="120" spans="1:9">
      <c r="A120" s="93" t="s">
        <v>4140</v>
      </c>
      <c r="B120" t="s">
        <v>1884</v>
      </c>
      <c r="C120" t="s">
        <v>2181</v>
      </c>
      <c r="D120" t="s">
        <v>2182</v>
      </c>
      <c r="E120" t="s">
        <v>108</v>
      </c>
      <c r="G120" t="s">
        <v>4142</v>
      </c>
      <c r="H120" t="s">
        <v>108</v>
      </c>
      <c r="I120" t="s">
        <v>4002</v>
      </c>
    </row>
    <row r="121" spans="1:9">
      <c r="A121" s="93" t="s">
        <v>4140</v>
      </c>
      <c r="B121" t="s">
        <v>1884</v>
      </c>
      <c r="C121" t="s">
        <v>2183</v>
      </c>
      <c r="D121" t="s">
        <v>2182</v>
      </c>
      <c r="E121" t="s">
        <v>2184</v>
      </c>
      <c r="F121" t="s">
        <v>2185</v>
      </c>
      <c r="G121" t="s">
        <v>4142</v>
      </c>
      <c r="H121" t="s">
        <v>108</v>
      </c>
      <c r="I121" t="s">
        <v>4002</v>
      </c>
    </row>
    <row r="122" spans="1:9">
      <c r="A122" s="93" t="s">
        <v>4140</v>
      </c>
      <c r="B122" t="s">
        <v>1884</v>
      </c>
      <c r="C122" t="s">
        <v>2186</v>
      </c>
      <c r="D122" t="s">
        <v>2187</v>
      </c>
      <c r="E122" t="s">
        <v>108</v>
      </c>
      <c r="G122" t="s">
        <v>4142</v>
      </c>
      <c r="H122" t="s">
        <v>108</v>
      </c>
      <c r="I122" t="s">
        <v>4002</v>
      </c>
    </row>
    <row r="123" spans="1:9">
      <c r="A123" s="93" t="s">
        <v>4140</v>
      </c>
      <c r="B123" t="s">
        <v>1884</v>
      </c>
      <c r="C123" t="s">
        <v>2188</v>
      </c>
      <c r="E123" t="s">
        <v>2189</v>
      </c>
      <c r="G123" t="s">
        <v>4142</v>
      </c>
      <c r="H123" t="s">
        <v>108</v>
      </c>
      <c r="I123" t="s">
        <v>4002</v>
      </c>
    </row>
    <row r="124" spans="1:9">
      <c r="A124" s="93" t="s">
        <v>4140</v>
      </c>
      <c r="B124" t="s">
        <v>1884</v>
      </c>
      <c r="C124" t="s">
        <v>2323</v>
      </c>
      <c r="D124" t="s">
        <v>2180</v>
      </c>
      <c r="E124" t="s">
        <v>2324</v>
      </c>
      <c r="G124" t="s">
        <v>4142</v>
      </c>
      <c r="H124" t="s">
        <v>2324</v>
      </c>
      <c r="I124" t="s">
        <v>4002</v>
      </c>
    </row>
    <row r="125" spans="1:9">
      <c r="A125" s="93" t="s">
        <v>4140</v>
      </c>
      <c r="B125" t="s">
        <v>1884</v>
      </c>
      <c r="C125" t="s">
        <v>2190</v>
      </c>
      <c r="E125" t="s">
        <v>2135</v>
      </c>
      <c r="G125" t="s">
        <v>4141</v>
      </c>
      <c r="H125" t="s">
        <v>2318</v>
      </c>
      <c r="I125" t="s">
        <v>4002</v>
      </c>
    </row>
    <row r="126" spans="1:9">
      <c r="A126" s="93" t="s">
        <v>4140</v>
      </c>
      <c r="B126" t="s">
        <v>1884</v>
      </c>
      <c r="C126" t="s">
        <v>2191</v>
      </c>
      <c r="E126" t="s">
        <v>2135</v>
      </c>
      <c r="G126" t="s">
        <v>4141</v>
      </c>
      <c r="H126" t="s">
        <v>2318</v>
      </c>
      <c r="I126" t="s">
        <v>4002</v>
      </c>
    </row>
    <row r="127" spans="1:9">
      <c r="A127" s="93" t="s">
        <v>4140</v>
      </c>
      <c r="B127" t="s">
        <v>1884</v>
      </c>
      <c r="C127" t="s">
        <v>2192</v>
      </c>
      <c r="D127" t="s">
        <v>2182</v>
      </c>
      <c r="E127" t="s">
        <v>2193</v>
      </c>
      <c r="G127" t="s">
        <v>4142</v>
      </c>
      <c r="H127" t="s">
        <v>2193</v>
      </c>
      <c r="I127" t="s">
        <v>4002</v>
      </c>
    </row>
    <row r="128" spans="1:9">
      <c r="A128" s="93" t="s">
        <v>4140</v>
      </c>
      <c r="B128" t="s">
        <v>1884</v>
      </c>
      <c r="C128" t="s">
        <v>2194</v>
      </c>
      <c r="D128" t="s">
        <v>2187</v>
      </c>
      <c r="E128" t="s">
        <v>108</v>
      </c>
      <c r="G128" t="s">
        <v>4142</v>
      </c>
      <c r="H128" t="s">
        <v>108</v>
      </c>
      <c r="I128" t="s">
        <v>4002</v>
      </c>
    </row>
    <row r="129" spans="1:9">
      <c r="A129" s="93" t="s">
        <v>4140</v>
      </c>
      <c r="B129" t="s">
        <v>1889</v>
      </c>
      <c r="C129" t="s">
        <v>2196</v>
      </c>
      <c r="E129" t="s">
        <v>2193</v>
      </c>
      <c r="G129" t="s">
        <v>4142</v>
      </c>
      <c r="H129" t="s">
        <v>2193</v>
      </c>
      <c r="I129" t="s">
        <v>4004</v>
      </c>
    </row>
    <row r="130" spans="1:9">
      <c r="A130" s="93" t="s">
        <v>4140</v>
      </c>
      <c r="B130" t="s">
        <v>1889</v>
      </c>
      <c r="C130" t="s">
        <v>2197</v>
      </c>
      <c r="E130" t="s">
        <v>2193</v>
      </c>
      <c r="G130" t="s">
        <v>4142</v>
      </c>
      <c r="H130" t="s">
        <v>2193</v>
      </c>
      <c r="I130" t="s">
        <v>4004</v>
      </c>
    </row>
    <row r="131" spans="1:9">
      <c r="A131" s="93" t="s">
        <v>4140</v>
      </c>
      <c r="B131" t="s">
        <v>1889</v>
      </c>
      <c r="C131" t="s">
        <v>2198</v>
      </c>
      <c r="E131" t="s">
        <v>2199</v>
      </c>
      <c r="G131" t="s">
        <v>4142</v>
      </c>
      <c r="H131" t="s">
        <v>2193</v>
      </c>
      <c r="I131" t="s">
        <v>4004</v>
      </c>
    </row>
    <row r="132" spans="1:9">
      <c r="A132" s="93" t="s">
        <v>4140</v>
      </c>
      <c r="B132" t="s">
        <v>1889</v>
      </c>
      <c r="C132" t="s">
        <v>2200</v>
      </c>
      <c r="D132" t="s">
        <v>2182</v>
      </c>
      <c r="E132" t="s">
        <v>108</v>
      </c>
      <c r="G132" t="s">
        <v>4142</v>
      </c>
      <c r="H132" t="s">
        <v>108</v>
      </c>
      <c r="I132" t="s">
        <v>4004</v>
      </c>
    </row>
    <row r="133" spans="1:9">
      <c r="A133" s="93" t="s">
        <v>4140</v>
      </c>
      <c r="B133" t="s">
        <v>1889</v>
      </c>
      <c r="C133" t="s">
        <v>2201</v>
      </c>
      <c r="D133" t="s">
        <v>2182</v>
      </c>
      <c r="E133" t="s">
        <v>108</v>
      </c>
      <c r="G133" t="s">
        <v>4142</v>
      </c>
      <c r="H133" t="s">
        <v>108</v>
      </c>
      <c r="I133" t="s">
        <v>4004</v>
      </c>
    </row>
    <row r="134" spans="1:9">
      <c r="A134" s="93" t="s">
        <v>4140</v>
      </c>
      <c r="B134" t="s">
        <v>1889</v>
      </c>
      <c r="C134" t="s">
        <v>2202</v>
      </c>
      <c r="D134" t="s">
        <v>2174</v>
      </c>
      <c r="E134" t="s">
        <v>108</v>
      </c>
      <c r="G134" t="s">
        <v>4142</v>
      </c>
      <c r="H134" t="s">
        <v>108</v>
      </c>
      <c r="I134" t="s">
        <v>4004</v>
      </c>
    </row>
    <row r="135" spans="1:9">
      <c r="A135" s="93" t="s">
        <v>4140</v>
      </c>
      <c r="B135" t="s">
        <v>1889</v>
      </c>
      <c r="C135" t="s">
        <v>2203</v>
      </c>
      <c r="D135" t="s">
        <v>2204</v>
      </c>
      <c r="E135" t="s">
        <v>2193</v>
      </c>
      <c r="G135" t="s">
        <v>4142</v>
      </c>
      <c r="H135" t="s">
        <v>2193</v>
      </c>
      <c r="I135" t="s">
        <v>4004</v>
      </c>
    </row>
    <row r="136" spans="1:9">
      <c r="A136" s="93" t="s">
        <v>4140</v>
      </c>
      <c r="B136" t="s">
        <v>1889</v>
      </c>
      <c r="C136" t="s">
        <v>2205</v>
      </c>
      <c r="D136" t="s">
        <v>2204</v>
      </c>
      <c r="E136" t="s">
        <v>2193</v>
      </c>
      <c r="G136" t="s">
        <v>4142</v>
      </c>
      <c r="H136" t="s">
        <v>2193</v>
      </c>
      <c r="I136" t="s">
        <v>4004</v>
      </c>
    </row>
    <row r="137" spans="1:9">
      <c r="A137" s="93" t="s">
        <v>4140</v>
      </c>
      <c r="B137" t="s">
        <v>1889</v>
      </c>
      <c r="C137" t="s">
        <v>2206</v>
      </c>
      <c r="E137" t="s">
        <v>2135</v>
      </c>
      <c r="G137" t="s">
        <v>4141</v>
      </c>
      <c r="H137" t="s">
        <v>2318</v>
      </c>
      <c r="I137" t="s">
        <v>4004</v>
      </c>
    </row>
    <row r="138" spans="1:9">
      <c r="A138" s="93" t="s">
        <v>4140</v>
      </c>
      <c r="B138" t="s">
        <v>1889</v>
      </c>
      <c r="C138" t="s">
        <v>2207</v>
      </c>
      <c r="D138" t="s">
        <v>2204</v>
      </c>
      <c r="E138" t="s">
        <v>108</v>
      </c>
      <c r="F138" t="s">
        <v>2208</v>
      </c>
      <c r="G138" t="s">
        <v>4142</v>
      </c>
      <c r="H138" t="s">
        <v>108</v>
      </c>
      <c r="I138" t="s">
        <v>4004</v>
      </c>
    </row>
    <row r="139" spans="1:9">
      <c r="A139" s="93" t="s">
        <v>4140</v>
      </c>
      <c r="B139" t="s">
        <v>1891</v>
      </c>
      <c r="C139" t="s">
        <v>2210</v>
      </c>
      <c r="D139" t="s">
        <v>2211</v>
      </c>
      <c r="E139" t="s">
        <v>108</v>
      </c>
      <c r="G139" t="s">
        <v>4142</v>
      </c>
      <c r="H139" t="s">
        <v>108</v>
      </c>
      <c r="I139" t="s">
        <v>4008</v>
      </c>
    </row>
    <row r="140" spans="1:9">
      <c r="A140" s="93" t="s">
        <v>4140</v>
      </c>
      <c r="B140" t="s">
        <v>1891</v>
      </c>
      <c r="C140" t="s">
        <v>2212</v>
      </c>
      <c r="D140" t="s">
        <v>2213</v>
      </c>
      <c r="E140" t="s">
        <v>108</v>
      </c>
      <c r="G140" t="s">
        <v>4142</v>
      </c>
      <c r="H140" t="s">
        <v>108</v>
      </c>
      <c r="I140" t="s">
        <v>4008</v>
      </c>
    </row>
    <row r="141" spans="1:9">
      <c r="A141" s="93" t="s">
        <v>4140</v>
      </c>
      <c r="B141" t="s">
        <v>1891</v>
      </c>
      <c r="C141" t="s">
        <v>2214</v>
      </c>
      <c r="D141" t="s">
        <v>2213</v>
      </c>
      <c r="E141" t="s">
        <v>108</v>
      </c>
      <c r="G141" t="s">
        <v>4142</v>
      </c>
      <c r="H141" t="s">
        <v>108</v>
      </c>
      <c r="I141" t="s">
        <v>4008</v>
      </c>
    </row>
    <row r="142" spans="1:9">
      <c r="A142" s="93" t="s">
        <v>4140</v>
      </c>
      <c r="B142" t="s">
        <v>1893</v>
      </c>
      <c r="C142" t="s">
        <v>2328</v>
      </c>
      <c r="D142" t="s">
        <v>2217</v>
      </c>
      <c r="E142" t="s">
        <v>2309</v>
      </c>
      <c r="F142" t="s">
        <v>2329</v>
      </c>
      <c r="G142" t="s">
        <v>4141</v>
      </c>
      <c r="H142" t="s">
        <v>2311</v>
      </c>
      <c r="I142" t="s">
        <v>4012</v>
      </c>
    </row>
    <row r="143" spans="1:9">
      <c r="A143" s="93" t="s">
        <v>4140</v>
      </c>
      <c r="B143" t="s">
        <v>1893</v>
      </c>
      <c r="C143" t="s">
        <v>2330</v>
      </c>
      <c r="D143" t="s">
        <v>2331</v>
      </c>
      <c r="E143" t="s">
        <v>2309</v>
      </c>
      <c r="F143" t="s">
        <v>2332</v>
      </c>
      <c r="G143" t="s">
        <v>4141</v>
      </c>
      <c r="H143" t="s">
        <v>2311</v>
      </c>
      <c r="I143" t="s">
        <v>4012</v>
      </c>
    </row>
    <row r="144" spans="1:9">
      <c r="A144" s="93" t="s">
        <v>4140</v>
      </c>
      <c r="B144" t="s">
        <v>1893</v>
      </c>
      <c r="C144" t="s">
        <v>2216</v>
      </c>
      <c r="D144" t="s">
        <v>2217</v>
      </c>
      <c r="E144" t="s">
        <v>2193</v>
      </c>
      <c r="F144" t="s">
        <v>2218</v>
      </c>
      <c r="G144" t="s">
        <v>4142</v>
      </c>
      <c r="H144" t="s">
        <v>2193</v>
      </c>
      <c r="I144" t="s">
        <v>4012</v>
      </c>
    </row>
    <row r="145" spans="1:9">
      <c r="A145" s="93" t="s">
        <v>4140</v>
      </c>
      <c r="B145" t="s">
        <v>1893</v>
      </c>
      <c r="C145" t="s">
        <v>2219</v>
      </c>
      <c r="D145" t="s">
        <v>2220</v>
      </c>
      <c r="E145" t="s">
        <v>108</v>
      </c>
      <c r="F145" t="s">
        <v>2221</v>
      </c>
      <c r="G145" t="s">
        <v>4142</v>
      </c>
      <c r="H145" t="s">
        <v>108</v>
      </c>
      <c r="I145" t="s">
        <v>4012</v>
      </c>
    </row>
    <row r="146" spans="1:9">
      <c r="A146" s="93" t="s">
        <v>4140</v>
      </c>
      <c r="B146" t="s">
        <v>1893</v>
      </c>
      <c r="C146" t="s">
        <v>2222</v>
      </c>
      <c r="D146" t="s">
        <v>2223</v>
      </c>
      <c r="E146" t="s">
        <v>108</v>
      </c>
      <c r="F146" t="s">
        <v>2224</v>
      </c>
      <c r="G146" t="s">
        <v>4142</v>
      </c>
      <c r="H146" t="s">
        <v>108</v>
      </c>
      <c r="I146" t="s">
        <v>4012</v>
      </c>
    </row>
    <row r="147" spans="1:9">
      <c r="A147" s="93" t="s">
        <v>4140</v>
      </c>
      <c r="B147" t="s">
        <v>1893</v>
      </c>
      <c r="C147" t="s">
        <v>2225</v>
      </c>
      <c r="D147" t="s">
        <v>2226</v>
      </c>
      <c r="E147" t="s">
        <v>108</v>
      </c>
      <c r="F147" t="s">
        <v>2227</v>
      </c>
      <c r="G147" t="s">
        <v>4142</v>
      </c>
      <c r="H147" t="s">
        <v>108</v>
      </c>
      <c r="I147" t="s">
        <v>4012</v>
      </c>
    </row>
    <row r="148" spans="1:9">
      <c r="A148" s="93" t="s">
        <v>4140</v>
      </c>
      <c r="B148" t="s">
        <v>1893</v>
      </c>
      <c r="C148" t="s">
        <v>2228</v>
      </c>
      <c r="E148" t="s">
        <v>2135</v>
      </c>
      <c r="G148" t="s">
        <v>4141</v>
      </c>
      <c r="H148" t="s">
        <v>2318</v>
      </c>
      <c r="I148" t="s">
        <v>4012</v>
      </c>
    </row>
    <row r="149" spans="1:9">
      <c r="A149" s="93" t="s">
        <v>4140</v>
      </c>
      <c r="B149" t="s">
        <v>1896</v>
      </c>
      <c r="C149" t="s">
        <v>2230</v>
      </c>
      <c r="D149" t="s">
        <v>2220</v>
      </c>
      <c r="E149" t="s">
        <v>108</v>
      </c>
      <c r="F149" t="s">
        <v>2231</v>
      </c>
      <c r="G149" t="s">
        <v>4142</v>
      </c>
      <c r="H149" t="s">
        <v>108</v>
      </c>
      <c r="I149" t="s">
        <v>4016</v>
      </c>
    </row>
    <row r="150" spans="1:9">
      <c r="A150" s="93" t="s">
        <v>4140</v>
      </c>
      <c r="B150" t="s">
        <v>1896</v>
      </c>
      <c r="C150" t="s">
        <v>2232</v>
      </c>
      <c r="D150" t="s">
        <v>2220</v>
      </c>
      <c r="E150" t="s">
        <v>108</v>
      </c>
      <c r="G150" t="s">
        <v>4142</v>
      </c>
      <c r="H150" t="s">
        <v>108</v>
      </c>
      <c r="I150" t="s">
        <v>4016</v>
      </c>
    </row>
    <row r="151" spans="1:9">
      <c r="A151" s="93" t="s">
        <v>4140</v>
      </c>
      <c r="B151" t="s">
        <v>1896</v>
      </c>
      <c r="C151" t="s">
        <v>2233</v>
      </c>
      <c r="D151" t="s">
        <v>2234</v>
      </c>
      <c r="E151" t="s">
        <v>108</v>
      </c>
      <c r="F151" t="s">
        <v>2235</v>
      </c>
      <c r="G151" t="s">
        <v>4142</v>
      </c>
      <c r="H151" t="s">
        <v>108</v>
      </c>
      <c r="I151" t="s">
        <v>4016</v>
      </c>
    </row>
    <row r="152" spans="1:9">
      <c r="A152" s="93" t="s">
        <v>4140</v>
      </c>
      <c r="B152" t="s">
        <v>1896</v>
      </c>
      <c r="C152" t="s">
        <v>2236</v>
      </c>
      <c r="D152" t="s">
        <v>2237</v>
      </c>
      <c r="E152" t="s">
        <v>108</v>
      </c>
      <c r="F152" t="s">
        <v>2231</v>
      </c>
      <c r="G152" t="s">
        <v>4142</v>
      </c>
      <c r="H152" t="s">
        <v>108</v>
      </c>
      <c r="I152" t="s">
        <v>4016</v>
      </c>
    </row>
    <row r="153" spans="1:9">
      <c r="A153" s="93" t="s">
        <v>4140</v>
      </c>
      <c r="B153" t="s">
        <v>1896</v>
      </c>
      <c r="C153" t="s">
        <v>2238</v>
      </c>
      <c r="D153" t="s">
        <v>2237</v>
      </c>
      <c r="E153" t="s">
        <v>108</v>
      </c>
      <c r="F153" t="s">
        <v>2239</v>
      </c>
      <c r="G153" t="s">
        <v>4142</v>
      </c>
      <c r="H153" t="s">
        <v>108</v>
      </c>
      <c r="I153" t="s">
        <v>4016</v>
      </c>
    </row>
    <row r="154" spans="1:9">
      <c r="A154" s="93" t="s">
        <v>4140</v>
      </c>
      <c r="B154" t="s">
        <v>1896</v>
      </c>
      <c r="C154" t="s">
        <v>2240</v>
      </c>
      <c r="D154" t="s">
        <v>2241</v>
      </c>
      <c r="E154" t="s">
        <v>2193</v>
      </c>
      <c r="G154" t="s">
        <v>4142</v>
      </c>
      <c r="H154" t="s">
        <v>2193</v>
      </c>
      <c r="I154" t="s">
        <v>4016</v>
      </c>
    </row>
    <row r="155" spans="1:9">
      <c r="A155" s="93" t="s">
        <v>4140</v>
      </c>
      <c r="B155" t="s">
        <v>1896</v>
      </c>
      <c r="C155" t="s">
        <v>2242</v>
      </c>
      <c r="D155" t="s">
        <v>2220</v>
      </c>
      <c r="E155" t="s">
        <v>2243</v>
      </c>
      <c r="F155" t="s">
        <v>2244</v>
      </c>
      <c r="G155" t="s">
        <v>4142</v>
      </c>
      <c r="H155" t="s">
        <v>2334</v>
      </c>
      <c r="I155" t="s">
        <v>4016</v>
      </c>
    </row>
    <row r="156" spans="1:9">
      <c r="A156" s="93" t="s">
        <v>4140</v>
      </c>
      <c r="B156" t="s">
        <v>1896</v>
      </c>
      <c r="C156" t="s">
        <v>2245</v>
      </c>
      <c r="D156" t="s">
        <v>2241</v>
      </c>
      <c r="E156" t="s">
        <v>2246</v>
      </c>
      <c r="G156" t="s">
        <v>4142</v>
      </c>
      <c r="H156" t="s">
        <v>108</v>
      </c>
      <c r="I156" t="s">
        <v>4016</v>
      </c>
    </row>
    <row r="157" spans="1:9">
      <c r="A157" s="93" t="s">
        <v>4140</v>
      </c>
      <c r="B157" t="s">
        <v>1896</v>
      </c>
      <c r="C157" t="s">
        <v>2335</v>
      </c>
      <c r="E157" t="s">
        <v>2309</v>
      </c>
      <c r="F157" t="s">
        <v>2336</v>
      </c>
      <c r="G157" t="s">
        <v>4141</v>
      </c>
      <c r="H157" t="s">
        <v>2311</v>
      </c>
      <c r="I157" t="s">
        <v>4016</v>
      </c>
    </row>
    <row r="158" spans="1:9">
      <c r="A158" s="93" t="s">
        <v>4140</v>
      </c>
      <c r="B158" t="s">
        <v>1896</v>
      </c>
      <c r="C158" t="s">
        <v>2247</v>
      </c>
      <c r="D158" t="s">
        <v>2248</v>
      </c>
      <c r="E158" t="s">
        <v>108</v>
      </c>
      <c r="F158" t="s">
        <v>2249</v>
      </c>
      <c r="G158" t="s">
        <v>4142</v>
      </c>
      <c r="H158" t="s">
        <v>108</v>
      </c>
      <c r="I158" t="s">
        <v>4016</v>
      </c>
    </row>
    <row r="159" spans="1:9">
      <c r="A159" s="93" t="s">
        <v>4140</v>
      </c>
      <c r="B159" t="s">
        <v>1896</v>
      </c>
      <c r="C159" t="s">
        <v>2337</v>
      </c>
      <c r="D159" t="s">
        <v>2248</v>
      </c>
      <c r="E159" t="s">
        <v>2338</v>
      </c>
      <c r="G159" t="s">
        <v>4141</v>
      </c>
      <c r="H159" t="s">
        <v>2339</v>
      </c>
      <c r="I159" t="s">
        <v>4016</v>
      </c>
    </row>
    <row r="160" spans="1:9">
      <c r="A160" s="93" t="s">
        <v>4140</v>
      </c>
      <c r="B160" t="s">
        <v>1898</v>
      </c>
      <c r="C160" t="s">
        <v>2251</v>
      </c>
      <c r="D160" t="s">
        <v>2252</v>
      </c>
      <c r="E160" t="s">
        <v>108</v>
      </c>
      <c r="G160" t="s">
        <v>4142</v>
      </c>
      <c r="H160" t="s">
        <v>108</v>
      </c>
      <c r="I160" t="s">
        <v>4020</v>
      </c>
    </row>
    <row r="161" spans="1:9">
      <c r="A161" s="93" t="s">
        <v>4140</v>
      </c>
      <c r="B161" t="s">
        <v>1898</v>
      </c>
      <c r="C161" t="s">
        <v>2253</v>
      </c>
      <c r="D161" t="s">
        <v>2252</v>
      </c>
      <c r="E161" t="s">
        <v>2193</v>
      </c>
      <c r="F161" t="s">
        <v>2254</v>
      </c>
      <c r="G161" t="s">
        <v>4142</v>
      </c>
      <c r="H161" t="s">
        <v>2193</v>
      </c>
      <c r="I161" t="s">
        <v>4020</v>
      </c>
    </row>
    <row r="162" spans="1:9">
      <c r="A162" s="93" t="s">
        <v>4140</v>
      </c>
      <c r="B162" t="s">
        <v>1898</v>
      </c>
      <c r="C162" t="s">
        <v>2255</v>
      </c>
      <c r="D162" t="s">
        <v>2256</v>
      </c>
      <c r="E162" t="s">
        <v>2257</v>
      </c>
      <c r="G162" t="s">
        <v>4142</v>
      </c>
      <c r="H162" t="s">
        <v>108</v>
      </c>
      <c r="I162" t="s">
        <v>4020</v>
      </c>
    </row>
    <row r="163" spans="1:9">
      <c r="A163" s="93" t="s">
        <v>4140</v>
      </c>
      <c r="B163" t="s">
        <v>1898</v>
      </c>
      <c r="C163" t="s">
        <v>2258</v>
      </c>
      <c r="D163" t="s">
        <v>2259</v>
      </c>
      <c r="E163" t="s">
        <v>2260</v>
      </c>
      <c r="F163" t="s">
        <v>2261</v>
      </c>
      <c r="G163" t="s">
        <v>4142</v>
      </c>
      <c r="H163" t="s">
        <v>108</v>
      </c>
      <c r="I163" t="s">
        <v>4020</v>
      </c>
    </row>
    <row r="164" spans="1:9">
      <c r="A164" s="93" t="s">
        <v>4140</v>
      </c>
      <c r="B164" t="s">
        <v>1898</v>
      </c>
      <c r="C164" t="s">
        <v>2262</v>
      </c>
      <c r="D164" t="s">
        <v>2259</v>
      </c>
      <c r="E164" t="s">
        <v>2147</v>
      </c>
      <c r="F164" t="s">
        <v>2263</v>
      </c>
      <c r="G164" t="s">
        <v>4142</v>
      </c>
      <c r="H164" t="s">
        <v>108</v>
      </c>
      <c r="I164" t="s">
        <v>4020</v>
      </c>
    </row>
    <row r="165" spans="1:9">
      <c r="A165" s="93" t="s">
        <v>4140</v>
      </c>
      <c r="B165" t="s">
        <v>1898</v>
      </c>
      <c r="C165" t="s">
        <v>2264</v>
      </c>
      <c r="D165" t="s">
        <v>2252</v>
      </c>
      <c r="E165" t="s">
        <v>2265</v>
      </c>
      <c r="G165" t="s">
        <v>4142</v>
      </c>
      <c r="H165" t="s">
        <v>108</v>
      </c>
      <c r="I165" t="s">
        <v>4020</v>
      </c>
    </row>
    <row r="166" spans="1:9">
      <c r="A166" s="93" t="s">
        <v>4140</v>
      </c>
      <c r="B166" t="s">
        <v>1898</v>
      </c>
      <c r="C166" t="s">
        <v>2266</v>
      </c>
      <c r="D166" t="s">
        <v>2252</v>
      </c>
      <c r="E166" t="s">
        <v>2267</v>
      </c>
      <c r="F166" t="s">
        <v>2268</v>
      </c>
      <c r="G166" t="s">
        <v>4142</v>
      </c>
      <c r="H166" t="s">
        <v>108</v>
      </c>
      <c r="I166" t="s">
        <v>4020</v>
      </c>
    </row>
    <row r="167" spans="1:9">
      <c r="A167" s="93" t="s">
        <v>4140</v>
      </c>
      <c r="B167" t="s">
        <v>1898</v>
      </c>
      <c r="C167" t="s">
        <v>2269</v>
      </c>
      <c r="D167" t="s">
        <v>2252</v>
      </c>
      <c r="E167" t="s">
        <v>2270</v>
      </c>
      <c r="G167" t="s">
        <v>4142</v>
      </c>
      <c r="H167" t="s">
        <v>108</v>
      </c>
      <c r="I167" t="s">
        <v>4020</v>
      </c>
    </row>
    <row r="168" spans="1:9">
      <c r="A168" s="93" t="s">
        <v>4140</v>
      </c>
      <c r="B168" t="s">
        <v>1902</v>
      </c>
      <c r="C168" t="s">
        <v>2342</v>
      </c>
      <c r="E168" t="s">
        <v>2309</v>
      </c>
      <c r="F168" t="s">
        <v>2343</v>
      </c>
      <c r="G168" t="s">
        <v>4141</v>
      </c>
      <c r="H168" t="s">
        <v>2311</v>
      </c>
      <c r="I168" t="s">
        <v>4024</v>
      </c>
    </row>
    <row r="169" spans="1:9">
      <c r="A169" s="93" t="s">
        <v>4140</v>
      </c>
      <c r="B169" t="s">
        <v>1902</v>
      </c>
      <c r="C169" t="s">
        <v>2272</v>
      </c>
      <c r="D169" t="s">
        <v>2273</v>
      </c>
      <c r="E169" t="s">
        <v>2274</v>
      </c>
      <c r="F169" t="s">
        <v>2275</v>
      </c>
      <c r="G169" t="s">
        <v>4142</v>
      </c>
      <c r="H169" t="s">
        <v>108</v>
      </c>
      <c r="I169" t="s">
        <v>4024</v>
      </c>
    </row>
    <row r="170" spans="1:9">
      <c r="A170" s="93" t="s">
        <v>4140</v>
      </c>
      <c r="B170" t="s">
        <v>1902</v>
      </c>
      <c r="C170" t="s">
        <v>2276</v>
      </c>
      <c r="D170" t="s">
        <v>2248</v>
      </c>
      <c r="E170" t="s">
        <v>2277</v>
      </c>
      <c r="F170" t="s">
        <v>2278</v>
      </c>
      <c r="G170" t="s">
        <v>4142</v>
      </c>
      <c r="H170" t="s">
        <v>108</v>
      </c>
      <c r="I170" t="s">
        <v>4024</v>
      </c>
    </row>
    <row r="171" spans="1:9">
      <c r="A171" s="93" t="s">
        <v>4140</v>
      </c>
      <c r="B171" t="s">
        <v>1902</v>
      </c>
      <c r="C171" t="s">
        <v>2279</v>
      </c>
      <c r="D171" t="s">
        <v>2280</v>
      </c>
      <c r="E171" t="s">
        <v>2281</v>
      </c>
      <c r="F171" t="s">
        <v>2282</v>
      </c>
      <c r="G171" t="s">
        <v>4142</v>
      </c>
      <c r="H171" t="s">
        <v>108</v>
      </c>
      <c r="I171" t="s">
        <v>4024</v>
      </c>
    </row>
    <row r="172" spans="1:9">
      <c r="A172" s="93" t="s">
        <v>4140</v>
      </c>
      <c r="B172" t="s">
        <v>1902</v>
      </c>
      <c r="C172" t="s">
        <v>2283</v>
      </c>
      <c r="D172" t="s">
        <v>2273</v>
      </c>
      <c r="E172" t="s">
        <v>108</v>
      </c>
      <c r="F172" t="s">
        <v>2284</v>
      </c>
      <c r="G172" t="s">
        <v>4142</v>
      </c>
      <c r="H172" t="s">
        <v>108</v>
      </c>
      <c r="I172" t="s">
        <v>4024</v>
      </c>
    </row>
    <row r="173" spans="1:9">
      <c r="A173" s="93" t="s">
        <v>4140</v>
      </c>
      <c r="B173" t="s">
        <v>1902</v>
      </c>
      <c r="C173" t="s">
        <v>2344</v>
      </c>
      <c r="D173" t="s">
        <v>2273</v>
      </c>
      <c r="E173" t="s">
        <v>2309</v>
      </c>
      <c r="F173" t="s">
        <v>2345</v>
      </c>
      <c r="G173" t="s">
        <v>4141</v>
      </c>
      <c r="H173" t="s">
        <v>2311</v>
      </c>
      <c r="I173" t="s">
        <v>4024</v>
      </c>
    </row>
    <row r="174" spans="1:9">
      <c r="A174" s="93" t="s">
        <v>4140</v>
      </c>
      <c r="B174" t="s">
        <v>1902</v>
      </c>
      <c r="C174" t="s">
        <v>2285</v>
      </c>
      <c r="E174" t="s">
        <v>2135</v>
      </c>
      <c r="G174" t="s">
        <v>4141</v>
      </c>
      <c r="H174" t="s">
        <v>2318</v>
      </c>
      <c r="I174" t="s">
        <v>4024</v>
      </c>
    </row>
    <row r="175" spans="1:9">
      <c r="A175" s="93" t="s">
        <v>4140</v>
      </c>
      <c r="B175" t="s">
        <v>1902</v>
      </c>
      <c r="C175" t="s">
        <v>2286</v>
      </c>
      <c r="E175" t="s">
        <v>108</v>
      </c>
      <c r="G175" t="s">
        <v>4142</v>
      </c>
      <c r="H175" t="s">
        <v>108</v>
      </c>
      <c r="I175" t="s">
        <v>4024</v>
      </c>
    </row>
    <row r="176" spans="1:9">
      <c r="A176" s="93" t="s">
        <v>4140</v>
      </c>
      <c r="B176" t="s">
        <v>1902</v>
      </c>
      <c r="C176" t="s">
        <v>2287</v>
      </c>
      <c r="D176" t="s">
        <v>2273</v>
      </c>
      <c r="E176" t="s">
        <v>2288</v>
      </c>
      <c r="F176" t="s">
        <v>2289</v>
      </c>
      <c r="G176" t="s">
        <v>4142</v>
      </c>
      <c r="H176" t="s">
        <v>2288</v>
      </c>
      <c r="I176" t="s">
        <v>4024</v>
      </c>
    </row>
    <row r="177" spans="1:9">
      <c r="A177" s="93" t="s">
        <v>4140</v>
      </c>
      <c r="B177" t="s">
        <v>3926</v>
      </c>
      <c r="C177" t="s">
        <v>2291</v>
      </c>
      <c r="E177" t="s">
        <v>2135</v>
      </c>
      <c r="F177" t="s">
        <v>2292</v>
      </c>
      <c r="G177" t="s">
        <v>4141</v>
      </c>
      <c r="H177" t="s">
        <v>2318</v>
      </c>
    </row>
    <row r="178" spans="1:9">
      <c r="A178" s="93" t="s">
        <v>4140</v>
      </c>
      <c r="B178" t="s">
        <v>3926</v>
      </c>
      <c r="C178" t="s">
        <v>2293</v>
      </c>
      <c r="D178" t="s">
        <v>2294</v>
      </c>
      <c r="E178" t="s">
        <v>2295</v>
      </c>
      <c r="F178" t="s">
        <v>2296</v>
      </c>
      <c r="G178" t="s">
        <v>4142</v>
      </c>
      <c r="H178" t="s">
        <v>108</v>
      </c>
    </row>
    <row r="179" spans="1:9">
      <c r="A179" s="93" t="s">
        <v>4140</v>
      </c>
      <c r="B179" t="s">
        <v>3926</v>
      </c>
      <c r="C179" t="s">
        <v>2297</v>
      </c>
      <c r="D179" t="s">
        <v>2298</v>
      </c>
      <c r="E179" t="s">
        <v>108</v>
      </c>
      <c r="F179" t="s">
        <v>2299</v>
      </c>
      <c r="G179" t="s">
        <v>4142</v>
      </c>
      <c r="H179" t="s">
        <v>108</v>
      </c>
    </row>
    <row r="180" spans="1:9">
      <c r="A180" s="93" t="s">
        <v>4140</v>
      </c>
      <c r="B180" t="s">
        <v>3926</v>
      </c>
      <c r="C180" t="s">
        <v>2300</v>
      </c>
      <c r="D180" t="s">
        <v>2294</v>
      </c>
      <c r="E180" t="s">
        <v>108</v>
      </c>
      <c r="F180" t="s">
        <v>2299</v>
      </c>
      <c r="G180" t="s">
        <v>4142</v>
      </c>
      <c r="H180" t="s">
        <v>108</v>
      </c>
    </row>
    <row r="181" spans="1:9">
      <c r="A181" s="93" t="s">
        <v>4140</v>
      </c>
      <c r="B181" t="s">
        <v>3926</v>
      </c>
      <c r="C181" t="s">
        <v>2301</v>
      </c>
      <c r="D181" t="s">
        <v>2302</v>
      </c>
      <c r="E181" t="s">
        <v>2193</v>
      </c>
      <c r="F181" t="s">
        <v>2303</v>
      </c>
      <c r="G181" t="s">
        <v>4142</v>
      </c>
      <c r="H181" t="s">
        <v>2193</v>
      </c>
    </row>
    <row r="182" spans="1:9">
      <c r="A182" s="93" t="s">
        <v>4140</v>
      </c>
      <c r="B182" t="s">
        <v>3926</v>
      </c>
      <c r="C182" t="s">
        <v>2304</v>
      </c>
      <c r="D182" t="s">
        <v>2305</v>
      </c>
      <c r="E182" t="s">
        <v>2257</v>
      </c>
      <c r="F182" t="s">
        <v>2306</v>
      </c>
      <c r="G182" t="s">
        <v>4142</v>
      </c>
      <c r="H182" t="s">
        <v>108</v>
      </c>
    </row>
    <row r="183" spans="1:9">
      <c r="A183" s="93" t="s">
        <v>4140</v>
      </c>
      <c r="B183" t="s">
        <v>3926</v>
      </c>
      <c r="C183" t="s">
        <v>2347</v>
      </c>
      <c r="D183" t="s">
        <v>2213</v>
      </c>
      <c r="E183" t="s">
        <v>2348</v>
      </c>
      <c r="F183" t="s">
        <v>2296</v>
      </c>
      <c r="G183" t="s">
        <v>4143</v>
      </c>
      <c r="H183" t="s">
        <v>2348</v>
      </c>
    </row>
    <row r="184" spans="1:9">
      <c r="A184" s="93" t="s">
        <v>4144</v>
      </c>
      <c r="B184" t="s">
        <v>1874</v>
      </c>
      <c r="C184" t="s">
        <v>2114</v>
      </c>
      <c r="D184" t="s">
        <v>2115</v>
      </c>
      <c r="E184" t="s">
        <v>1559</v>
      </c>
      <c r="F184" t="s">
        <v>2117</v>
      </c>
      <c r="G184" t="s">
        <v>4143</v>
      </c>
      <c r="H184" t="s">
        <v>1559</v>
      </c>
      <c r="I184" t="s">
        <v>3984</v>
      </c>
    </row>
    <row r="185" spans="1:9">
      <c r="A185" s="93" t="s">
        <v>4144</v>
      </c>
      <c r="B185" t="s">
        <v>1874</v>
      </c>
      <c r="C185" t="s">
        <v>2352</v>
      </c>
      <c r="E185" t="s">
        <v>1201</v>
      </c>
      <c r="G185" t="s">
        <v>4143</v>
      </c>
      <c r="H185" t="s">
        <v>1201</v>
      </c>
      <c r="I185" t="s">
        <v>3984</v>
      </c>
    </row>
    <row r="186" spans="1:9">
      <c r="A186" s="93" t="s">
        <v>4144</v>
      </c>
      <c r="B186" t="s">
        <v>1874</v>
      </c>
      <c r="C186" t="s">
        <v>2118</v>
      </c>
      <c r="E186" t="s">
        <v>2119</v>
      </c>
      <c r="G186" t="s">
        <v>4143</v>
      </c>
      <c r="H186" t="s">
        <v>2353</v>
      </c>
      <c r="I186" t="s">
        <v>3984</v>
      </c>
    </row>
    <row r="187" spans="1:9">
      <c r="A187" s="93" t="s">
        <v>4144</v>
      </c>
      <c r="B187" t="s">
        <v>1874</v>
      </c>
      <c r="C187" t="s">
        <v>2121</v>
      </c>
      <c r="D187" t="s">
        <v>2122</v>
      </c>
      <c r="E187" t="s">
        <v>108</v>
      </c>
      <c r="G187" t="s">
        <v>4143</v>
      </c>
      <c r="H187" t="s">
        <v>108</v>
      </c>
      <c r="I187" t="s">
        <v>3984</v>
      </c>
    </row>
    <row r="188" spans="1:9">
      <c r="A188" s="93" t="s">
        <v>4144</v>
      </c>
      <c r="B188" t="s">
        <v>1874</v>
      </c>
      <c r="C188" t="s">
        <v>2123</v>
      </c>
      <c r="D188" t="s">
        <v>2124</v>
      </c>
      <c r="E188" t="s">
        <v>108</v>
      </c>
      <c r="F188" t="s">
        <v>2125</v>
      </c>
      <c r="G188" t="s">
        <v>4143</v>
      </c>
      <c r="H188" t="s">
        <v>108</v>
      </c>
      <c r="I188" t="s">
        <v>3984</v>
      </c>
    </row>
    <row r="189" spans="1:9">
      <c r="A189" s="93" t="s">
        <v>4144</v>
      </c>
      <c r="B189" t="s">
        <v>1874</v>
      </c>
      <c r="C189" t="s">
        <v>2126</v>
      </c>
      <c r="E189" t="s">
        <v>108</v>
      </c>
      <c r="G189" t="s">
        <v>4143</v>
      </c>
      <c r="H189" t="s">
        <v>108</v>
      </c>
      <c r="I189" t="s">
        <v>3984</v>
      </c>
    </row>
    <row r="190" spans="1:9">
      <c r="A190" s="93" t="s">
        <v>4144</v>
      </c>
      <c r="B190" t="s">
        <v>1875</v>
      </c>
      <c r="C190" t="s">
        <v>2128</v>
      </c>
      <c r="D190" t="s">
        <v>2129</v>
      </c>
      <c r="E190" t="s">
        <v>108</v>
      </c>
      <c r="G190" t="s">
        <v>4143</v>
      </c>
      <c r="H190" t="s">
        <v>108</v>
      </c>
      <c r="I190" t="s">
        <v>3988</v>
      </c>
    </row>
    <row r="191" spans="1:9">
      <c r="A191" s="93" t="s">
        <v>4144</v>
      </c>
      <c r="B191" t="s">
        <v>1875</v>
      </c>
      <c r="C191" t="s">
        <v>2130</v>
      </c>
      <c r="D191" t="s">
        <v>2131</v>
      </c>
      <c r="E191" t="s">
        <v>108</v>
      </c>
      <c r="F191" t="s">
        <v>2132</v>
      </c>
      <c r="G191" t="s">
        <v>4143</v>
      </c>
      <c r="H191" t="s">
        <v>108</v>
      </c>
      <c r="I191" t="s">
        <v>3988</v>
      </c>
    </row>
    <row r="192" spans="1:9">
      <c r="A192" s="93" t="s">
        <v>4144</v>
      </c>
      <c r="B192" t="s">
        <v>1875</v>
      </c>
      <c r="C192" t="s">
        <v>2133</v>
      </c>
      <c r="D192" t="s">
        <v>2131</v>
      </c>
      <c r="E192" t="s">
        <v>108</v>
      </c>
      <c r="G192" t="s">
        <v>4143</v>
      </c>
      <c r="H192" t="s">
        <v>108</v>
      </c>
      <c r="I192" t="s">
        <v>3988</v>
      </c>
    </row>
    <row r="193" spans="1:9">
      <c r="A193" s="93" t="s">
        <v>4144</v>
      </c>
      <c r="B193" t="s">
        <v>1875</v>
      </c>
      <c r="C193" t="s">
        <v>2134</v>
      </c>
      <c r="E193" t="s">
        <v>2135</v>
      </c>
      <c r="F193" t="s">
        <v>2137</v>
      </c>
      <c r="G193" t="s">
        <v>4145</v>
      </c>
      <c r="H193" t="s">
        <v>2355</v>
      </c>
      <c r="I193" t="s">
        <v>3988</v>
      </c>
    </row>
    <row r="194" spans="1:9">
      <c r="A194" s="93" t="s">
        <v>4144</v>
      </c>
      <c r="B194" t="s">
        <v>1875</v>
      </c>
      <c r="C194" t="s">
        <v>2138</v>
      </c>
      <c r="D194" t="s">
        <v>2139</v>
      </c>
      <c r="E194" t="s">
        <v>108</v>
      </c>
      <c r="F194" t="s">
        <v>2140</v>
      </c>
      <c r="G194" t="s">
        <v>4143</v>
      </c>
      <c r="H194" t="s">
        <v>108</v>
      </c>
      <c r="I194" t="s">
        <v>3988</v>
      </c>
    </row>
    <row r="195" spans="1:9">
      <c r="A195" s="93" t="s">
        <v>4144</v>
      </c>
      <c r="B195" t="s">
        <v>3697</v>
      </c>
      <c r="C195" t="s">
        <v>2142</v>
      </c>
      <c r="D195" t="s">
        <v>2143</v>
      </c>
      <c r="E195" t="s">
        <v>108</v>
      </c>
      <c r="G195" t="s">
        <v>4143</v>
      </c>
      <c r="H195" t="s">
        <v>108</v>
      </c>
      <c r="I195" t="s">
        <v>3992</v>
      </c>
    </row>
    <row r="196" spans="1:9">
      <c r="A196" s="93" t="s">
        <v>4144</v>
      </c>
      <c r="B196" t="s">
        <v>3697</v>
      </c>
      <c r="C196" t="s">
        <v>2144</v>
      </c>
      <c r="D196" t="s">
        <v>2143</v>
      </c>
      <c r="E196" t="s">
        <v>2145</v>
      </c>
      <c r="G196" t="s">
        <v>4143</v>
      </c>
      <c r="H196" t="s">
        <v>108</v>
      </c>
      <c r="I196" t="s">
        <v>3992</v>
      </c>
    </row>
    <row r="197" spans="1:9">
      <c r="A197" s="93" t="s">
        <v>4144</v>
      </c>
      <c r="B197" t="s">
        <v>3697</v>
      </c>
      <c r="C197" t="s">
        <v>2146</v>
      </c>
      <c r="D197" t="s">
        <v>2143</v>
      </c>
      <c r="E197" t="s">
        <v>2147</v>
      </c>
      <c r="F197" t="s">
        <v>2148</v>
      </c>
      <c r="G197" t="s">
        <v>4143</v>
      </c>
      <c r="H197" t="s">
        <v>108</v>
      </c>
      <c r="I197" t="s">
        <v>3992</v>
      </c>
    </row>
    <row r="198" spans="1:9">
      <c r="A198" s="93" t="s">
        <v>4144</v>
      </c>
      <c r="B198" t="s">
        <v>3697</v>
      </c>
      <c r="C198" t="s">
        <v>2149</v>
      </c>
      <c r="D198" t="s">
        <v>2143</v>
      </c>
      <c r="E198" t="s">
        <v>108</v>
      </c>
      <c r="G198" t="s">
        <v>4143</v>
      </c>
      <c r="H198" t="s">
        <v>108</v>
      </c>
      <c r="I198" t="s">
        <v>3992</v>
      </c>
    </row>
    <row r="199" spans="1:9">
      <c r="A199" s="93" t="s">
        <v>4144</v>
      </c>
      <c r="B199" t="s">
        <v>1881</v>
      </c>
      <c r="C199" t="s">
        <v>2151</v>
      </c>
      <c r="D199" t="s">
        <v>2152</v>
      </c>
      <c r="E199" t="s">
        <v>2153</v>
      </c>
      <c r="G199" t="s">
        <v>4143</v>
      </c>
      <c r="H199" t="s">
        <v>108</v>
      </c>
      <c r="I199" t="s">
        <v>3996</v>
      </c>
    </row>
    <row r="200" spans="1:9">
      <c r="A200" s="93" t="s">
        <v>4144</v>
      </c>
      <c r="B200" t="s">
        <v>1881</v>
      </c>
      <c r="C200" t="s">
        <v>2358</v>
      </c>
      <c r="E200" t="s">
        <v>543</v>
      </c>
      <c r="F200" t="s">
        <v>2359</v>
      </c>
      <c r="G200" t="s">
        <v>4143</v>
      </c>
      <c r="H200" t="s">
        <v>543</v>
      </c>
      <c r="I200" t="s">
        <v>3996</v>
      </c>
    </row>
    <row r="201" spans="1:9">
      <c r="A201" s="93" t="s">
        <v>4144</v>
      </c>
      <c r="B201" t="s">
        <v>1881</v>
      </c>
      <c r="C201" t="s">
        <v>2360</v>
      </c>
      <c r="D201" t="s">
        <v>2155</v>
      </c>
      <c r="E201" t="s">
        <v>543</v>
      </c>
      <c r="F201" t="s">
        <v>2361</v>
      </c>
      <c r="G201" t="s">
        <v>4143</v>
      </c>
      <c r="H201" t="s">
        <v>543</v>
      </c>
      <c r="I201" t="s">
        <v>3996</v>
      </c>
    </row>
    <row r="202" spans="1:9">
      <c r="A202" s="93" t="s">
        <v>4144</v>
      </c>
      <c r="B202" t="s">
        <v>1881</v>
      </c>
      <c r="C202" t="s">
        <v>2154</v>
      </c>
      <c r="D202" t="s">
        <v>2155</v>
      </c>
      <c r="E202" t="s">
        <v>108</v>
      </c>
      <c r="G202" t="s">
        <v>4143</v>
      </c>
      <c r="H202" t="s">
        <v>108</v>
      </c>
      <c r="I202" t="s">
        <v>3996</v>
      </c>
    </row>
    <row r="203" spans="1:9">
      <c r="A203" s="93" t="s">
        <v>4144</v>
      </c>
      <c r="B203" t="s">
        <v>1881</v>
      </c>
      <c r="C203" t="s">
        <v>2156</v>
      </c>
      <c r="D203" t="s">
        <v>2152</v>
      </c>
      <c r="E203" t="s">
        <v>2157</v>
      </c>
      <c r="G203" t="s">
        <v>4143</v>
      </c>
      <c r="H203" t="s">
        <v>108</v>
      </c>
      <c r="I203" t="s">
        <v>3996</v>
      </c>
    </row>
    <row r="204" spans="1:9">
      <c r="A204" s="93" t="s">
        <v>4144</v>
      </c>
      <c r="B204" t="s">
        <v>1881</v>
      </c>
      <c r="C204" t="s">
        <v>2158</v>
      </c>
      <c r="D204" t="s">
        <v>2155</v>
      </c>
      <c r="E204" t="s">
        <v>2159</v>
      </c>
      <c r="F204" t="s">
        <v>2160</v>
      </c>
      <c r="G204" t="s">
        <v>4143</v>
      </c>
      <c r="H204" t="s">
        <v>1559</v>
      </c>
      <c r="I204" t="s">
        <v>3996</v>
      </c>
    </row>
    <row r="205" spans="1:9">
      <c r="A205" s="93" t="s">
        <v>4144</v>
      </c>
      <c r="B205" t="s">
        <v>1881</v>
      </c>
      <c r="C205" t="s">
        <v>2161</v>
      </c>
      <c r="D205" t="s">
        <v>2162</v>
      </c>
      <c r="E205" t="s">
        <v>108</v>
      </c>
      <c r="F205" t="s">
        <v>2163</v>
      </c>
      <c r="G205" t="s">
        <v>4143</v>
      </c>
      <c r="H205" t="s">
        <v>108</v>
      </c>
      <c r="I205" t="s">
        <v>3996</v>
      </c>
    </row>
    <row r="206" spans="1:9">
      <c r="A206" s="93" t="s">
        <v>4144</v>
      </c>
      <c r="B206" t="s">
        <v>1881</v>
      </c>
      <c r="C206" t="s">
        <v>2164</v>
      </c>
      <c r="D206" t="s">
        <v>2162</v>
      </c>
      <c r="E206" t="s">
        <v>108</v>
      </c>
      <c r="G206" t="s">
        <v>4143</v>
      </c>
      <c r="H206" t="s">
        <v>108</v>
      </c>
      <c r="I206" t="s">
        <v>3996</v>
      </c>
    </row>
    <row r="207" spans="1:9">
      <c r="A207" s="93" t="s">
        <v>4144</v>
      </c>
      <c r="B207" t="s">
        <v>1882</v>
      </c>
      <c r="C207" t="s">
        <v>2166</v>
      </c>
      <c r="D207" t="s">
        <v>2167</v>
      </c>
      <c r="E207" t="s">
        <v>108</v>
      </c>
      <c r="F207" t="s">
        <v>2168</v>
      </c>
      <c r="G207" t="s">
        <v>4143</v>
      </c>
      <c r="H207" t="s">
        <v>108</v>
      </c>
      <c r="I207" t="s">
        <v>4000</v>
      </c>
    </row>
    <row r="208" spans="1:9">
      <c r="A208" s="93" t="s">
        <v>4144</v>
      </c>
      <c r="B208" t="s">
        <v>1882</v>
      </c>
      <c r="C208" t="s">
        <v>2169</v>
      </c>
      <c r="D208" t="s">
        <v>2129</v>
      </c>
      <c r="E208" t="s">
        <v>2170</v>
      </c>
      <c r="G208" t="s">
        <v>4145</v>
      </c>
      <c r="H208" t="s">
        <v>2355</v>
      </c>
      <c r="I208" t="s">
        <v>4000</v>
      </c>
    </row>
    <row r="209" spans="1:9">
      <c r="A209" s="93" t="s">
        <v>4144</v>
      </c>
      <c r="B209" t="s">
        <v>1882</v>
      </c>
      <c r="C209" t="s">
        <v>2171</v>
      </c>
      <c r="D209" t="s">
        <v>2129</v>
      </c>
      <c r="E209" t="s">
        <v>2135</v>
      </c>
      <c r="G209" t="s">
        <v>4145</v>
      </c>
      <c r="H209" t="s">
        <v>2355</v>
      </c>
      <c r="I209" t="s">
        <v>4000</v>
      </c>
    </row>
    <row r="210" spans="1:9">
      <c r="A210" s="93" t="s">
        <v>4144</v>
      </c>
      <c r="B210" t="s">
        <v>1882</v>
      </c>
      <c r="C210" t="s">
        <v>2172</v>
      </c>
      <c r="D210" t="s">
        <v>2129</v>
      </c>
      <c r="E210" t="s">
        <v>2135</v>
      </c>
      <c r="G210" t="s">
        <v>4145</v>
      </c>
      <c r="H210" t="s">
        <v>2355</v>
      </c>
      <c r="I210" t="s">
        <v>4000</v>
      </c>
    </row>
    <row r="211" spans="1:9">
      <c r="A211" s="93" t="s">
        <v>4144</v>
      </c>
      <c r="B211" t="s">
        <v>1882</v>
      </c>
      <c r="C211" t="s">
        <v>2173</v>
      </c>
      <c r="D211" t="s">
        <v>2174</v>
      </c>
      <c r="E211" t="s">
        <v>2135</v>
      </c>
      <c r="G211" t="s">
        <v>4145</v>
      </c>
      <c r="H211" t="s">
        <v>2355</v>
      </c>
      <c r="I211" t="s">
        <v>4000</v>
      </c>
    </row>
    <row r="212" spans="1:9">
      <c r="A212" s="93" t="s">
        <v>4144</v>
      </c>
      <c r="B212" t="s">
        <v>1882</v>
      </c>
      <c r="C212" t="s">
        <v>2175</v>
      </c>
      <c r="E212" t="s">
        <v>2135</v>
      </c>
      <c r="G212" t="s">
        <v>4145</v>
      </c>
      <c r="H212" t="s">
        <v>2355</v>
      </c>
      <c r="I212" t="s">
        <v>4000</v>
      </c>
    </row>
    <row r="213" spans="1:9">
      <c r="A213" s="93" t="s">
        <v>4144</v>
      </c>
      <c r="B213" t="s">
        <v>1882</v>
      </c>
      <c r="C213" t="s">
        <v>2176</v>
      </c>
      <c r="E213" t="s">
        <v>2135</v>
      </c>
      <c r="G213" t="s">
        <v>4145</v>
      </c>
      <c r="H213" t="s">
        <v>2355</v>
      </c>
      <c r="I213" t="s">
        <v>4000</v>
      </c>
    </row>
    <row r="214" spans="1:9">
      <c r="A214" s="93" t="s">
        <v>4144</v>
      </c>
      <c r="B214" t="s">
        <v>1882</v>
      </c>
      <c r="C214" t="s">
        <v>2177</v>
      </c>
      <c r="E214" t="s">
        <v>2135</v>
      </c>
      <c r="G214" t="s">
        <v>4145</v>
      </c>
      <c r="H214" t="s">
        <v>2355</v>
      </c>
      <c r="I214" t="s">
        <v>4000</v>
      </c>
    </row>
    <row r="215" spans="1:9">
      <c r="A215" s="93" t="s">
        <v>4144</v>
      </c>
      <c r="B215" t="s">
        <v>1884</v>
      </c>
      <c r="C215" t="s">
        <v>2179</v>
      </c>
      <c r="D215" t="s">
        <v>2180</v>
      </c>
      <c r="E215" t="s">
        <v>108</v>
      </c>
      <c r="G215" t="s">
        <v>4143</v>
      </c>
      <c r="H215" t="s">
        <v>108</v>
      </c>
      <c r="I215" t="s">
        <v>4002</v>
      </c>
    </row>
    <row r="216" spans="1:9">
      <c r="A216" s="93" t="s">
        <v>4144</v>
      </c>
      <c r="B216" t="s">
        <v>1884</v>
      </c>
      <c r="C216" t="s">
        <v>2181</v>
      </c>
      <c r="D216" t="s">
        <v>2182</v>
      </c>
      <c r="E216" t="s">
        <v>108</v>
      </c>
      <c r="G216" t="s">
        <v>4143</v>
      </c>
      <c r="H216" t="s">
        <v>108</v>
      </c>
      <c r="I216" t="s">
        <v>4002</v>
      </c>
    </row>
    <row r="217" spans="1:9">
      <c r="A217" s="93" t="s">
        <v>4144</v>
      </c>
      <c r="B217" t="s">
        <v>1884</v>
      </c>
      <c r="C217" t="s">
        <v>2183</v>
      </c>
      <c r="D217" t="s">
        <v>2182</v>
      </c>
      <c r="E217" t="s">
        <v>2184</v>
      </c>
      <c r="F217" t="s">
        <v>2185</v>
      </c>
      <c r="G217" t="s">
        <v>4143</v>
      </c>
      <c r="H217" t="s">
        <v>108</v>
      </c>
      <c r="I217" t="s">
        <v>4002</v>
      </c>
    </row>
    <row r="218" spans="1:9">
      <c r="A218" s="93" t="s">
        <v>4144</v>
      </c>
      <c r="B218" t="s">
        <v>1884</v>
      </c>
      <c r="C218" t="s">
        <v>2186</v>
      </c>
      <c r="D218" t="s">
        <v>2187</v>
      </c>
      <c r="E218" t="s">
        <v>108</v>
      </c>
      <c r="G218" t="s">
        <v>4143</v>
      </c>
      <c r="H218" t="s">
        <v>108</v>
      </c>
      <c r="I218" t="s">
        <v>4002</v>
      </c>
    </row>
    <row r="219" spans="1:9">
      <c r="A219" s="93" t="s">
        <v>4144</v>
      </c>
      <c r="B219" t="s">
        <v>1884</v>
      </c>
      <c r="C219" t="s">
        <v>2188</v>
      </c>
      <c r="E219" t="s">
        <v>2189</v>
      </c>
      <c r="G219" t="s">
        <v>4143</v>
      </c>
      <c r="H219" t="s">
        <v>108</v>
      </c>
      <c r="I219" t="s">
        <v>4002</v>
      </c>
    </row>
    <row r="220" spans="1:9">
      <c r="A220" s="93" t="s">
        <v>4144</v>
      </c>
      <c r="B220" t="s">
        <v>1884</v>
      </c>
      <c r="C220" t="s">
        <v>2190</v>
      </c>
      <c r="E220" t="s">
        <v>2135</v>
      </c>
      <c r="G220" t="s">
        <v>4145</v>
      </c>
      <c r="H220" t="s">
        <v>2355</v>
      </c>
      <c r="I220" t="s">
        <v>4002</v>
      </c>
    </row>
    <row r="221" spans="1:9">
      <c r="A221" s="93" t="s">
        <v>4144</v>
      </c>
      <c r="B221" t="s">
        <v>1884</v>
      </c>
      <c r="C221" t="s">
        <v>2191</v>
      </c>
      <c r="E221" t="s">
        <v>2135</v>
      </c>
      <c r="G221" t="s">
        <v>4145</v>
      </c>
      <c r="H221" t="s">
        <v>2355</v>
      </c>
      <c r="I221" t="s">
        <v>4002</v>
      </c>
    </row>
    <row r="222" spans="1:9">
      <c r="A222" s="93" t="s">
        <v>4144</v>
      </c>
      <c r="B222" t="s">
        <v>1884</v>
      </c>
      <c r="C222" t="s">
        <v>2192</v>
      </c>
      <c r="D222" t="s">
        <v>2182</v>
      </c>
      <c r="E222" t="s">
        <v>2193</v>
      </c>
      <c r="G222" t="s">
        <v>4143</v>
      </c>
      <c r="H222" t="s">
        <v>2193</v>
      </c>
      <c r="I222" t="s">
        <v>4002</v>
      </c>
    </row>
    <row r="223" spans="1:9">
      <c r="A223" s="93" t="s">
        <v>4144</v>
      </c>
      <c r="B223" t="s">
        <v>1884</v>
      </c>
      <c r="C223" t="s">
        <v>2194</v>
      </c>
      <c r="D223" t="s">
        <v>2187</v>
      </c>
      <c r="E223" t="s">
        <v>108</v>
      </c>
      <c r="G223" t="s">
        <v>4143</v>
      </c>
      <c r="H223" t="s">
        <v>108</v>
      </c>
      <c r="I223" t="s">
        <v>4002</v>
      </c>
    </row>
    <row r="224" spans="1:9">
      <c r="A224" s="93" t="s">
        <v>4144</v>
      </c>
      <c r="B224" t="s">
        <v>1884</v>
      </c>
      <c r="C224" t="s">
        <v>2364</v>
      </c>
      <c r="E224" t="s">
        <v>543</v>
      </c>
      <c r="F224" t="s">
        <v>2365</v>
      </c>
      <c r="G224" t="s">
        <v>4143</v>
      </c>
      <c r="H224" t="s">
        <v>543</v>
      </c>
      <c r="I224" t="s">
        <v>4002</v>
      </c>
    </row>
    <row r="225" spans="1:9">
      <c r="A225" s="93" t="s">
        <v>4144</v>
      </c>
      <c r="B225" t="s">
        <v>1889</v>
      </c>
      <c r="C225" t="s">
        <v>2196</v>
      </c>
      <c r="E225" t="s">
        <v>2193</v>
      </c>
      <c r="G225" t="s">
        <v>4143</v>
      </c>
      <c r="H225" t="s">
        <v>2193</v>
      </c>
      <c r="I225" t="s">
        <v>4004</v>
      </c>
    </row>
    <row r="226" spans="1:9">
      <c r="A226" s="93" t="s">
        <v>4144</v>
      </c>
      <c r="B226" t="s">
        <v>1889</v>
      </c>
      <c r="C226" t="s">
        <v>2197</v>
      </c>
      <c r="E226" t="s">
        <v>2193</v>
      </c>
      <c r="G226" t="s">
        <v>4143</v>
      </c>
      <c r="H226" t="s">
        <v>2193</v>
      </c>
      <c r="I226" t="s">
        <v>4004</v>
      </c>
    </row>
    <row r="227" spans="1:9">
      <c r="A227" s="93" t="s">
        <v>4144</v>
      </c>
      <c r="B227" t="s">
        <v>1889</v>
      </c>
      <c r="C227" t="s">
        <v>2198</v>
      </c>
      <c r="E227" t="s">
        <v>2199</v>
      </c>
      <c r="G227" t="s">
        <v>4143</v>
      </c>
      <c r="H227" t="s">
        <v>2367</v>
      </c>
      <c r="I227" t="s">
        <v>4004</v>
      </c>
    </row>
    <row r="228" spans="1:9">
      <c r="A228" s="93" t="s">
        <v>4144</v>
      </c>
      <c r="B228" t="s">
        <v>1889</v>
      </c>
      <c r="C228" t="s">
        <v>2200</v>
      </c>
      <c r="D228" t="s">
        <v>2182</v>
      </c>
      <c r="E228" t="s">
        <v>108</v>
      </c>
      <c r="G228" t="s">
        <v>4143</v>
      </c>
      <c r="H228" t="s">
        <v>108</v>
      </c>
      <c r="I228" t="s">
        <v>4004</v>
      </c>
    </row>
    <row r="229" spans="1:9">
      <c r="A229" s="93" t="s">
        <v>4144</v>
      </c>
      <c r="B229" t="s">
        <v>1889</v>
      </c>
      <c r="C229" t="s">
        <v>2201</v>
      </c>
      <c r="D229" t="s">
        <v>2182</v>
      </c>
      <c r="E229" t="s">
        <v>108</v>
      </c>
      <c r="G229" t="s">
        <v>4143</v>
      </c>
      <c r="H229" t="s">
        <v>108</v>
      </c>
      <c r="I229" t="s">
        <v>4004</v>
      </c>
    </row>
    <row r="230" spans="1:9">
      <c r="A230" s="93" t="s">
        <v>4144</v>
      </c>
      <c r="B230" t="s">
        <v>1889</v>
      </c>
      <c r="C230" t="s">
        <v>2202</v>
      </c>
      <c r="D230" t="s">
        <v>2174</v>
      </c>
      <c r="E230" t="s">
        <v>108</v>
      </c>
      <c r="G230" t="s">
        <v>4143</v>
      </c>
      <c r="H230" t="s">
        <v>108</v>
      </c>
      <c r="I230" t="s">
        <v>4004</v>
      </c>
    </row>
    <row r="231" spans="1:9">
      <c r="A231" s="93" t="s">
        <v>4144</v>
      </c>
      <c r="B231" t="s">
        <v>1889</v>
      </c>
      <c r="C231" t="s">
        <v>2203</v>
      </c>
      <c r="D231" t="s">
        <v>2204</v>
      </c>
      <c r="E231" t="s">
        <v>2193</v>
      </c>
      <c r="G231" t="s">
        <v>4143</v>
      </c>
      <c r="H231" t="s">
        <v>2193</v>
      </c>
      <c r="I231" t="s">
        <v>4004</v>
      </c>
    </row>
    <row r="232" spans="1:9">
      <c r="A232" s="93" t="s">
        <v>4144</v>
      </c>
      <c r="B232" t="s">
        <v>1889</v>
      </c>
      <c r="C232" t="s">
        <v>2205</v>
      </c>
      <c r="D232" t="s">
        <v>2204</v>
      </c>
      <c r="E232" t="s">
        <v>2193</v>
      </c>
      <c r="G232" t="s">
        <v>4143</v>
      </c>
      <c r="H232" t="s">
        <v>2193</v>
      </c>
      <c r="I232" t="s">
        <v>4004</v>
      </c>
    </row>
    <row r="233" spans="1:9">
      <c r="A233" s="93" t="s">
        <v>4144</v>
      </c>
      <c r="B233" t="s">
        <v>1889</v>
      </c>
      <c r="C233" t="s">
        <v>2206</v>
      </c>
      <c r="E233" t="s">
        <v>2135</v>
      </c>
      <c r="G233" t="s">
        <v>4145</v>
      </c>
      <c r="H233" t="s">
        <v>2355</v>
      </c>
      <c r="I233" t="s">
        <v>4004</v>
      </c>
    </row>
    <row r="234" spans="1:9">
      <c r="A234" s="93" t="s">
        <v>4144</v>
      </c>
      <c r="B234" t="s">
        <v>1889</v>
      </c>
      <c r="C234" t="s">
        <v>2207</v>
      </c>
      <c r="D234" t="s">
        <v>2204</v>
      </c>
      <c r="E234" t="s">
        <v>108</v>
      </c>
      <c r="F234" t="s">
        <v>2208</v>
      </c>
      <c r="G234" t="s">
        <v>4143</v>
      </c>
      <c r="H234" t="s">
        <v>108</v>
      </c>
      <c r="I234" t="s">
        <v>4004</v>
      </c>
    </row>
    <row r="235" spans="1:9">
      <c r="A235" s="93" t="s">
        <v>4144</v>
      </c>
      <c r="B235" t="s">
        <v>1891</v>
      </c>
      <c r="C235" t="s">
        <v>2210</v>
      </c>
      <c r="D235" t="s">
        <v>2211</v>
      </c>
      <c r="E235" t="s">
        <v>108</v>
      </c>
      <c r="G235" t="s">
        <v>4143</v>
      </c>
      <c r="H235" t="s">
        <v>108</v>
      </c>
      <c r="I235" t="s">
        <v>4008</v>
      </c>
    </row>
    <row r="236" spans="1:9">
      <c r="A236" s="93" t="s">
        <v>4144</v>
      </c>
      <c r="B236" t="s">
        <v>1891</v>
      </c>
      <c r="C236" t="s">
        <v>2212</v>
      </c>
      <c r="D236" t="s">
        <v>2213</v>
      </c>
      <c r="E236" t="s">
        <v>108</v>
      </c>
      <c r="G236" t="s">
        <v>4143</v>
      </c>
      <c r="H236" t="s">
        <v>108</v>
      </c>
      <c r="I236" t="s">
        <v>4008</v>
      </c>
    </row>
    <row r="237" spans="1:9">
      <c r="A237" s="93" t="s">
        <v>4144</v>
      </c>
      <c r="B237" t="s">
        <v>1891</v>
      </c>
      <c r="C237" t="s">
        <v>2214</v>
      </c>
      <c r="D237" t="s">
        <v>2213</v>
      </c>
      <c r="E237" t="s">
        <v>108</v>
      </c>
      <c r="G237" t="s">
        <v>4143</v>
      </c>
      <c r="H237" t="s">
        <v>108</v>
      </c>
      <c r="I237" t="s">
        <v>4008</v>
      </c>
    </row>
    <row r="238" spans="1:9">
      <c r="A238" s="93" t="s">
        <v>4144</v>
      </c>
      <c r="B238" t="s">
        <v>1893</v>
      </c>
      <c r="C238" t="s">
        <v>2370</v>
      </c>
      <c r="D238" t="s">
        <v>2223</v>
      </c>
      <c r="E238" t="s">
        <v>543</v>
      </c>
      <c r="F238" t="s">
        <v>2371</v>
      </c>
      <c r="G238" t="s">
        <v>4143</v>
      </c>
      <c r="H238" t="s">
        <v>543</v>
      </c>
      <c r="I238" t="s">
        <v>4012</v>
      </c>
    </row>
    <row r="239" spans="1:9">
      <c r="A239" s="93" t="s">
        <v>4144</v>
      </c>
      <c r="B239" t="s">
        <v>1893</v>
      </c>
      <c r="C239" t="s">
        <v>2372</v>
      </c>
      <c r="D239" t="s">
        <v>2220</v>
      </c>
      <c r="E239" t="s">
        <v>2373</v>
      </c>
      <c r="F239" t="s">
        <v>2374</v>
      </c>
      <c r="G239" t="s">
        <v>4143</v>
      </c>
      <c r="H239" t="s">
        <v>543</v>
      </c>
      <c r="I239" t="s">
        <v>4012</v>
      </c>
    </row>
    <row r="240" spans="1:9">
      <c r="A240" s="93" t="s">
        <v>4144</v>
      </c>
      <c r="B240" t="s">
        <v>1893</v>
      </c>
      <c r="C240" t="s">
        <v>2216</v>
      </c>
      <c r="D240" t="s">
        <v>2217</v>
      </c>
      <c r="E240" t="s">
        <v>2193</v>
      </c>
      <c r="F240" t="s">
        <v>2218</v>
      </c>
      <c r="G240" t="s">
        <v>4143</v>
      </c>
      <c r="H240" t="s">
        <v>2193</v>
      </c>
      <c r="I240" t="s">
        <v>4012</v>
      </c>
    </row>
    <row r="241" spans="1:9">
      <c r="A241" s="93" t="s">
        <v>4144</v>
      </c>
      <c r="B241" t="s">
        <v>1893</v>
      </c>
      <c r="C241" t="s">
        <v>2219</v>
      </c>
      <c r="D241" t="s">
        <v>2220</v>
      </c>
      <c r="E241" t="s">
        <v>108</v>
      </c>
      <c r="F241" t="s">
        <v>2221</v>
      </c>
      <c r="G241" t="s">
        <v>4143</v>
      </c>
      <c r="H241" t="s">
        <v>108</v>
      </c>
      <c r="I241" t="s">
        <v>4012</v>
      </c>
    </row>
    <row r="242" spans="1:9">
      <c r="A242" s="93" t="s">
        <v>4144</v>
      </c>
      <c r="B242" t="s">
        <v>1893</v>
      </c>
      <c r="C242" t="s">
        <v>2222</v>
      </c>
      <c r="D242" t="s">
        <v>2223</v>
      </c>
      <c r="E242" t="s">
        <v>108</v>
      </c>
      <c r="F242" t="s">
        <v>2224</v>
      </c>
      <c r="G242" t="s">
        <v>4143</v>
      </c>
      <c r="H242" t="s">
        <v>108</v>
      </c>
      <c r="I242" t="s">
        <v>4012</v>
      </c>
    </row>
    <row r="243" spans="1:9">
      <c r="A243" s="93" t="s">
        <v>4144</v>
      </c>
      <c r="B243" t="s">
        <v>1893</v>
      </c>
      <c r="C243" t="s">
        <v>2225</v>
      </c>
      <c r="D243" t="s">
        <v>2226</v>
      </c>
      <c r="E243" t="s">
        <v>108</v>
      </c>
      <c r="F243" t="s">
        <v>2227</v>
      </c>
      <c r="G243" t="s">
        <v>4143</v>
      </c>
      <c r="H243" t="s">
        <v>108</v>
      </c>
      <c r="I243" t="s">
        <v>4012</v>
      </c>
    </row>
    <row r="244" spans="1:9">
      <c r="A244" s="93" t="s">
        <v>4144</v>
      </c>
      <c r="B244" t="s">
        <v>1893</v>
      </c>
      <c r="C244" t="s">
        <v>2228</v>
      </c>
      <c r="E244" t="s">
        <v>2135</v>
      </c>
      <c r="G244" t="s">
        <v>4145</v>
      </c>
      <c r="H244" t="s">
        <v>2355</v>
      </c>
      <c r="I244" t="s">
        <v>4012</v>
      </c>
    </row>
    <row r="245" spans="1:9">
      <c r="A245" s="93" t="s">
        <v>4144</v>
      </c>
      <c r="B245" t="s">
        <v>1896</v>
      </c>
      <c r="C245" t="s">
        <v>2376</v>
      </c>
      <c r="D245" t="s">
        <v>2237</v>
      </c>
      <c r="E245" t="s">
        <v>543</v>
      </c>
      <c r="G245" t="s">
        <v>4143</v>
      </c>
      <c r="H245" t="s">
        <v>543</v>
      </c>
      <c r="I245" t="s">
        <v>4016</v>
      </c>
    </row>
    <row r="246" spans="1:9">
      <c r="A246" s="93" t="s">
        <v>4144</v>
      </c>
      <c r="B246" t="s">
        <v>1896</v>
      </c>
      <c r="C246" t="s">
        <v>2230</v>
      </c>
      <c r="D246" t="s">
        <v>2220</v>
      </c>
      <c r="E246" t="s">
        <v>108</v>
      </c>
      <c r="F246" t="s">
        <v>2231</v>
      </c>
      <c r="G246" t="s">
        <v>4143</v>
      </c>
      <c r="H246" t="s">
        <v>108</v>
      </c>
      <c r="I246" t="s">
        <v>4016</v>
      </c>
    </row>
    <row r="247" spans="1:9">
      <c r="A247" s="93" t="s">
        <v>4144</v>
      </c>
      <c r="B247" t="s">
        <v>1896</v>
      </c>
      <c r="C247" t="s">
        <v>2232</v>
      </c>
      <c r="D247" t="s">
        <v>2220</v>
      </c>
      <c r="E247" t="s">
        <v>108</v>
      </c>
      <c r="G247" t="s">
        <v>4143</v>
      </c>
      <c r="H247" t="s">
        <v>108</v>
      </c>
      <c r="I247" t="s">
        <v>4016</v>
      </c>
    </row>
    <row r="248" spans="1:9">
      <c r="A248" s="93" t="s">
        <v>4144</v>
      </c>
      <c r="B248" t="s">
        <v>1896</v>
      </c>
      <c r="C248" t="s">
        <v>2233</v>
      </c>
      <c r="D248" t="s">
        <v>2234</v>
      </c>
      <c r="E248" t="s">
        <v>108</v>
      </c>
      <c r="F248" t="s">
        <v>2235</v>
      </c>
      <c r="G248" t="s">
        <v>4143</v>
      </c>
      <c r="H248" t="s">
        <v>108</v>
      </c>
      <c r="I248" t="s">
        <v>4016</v>
      </c>
    </row>
    <row r="249" spans="1:9">
      <c r="A249" s="93" t="s">
        <v>4144</v>
      </c>
      <c r="B249" t="s">
        <v>1896</v>
      </c>
      <c r="C249" t="s">
        <v>2236</v>
      </c>
      <c r="D249" t="s">
        <v>2237</v>
      </c>
      <c r="E249" t="s">
        <v>108</v>
      </c>
      <c r="F249" t="s">
        <v>2231</v>
      </c>
      <c r="G249" t="s">
        <v>4143</v>
      </c>
      <c r="H249" t="s">
        <v>108</v>
      </c>
      <c r="I249" t="s">
        <v>4016</v>
      </c>
    </row>
    <row r="250" spans="1:9">
      <c r="A250" s="93" t="s">
        <v>4144</v>
      </c>
      <c r="B250" t="s">
        <v>1896</v>
      </c>
      <c r="C250" t="s">
        <v>2238</v>
      </c>
      <c r="D250" t="s">
        <v>2237</v>
      </c>
      <c r="E250" t="s">
        <v>108</v>
      </c>
      <c r="F250" t="s">
        <v>2239</v>
      </c>
      <c r="G250" t="s">
        <v>4143</v>
      </c>
      <c r="H250" t="s">
        <v>108</v>
      </c>
      <c r="I250" t="s">
        <v>4016</v>
      </c>
    </row>
    <row r="251" spans="1:9">
      <c r="A251" s="93" t="s">
        <v>4144</v>
      </c>
      <c r="B251" t="s">
        <v>1896</v>
      </c>
      <c r="C251" t="s">
        <v>2240</v>
      </c>
      <c r="D251" t="s">
        <v>2241</v>
      </c>
      <c r="E251" t="s">
        <v>2193</v>
      </c>
      <c r="G251" t="s">
        <v>4143</v>
      </c>
      <c r="H251" t="s">
        <v>2193</v>
      </c>
      <c r="I251" t="s">
        <v>4016</v>
      </c>
    </row>
    <row r="252" spans="1:9">
      <c r="A252" s="93" t="s">
        <v>4144</v>
      </c>
      <c r="B252" t="s">
        <v>1896</v>
      </c>
      <c r="C252" t="s">
        <v>2242</v>
      </c>
      <c r="D252" t="s">
        <v>2220</v>
      </c>
      <c r="E252" t="s">
        <v>2243</v>
      </c>
      <c r="F252" t="s">
        <v>2244</v>
      </c>
      <c r="G252" t="s">
        <v>4143</v>
      </c>
      <c r="H252" t="s">
        <v>2377</v>
      </c>
      <c r="I252" t="s">
        <v>4016</v>
      </c>
    </row>
    <row r="253" spans="1:9">
      <c r="A253" s="93" t="s">
        <v>4144</v>
      </c>
      <c r="B253" t="s">
        <v>1896</v>
      </c>
      <c r="C253" t="s">
        <v>2245</v>
      </c>
      <c r="D253" t="s">
        <v>2241</v>
      </c>
      <c r="E253" t="s">
        <v>2246</v>
      </c>
      <c r="G253" t="s">
        <v>4143</v>
      </c>
      <c r="H253" t="s">
        <v>108</v>
      </c>
      <c r="I253" t="s">
        <v>4016</v>
      </c>
    </row>
    <row r="254" spans="1:9">
      <c r="A254" s="93" t="s">
        <v>4144</v>
      </c>
      <c r="B254" t="s">
        <v>1896</v>
      </c>
      <c r="C254" t="s">
        <v>2378</v>
      </c>
      <c r="E254" t="s">
        <v>543</v>
      </c>
      <c r="F254" t="s">
        <v>2336</v>
      </c>
      <c r="G254" t="s">
        <v>4143</v>
      </c>
      <c r="H254" t="s">
        <v>543</v>
      </c>
      <c r="I254" t="s">
        <v>4016</v>
      </c>
    </row>
    <row r="255" spans="1:9">
      <c r="A255" s="93" t="s">
        <v>4144</v>
      </c>
      <c r="B255" t="s">
        <v>1896</v>
      </c>
      <c r="C255" t="s">
        <v>2247</v>
      </c>
      <c r="D255" t="s">
        <v>2248</v>
      </c>
      <c r="E255" t="s">
        <v>108</v>
      </c>
      <c r="F255" t="s">
        <v>2249</v>
      </c>
      <c r="G255" t="s">
        <v>4143</v>
      </c>
      <c r="H255" t="s">
        <v>108</v>
      </c>
      <c r="I255" t="s">
        <v>4016</v>
      </c>
    </row>
    <row r="256" spans="1:9">
      <c r="A256" s="93" t="s">
        <v>4144</v>
      </c>
      <c r="B256" t="s">
        <v>1896</v>
      </c>
      <c r="C256" t="s">
        <v>2337</v>
      </c>
      <c r="D256" t="s">
        <v>2248</v>
      </c>
      <c r="E256" t="s">
        <v>2338</v>
      </c>
      <c r="G256" t="s">
        <v>4145</v>
      </c>
      <c r="H256" t="s">
        <v>2379</v>
      </c>
      <c r="I256" t="s">
        <v>4016</v>
      </c>
    </row>
    <row r="257" spans="1:9">
      <c r="A257" s="93" t="s">
        <v>4144</v>
      </c>
      <c r="B257" t="s">
        <v>1898</v>
      </c>
      <c r="C257" t="s">
        <v>2381</v>
      </c>
      <c r="E257" t="s">
        <v>543</v>
      </c>
      <c r="G257" t="s">
        <v>4143</v>
      </c>
      <c r="H257" t="s">
        <v>543</v>
      </c>
      <c r="I257" t="s">
        <v>4020</v>
      </c>
    </row>
    <row r="258" spans="1:9">
      <c r="A258" s="93" t="s">
        <v>4144</v>
      </c>
      <c r="B258" t="s">
        <v>1898</v>
      </c>
      <c r="C258" t="s">
        <v>2251</v>
      </c>
      <c r="D258" t="s">
        <v>2252</v>
      </c>
      <c r="E258" t="s">
        <v>108</v>
      </c>
      <c r="G258" t="s">
        <v>4143</v>
      </c>
      <c r="H258" t="s">
        <v>108</v>
      </c>
      <c r="I258" t="s">
        <v>4020</v>
      </c>
    </row>
    <row r="259" spans="1:9">
      <c r="A259" s="93" t="s">
        <v>4144</v>
      </c>
      <c r="B259" t="s">
        <v>1898</v>
      </c>
      <c r="C259" t="s">
        <v>2253</v>
      </c>
      <c r="D259" t="s">
        <v>2252</v>
      </c>
      <c r="E259" t="s">
        <v>2193</v>
      </c>
      <c r="F259" t="s">
        <v>2254</v>
      </c>
      <c r="G259" t="s">
        <v>4143</v>
      </c>
      <c r="H259" t="s">
        <v>2193</v>
      </c>
      <c r="I259" t="s">
        <v>4020</v>
      </c>
    </row>
    <row r="260" spans="1:9">
      <c r="A260" s="93" t="s">
        <v>4144</v>
      </c>
      <c r="B260" t="s">
        <v>1898</v>
      </c>
      <c r="C260" t="s">
        <v>2255</v>
      </c>
      <c r="D260" t="s">
        <v>2256</v>
      </c>
      <c r="E260" t="s">
        <v>2257</v>
      </c>
      <c r="G260" t="s">
        <v>4143</v>
      </c>
      <c r="H260" t="s">
        <v>108</v>
      </c>
      <c r="I260" t="s">
        <v>4020</v>
      </c>
    </row>
    <row r="261" spans="1:9">
      <c r="A261" s="93" t="s">
        <v>4144</v>
      </c>
      <c r="B261" t="s">
        <v>1898</v>
      </c>
      <c r="C261" t="s">
        <v>2258</v>
      </c>
      <c r="D261" t="s">
        <v>2259</v>
      </c>
      <c r="E261" t="s">
        <v>2260</v>
      </c>
      <c r="F261" t="s">
        <v>2261</v>
      </c>
      <c r="G261" t="s">
        <v>4143</v>
      </c>
      <c r="H261" t="s">
        <v>2382</v>
      </c>
      <c r="I261" t="s">
        <v>4020</v>
      </c>
    </row>
    <row r="262" spans="1:9">
      <c r="A262" s="93" t="s">
        <v>4144</v>
      </c>
      <c r="B262" t="s">
        <v>1898</v>
      </c>
      <c r="C262" t="s">
        <v>2262</v>
      </c>
      <c r="D262" t="s">
        <v>2259</v>
      </c>
      <c r="E262" t="s">
        <v>2147</v>
      </c>
      <c r="F262" t="s">
        <v>2263</v>
      </c>
      <c r="G262" t="s">
        <v>4143</v>
      </c>
      <c r="H262" t="s">
        <v>108</v>
      </c>
      <c r="I262" t="s">
        <v>4020</v>
      </c>
    </row>
    <row r="263" spans="1:9">
      <c r="A263" s="93" t="s">
        <v>4144</v>
      </c>
      <c r="B263" t="s">
        <v>1898</v>
      </c>
      <c r="C263" t="s">
        <v>2264</v>
      </c>
      <c r="D263" t="s">
        <v>2252</v>
      </c>
      <c r="E263" t="s">
        <v>2265</v>
      </c>
      <c r="G263" t="s">
        <v>4143</v>
      </c>
      <c r="H263" t="s">
        <v>108</v>
      </c>
      <c r="I263" t="s">
        <v>4020</v>
      </c>
    </row>
    <row r="264" spans="1:9">
      <c r="A264" s="93" t="s">
        <v>4144</v>
      </c>
      <c r="B264" t="s">
        <v>1898</v>
      </c>
      <c r="C264" t="s">
        <v>2266</v>
      </c>
      <c r="D264" t="s">
        <v>2252</v>
      </c>
      <c r="E264" t="s">
        <v>2267</v>
      </c>
      <c r="F264" t="s">
        <v>2268</v>
      </c>
      <c r="G264" t="s">
        <v>4143</v>
      </c>
      <c r="H264" t="s">
        <v>108</v>
      </c>
      <c r="I264" t="s">
        <v>4020</v>
      </c>
    </row>
    <row r="265" spans="1:9">
      <c r="A265" s="93" t="s">
        <v>4144</v>
      </c>
      <c r="B265" t="s">
        <v>1898</v>
      </c>
      <c r="C265" t="s">
        <v>2269</v>
      </c>
      <c r="D265" t="s">
        <v>2252</v>
      </c>
      <c r="E265" t="s">
        <v>2270</v>
      </c>
      <c r="G265" t="s">
        <v>4143</v>
      </c>
      <c r="H265" t="s">
        <v>108</v>
      </c>
      <c r="I265" t="s">
        <v>4020</v>
      </c>
    </row>
    <row r="266" spans="1:9">
      <c r="A266" s="93" t="s">
        <v>4144</v>
      </c>
      <c r="B266" t="s">
        <v>1902</v>
      </c>
      <c r="C266" t="s">
        <v>2272</v>
      </c>
      <c r="D266" t="s">
        <v>2273</v>
      </c>
      <c r="E266" t="s">
        <v>2274</v>
      </c>
      <c r="F266" t="s">
        <v>2275</v>
      </c>
      <c r="G266" t="s">
        <v>4143</v>
      </c>
      <c r="H266" t="s">
        <v>1559</v>
      </c>
      <c r="I266" t="s">
        <v>4024</v>
      </c>
    </row>
    <row r="267" spans="1:9">
      <c r="A267" s="93" t="s">
        <v>4144</v>
      </c>
      <c r="B267" t="s">
        <v>1902</v>
      </c>
      <c r="C267" t="s">
        <v>2276</v>
      </c>
      <c r="D267" t="s">
        <v>2248</v>
      </c>
      <c r="E267" t="s">
        <v>2277</v>
      </c>
      <c r="F267" t="s">
        <v>2278</v>
      </c>
      <c r="G267" t="s">
        <v>4143</v>
      </c>
      <c r="H267" t="s">
        <v>108</v>
      </c>
      <c r="I267" t="s">
        <v>4024</v>
      </c>
    </row>
    <row r="268" spans="1:9">
      <c r="A268" s="93" t="s">
        <v>4144</v>
      </c>
      <c r="B268" t="s">
        <v>1902</v>
      </c>
      <c r="C268" t="s">
        <v>2279</v>
      </c>
      <c r="D268" t="s">
        <v>2280</v>
      </c>
      <c r="E268" t="s">
        <v>2281</v>
      </c>
      <c r="F268" t="s">
        <v>2282</v>
      </c>
      <c r="G268" t="s">
        <v>4143</v>
      </c>
      <c r="H268" t="s">
        <v>108</v>
      </c>
      <c r="I268" t="s">
        <v>4024</v>
      </c>
    </row>
    <row r="269" spans="1:9">
      <c r="A269" s="93" t="s">
        <v>4144</v>
      </c>
      <c r="B269" t="s">
        <v>1902</v>
      </c>
      <c r="C269" t="s">
        <v>2283</v>
      </c>
      <c r="D269" t="s">
        <v>2273</v>
      </c>
      <c r="E269" t="s">
        <v>108</v>
      </c>
      <c r="F269" t="s">
        <v>2284</v>
      </c>
      <c r="G269" t="s">
        <v>4143</v>
      </c>
      <c r="H269" t="s">
        <v>108</v>
      </c>
      <c r="I269" t="s">
        <v>4024</v>
      </c>
    </row>
    <row r="270" spans="1:9">
      <c r="A270" s="93" t="s">
        <v>4144</v>
      </c>
      <c r="B270" t="s">
        <v>1902</v>
      </c>
      <c r="C270" t="s">
        <v>2285</v>
      </c>
      <c r="E270" t="s">
        <v>2135</v>
      </c>
      <c r="G270" t="s">
        <v>4145</v>
      </c>
      <c r="H270" t="s">
        <v>2355</v>
      </c>
      <c r="I270" t="s">
        <v>4024</v>
      </c>
    </row>
    <row r="271" spans="1:9">
      <c r="A271" s="93" t="s">
        <v>4144</v>
      </c>
      <c r="B271" t="s">
        <v>1902</v>
      </c>
      <c r="C271" t="s">
        <v>2286</v>
      </c>
      <c r="E271" t="s">
        <v>108</v>
      </c>
      <c r="G271" t="s">
        <v>4143</v>
      </c>
      <c r="H271" t="s">
        <v>108</v>
      </c>
      <c r="I271" t="s">
        <v>4024</v>
      </c>
    </row>
    <row r="272" spans="1:9">
      <c r="A272" s="93" t="s">
        <v>4144</v>
      </c>
      <c r="B272" t="s">
        <v>1902</v>
      </c>
      <c r="C272" t="s">
        <v>2287</v>
      </c>
      <c r="D272" t="s">
        <v>2273</v>
      </c>
      <c r="E272" t="s">
        <v>2288</v>
      </c>
      <c r="F272" t="s">
        <v>2289</v>
      </c>
      <c r="G272" t="s">
        <v>4143</v>
      </c>
      <c r="H272" t="s">
        <v>2288</v>
      </c>
      <c r="I272" t="s">
        <v>4024</v>
      </c>
    </row>
    <row r="273" spans="1:9">
      <c r="A273" s="93" t="s">
        <v>4144</v>
      </c>
      <c r="B273" t="s">
        <v>3926</v>
      </c>
      <c r="C273" t="s">
        <v>2291</v>
      </c>
      <c r="E273" t="s">
        <v>2135</v>
      </c>
      <c r="F273" t="s">
        <v>2292</v>
      </c>
      <c r="G273" t="s">
        <v>4145</v>
      </c>
      <c r="H273" t="s">
        <v>2355</v>
      </c>
    </row>
    <row r="274" spans="1:9">
      <c r="A274" s="93" t="s">
        <v>4144</v>
      </c>
      <c r="B274" t="s">
        <v>3926</v>
      </c>
      <c r="C274" t="s">
        <v>2293</v>
      </c>
      <c r="D274" t="s">
        <v>2294</v>
      </c>
      <c r="E274" t="s">
        <v>2295</v>
      </c>
      <c r="F274" t="s">
        <v>2296</v>
      </c>
      <c r="G274" t="s">
        <v>4143</v>
      </c>
      <c r="H274" t="s">
        <v>108</v>
      </c>
    </row>
    <row r="275" spans="1:9">
      <c r="A275" s="93" t="s">
        <v>4144</v>
      </c>
      <c r="B275" t="s">
        <v>3926</v>
      </c>
      <c r="C275" t="s">
        <v>2385</v>
      </c>
      <c r="D275" t="s">
        <v>2298</v>
      </c>
      <c r="E275" t="s">
        <v>543</v>
      </c>
      <c r="F275" t="s">
        <v>2386</v>
      </c>
      <c r="G275" t="s">
        <v>4143</v>
      </c>
      <c r="H275" t="s">
        <v>543</v>
      </c>
    </row>
    <row r="276" spans="1:9">
      <c r="A276" s="93" t="s">
        <v>4144</v>
      </c>
      <c r="B276" t="s">
        <v>3926</v>
      </c>
      <c r="C276" t="s">
        <v>2297</v>
      </c>
      <c r="D276" t="s">
        <v>2298</v>
      </c>
      <c r="E276" t="s">
        <v>108</v>
      </c>
      <c r="F276" t="s">
        <v>2299</v>
      </c>
      <c r="G276" t="s">
        <v>4143</v>
      </c>
      <c r="H276" t="s">
        <v>108</v>
      </c>
    </row>
    <row r="277" spans="1:9">
      <c r="A277" s="93" t="s">
        <v>4144</v>
      </c>
      <c r="B277" t="s">
        <v>3926</v>
      </c>
      <c r="C277" t="s">
        <v>2300</v>
      </c>
      <c r="D277" t="s">
        <v>2294</v>
      </c>
      <c r="E277" t="s">
        <v>108</v>
      </c>
      <c r="F277" t="s">
        <v>2299</v>
      </c>
      <c r="G277" t="s">
        <v>4143</v>
      </c>
      <c r="H277" t="s">
        <v>108</v>
      </c>
    </row>
    <row r="278" spans="1:9">
      <c r="A278" s="93" t="s">
        <v>4144</v>
      </c>
      <c r="B278" t="s">
        <v>3926</v>
      </c>
      <c r="C278" t="s">
        <v>2301</v>
      </c>
      <c r="D278" t="s">
        <v>2302</v>
      </c>
      <c r="E278" t="s">
        <v>2193</v>
      </c>
      <c r="F278" t="s">
        <v>2303</v>
      </c>
      <c r="G278" t="s">
        <v>4143</v>
      </c>
      <c r="H278" t="s">
        <v>2193</v>
      </c>
    </row>
    <row r="279" spans="1:9">
      <c r="A279" s="93" t="s">
        <v>4144</v>
      </c>
      <c r="B279" t="s">
        <v>3926</v>
      </c>
      <c r="C279" t="s">
        <v>2304</v>
      </c>
      <c r="D279" t="s">
        <v>2305</v>
      </c>
      <c r="E279" t="s">
        <v>2257</v>
      </c>
      <c r="F279" t="s">
        <v>2306</v>
      </c>
      <c r="G279" t="s">
        <v>4143</v>
      </c>
      <c r="H279" t="s">
        <v>108</v>
      </c>
    </row>
    <row r="280" spans="1:9">
      <c r="A280" s="93" t="s">
        <v>4144</v>
      </c>
      <c r="B280" t="s">
        <v>3926</v>
      </c>
      <c r="C280" t="s">
        <v>2347</v>
      </c>
      <c r="D280" t="s">
        <v>2213</v>
      </c>
      <c r="E280" t="s">
        <v>2348</v>
      </c>
      <c r="F280" t="s">
        <v>2296</v>
      </c>
      <c r="G280" t="s">
        <v>4143</v>
      </c>
      <c r="H280" t="s">
        <v>2348</v>
      </c>
    </row>
    <row r="281" spans="1:9">
      <c r="A281" s="93" t="s">
        <v>4146</v>
      </c>
      <c r="B281" t="s">
        <v>1874</v>
      </c>
      <c r="C281" t="s">
        <v>2352</v>
      </c>
      <c r="E281" t="s">
        <v>1201</v>
      </c>
      <c r="G281" t="s">
        <v>4143</v>
      </c>
      <c r="H281" t="s">
        <v>1201</v>
      </c>
      <c r="I281" t="s">
        <v>3984</v>
      </c>
    </row>
    <row r="282" spans="1:9">
      <c r="A282" s="93" t="s">
        <v>4146</v>
      </c>
      <c r="B282" t="s">
        <v>1874</v>
      </c>
      <c r="C282" t="s">
        <v>2118</v>
      </c>
      <c r="E282" t="s">
        <v>2119</v>
      </c>
      <c r="G282" t="s">
        <v>4143</v>
      </c>
      <c r="H282" t="s">
        <v>1201</v>
      </c>
      <c r="I282" t="s">
        <v>3984</v>
      </c>
    </row>
    <row r="283" spans="1:9">
      <c r="A283" s="93" t="s">
        <v>4146</v>
      </c>
      <c r="B283" t="s">
        <v>1896</v>
      </c>
      <c r="C283" t="s">
        <v>2242</v>
      </c>
      <c r="D283" t="s">
        <v>2220</v>
      </c>
      <c r="E283" t="s">
        <v>2243</v>
      </c>
      <c r="F283" t="s">
        <v>2244</v>
      </c>
      <c r="G283" t="s">
        <v>4143</v>
      </c>
      <c r="H283" t="s">
        <v>2390</v>
      </c>
      <c r="I283" t="s">
        <v>4016</v>
      </c>
    </row>
    <row r="284" spans="1:9">
      <c r="A284" s="93" t="s">
        <v>4146</v>
      </c>
      <c r="B284" t="s">
        <v>1898</v>
      </c>
      <c r="C284" t="s">
        <v>2258</v>
      </c>
      <c r="D284" t="s">
        <v>2259</v>
      </c>
      <c r="E284" t="s">
        <v>2260</v>
      </c>
      <c r="F284" t="s">
        <v>2261</v>
      </c>
      <c r="G284" t="s">
        <v>4143</v>
      </c>
      <c r="H284" t="s">
        <v>2392</v>
      </c>
      <c r="I284" t="s">
        <v>4020</v>
      </c>
    </row>
    <row r="285" spans="1:9">
      <c r="A285" s="93" t="s">
        <v>4146</v>
      </c>
      <c r="B285" t="s">
        <v>3926</v>
      </c>
      <c r="C285" t="s">
        <v>2347</v>
      </c>
      <c r="D285" t="s">
        <v>2213</v>
      </c>
      <c r="E285" t="s">
        <v>2348</v>
      </c>
      <c r="F285" t="s">
        <v>2296</v>
      </c>
      <c r="G285" t="s">
        <v>4143</v>
      </c>
      <c r="H285" t="s">
        <v>2394</v>
      </c>
    </row>
    <row r="286" spans="1:9">
      <c r="A286" s="93" t="s">
        <v>4147</v>
      </c>
      <c r="B286" t="s">
        <v>1874</v>
      </c>
      <c r="C286" t="s">
        <v>2308</v>
      </c>
      <c r="D286" t="s">
        <v>2122</v>
      </c>
      <c r="E286" t="s">
        <v>2309</v>
      </c>
      <c r="F286" t="s">
        <v>2312</v>
      </c>
      <c r="G286" t="s">
        <v>4148</v>
      </c>
      <c r="H286" t="s">
        <v>2311</v>
      </c>
      <c r="I286" t="s">
        <v>3984</v>
      </c>
    </row>
    <row r="287" spans="1:9">
      <c r="A287" s="93" t="s">
        <v>4147</v>
      </c>
      <c r="B287" t="s">
        <v>1874</v>
      </c>
      <c r="C287" t="s">
        <v>2313</v>
      </c>
      <c r="D287" t="s">
        <v>2314</v>
      </c>
      <c r="E287" t="s">
        <v>2309</v>
      </c>
      <c r="G287" t="s">
        <v>4148</v>
      </c>
      <c r="H287" t="s">
        <v>2311</v>
      </c>
      <c r="I287" t="s">
        <v>3984</v>
      </c>
    </row>
    <row r="288" spans="1:9">
      <c r="A288" s="93" t="s">
        <v>4147</v>
      </c>
      <c r="B288" t="s">
        <v>1874</v>
      </c>
      <c r="C288" t="s">
        <v>2315</v>
      </c>
      <c r="D288" t="s">
        <v>2314</v>
      </c>
      <c r="E288" t="s">
        <v>2309</v>
      </c>
      <c r="G288" t="s">
        <v>4148</v>
      </c>
      <c r="H288" t="s">
        <v>2311</v>
      </c>
      <c r="I288" t="s">
        <v>3984</v>
      </c>
    </row>
    <row r="289" spans="1:9">
      <c r="A289" s="93" t="s">
        <v>4147</v>
      </c>
      <c r="B289" t="s">
        <v>1874</v>
      </c>
      <c r="C289" t="s">
        <v>2316</v>
      </c>
      <c r="D289" t="s">
        <v>2124</v>
      </c>
      <c r="E289" t="s">
        <v>2309</v>
      </c>
      <c r="G289" t="s">
        <v>4148</v>
      </c>
      <c r="H289" t="s">
        <v>2311</v>
      </c>
      <c r="I289" t="s">
        <v>3984</v>
      </c>
    </row>
    <row r="290" spans="1:9">
      <c r="A290" s="93" t="s">
        <v>4147</v>
      </c>
      <c r="B290" t="s">
        <v>1875</v>
      </c>
      <c r="C290" t="s">
        <v>2134</v>
      </c>
      <c r="E290" t="s">
        <v>2135</v>
      </c>
      <c r="F290" t="s">
        <v>2137</v>
      </c>
      <c r="G290" t="s">
        <v>4148</v>
      </c>
      <c r="H290" t="s">
        <v>2318</v>
      </c>
      <c r="I290" t="s">
        <v>3988</v>
      </c>
    </row>
    <row r="291" spans="1:9">
      <c r="A291" s="93" t="s">
        <v>4147</v>
      </c>
      <c r="B291" t="s">
        <v>1882</v>
      </c>
      <c r="C291" t="s">
        <v>2169</v>
      </c>
      <c r="D291" t="s">
        <v>2129</v>
      </c>
      <c r="E291" t="s">
        <v>2170</v>
      </c>
      <c r="G291" t="s">
        <v>4148</v>
      </c>
      <c r="H291" t="s">
        <v>2318</v>
      </c>
      <c r="I291" t="s">
        <v>4000</v>
      </c>
    </row>
    <row r="292" spans="1:9">
      <c r="A292" s="93" t="s">
        <v>4147</v>
      </c>
      <c r="B292" t="s">
        <v>1882</v>
      </c>
      <c r="C292" t="s">
        <v>2171</v>
      </c>
      <c r="D292" t="s">
        <v>2129</v>
      </c>
      <c r="E292" t="s">
        <v>2135</v>
      </c>
      <c r="G292" t="s">
        <v>4148</v>
      </c>
      <c r="H292" t="s">
        <v>2318</v>
      </c>
      <c r="I292" t="s">
        <v>4000</v>
      </c>
    </row>
    <row r="293" spans="1:9">
      <c r="A293" s="93" t="s">
        <v>4147</v>
      </c>
      <c r="B293" t="s">
        <v>1882</v>
      </c>
      <c r="C293" t="s">
        <v>2172</v>
      </c>
      <c r="D293" t="s">
        <v>2129</v>
      </c>
      <c r="E293" t="s">
        <v>2135</v>
      </c>
      <c r="G293" t="s">
        <v>4148</v>
      </c>
      <c r="H293" t="s">
        <v>2318</v>
      </c>
      <c r="I293" t="s">
        <v>4000</v>
      </c>
    </row>
    <row r="294" spans="1:9">
      <c r="A294" s="93" t="s">
        <v>4147</v>
      </c>
      <c r="B294" t="s">
        <v>1882</v>
      </c>
      <c r="C294" t="s">
        <v>2173</v>
      </c>
      <c r="D294" t="s">
        <v>2174</v>
      </c>
      <c r="E294" t="s">
        <v>2135</v>
      </c>
      <c r="G294" t="s">
        <v>4148</v>
      </c>
      <c r="H294" t="s">
        <v>2318</v>
      </c>
      <c r="I294" t="s">
        <v>4000</v>
      </c>
    </row>
    <row r="295" spans="1:9">
      <c r="A295" s="93" t="s">
        <v>4147</v>
      </c>
      <c r="B295" t="s">
        <v>1882</v>
      </c>
      <c r="C295" t="s">
        <v>2175</v>
      </c>
      <c r="E295" t="s">
        <v>2135</v>
      </c>
      <c r="G295" t="s">
        <v>4148</v>
      </c>
      <c r="H295" t="s">
        <v>2318</v>
      </c>
      <c r="I295" t="s">
        <v>4000</v>
      </c>
    </row>
    <row r="296" spans="1:9">
      <c r="A296" s="93" t="s">
        <v>4147</v>
      </c>
      <c r="B296" t="s">
        <v>1882</v>
      </c>
      <c r="C296" t="s">
        <v>2176</v>
      </c>
      <c r="E296" t="s">
        <v>2135</v>
      </c>
      <c r="G296" t="s">
        <v>4148</v>
      </c>
      <c r="H296" t="s">
        <v>2318</v>
      </c>
      <c r="I296" t="s">
        <v>4000</v>
      </c>
    </row>
    <row r="297" spans="1:9">
      <c r="A297" s="93" t="s">
        <v>4147</v>
      </c>
      <c r="B297" t="s">
        <v>1882</v>
      </c>
      <c r="C297" t="s">
        <v>2177</v>
      </c>
      <c r="E297" t="s">
        <v>2135</v>
      </c>
      <c r="G297" t="s">
        <v>4148</v>
      </c>
      <c r="H297" t="s">
        <v>2318</v>
      </c>
      <c r="I297" t="s">
        <v>4000</v>
      </c>
    </row>
    <row r="298" spans="1:9">
      <c r="A298" s="93" t="s">
        <v>4147</v>
      </c>
      <c r="B298" t="s">
        <v>1884</v>
      </c>
      <c r="C298" t="s">
        <v>2188</v>
      </c>
      <c r="E298" t="s">
        <v>2189</v>
      </c>
      <c r="G298" t="s">
        <v>4143</v>
      </c>
      <c r="H298" t="s">
        <v>2400</v>
      </c>
      <c r="I298" t="s">
        <v>4002</v>
      </c>
    </row>
    <row r="299" spans="1:9">
      <c r="A299" s="93" t="s">
        <v>4147</v>
      </c>
      <c r="B299" t="s">
        <v>1884</v>
      </c>
      <c r="C299" t="s">
        <v>2190</v>
      </c>
      <c r="E299" t="s">
        <v>2135</v>
      </c>
      <c r="G299" t="s">
        <v>4148</v>
      </c>
      <c r="H299" t="s">
        <v>2318</v>
      </c>
      <c r="I299" t="s">
        <v>4002</v>
      </c>
    </row>
    <row r="300" spans="1:9">
      <c r="A300" s="93" t="s">
        <v>4147</v>
      </c>
      <c r="B300" t="s">
        <v>1884</v>
      </c>
      <c r="C300" t="s">
        <v>2191</v>
      </c>
      <c r="E300" t="s">
        <v>2135</v>
      </c>
      <c r="G300" t="s">
        <v>4148</v>
      </c>
      <c r="H300" t="s">
        <v>2318</v>
      </c>
      <c r="I300" t="s">
        <v>4002</v>
      </c>
    </row>
    <row r="301" spans="1:9">
      <c r="A301" s="93" t="s">
        <v>4147</v>
      </c>
      <c r="B301" t="s">
        <v>1889</v>
      </c>
      <c r="C301" t="s">
        <v>2206</v>
      </c>
      <c r="E301" t="s">
        <v>2135</v>
      </c>
      <c r="G301" t="s">
        <v>4148</v>
      </c>
      <c r="H301" t="s">
        <v>2318</v>
      </c>
      <c r="I301" t="s">
        <v>4004</v>
      </c>
    </row>
    <row r="302" spans="1:9">
      <c r="A302" s="93" t="s">
        <v>4147</v>
      </c>
      <c r="B302" t="s">
        <v>1893</v>
      </c>
      <c r="C302" t="s">
        <v>2328</v>
      </c>
      <c r="D302" t="s">
        <v>2217</v>
      </c>
      <c r="E302" t="s">
        <v>2309</v>
      </c>
      <c r="F302" t="s">
        <v>2329</v>
      </c>
      <c r="G302" t="s">
        <v>4148</v>
      </c>
      <c r="H302" t="s">
        <v>2311</v>
      </c>
      <c r="I302" t="s">
        <v>4012</v>
      </c>
    </row>
    <row r="303" spans="1:9">
      <c r="A303" s="93" t="s">
        <v>4147</v>
      </c>
      <c r="B303" t="s">
        <v>1893</v>
      </c>
      <c r="C303" t="s">
        <v>2330</v>
      </c>
      <c r="D303" t="s">
        <v>2331</v>
      </c>
      <c r="E303" t="s">
        <v>2309</v>
      </c>
      <c r="F303" t="s">
        <v>2332</v>
      </c>
      <c r="G303" t="s">
        <v>4148</v>
      </c>
      <c r="H303" t="s">
        <v>2311</v>
      </c>
      <c r="I303" t="s">
        <v>4012</v>
      </c>
    </row>
    <row r="304" spans="1:9">
      <c r="A304" s="93" t="s">
        <v>4147</v>
      </c>
      <c r="B304" t="s">
        <v>1893</v>
      </c>
      <c r="C304" t="s">
        <v>2228</v>
      </c>
      <c r="E304" t="s">
        <v>2135</v>
      </c>
      <c r="G304" t="s">
        <v>4148</v>
      </c>
      <c r="H304" t="s">
        <v>2318</v>
      </c>
      <c r="I304" t="s">
        <v>4012</v>
      </c>
    </row>
    <row r="305" spans="1:9">
      <c r="A305" s="93" t="s">
        <v>4147</v>
      </c>
      <c r="B305" t="s">
        <v>1896</v>
      </c>
      <c r="C305" t="s">
        <v>2335</v>
      </c>
      <c r="E305" t="s">
        <v>2309</v>
      </c>
      <c r="F305" t="s">
        <v>2336</v>
      </c>
      <c r="G305" t="s">
        <v>4148</v>
      </c>
      <c r="H305" t="s">
        <v>2311</v>
      </c>
      <c r="I305" t="s">
        <v>4016</v>
      </c>
    </row>
    <row r="306" spans="1:9">
      <c r="A306" s="93" t="s">
        <v>4147</v>
      </c>
      <c r="B306" t="s">
        <v>1896</v>
      </c>
      <c r="C306" t="s">
        <v>2337</v>
      </c>
      <c r="D306" t="s">
        <v>2248</v>
      </c>
      <c r="E306" t="s">
        <v>2338</v>
      </c>
      <c r="G306" t="s">
        <v>4148</v>
      </c>
      <c r="H306" t="s">
        <v>2339</v>
      </c>
      <c r="I306" t="s">
        <v>4016</v>
      </c>
    </row>
    <row r="307" spans="1:9">
      <c r="A307" s="93" t="s">
        <v>4147</v>
      </c>
      <c r="B307" t="s">
        <v>1902</v>
      </c>
      <c r="C307" t="s">
        <v>2342</v>
      </c>
      <c r="E307" t="s">
        <v>2309</v>
      </c>
      <c r="F307" t="s">
        <v>2343</v>
      </c>
      <c r="G307" t="s">
        <v>4148</v>
      </c>
      <c r="H307" t="s">
        <v>2311</v>
      </c>
      <c r="I307" t="s">
        <v>4024</v>
      </c>
    </row>
    <row r="308" spans="1:9">
      <c r="A308" s="93" t="s">
        <v>4147</v>
      </c>
      <c r="B308" t="s">
        <v>1902</v>
      </c>
      <c r="C308" t="s">
        <v>2344</v>
      </c>
      <c r="D308" t="s">
        <v>2273</v>
      </c>
      <c r="E308" t="s">
        <v>2309</v>
      </c>
      <c r="F308" t="s">
        <v>2345</v>
      </c>
      <c r="G308" t="s">
        <v>4148</v>
      </c>
      <c r="H308" t="s">
        <v>2311</v>
      </c>
      <c r="I308" t="s">
        <v>4024</v>
      </c>
    </row>
    <row r="309" spans="1:9">
      <c r="A309" s="93" t="s">
        <v>4147</v>
      </c>
      <c r="B309" t="s">
        <v>1902</v>
      </c>
      <c r="C309" t="s">
        <v>2285</v>
      </c>
      <c r="E309" t="s">
        <v>2135</v>
      </c>
      <c r="G309" t="s">
        <v>4148</v>
      </c>
      <c r="H309" t="s">
        <v>2318</v>
      </c>
      <c r="I309" t="s">
        <v>4024</v>
      </c>
    </row>
    <row r="310" spans="1:9">
      <c r="A310" s="93" t="s">
        <v>4147</v>
      </c>
      <c r="B310" t="s">
        <v>3926</v>
      </c>
      <c r="C310" t="s">
        <v>2291</v>
      </c>
      <c r="E310" t="s">
        <v>2135</v>
      </c>
      <c r="F310" t="s">
        <v>2292</v>
      </c>
      <c r="G310" t="s">
        <v>4148</v>
      </c>
      <c r="H310" t="s">
        <v>2318</v>
      </c>
    </row>
    <row r="311" spans="1:9">
      <c r="A311" s="93" t="s">
        <v>4149</v>
      </c>
      <c r="B311" t="s">
        <v>1874</v>
      </c>
      <c r="C311" t="s">
        <v>2114</v>
      </c>
      <c r="D311" t="s">
        <v>2115</v>
      </c>
      <c r="E311" t="s">
        <v>1559</v>
      </c>
      <c r="F311" t="s">
        <v>2117</v>
      </c>
      <c r="G311" t="s">
        <v>4143</v>
      </c>
      <c r="H311" t="s">
        <v>108</v>
      </c>
      <c r="I311" t="s">
        <v>3984</v>
      </c>
    </row>
    <row r="312" spans="1:9">
      <c r="A312" s="93" t="s">
        <v>4149</v>
      </c>
      <c r="B312" t="s">
        <v>1874</v>
      </c>
      <c r="C312" t="s">
        <v>2118</v>
      </c>
      <c r="E312" t="s">
        <v>2119</v>
      </c>
      <c r="G312" t="s">
        <v>4143</v>
      </c>
      <c r="H312" t="s">
        <v>108</v>
      </c>
      <c r="I312" t="s">
        <v>3984</v>
      </c>
    </row>
    <row r="313" spans="1:9">
      <c r="A313" s="93" t="s">
        <v>4149</v>
      </c>
      <c r="B313" t="s">
        <v>1874</v>
      </c>
      <c r="C313" t="s">
        <v>2121</v>
      </c>
      <c r="D313" t="s">
        <v>2122</v>
      </c>
      <c r="E313" t="s">
        <v>108</v>
      </c>
      <c r="G313" t="s">
        <v>4143</v>
      </c>
      <c r="H313" t="s">
        <v>108</v>
      </c>
      <c r="I313" t="s">
        <v>3984</v>
      </c>
    </row>
    <row r="314" spans="1:9">
      <c r="A314" s="93" t="s">
        <v>4149</v>
      </c>
      <c r="B314" t="s">
        <v>1874</v>
      </c>
      <c r="C314" t="s">
        <v>2123</v>
      </c>
      <c r="D314" t="s">
        <v>2124</v>
      </c>
      <c r="E314" t="s">
        <v>108</v>
      </c>
      <c r="F314" t="s">
        <v>2125</v>
      </c>
      <c r="G314" t="s">
        <v>4143</v>
      </c>
      <c r="H314" t="s">
        <v>108</v>
      </c>
      <c r="I314" t="s">
        <v>3984</v>
      </c>
    </row>
    <row r="315" spans="1:9">
      <c r="A315" s="93" t="s">
        <v>4149</v>
      </c>
      <c r="B315" t="s">
        <v>1874</v>
      </c>
      <c r="C315" t="s">
        <v>2126</v>
      </c>
      <c r="E315" t="s">
        <v>108</v>
      </c>
      <c r="G315" t="s">
        <v>4143</v>
      </c>
      <c r="H315" t="s">
        <v>108</v>
      </c>
      <c r="I315" t="s">
        <v>3984</v>
      </c>
    </row>
    <row r="316" spans="1:9">
      <c r="A316" s="93" t="s">
        <v>4149</v>
      </c>
      <c r="B316" t="s">
        <v>1875</v>
      </c>
      <c r="C316" t="s">
        <v>2128</v>
      </c>
      <c r="D316" t="s">
        <v>2129</v>
      </c>
      <c r="E316" t="s">
        <v>108</v>
      </c>
      <c r="G316" t="s">
        <v>4143</v>
      </c>
      <c r="H316" t="s">
        <v>108</v>
      </c>
      <c r="I316" t="s">
        <v>3988</v>
      </c>
    </row>
    <row r="317" spans="1:9">
      <c r="A317" s="93" t="s">
        <v>4149</v>
      </c>
      <c r="B317" t="s">
        <v>1875</v>
      </c>
      <c r="C317" t="s">
        <v>2130</v>
      </c>
      <c r="D317" t="s">
        <v>2131</v>
      </c>
      <c r="E317" t="s">
        <v>108</v>
      </c>
      <c r="F317" t="s">
        <v>2132</v>
      </c>
      <c r="G317" t="s">
        <v>4143</v>
      </c>
      <c r="H317" t="s">
        <v>108</v>
      </c>
      <c r="I317" t="s">
        <v>3988</v>
      </c>
    </row>
    <row r="318" spans="1:9">
      <c r="A318" s="93" t="s">
        <v>4149</v>
      </c>
      <c r="B318" t="s">
        <v>1875</v>
      </c>
      <c r="C318" t="s">
        <v>2133</v>
      </c>
      <c r="D318" t="s">
        <v>2131</v>
      </c>
      <c r="E318" t="s">
        <v>108</v>
      </c>
      <c r="G318" t="s">
        <v>4143</v>
      </c>
      <c r="H318" t="s">
        <v>108</v>
      </c>
      <c r="I318" t="s">
        <v>3988</v>
      </c>
    </row>
    <row r="319" spans="1:9">
      <c r="A319" s="93" t="s">
        <v>4149</v>
      </c>
      <c r="B319" t="s">
        <v>1875</v>
      </c>
      <c r="C319" t="s">
        <v>2134</v>
      </c>
      <c r="E319" t="s">
        <v>2135</v>
      </c>
      <c r="F319" t="s">
        <v>2137</v>
      </c>
      <c r="G319" t="s">
        <v>4139</v>
      </c>
      <c r="H319" t="s">
        <v>2136</v>
      </c>
      <c r="I319" t="s">
        <v>3988</v>
      </c>
    </row>
    <row r="320" spans="1:9">
      <c r="A320" s="93" t="s">
        <v>4149</v>
      </c>
      <c r="B320" t="s">
        <v>1875</v>
      </c>
      <c r="C320" t="s">
        <v>2138</v>
      </c>
      <c r="D320" t="s">
        <v>2139</v>
      </c>
      <c r="E320" t="s">
        <v>108</v>
      </c>
      <c r="F320" t="s">
        <v>2140</v>
      </c>
      <c r="G320" t="s">
        <v>4143</v>
      </c>
      <c r="H320" t="s">
        <v>108</v>
      </c>
      <c r="I320" t="s">
        <v>3988</v>
      </c>
    </row>
    <row r="321" spans="1:9">
      <c r="A321" s="93" t="s">
        <v>4149</v>
      </c>
      <c r="B321" t="s">
        <v>3697</v>
      </c>
      <c r="C321" t="s">
        <v>2142</v>
      </c>
      <c r="D321" t="s">
        <v>2143</v>
      </c>
      <c r="E321" t="s">
        <v>108</v>
      </c>
      <c r="G321" t="s">
        <v>4143</v>
      </c>
      <c r="H321" t="s">
        <v>108</v>
      </c>
      <c r="I321" t="s">
        <v>3992</v>
      </c>
    </row>
    <row r="322" spans="1:9">
      <c r="A322" s="93" t="s">
        <v>4149</v>
      </c>
      <c r="B322" t="s">
        <v>3697</v>
      </c>
      <c r="C322" t="s">
        <v>2144</v>
      </c>
      <c r="D322" t="s">
        <v>2143</v>
      </c>
      <c r="E322" t="s">
        <v>2145</v>
      </c>
      <c r="G322" t="s">
        <v>4143</v>
      </c>
      <c r="H322" t="s">
        <v>108</v>
      </c>
      <c r="I322" t="s">
        <v>3992</v>
      </c>
    </row>
    <row r="323" spans="1:9">
      <c r="A323" s="93" t="s">
        <v>4149</v>
      </c>
      <c r="B323" t="s">
        <v>3697</v>
      </c>
      <c r="C323" t="s">
        <v>2146</v>
      </c>
      <c r="D323" t="s">
        <v>2143</v>
      </c>
      <c r="E323" t="s">
        <v>2147</v>
      </c>
      <c r="F323" t="s">
        <v>2148</v>
      </c>
      <c r="G323" t="s">
        <v>4143</v>
      </c>
      <c r="H323" t="s">
        <v>108</v>
      </c>
      <c r="I323" t="s">
        <v>3992</v>
      </c>
    </row>
    <row r="324" spans="1:9">
      <c r="A324" s="93" t="s">
        <v>4149</v>
      </c>
      <c r="B324" t="s">
        <v>3697</v>
      </c>
      <c r="C324" t="s">
        <v>2149</v>
      </c>
      <c r="D324" t="s">
        <v>2143</v>
      </c>
      <c r="E324" t="s">
        <v>108</v>
      </c>
      <c r="G324" t="s">
        <v>4143</v>
      </c>
      <c r="H324" t="s">
        <v>108</v>
      </c>
      <c r="I324" t="s">
        <v>3992</v>
      </c>
    </row>
    <row r="325" spans="1:9">
      <c r="A325" s="93" t="s">
        <v>4149</v>
      </c>
      <c r="B325" t="s">
        <v>1881</v>
      </c>
      <c r="C325" t="s">
        <v>2151</v>
      </c>
      <c r="D325" t="s">
        <v>2152</v>
      </c>
      <c r="E325" t="s">
        <v>2153</v>
      </c>
      <c r="G325" t="s">
        <v>4143</v>
      </c>
      <c r="H325" t="s">
        <v>108</v>
      </c>
      <c r="I325" t="s">
        <v>3996</v>
      </c>
    </row>
    <row r="326" spans="1:9">
      <c r="A326" s="93" t="s">
        <v>4149</v>
      </c>
      <c r="B326" t="s">
        <v>1881</v>
      </c>
      <c r="C326" t="s">
        <v>2154</v>
      </c>
      <c r="D326" t="s">
        <v>2155</v>
      </c>
      <c r="E326" t="s">
        <v>108</v>
      </c>
      <c r="G326" t="s">
        <v>4143</v>
      </c>
      <c r="H326" t="s">
        <v>108</v>
      </c>
      <c r="I326" t="s">
        <v>3996</v>
      </c>
    </row>
    <row r="327" spans="1:9">
      <c r="A327" s="93" t="s">
        <v>4149</v>
      </c>
      <c r="B327" t="s">
        <v>1881</v>
      </c>
      <c r="C327" t="s">
        <v>2156</v>
      </c>
      <c r="D327" t="s">
        <v>2152</v>
      </c>
      <c r="E327" t="s">
        <v>2157</v>
      </c>
      <c r="G327" t="s">
        <v>4143</v>
      </c>
      <c r="H327" t="s">
        <v>108</v>
      </c>
      <c r="I327" t="s">
        <v>3996</v>
      </c>
    </row>
    <row r="328" spans="1:9">
      <c r="A328" s="93" t="s">
        <v>4149</v>
      </c>
      <c r="B328" t="s">
        <v>1881</v>
      </c>
      <c r="C328" t="s">
        <v>2158</v>
      </c>
      <c r="D328" t="s">
        <v>2155</v>
      </c>
      <c r="E328" t="s">
        <v>2159</v>
      </c>
      <c r="F328" t="s">
        <v>2160</v>
      </c>
      <c r="G328" t="s">
        <v>4143</v>
      </c>
      <c r="H328" t="s">
        <v>108</v>
      </c>
      <c r="I328" t="s">
        <v>3996</v>
      </c>
    </row>
    <row r="329" spans="1:9">
      <c r="A329" s="93" t="s">
        <v>4149</v>
      </c>
      <c r="B329" t="s">
        <v>1881</v>
      </c>
      <c r="C329" t="s">
        <v>2161</v>
      </c>
      <c r="D329" t="s">
        <v>2162</v>
      </c>
      <c r="E329" t="s">
        <v>108</v>
      </c>
      <c r="F329" t="s">
        <v>2163</v>
      </c>
      <c r="G329" t="s">
        <v>4143</v>
      </c>
      <c r="H329" t="s">
        <v>108</v>
      </c>
      <c r="I329" t="s">
        <v>3996</v>
      </c>
    </row>
    <row r="330" spans="1:9">
      <c r="A330" s="93" t="s">
        <v>4149</v>
      </c>
      <c r="B330" t="s">
        <v>1881</v>
      </c>
      <c r="C330" t="s">
        <v>2164</v>
      </c>
      <c r="D330" t="s">
        <v>2162</v>
      </c>
      <c r="E330" t="s">
        <v>108</v>
      </c>
      <c r="G330" t="s">
        <v>4143</v>
      </c>
      <c r="H330" t="s">
        <v>108</v>
      </c>
      <c r="I330" t="s">
        <v>3996</v>
      </c>
    </row>
    <row r="331" spans="1:9">
      <c r="A331" s="93" t="s">
        <v>4149</v>
      </c>
      <c r="B331" t="s">
        <v>1882</v>
      </c>
      <c r="C331" t="s">
        <v>2166</v>
      </c>
      <c r="D331" t="s">
        <v>2167</v>
      </c>
      <c r="E331" t="s">
        <v>108</v>
      </c>
      <c r="F331" t="s">
        <v>2168</v>
      </c>
      <c r="G331" t="s">
        <v>4143</v>
      </c>
      <c r="H331" t="s">
        <v>108</v>
      </c>
      <c r="I331" t="s">
        <v>4000</v>
      </c>
    </row>
    <row r="332" spans="1:9">
      <c r="A332" s="93" t="s">
        <v>4149</v>
      </c>
      <c r="B332" t="s">
        <v>1882</v>
      </c>
      <c r="C332" t="s">
        <v>2169</v>
      </c>
      <c r="D332" t="s">
        <v>2129</v>
      </c>
      <c r="E332" t="s">
        <v>2170</v>
      </c>
      <c r="G332" t="s">
        <v>4139</v>
      </c>
      <c r="H332" t="s">
        <v>2136</v>
      </c>
      <c r="I332" t="s">
        <v>4000</v>
      </c>
    </row>
    <row r="333" spans="1:9">
      <c r="A333" s="93" t="s">
        <v>4149</v>
      </c>
      <c r="B333" t="s">
        <v>1882</v>
      </c>
      <c r="C333" t="s">
        <v>2171</v>
      </c>
      <c r="D333" t="s">
        <v>2129</v>
      </c>
      <c r="E333" t="s">
        <v>2135</v>
      </c>
      <c r="G333" t="s">
        <v>4139</v>
      </c>
      <c r="H333" t="s">
        <v>2136</v>
      </c>
      <c r="I333" t="s">
        <v>4000</v>
      </c>
    </row>
    <row r="334" spans="1:9">
      <c r="A334" s="93" t="s">
        <v>4149</v>
      </c>
      <c r="B334" t="s">
        <v>1882</v>
      </c>
      <c r="C334" t="s">
        <v>2172</v>
      </c>
      <c r="D334" t="s">
        <v>2129</v>
      </c>
      <c r="E334" t="s">
        <v>2135</v>
      </c>
      <c r="G334" t="s">
        <v>4139</v>
      </c>
      <c r="H334" t="s">
        <v>2136</v>
      </c>
      <c r="I334" t="s">
        <v>4000</v>
      </c>
    </row>
    <row r="335" spans="1:9">
      <c r="A335" s="93" t="s">
        <v>4149</v>
      </c>
      <c r="B335" t="s">
        <v>1882</v>
      </c>
      <c r="C335" t="s">
        <v>2173</v>
      </c>
      <c r="D335" t="s">
        <v>2174</v>
      </c>
      <c r="E335" t="s">
        <v>2135</v>
      </c>
      <c r="G335" t="s">
        <v>4139</v>
      </c>
      <c r="H335" t="s">
        <v>2136</v>
      </c>
      <c r="I335" t="s">
        <v>4000</v>
      </c>
    </row>
    <row r="336" spans="1:9">
      <c r="A336" s="93" t="s">
        <v>4149</v>
      </c>
      <c r="B336" t="s">
        <v>1882</v>
      </c>
      <c r="C336" t="s">
        <v>2175</v>
      </c>
      <c r="E336" t="s">
        <v>2135</v>
      </c>
      <c r="G336" t="s">
        <v>4139</v>
      </c>
      <c r="H336" t="s">
        <v>2136</v>
      </c>
      <c r="I336" t="s">
        <v>4000</v>
      </c>
    </row>
    <row r="337" spans="1:9">
      <c r="A337" s="93" t="s">
        <v>4149</v>
      </c>
      <c r="B337" t="s">
        <v>1882</v>
      </c>
      <c r="C337" t="s">
        <v>2176</v>
      </c>
      <c r="E337" t="s">
        <v>2135</v>
      </c>
      <c r="G337" t="s">
        <v>4139</v>
      </c>
      <c r="H337" t="s">
        <v>2136</v>
      </c>
      <c r="I337" t="s">
        <v>4000</v>
      </c>
    </row>
    <row r="338" spans="1:9">
      <c r="A338" s="93" t="s">
        <v>4149</v>
      </c>
      <c r="B338" t="s">
        <v>1882</v>
      </c>
      <c r="C338" t="s">
        <v>2177</v>
      </c>
      <c r="E338" t="s">
        <v>2135</v>
      </c>
      <c r="G338" t="s">
        <v>4139</v>
      </c>
      <c r="H338" t="s">
        <v>2136</v>
      </c>
      <c r="I338" t="s">
        <v>4000</v>
      </c>
    </row>
    <row r="339" spans="1:9">
      <c r="A339" s="93" t="s">
        <v>4149</v>
      </c>
      <c r="B339" t="s">
        <v>1884</v>
      </c>
      <c r="C339" t="s">
        <v>2179</v>
      </c>
      <c r="D339" t="s">
        <v>2180</v>
      </c>
      <c r="E339" t="s">
        <v>108</v>
      </c>
      <c r="G339" t="s">
        <v>4143</v>
      </c>
      <c r="H339" t="s">
        <v>108</v>
      </c>
      <c r="I339" t="s">
        <v>4002</v>
      </c>
    </row>
    <row r="340" spans="1:9">
      <c r="A340" s="93" t="s">
        <v>4149</v>
      </c>
      <c r="B340" t="s">
        <v>1884</v>
      </c>
      <c r="C340" t="s">
        <v>2181</v>
      </c>
      <c r="D340" t="s">
        <v>2182</v>
      </c>
      <c r="E340" t="s">
        <v>108</v>
      </c>
      <c r="G340" t="s">
        <v>4143</v>
      </c>
      <c r="H340" t="s">
        <v>108</v>
      </c>
      <c r="I340" t="s">
        <v>4002</v>
      </c>
    </row>
    <row r="341" spans="1:9">
      <c r="A341" s="93" t="s">
        <v>4149</v>
      </c>
      <c r="B341" t="s">
        <v>1884</v>
      </c>
      <c r="C341" t="s">
        <v>2183</v>
      </c>
      <c r="D341" t="s">
        <v>2182</v>
      </c>
      <c r="E341" t="s">
        <v>2184</v>
      </c>
      <c r="F341" t="s">
        <v>2185</v>
      </c>
      <c r="G341" t="s">
        <v>4143</v>
      </c>
      <c r="H341" t="s">
        <v>108</v>
      </c>
      <c r="I341" t="s">
        <v>4002</v>
      </c>
    </row>
    <row r="342" spans="1:9">
      <c r="A342" s="93" t="s">
        <v>4149</v>
      </c>
      <c r="B342" t="s">
        <v>1884</v>
      </c>
      <c r="C342" t="s">
        <v>2186</v>
      </c>
      <c r="D342" t="s">
        <v>2187</v>
      </c>
      <c r="E342" t="s">
        <v>108</v>
      </c>
      <c r="G342" t="s">
        <v>4143</v>
      </c>
      <c r="H342" t="s">
        <v>108</v>
      </c>
      <c r="I342" t="s">
        <v>4002</v>
      </c>
    </row>
    <row r="343" spans="1:9">
      <c r="A343" s="93" t="s">
        <v>4149</v>
      </c>
      <c r="B343" t="s">
        <v>1884</v>
      </c>
      <c r="C343" t="s">
        <v>2188</v>
      </c>
      <c r="E343" t="s">
        <v>2189</v>
      </c>
      <c r="G343" t="s">
        <v>4143</v>
      </c>
      <c r="H343" t="s">
        <v>108</v>
      </c>
      <c r="I343" t="s">
        <v>4002</v>
      </c>
    </row>
    <row r="344" spans="1:9">
      <c r="A344" s="93" t="s">
        <v>4149</v>
      </c>
      <c r="B344" t="s">
        <v>1884</v>
      </c>
      <c r="C344" t="s">
        <v>2190</v>
      </c>
      <c r="E344" t="s">
        <v>2135</v>
      </c>
      <c r="G344" t="s">
        <v>4139</v>
      </c>
      <c r="H344" t="s">
        <v>2136</v>
      </c>
      <c r="I344" t="s">
        <v>4002</v>
      </c>
    </row>
    <row r="345" spans="1:9">
      <c r="A345" s="93" t="s">
        <v>4149</v>
      </c>
      <c r="B345" t="s">
        <v>1884</v>
      </c>
      <c r="C345" t="s">
        <v>2191</v>
      </c>
      <c r="E345" t="s">
        <v>2135</v>
      </c>
      <c r="G345" t="s">
        <v>4139</v>
      </c>
      <c r="H345" t="s">
        <v>2136</v>
      </c>
      <c r="I345" t="s">
        <v>4002</v>
      </c>
    </row>
    <row r="346" spans="1:9">
      <c r="A346" s="93" t="s">
        <v>4149</v>
      </c>
      <c r="B346" t="s">
        <v>1884</v>
      </c>
      <c r="C346" t="s">
        <v>2192</v>
      </c>
      <c r="D346" t="s">
        <v>2182</v>
      </c>
      <c r="E346" t="s">
        <v>2193</v>
      </c>
      <c r="G346" t="s">
        <v>4143</v>
      </c>
      <c r="H346" t="s">
        <v>2193</v>
      </c>
      <c r="I346" t="s">
        <v>4002</v>
      </c>
    </row>
    <row r="347" spans="1:9">
      <c r="A347" s="93" t="s">
        <v>4149</v>
      </c>
      <c r="B347" t="s">
        <v>1884</v>
      </c>
      <c r="C347" t="s">
        <v>2194</v>
      </c>
      <c r="D347" t="s">
        <v>2187</v>
      </c>
      <c r="E347" t="s">
        <v>108</v>
      </c>
      <c r="G347" t="s">
        <v>4143</v>
      </c>
      <c r="H347" t="s">
        <v>108</v>
      </c>
      <c r="I347" t="s">
        <v>4002</v>
      </c>
    </row>
    <row r="348" spans="1:9">
      <c r="A348" s="93" t="s">
        <v>4149</v>
      </c>
      <c r="B348" t="s">
        <v>1889</v>
      </c>
      <c r="C348" t="s">
        <v>2196</v>
      </c>
      <c r="E348" t="s">
        <v>2193</v>
      </c>
      <c r="G348" t="s">
        <v>4143</v>
      </c>
      <c r="H348" t="s">
        <v>2193</v>
      </c>
      <c r="I348" t="s">
        <v>4004</v>
      </c>
    </row>
    <row r="349" spans="1:9">
      <c r="A349" s="93" t="s">
        <v>4149</v>
      </c>
      <c r="B349" t="s">
        <v>1889</v>
      </c>
      <c r="C349" t="s">
        <v>2197</v>
      </c>
      <c r="E349" t="s">
        <v>2193</v>
      </c>
      <c r="G349" t="s">
        <v>4143</v>
      </c>
      <c r="H349" t="s">
        <v>2193</v>
      </c>
      <c r="I349" t="s">
        <v>4004</v>
      </c>
    </row>
    <row r="350" spans="1:9">
      <c r="A350" s="93" t="s">
        <v>4149</v>
      </c>
      <c r="B350" t="s">
        <v>1889</v>
      </c>
      <c r="C350" t="s">
        <v>2198</v>
      </c>
      <c r="E350" t="s">
        <v>2199</v>
      </c>
      <c r="G350" t="s">
        <v>4143</v>
      </c>
      <c r="H350" t="s">
        <v>2193</v>
      </c>
      <c r="I350" t="s">
        <v>4004</v>
      </c>
    </row>
    <row r="351" spans="1:9">
      <c r="A351" s="93" t="s">
        <v>4149</v>
      </c>
      <c r="B351" t="s">
        <v>1889</v>
      </c>
      <c r="C351" t="s">
        <v>2200</v>
      </c>
      <c r="D351" t="s">
        <v>2182</v>
      </c>
      <c r="E351" t="s">
        <v>108</v>
      </c>
      <c r="G351" t="s">
        <v>4143</v>
      </c>
      <c r="H351" t="s">
        <v>108</v>
      </c>
      <c r="I351" t="s">
        <v>4004</v>
      </c>
    </row>
    <row r="352" spans="1:9">
      <c r="A352" s="93" t="s">
        <v>4149</v>
      </c>
      <c r="B352" t="s">
        <v>1889</v>
      </c>
      <c r="C352" t="s">
        <v>2201</v>
      </c>
      <c r="D352" t="s">
        <v>2182</v>
      </c>
      <c r="E352" t="s">
        <v>108</v>
      </c>
      <c r="G352" t="s">
        <v>4143</v>
      </c>
      <c r="H352" t="s">
        <v>108</v>
      </c>
      <c r="I352" t="s">
        <v>4004</v>
      </c>
    </row>
    <row r="353" spans="1:9">
      <c r="A353" s="93" t="s">
        <v>4149</v>
      </c>
      <c r="B353" t="s">
        <v>1889</v>
      </c>
      <c r="C353" t="s">
        <v>2202</v>
      </c>
      <c r="D353" t="s">
        <v>2174</v>
      </c>
      <c r="E353" t="s">
        <v>108</v>
      </c>
      <c r="G353" t="s">
        <v>4143</v>
      </c>
      <c r="H353" t="s">
        <v>108</v>
      </c>
      <c r="I353" t="s">
        <v>4004</v>
      </c>
    </row>
    <row r="354" spans="1:9">
      <c r="A354" s="93" t="s">
        <v>4149</v>
      </c>
      <c r="B354" t="s">
        <v>1889</v>
      </c>
      <c r="C354" t="s">
        <v>2203</v>
      </c>
      <c r="D354" t="s">
        <v>2204</v>
      </c>
      <c r="E354" t="s">
        <v>2193</v>
      </c>
      <c r="G354" t="s">
        <v>4143</v>
      </c>
      <c r="H354" t="s">
        <v>2193</v>
      </c>
      <c r="I354" t="s">
        <v>4004</v>
      </c>
    </row>
    <row r="355" spans="1:9">
      <c r="A355" s="93" t="s">
        <v>4149</v>
      </c>
      <c r="B355" t="s">
        <v>1889</v>
      </c>
      <c r="C355" t="s">
        <v>2205</v>
      </c>
      <c r="D355" t="s">
        <v>2204</v>
      </c>
      <c r="E355" t="s">
        <v>2193</v>
      </c>
      <c r="G355" t="s">
        <v>4143</v>
      </c>
      <c r="H355" t="s">
        <v>2193</v>
      </c>
      <c r="I355" t="s">
        <v>4004</v>
      </c>
    </row>
    <row r="356" spans="1:9">
      <c r="A356" s="93" t="s">
        <v>4149</v>
      </c>
      <c r="B356" t="s">
        <v>1889</v>
      </c>
      <c r="C356" t="s">
        <v>2206</v>
      </c>
      <c r="E356" t="s">
        <v>2135</v>
      </c>
      <c r="G356" t="s">
        <v>4139</v>
      </c>
      <c r="H356" t="s">
        <v>2136</v>
      </c>
      <c r="I356" t="s">
        <v>4004</v>
      </c>
    </row>
    <row r="357" spans="1:9">
      <c r="A357" s="93" t="s">
        <v>4149</v>
      </c>
      <c r="B357" t="s">
        <v>1889</v>
      </c>
      <c r="C357" t="s">
        <v>2207</v>
      </c>
      <c r="D357" t="s">
        <v>2204</v>
      </c>
      <c r="E357" t="s">
        <v>108</v>
      </c>
      <c r="F357" t="s">
        <v>2208</v>
      </c>
      <c r="G357" t="s">
        <v>4143</v>
      </c>
      <c r="H357" t="s">
        <v>108</v>
      </c>
      <c r="I357" t="s">
        <v>4004</v>
      </c>
    </row>
    <row r="358" spans="1:9">
      <c r="A358" s="93" t="s">
        <v>4149</v>
      </c>
      <c r="B358" t="s">
        <v>1891</v>
      </c>
      <c r="C358" t="s">
        <v>2210</v>
      </c>
      <c r="D358" t="s">
        <v>2211</v>
      </c>
      <c r="E358" t="s">
        <v>108</v>
      </c>
      <c r="G358" t="s">
        <v>4143</v>
      </c>
      <c r="H358" t="s">
        <v>108</v>
      </c>
      <c r="I358" t="s">
        <v>4008</v>
      </c>
    </row>
    <row r="359" spans="1:9">
      <c r="A359" s="93" t="s">
        <v>4149</v>
      </c>
      <c r="B359" t="s">
        <v>1891</v>
      </c>
      <c r="C359" t="s">
        <v>2212</v>
      </c>
      <c r="D359" t="s">
        <v>2213</v>
      </c>
      <c r="E359" t="s">
        <v>108</v>
      </c>
      <c r="G359" t="s">
        <v>4143</v>
      </c>
      <c r="H359" t="s">
        <v>108</v>
      </c>
      <c r="I359" t="s">
        <v>4008</v>
      </c>
    </row>
    <row r="360" spans="1:9">
      <c r="A360" s="93" t="s">
        <v>4149</v>
      </c>
      <c r="B360" t="s">
        <v>1891</v>
      </c>
      <c r="C360" t="s">
        <v>2214</v>
      </c>
      <c r="D360" t="s">
        <v>2213</v>
      </c>
      <c r="E360" t="s">
        <v>108</v>
      </c>
      <c r="G360" t="s">
        <v>4143</v>
      </c>
      <c r="H360" t="s">
        <v>108</v>
      </c>
      <c r="I360" t="s">
        <v>4008</v>
      </c>
    </row>
    <row r="361" spans="1:9">
      <c r="A361" s="93" t="s">
        <v>4149</v>
      </c>
      <c r="B361" t="s">
        <v>1893</v>
      </c>
      <c r="C361" t="s">
        <v>2216</v>
      </c>
      <c r="D361" t="s">
        <v>2217</v>
      </c>
      <c r="E361" t="s">
        <v>2193</v>
      </c>
      <c r="F361" t="s">
        <v>2218</v>
      </c>
      <c r="G361" t="s">
        <v>4143</v>
      </c>
      <c r="H361" t="s">
        <v>2193</v>
      </c>
      <c r="I361" t="s">
        <v>4012</v>
      </c>
    </row>
    <row r="362" spans="1:9">
      <c r="A362" s="93" t="s">
        <v>4149</v>
      </c>
      <c r="B362" t="s">
        <v>1893</v>
      </c>
      <c r="C362" t="s">
        <v>2219</v>
      </c>
      <c r="D362" t="s">
        <v>2220</v>
      </c>
      <c r="E362" t="s">
        <v>108</v>
      </c>
      <c r="F362" t="s">
        <v>2221</v>
      </c>
      <c r="G362" t="s">
        <v>4143</v>
      </c>
      <c r="H362" t="s">
        <v>108</v>
      </c>
      <c r="I362" t="s">
        <v>4012</v>
      </c>
    </row>
    <row r="363" spans="1:9">
      <c r="A363" s="93" t="s">
        <v>4149</v>
      </c>
      <c r="B363" t="s">
        <v>1893</v>
      </c>
      <c r="C363" t="s">
        <v>2222</v>
      </c>
      <c r="D363" t="s">
        <v>2223</v>
      </c>
      <c r="E363" t="s">
        <v>108</v>
      </c>
      <c r="F363" t="s">
        <v>2224</v>
      </c>
      <c r="G363" t="s">
        <v>4143</v>
      </c>
      <c r="H363" t="s">
        <v>108</v>
      </c>
      <c r="I363" t="s">
        <v>4012</v>
      </c>
    </row>
    <row r="364" spans="1:9">
      <c r="A364" s="93" t="s">
        <v>4149</v>
      </c>
      <c r="B364" t="s">
        <v>1893</v>
      </c>
      <c r="C364" t="s">
        <v>2225</v>
      </c>
      <c r="D364" t="s">
        <v>2226</v>
      </c>
      <c r="E364" t="s">
        <v>108</v>
      </c>
      <c r="F364" t="s">
        <v>2227</v>
      </c>
      <c r="G364" t="s">
        <v>4143</v>
      </c>
      <c r="H364" t="s">
        <v>108</v>
      </c>
      <c r="I364" t="s">
        <v>4012</v>
      </c>
    </row>
    <row r="365" spans="1:9">
      <c r="A365" s="93" t="s">
        <v>4149</v>
      </c>
      <c r="B365" t="s">
        <v>1893</v>
      </c>
      <c r="C365" t="s">
        <v>2228</v>
      </c>
      <c r="E365" t="s">
        <v>2135</v>
      </c>
      <c r="G365" t="s">
        <v>4139</v>
      </c>
      <c r="H365" t="s">
        <v>2136</v>
      </c>
      <c r="I365" t="s">
        <v>4012</v>
      </c>
    </row>
    <row r="366" spans="1:9">
      <c r="A366" s="93" t="s">
        <v>4149</v>
      </c>
      <c r="B366" t="s">
        <v>1896</v>
      </c>
      <c r="C366" t="s">
        <v>2230</v>
      </c>
      <c r="D366" t="s">
        <v>2220</v>
      </c>
      <c r="E366" t="s">
        <v>108</v>
      </c>
      <c r="F366" t="s">
        <v>2231</v>
      </c>
      <c r="G366" t="s">
        <v>4143</v>
      </c>
      <c r="H366" t="s">
        <v>108</v>
      </c>
      <c r="I366" t="s">
        <v>4016</v>
      </c>
    </row>
    <row r="367" spans="1:9">
      <c r="A367" s="93" t="s">
        <v>4149</v>
      </c>
      <c r="B367" t="s">
        <v>1896</v>
      </c>
      <c r="C367" t="s">
        <v>2232</v>
      </c>
      <c r="D367" t="s">
        <v>2220</v>
      </c>
      <c r="E367" t="s">
        <v>108</v>
      </c>
      <c r="G367" t="s">
        <v>4143</v>
      </c>
      <c r="H367" t="s">
        <v>108</v>
      </c>
      <c r="I367" t="s">
        <v>4016</v>
      </c>
    </row>
    <row r="368" spans="1:9">
      <c r="A368" s="93" t="s">
        <v>4149</v>
      </c>
      <c r="B368" t="s">
        <v>1896</v>
      </c>
      <c r="C368" t="s">
        <v>2233</v>
      </c>
      <c r="D368" t="s">
        <v>2234</v>
      </c>
      <c r="E368" t="s">
        <v>108</v>
      </c>
      <c r="F368" t="s">
        <v>2235</v>
      </c>
      <c r="G368" t="s">
        <v>4143</v>
      </c>
      <c r="H368" t="s">
        <v>108</v>
      </c>
      <c r="I368" t="s">
        <v>4016</v>
      </c>
    </row>
    <row r="369" spans="1:9">
      <c r="A369" s="93" t="s">
        <v>4149</v>
      </c>
      <c r="B369" t="s">
        <v>1896</v>
      </c>
      <c r="C369" t="s">
        <v>2236</v>
      </c>
      <c r="D369" t="s">
        <v>2237</v>
      </c>
      <c r="E369" t="s">
        <v>108</v>
      </c>
      <c r="F369" t="s">
        <v>2231</v>
      </c>
      <c r="G369" t="s">
        <v>4143</v>
      </c>
      <c r="H369" t="s">
        <v>108</v>
      </c>
      <c r="I369" t="s">
        <v>4016</v>
      </c>
    </row>
    <row r="370" spans="1:9">
      <c r="A370" s="93" t="s">
        <v>4149</v>
      </c>
      <c r="B370" t="s">
        <v>1896</v>
      </c>
      <c r="C370" t="s">
        <v>2238</v>
      </c>
      <c r="D370" t="s">
        <v>2237</v>
      </c>
      <c r="E370" t="s">
        <v>108</v>
      </c>
      <c r="F370" t="s">
        <v>2239</v>
      </c>
      <c r="G370" t="s">
        <v>4143</v>
      </c>
      <c r="H370" t="s">
        <v>108</v>
      </c>
      <c r="I370" t="s">
        <v>4016</v>
      </c>
    </row>
    <row r="371" spans="1:9">
      <c r="A371" s="93" t="s">
        <v>4149</v>
      </c>
      <c r="B371" t="s">
        <v>1896</v>
      </c>
      <c r="C371" t="s">
        <v>2240</v>
      </c>
      <c r="D371" t="s">
        <v>2241</v>
      </c>
      <c r="E371" t="s">
        <v>2193</v>
      </c>
      <c r="G371" t="s">
        <v>4143</v>
      </c>
      <c r="H371" t="s">
        <v>2193</v>
      </c>
      <c r="I371" t="s">
        <v>4016</v>
      </c>
    </row>
    <row r="372" spans="1:9">
      <c r="A372" s="93" t="s">
        <v>4149</v>
      </c>
      <c r="B372" t="s">
        <v>1896</v>
      </c>
      <c r="C372" t="s">
        <v>2242</v>
      </c>
      <c r="D372" t="s">
        <v>2220</v>
      </c>
      <c r="E372" t="s">
        <v>2243</v>
      </c>
      <c r="F372" t="s">
        <v>2244</v>
      </c>
      <c r="G372" t="s">
        <v>4143</v>
      </c>
      <c r="H372" t="s">
        <v>108</v>
      </c>
      <c r="I372" t="s">
        <v>4016</v>
      </c>
    </row>
    <row r="373" spans="1:9">
      <c r="A373" s="93" t="s">
        <v>4149</v>
      </c>
      <c r="B373" t="s">
        <v>1896</v>
      </c>
      <c r="C373" t="s">
        <v>2245</v>
      </c>
      <c r="D373" t="s">
        <v>2241</v>
      </c>
      <c r="E373" t="s">
        <v>2246</v>
      </c>
      <c r="G373" t="s">
        <v>4143</v>
      </c>
      <c r="H373" t="s">
        <v>108</v>
      </c>
      <c r="I373" t="s">
        <v>4016</v>
      </c>
    </row>
    <row r="374" spans="1:9">
      <c r="A374" s="93" t="s">
        <v>4149</v>
      </c>
      <c r="B374" t="s">
        <v>1896</v>
      </c>
      <c r="C374" t="s">
        <v>2247</v>
      </c>
      <c r="D374" t="s">
        <v>2248</v>
      </c>
      <c r="E374" t="s">
        <v>108</v>
      </c>
      <c r="F374" t="s">
        <v>2249</v>
      </c>
      <c r="G374" t="s">
        <v>4143</v>
      </c>
      <c r="H374" t="s">
        <v>108</v>
      </c>
      <c r="I374" t="s">
        <v>4016</v>
      </c>
    </row>
    <row r="375" spans="1:9">
      <c r="A375" s="93" t="s">
        <v>4149</v>
      </c>
      <c r="B375" t="s">
        <v>1898</v>
      </c>
      <c r="C375" t="s">
        <v>2251</v>
      </c>
      <c r="D375" t="s">
        <v>2252</v>
      </c>
      <c r="E375" t="s">
        <v>108</v>
      </c>
      <c r="G375" t="s">
        <v>4143</v>
      </c>
      <c r="H375" t="s">
        <v>108</v>
      </c>
      <c r="I375" t="s">
        <v>4020</v>
      </c>
    </row>
    <row r="376" spans="1:9">
      <c r="A376" s="93" t="s">
        <v>4149</v>
      </c>
      <c r="B376" t="s">
        <v>1898</v>
      </c>
      <c r="C376" t="s">
        <v>2253</v>
      </c>
      <c r="D376" t="s">
        <v>2252</v>
      </c>
      <c r="E376" t="s">
        <v>2193</v>
      </c>
      <c r="F376" t="s">
        <v>2254</v>
      </c>
      <c r="G376" t="s">
        <v>4143</v>
      </c>
      <c r="H376" t="s">
        <v>2193</v>
      </c>
      <c r="I376" t="s">
        <v>4020</v>
      </c>
    </row>
    <row r="377" spans="1:9">
      <c r="A377" s="93" t="s">
        <v>4149</v>
      </c>
      <c r="B377" t="s">
        <v>1898</v>
      </c>
      <c r="C377" t="s">
        <v>2255</v>
      </c>
      <c r="D377" t="s">
        <v>2256</v>
      </c>
      <c r="E377" t="s">
        <v>2257</v>
      </c>
      <c r="G377" t="s">
        <v>4143</v>
      </c>
      <c r="H377" t="s">
        <v>108</v>
      </c>
      <c r="I377" t="s">
        <v>4020</v>
      </c>
    </row>
    <row r="378" spans="1:9">
      <c r="A378" s="93" t="s">
        <v>4149</v>
      </c>
      <c r="B378" t="s">
        <v>1898</v>
      </c>
      <c r="C378" t="s">
        <v>2258</v>
      </c>
      <c r="D378" t="s">
        <v>2259</v>
      </c>
      <c r="E378" t="s">
        <v>2260</v>
      </c>
      <c r="F378" t="s">
        <v>2261</v>
      </c>
      <c r="G378" t="s">
        <v>4143</v>
      </c>
      <c r="H378" t="s">
        <v>108</v>
      </c>
      <c r="I378" t="s">
        <v>4020</v>
      </c>
    </row>
    <row r="379" spans="1:9">
      <c r="A379" s="93" t="s">
        <v>4149</v>
      </c>
      <c r="B379" t="s">
        <v>1898</v>
      </c>
      <c r="C379" t="s">
        <v>2262</v>
      </c>
      <c r="D379" t="s">
        <v>2259</v>
      </c>
      <c r="E379" t="s">
        <v>2147</v>
      </c>
      <c r="F379" t="s">
        <v>2263</v>
      </c>
      <c r="G379" t="s">
        <v>4143</v>
      </c>
      <c r="H379" t="s">
        <v>108</v>
      </c>
      <c r="I379" t="s">
        <v>4020</v>
      </c>
    </row>
    <row r="380" spans="1:9">
      <c r="A380" s="93" t="s">
        <v>4149</v>
      </c>
      <c r="B380" t="s">
        <v>1898</v>
      </c>
      <c r="C380" t="s">
        <v>2264</v>
      </c>
      <c r="D380" t="s">
        <v>2252</v>
      </c>
      <c r="E380" t="s">
        <v>2265</v>
      </c>
      <c r="G380" t="s">
        <v>4143</v>
      </c>
      <c r="H380" t="s">
        <v>108</v>
      </c>
      <c r="I380" t="s">
        <v>4020</v>
      </c>
    </row>
    <row r="381" spans="1:9">
      <c r="A381" s="93" t="s">
        <v>4149</v>
      </c>
      <c r="B381" t="s">
        <v>1898</v>
      </c>
      <c r="C381" t="s">
        <v>2266</v>
      </c>
      <c r="D381" t="s">
        <v>2252</v>
      </c>
      <c r="E381" t="s">
        <v>2267</v>
      </c>
      <c r="F381" t="s">
        <v>2268</v>
      </c>
      <c r="G381" t="s">
        <v>4143</v>
      </c>
      <c r="H381" t="s">
        <v>108</v>
      </c>
      <c r="I381" t="s">
        <v>4020</v>
      </c>
    </row>
    <row r="382" spans="1:9">
      <c r="A382" s="93" t="s">
        <v>4149</v>
      </c>
      <c r="B382" t="s">
        <v>1898</v>
      </c>
      <c r="C382" t="s">
        <v>2269</v>
      </c>
      <c r="D382" t="s">
        <v>2252</v>
      </c>
      <c r="E382" t="s">
        <v>2270</v>
      </c>
      <c r="G382" t="s">
        <v>4143</v>
      </c>
      <c r="H382" t="s">
        <v>108</v>
      </c>
      <c r="I382" t="s">
        <v>4020</v>
      </c>
    </row>
    <row r="383" spans="1:9">
      <c r="A383" s="93" t="s">
        <v>4149</v>
      </c>
      <c r="B383" t="s">
        <v>1902</v>
      </c>
      <c r="C383" t="s">
        <v>2272</v>
      </c>
      <c r="D383" t="s">
        <v>2273</v>
      </c>
      <c r="E383" t="s">
        <v>2274</v>
      </c>
      <c r="F383" t="s">
        <v>2275</v>
      </c>
      <c r="G383" t="s">
        <v>4143</v>
      </c>
      <c r="H383" t="s">
        <v>108</v>
      </c>
      <c r="I383" t="s">
        <v>4024</v>
      </c>
    </row>
    <row r="384" spans="1:9">
      <c r="A384" s="93" t="s">
        <v>4149</v>
      </c>
      <c r="B384" t="s">
        <v>1902</v>
      </c>
      <c r="C384" t="s">
        <v>2276</v>
      </c>
      <c r="D384" t="s">
        <v>2248</v>
      </c>
      <c r="E384" t="s">
        <v>2277</v>
      </c>
      <c r="F384" t="s">
        <v>2278</v>
      </c>
      <c r="G384" t="s">
        <v>4143</v>
      </c>
      <c r="H384" t="s">
        <v>108</v>
      </c>
      <c r="I384" t="s">
        <v>4024</v>
      </c>
    </row>
    <row r="385" spans="1:9">
      <c r="A385" s="93" t="s">
        <v>4149</v>
      </c>
      <c r="B385" t="s">
        <v>1902</v>
      </c>
      <c r="C385" t="s">
        <v>2279</v>
      </c>
      <c r="D385" t="s">
        <v>2280</v>
      </c>
      <c r="E385" t="s">
        <v>2281</v>
      </c>
      <c r="F385" t="s">
        <v>2282</v>
      </c>
      <c r="G385" t="s">
        <v>4143</v>
      </c>
      <c r="H385" t="s">
        <v>108</v>
      </c>
      <c r="I385" t="s">
        <v>4024</v>
      </c>
    </row>
    <row r="386" spans="1:9">
      <c r="A386" s="93" t="s">
        <v>4149</v>
      </c>
      <c r="B386" t="s">
        <v>1902</v>
      </c>
      <c r="C386" t="s">
        <v>2283</v>
      </c>
      <c r="D386" t="s">
        <v>2273</v>
      </c>
      <c r="E386" t="s">
        <v>108</v>
      </c>
      <c r="F386" t="s">
        <v>2284</v>
      </c>
      <c r="G386" t="s">
        <v>4143</v>
      </c>
      <c r="H386" t="s">
        <v>108</v>
      </c>
      <c r="I386" t="s">
        <v>4024</v>
      </c>
    </row>
    <row r="387" spans="1:9">
      <c r="A387" s="93" t="s">
        <v>4149</v>
      </c>
      <c r="B387" t="s">
        <v>1902</v>
      </c>
      <c r="C387" t="s">
        <v>2285</v>
      </c>
      <c r="E387" t="s">
        <v>2135</v>
      </c>
      <c r="G387" t="s">
        <v>4139</v>
      </c>
      <c r="H387" t="s">
        <v>2136</v>
      </c>
      <c r="I387" t="s">
        <v>4024</v>
      </c>
    </row>
    <row r="388" spans="1:9">
      <c r="A388" s="93" t="s">
        <v>4149</v>
      </c>
      <c r="B388" t="s">
        <v>1902</v>
      </c>
      <c r="C388" t="s">
        <v>2286</v>
      </c>
      <c r="E388" t="s">
        <v>108</v>
      </c>
      <c r="G388" t="s">
        <v>4143</v>
      </c>
      <c r="H388" t="s">
        <v>108</v>
      </c>
      <c r="I388" t="s">
        <v>4024</v>
      </c>
    </row>
    <row r="389" spans="1:9">
      <c r="A389" s="93" t="s">
        <v>4149</v>
      </c>
      <c r="B389" t="s">
        <v>1902</v>
      </c>
      <c r="C389" t="s">
        <v>2287</v>
      </c>
      <c r="D389" t="s">
        <v>2273</v>
      </c>
      <c r="E389" t="s">
        <v>2288</v>
      </c>
      <c r="F389" t="s">
        <v>2289</v>
      </c>
      <c r="G389" t="s">
        <v>4143</v>
      </c>
      <c r="H389" t="s">
        <v>2288</v>
      </c>
      <c r="I389" t="s">
        <v>4024</v>
      </c>
    </row>
    <row r="390" spans="1:9">
      <c r="A390" s="93" t="s">
        <v>4149</v>
      </c>
      <c r="B390" t="s">
        <v>3926</v>
      </c>
      <c r="C390" t="s">
        <v>2291</v>
      </c>
      <c r="E390" t="s">
        <v>2135</v>
      </c>
      <c r="F390" t="s">
        <v>2292</v>
      </c>
      <c r="G390" t="s">
        <v>4139</v>
      </c>
      <c r="H390" t="s">
        <v>2136</v>
      </c>
    </row>
    <row r="391" spans="1:9">
      <c r="A391" s="93" t="s">
        <v>4149</v>
      </c>
      <c r="B391" t="s">
        <v>3926</v>
      </c>
      <c r="C391" t="s">
        <v>2293</v>
      </c>
      <c r="D391" t="s">
        <v>2294</v>
      </c>
      <c r="E391" t="s">
        <v>2295</v>
      </c>
      <c r="F391" t="s">
        <v>2296</v>
      </c>
      <c r="G391" t="s">
        <v>4143</v>
      </c>
      <c r="H391" t="s">
        <v>108</v>
      </c>
    </row>
    <row r="392" spans="1:9">
      <c r="A392" s="93" t="s">
        <v>4149</v>
      </c>
      <c r="B392" t="s">
        <v>3926</v>
      </c>
      <c r="C392" t="s">
        <v>2297</v>
      </c>
      <c r="D392" t="s">
        <v>2298</v>
      </c>
      <c r="E392" t="s">
        <v>108</v>
      </c>
      <c r="F392" t="s">
        <v>2299</v>
      </c>
      <c r="G392" t="s">
        <v>4143</v>
      </c>
      <c r="H392" t="s">
        <v>108</v>
      </c>
    </row>
    <row r="393" spans="1:9">
      <c r="A393" s="93" t="s">
        <v>4149</v>
      </c>
      <c r="B393" t="s">
        <v>3926</v>
      </c>
      <c r="C393" t="s">
        <v>2300</v>
      </c>
      <c r="D393" t="s">
        <v>2294</v>
      </c>
      <c r="E393" t="s">
        <v>108</v>
      </c>
      <c r="F393" t="s">
        <v>2299</v>
      </c>
      <c r="G393" t="s">
        <v>4143</v>
      </c>
      <c r="H393" t="s">
        <v>108</v>
      </c>
    </row>
    <row r="394" spans="1:9">
      <c r="A394" s="93" t="s">
        <v>4149</v>
      </c>
      <c r="B394" t="s">
        <v>3926</v>
      </c>
      <c r="C394" t="s">
        <v>2301</v>
      </c>
      <c r="D394" t="s">
        <v>2302</v>
      </c>
      <c r="E394" t="s">
        <v>2193</v>
      </c>
      <c r="F394" t="s">
        <v>2303</v>
      </c>
      <c r="G394" t="s">
        <v>4143</v>
      </c>
      <c r="H394" t="s">
        <v>2193</v>
      </c>
    </row>
    <row r="395" spans="1:9">
      <c r="A395" s="93" t="s">
        <v>4149</v>
      </c>
      <c r="B395" t="s">
        <v>3926</v>
      </c>
      <c r="C395" t="s">
        <v>2304</v>
      </c>
      <c r="D395" t="s">
        <v>2305</v>
      </c>
      <c r="E395" t="s">
        <v>2257</v>
      </c>
      <c r="F395" t="s">
        <v>2306</v>
      </c>
      <c r="G395" t="s">
        <v>4143</v>
      </c>
      <c r="H395" t="s">
        <v>108</v>
      </c>
    </row>
    <row r="396" spans="1:9">
      <c r="A396" s="93" t="s">
        <v>4150</v>
      </c>
      <c r="B396" t="s">
        <v>1874</v>
      </c>
      <c r="C396" t="s">
        <v>2308</v>
      </c>
      <c r="D396" t="s">
        <v>2122</v>
      </c>
      <c r="E396" t="s">
        <v>2309</v>
      </c>
      <c r="F396" t="s">
        <v>2312</v>
      </c>
      <c r="G396" t="s">
        <v>4141</v>
      </c>
      <c r="H396" t="s">
        <v>2311</v>
      </c>
      <c r="I396" t="s">
        <v>3984</v>
      </c>
    </row>
    <row r="397" spans="1:9">
      <c r="A397" s="93" t="s">
        <v>4150</v>
      </c>
      <c r="B397" t="s">
        <v>1874</v>
      </c>
      <c r="C397" t="s">
        <v>2114</v>
      </c>
      <c r="D397" t="s">
        <v>2115</v>
      </c>
      <c r="E397" t="s">
        <v>1559</v>
      </c>
      <c r="F397" t="s">
        <v>2117</v>
      </c>
      <c r="G397" t="s">
        <v>4143</v>
      </c>
      <c r="H397" t="s">
        <v>108</v>
      </c>
      <c r="I397" t="s">
        <v>3984</v>
      </c>
    </row>
    <row r="398" spans="1:9">
      <c r="A398" s="93" t="s">
        <v>4150</v>
      </c>
      <c r="B398" t="s">
        <v>1874</v>
      </c>
      <c r="C398" t="s">
        <v>2118</v>
      </c>
      <c r="E398" t="s">
        <v>2119</v>
      </c>
      <c r="G398" t="s">
        <v>4143</v>
      </c>
      <c r="H398" t="s">
        <v>108</v>
      </c>
      <c r="I398" t="s">
        <v>3984</v>
      </c>
    </row>
    <row r="399" spans="1:9">
      <c r="A399" s="93" t="s">
        <v>4150</v>
      </c>
      <c r="B399" t="s">
        <v>1874</v>
      </c>
      <c r="C399" t="s">
        <v>2121</v>
      </c>
      <c r="D399" t="s">
        <v>2122</v>
      </c>
      <c r="E399" t="s">
        <v>108</v>
      </c>
      <c r="G399" t="s">
        <v>4143</v>
      </c>
      <c r="H399" t="s">
        <v>108</v>
      </c>
      <c r="I399" t="s">
        <v>3984</v>
      </c>
    </row>
    <row r="400" spans="1:9">
      <c r="A400" s="93" t="s">
        <v>4150</v>
      </c>
      <c r="B400" t="s">
        <v>1874</v>
      </c>
      <c r="C400" t="s">
        <v>2123</v>
      </c>
      <c r="D400" t="s">
        <v>2124</v>
      </c>
      <c r="E400" t="s">
        <v>108</v>
      </c>
      <c r="F400" t="s">
        <v>2125</v>
      </c>
      <c r="G400" t="s">
        <v>4143</v>
      </c>
      <c r="H400" t="s">
        <v>108</v>
      </c>
      <c r="I400" t="s">
        <v>3984</v>
      </c>
    </row>
    <row r="401" spans="1:9">
      <c r="A401" s="93" t="s">
        <v>4150</v>
      </c>
      <c r="B401" t="s">
        <v>1874</v>
      </c>
      <c r="C401" t="s">
        <v>2126</v>
      </c>
      <c r="E401" t="s">
        <v>108</v>
      </c>
      <c r="G401" t="s">
        <v>4143</v>
      </c>
      <c r="H401" t="s">
        <v>108</v>
      </c>
      <c r="I401" t="s">
        <v>3984</v>
      </c>
    </row>
    <row r="402" spans="1:9">
      <c r="A402" s="93" t="s">
        <v>4150</v>
      </c>
      <c r="B402" t="s">
        <v>1874</v>
      </c>
      <c r="C402" t="s">
        <v>2313</v>
      </c>
      <c r="D402" t="s">
        <v>2314</v>
      </c>
      <c r="E402" t="s">
        <v>2309</v>
      </c>
      <c r="G402" t="s">
        <v>4141</v>
      </c>
      <c r="H402" t="s">
        <v>2311</v>
      </c>
      <c r="I402" t="s">
        <v>3984</v>
      </c>
    </row>
    <row r="403" spans="1:9">
      <c r="A403" s="93" t="s">
        <v>4150</v>
      </c>
      <c r="B403" t="s">
        <v>1874</v>
      </c>
      <c r="C403" t="s">
        <v>2315</v>
      </c>
      <c r="D403" t="s">
        <v>2314</v>
      </c>
      <c r="E403" t="s">
        <v>2309</v>
      </c>
      <c r="G403" t="s">
        <v>4141</v>
      </c>
      <c r="H403" t="s">
        <v>2311</v>
      </c>
      <c r="I403" t="s">
        <v>3984</v>
      </c>
    </row>
    <row r="404" spans="1:9">
      <c r="A404" s="93" t="s">
        <v>4150</v>
      </c>
      <c r="B404" t="s">
        <v>1874</v>
      </c>
      <c r="C404" t="s">
        <v>2316</v>
      </c>
      <c r="D404" t="s">
        <v>2124</v>
      </c>
      <c r="E404" t="s">
        <v>2309</v>
      </c>
      <c r="G404" t="s">
        <v>4141</v>
      </c>
      <c r="H404" t="s">
        <v>2311</v>
      </c>
      <c r="I404" t="s">
        <v>3984</v>
      </c>
    </row>
    <row r="405" spans="1:9">
      <c r="A405" s="93" t="s">
        <v>4150</v>
      </c>
      <c r="B405" t="s">
        <v>1875</v>
      </c>
      <c r="C405" t="s">
        <v>2128</v>
      </c>
      <c r="D405" t="s">
        <v>2129</v>
      </c>
      <c r="E405" t="s">
        <v>108</v>
      </c>
      <c r="G405" t="s">
        <v>4143</v>
      </c>
      <c r="H405" t="s">
        <v>108</v>
      </c>
      <c r="I405" t="s">
        <v>3988</v>
      </c>
    </row>
    <row r="406" spans="1:9">
      <c r="A406" s="93" t="s">
        <v>4150</v>
      </c>
      <c r="B406" t="s">
        <v>1875</v>
      </c>
      <c r="C406" t="s">
        <v>2130</v>
      </c>
      <c r="D406" t="s">
        <v>2131</v>
      </c>
      <c r="E406" t="s">
        <v>108</v>
      </c>
      <c r="F406" t="s">
        <v>2132</v>
      </c>
      <c r="G406" t="s">
        <v>4143</v>
      </c>
      <c r="H406" t="s">
        <v>108</v>
      </c>
      <c r="I406" t="s">
        <v>3988</v>
      </c>
    </row>
    <row r="407" spans="1:9">
      <c r="A407" s="93" t="s">
        <v>4150</v>
      </c>
      <c r="B407" t="s">
        <v>1875</v>
      </c>
      <c r="C407" t="s">
        <v>2133</v>
      </c>
      <c r="D407" t="s">
        <v>2131</v>
      </c>
      <c r="E407" t="s">
        <v>108</v>
      </c>
      <c r="G407" t="s">
        <v>4143</v>
      </c>
      <c r="H407" t="s">
        <v>108</v>
      </c>
      <c r="I407" t="s">
        <v>3988</v>
      </c>
    </row>
    <row r="408" spans="1:9">
      <c r="A408" s="93" t="s">
        <v>4150</v>
      </c>
      <c r="B408" t="s">
        <v>1875</v>
      </c>
      <c r="C408" t="s">
        <v>2134</v>
      </c>
      <c r="E408" t="s">
        <v>2135</v>
      </c>
      <c r="F408" t="s">
        <v>2137</v>
      </c>
      <c r="G408" t="s">
        <v>4141</v>
      </c>
      <c r="H408" t="s">
        <v>2318</v>
      </c>
      <c r="I408" t="s">
        <v>3988</v>
      </c>
    </row>
    <row r="409" spans="1:9">
      <c r="A409" s="93" t="s">
        <v>4150</v>
      </c>
      <c r="B409" t="s">
        <v>1875</v>
      </c>
      <c r="C409" t="s">
        <v>2138</v>
      </c>
      <c r="D409" t="s">
        <v>2139</v>
      </c>
      <c r="E409" t="s">
        <v>108</v>
      </c>
      <c r="F409" t="s">
        <v>2140</v>
      </c>
      <c r="G409" t="s">
        <v>4143</v>
      </c>
      <c r="H409" t="s">
        <v>108</v>
      </c>
      <c r="I409" t="s">
        <v>3988</v>
      </c>
    </row>
    <row r="410" spans="1:9">
      <c r="A410" s="93" t="s">
        <v>4150</v>
      </c>
      <c r="B410" t="s">
        <v>3697</v>
      </c>
      <c r="C410" t="s">
        <v>2142</v>
      </c>
      <c r="D410" t="s">
        <v>2143</v>
      </c>
      <c r="E410" t="s">
        <v>108</v>
      </c>
      <c r="G410" t="s">
        <v>4143</v>
      </c>
      <c r="H410" t="s">
        <v>108</v>
      </c>
      <c r="I410" t="s">
        <v>3992</v>
      </c>
    </row>
    <row r="411" spans="1:9">
      <c r="A411" s="93" t="s">
        <v>4150</v>
      </c>
      <c r="B411" t="s">
        <v>3697</v>
      </c>
      <c r="C411" t="s">
        <v>2144</v>
      </c>
      <c r="D411" t="s">
        <v>2143</v>
      </c>
      <c r="E411" t="s">
        <v>2145</v>
      </c>
      <c r="G411" t="s">
        <v>4143</v>
      </c>
      <c r="H411" t="s">
        <v>108</v>
      </c>
      <c r="I411" t="s">
        <v>3992</v>
      </c>
    </row>
    <row r="412" spans="1:9">
      <c r="A412" s="93" t="s">
        <v>4150</v>
      </c>
      <c r="B412" t="s">
        <v>3697</v>
      </c>
      <c r="C412" t="s">
        <v>2146</v>
      </c>
      <c r="D412" t="s">
        <v>2143</v>
      </c>
      <c r="E412" t="s">
        <v>2147</v>
      </c>
      <c r="F412" t="s">
        <v>2148</v>
      </c>
      <c r="G412" t="s">
        <v>4143</v>
      </c>
      <c r="H412" t="s">
        <v>108</v>
      </c>
      <c r="I412" t="s">
        <v>3992</v>
      </c>
    </row>
    <row r="413" spans="1:9">
      <c r="A413" s="93" t="s">
        <v>4150</v>
      </c>
      <c r="B413" t="s">
        <v>3697</v>
      </c>
      <c r="C413" t="s">
        <v>2149</v>
      </c>
      <c r="D413" t="s">
        <v>2143</v>
      </c>
      <c r="E413" t="s">
        <v>108</v>
      </c>
      <c r="G413" t="s">
        <v>4143</v>
      </c>
      <c r="H413" t="s">
        <v>108</v>
      </c>
      <c r="I413" t="s">
        <v>3992</v>
      </c>
    </row>
    <row r="414" spans="1:9">
      <c r="A414" s="93" t="s">
        <v>4150</v>
      </c>
      <c r="B414" t="s">
        <v>1881</v>
      </c>
      <c r="C414" t="s">
        <v>2151</v>
      </c>
      <c r="D414" t="s">
        <v>2152</v>
      </c>
      <c r="E414" t="s">
        <v>2153</v>
      </c>
      <c r="G414" t="s">
        <v>4143</v>
      </c>
      <c r="H414" t="s">
        <v>108</v>
      </c>
      <c r="I414" t="s">
        <v>3996</v>
      </c>
    </row>
    <row r="415" spans="1:9">
      <c r="A415" s="93" t="s">
        <v>4150</v>
      </c>
      <c r="B415" t="s">
        <v>1881</v>
      </c>
      <c r="C415" t="s">
        <v>2154</v>
      </c>
      <c r="D415" t="s">
        <v>2155</v>
      </c>
      <c r="E415" t="s">
        <v>108</v>
      </c>
      <c r="G415" t="s">
        <v>4143</v>
      </c>
      <c r="H415" t="s">
        <v>108</v>
      </c>
      <c r="I415" t="s">
        <v>3996</v>
      </c>
    </row>
    <row r="416" spans="1:9">
      <c r="A416" s="93" t="s">
        <v>4150</v>
      </c>
      <c r="B416" t="s">
        <v>1881</v>
      </c>
      <c r="C416" t="s">
        <v>2156</v>
      </c>
      <c r="D416" t="s">
        <v>2152</v>
      </c>
      <c r="E416" t="s">
        <v>2157</v>
      </c>
      <c r="G416" t="s">
        <v>4143</v>
      </c>
      <c r="H416" t="s">
        <v>108</v>
      </c>
      <c r="I416" t="s">
        <v>3996</v>
      </c>
    </row>
    <row r="417" spans="1:9">
      <c r="A417" s="93" t="s">
        <v>4150</v>
      </c>
      <c r="B417" t="s">
        <v>1881</v>
      </c>
      <c r="C417" t="s">
        <v>2158</v>
      </c>
      <c r="D417" t="s">
        <v>2155</v>
      </c>
      <c r="E417" t="s">
        <v>2159</v>
      </c>
      <c r="F417" t="s">
        <v>2160</v>
      </c>
      <c r="G417" t="s">
        <v>4143</v>
      </c>
      <c r="H417" t="s">
        <v>108</v>
      </c>
      <c r="I417" t="s">
        <v>3996</v>
      </c>
    </row>
    <row r="418" spans="1:9">
      <c r="A418" s="93" t="s">
        <v>4150</v>
      </c>
      <c r="B418" t="s">
        <v>1881</v>
      </c>
      <c r="C418" t="s">
        <v>2161</v>
      </c>
      <c r="D418" t="s">
        <v>2162</v>
      </c>
      <c r="E418" t="s">
        <v>108</v>
      </c>
      <c r="F418" t="s">
        <v>2163</v>
      </c>
      <c r="G418" t="s">
        <v>4143</v>
      </c>
      <c r="H418" t="s">
        <v>108</v>
      </c>
      <c r="I418" t="s">
        <v>3996</v>
      </c>
    </row>
    <row r="419" spans="1:9">
      <c r="A419" s="93" t="s">
        <v>4150</v>
      </c>
      <c r="B419" t="s">
        <v>1881</v>
      </c>
      <c r="C419" t="s">
        <v>2164</v>
      </c>
      <c r="D419" t="s">
        <v>2162</v>
      </c>
      <c r="E419" t="s">
        <v>108</v>
      </c>
      <c r="G419" t="s">
        <v>4143</v>
      </c>
      <c r="H419" t="s">
        <v>108</v>
      </c>
      <c r="I419" t="s">
        <v>3996</v>
      </c>
    </row>
    <row r="420" spans="1:9">
      <c r="A420" s="93" t="s">
        <v>4150</v>
      </c>
      <c r="B420" t="s">
        <v>1882</v>
      </c>
      <c r="C420" t="s">
        <v>2166</v>
      </c>
      <c r="D420" t="s">
        <v>2167</v>
      </c>
      <c r="E420" t="s">
        <v>108</v>
      </c>
      <c r="F420" t="s">
        <v>2168</v>
      </c>
      <c r="G420" t="s">
        <v>4143</v>
      </c>
      <c r="H420" t="s">
        <v>108</v>
      </c>
      <c r="I420" t="s">
        <v>4000</v>
      </c>
    </row>
    <row r="421" spans="1:9">
      <c r="A421" s="93" t="s">
        <v>4150</v>
      </c>
      <c r="B421" t="s">
        <v>1882</v>
      </c>
      <c r="C421" t="s">
        <v>2169</v>
      </c>
      <c r="D421" t="s">
        <v>2129</v>
      </c>
      <c r="E421" t="s">
        <v>2170</v>
      </c>
      <c r="G421" t="s">
        <v>4141</v>
      </c>
      <c r="H421" t="s">
        <v>2318</v>
      </c>
      <c r="I421" t="s">
        <v>4000</v>
      </c>
    </row>
    <row r="422" spans="1:9">
      <c r="A422" s="93" t="s">
        <v>4150</v>
      </c>
      <c r="B422" t="s">
        <v>1882</v>
      </c>
      <c r="C422" t="s">
        <v>2171</v>
      </c>
      <c r="D422" t="s">
        <v>2129</v>
      </c>
      <c r="E422" t="s">
        <v>2135</v>
      </c>
      <c r="G422" t="s">
        <v>4141</v>
      </c>
      <c r="H422" t="s">
        <v>2318</v>
      </c>
      <c r="I422" t="s">
        <v>4000</v>
      </c>
    </row>
    <row r="423" spans="1:9">
      <c r="A423" s="93" t="s">
        <v>4150</v>
      </c>
      <c r="B423" t="s">
        <v>1882</v>
      </c>
      <c r="C423" t="s">
        <v>2172</v>
      </c>
      <c r="D423" t="s">
        <v>2129</v>
      </c>
      <c r="E423" t="s">
        <v>2135</v>
      </c>
      <c r="G423" t="s">
        <v>4141</v>
      </c>
      <c r="H423" t="s">
        <v>2318</v>
      </c>
      <c r="I423" t="s">
        <v>4000</v>
      </c>
    </row>
    <row r="424" spans="1:9">
      <c r="A424" s="93" t="s">
        <v>4150</v>
      </c>
      <c r="B424" t="s">
        <v>1882</v>
      </c>
      <c r="C424" t="s">
        <v>2173</v>
      </c>
      <c r="D424" t="s">
        <v>2174</v>
      </c>
      <c r="E424" t="s">
        <v>2135</v>
      </c>
      <c r="G424" t="s">
        <v>4141</v>
      </c>
      <c r="H424" t="s">
        <v>2318</v>
      </c>
      <c r="I424" t="s">
        <v>4000</v>
      </c>
    </row>
    <row r="425" spans="1:9">
      <c r="A425" s="93" t="s">
        <v>4150</v>
      </c>
      <c r="B425" t="s">
        <v>1882</v>
      </c>
      <c r="C425" t="s">
        <v>2175</v>
      </c>
      <c r="E425" t="s">
        <v>2135</v>
      </c>
      <c r="G425" t="s">
        <v>4141</v>
      </c>
      <c r="H425" t="s">
        <v>2318</v>
      </c>
      <c r="I425" t="s">
        <v>4000</v>
      </c>
    </row>
    <row r="426" spans="1:9">
      <c r="A426" s="93" t="s">
        <v>4150</v>
      </c>
      <c r="B426" t="s">
        <v>1882</v>
      </c>
      <c r="C426" t="s">
        <v>2176</v>
      </c>
      <c r="E426" t="s">
        <v>2135</v>
      </c>
      <c r="G426" t="s">
        <v>4141</v>
      </c>
      <c r="H426" t="s">
        <v>2318</v>
      </c>
      <c r="I426" t="s">
        <v>4000</v>
      </c>
    </row>
    <row r="427" spans="1:9">
      <c r="A427" s="93" t="s">
        <v>4150</v>
      </c>
      <c r="B427" t="s">
        <v>1882</v>
      </c>
      <c r="C427" t="s">
        <v>2177</v>
      </c>
      <c r="E427" t="s">
        <v>2135</v>
      </c>
      <c r="G427" t="s">
        <v>4141</v>
      </c>
      <c r="H427" t="s">
        <v>2318</v>
      </c>
      <c r="I427" t="s">
        <v>4000</v>
      </c>
    </row>
    <row r="428" spans="1:9">
      <c r="A428" s="93" t="s">
        <v>4150</v>
      </c>
      <c r="B428" t="s">
        <v>1884</v>
      </c>
      <c r="C428" t="s">
        <v>2179</v>
      </c>
      <c r="D428" t="s">
        <v>2180</v>
      </c>
      <c r="E428" t="s">
        <v>108</v>
      </c>
      <c r="G428" t="s">
        <v>4143</v>
      </c>
      <c r="H428" t="s">
        <v>108</v>
      </c>
      <c r="I428" t="s">
        <v>4002</v>
      </c>
    </row>
    <row r="429" spans="1:9">
      <c r="A429" s="93" t="s">
        <v>4150</v>
      </c>
      <c r="B429" t="s">
        <v>1884</v>
      </c>
      <c r="C429" t="s">
        <v>2181</v>
      </c>
      <c r="D429" t="s">
        <v>2182</v>
      </c>
      <c r="E429" t="s">
        <v>108</v>
      </c>
      <c r="G429" t="s">
        <v>4143</v>
      </c>
      <c r="H429" t="s">
        <v>108</v>
      </c>
      <c r="I429" t="s">
        <v>4002</v>
      </c>
    </row>
    <row r="430" spans="1:9">
      <c r="A430" s="93" t="s">
        <v>4150</v>
      </c>
      <c r="B430" t="s">
        <v>1884</v>
      </c>
      <c r="C430" t="s">
        <v>2183</v>
      </c>
      <c r="D430" t="s">
        <v>2182</v>
      </c>
      <c r="E430" t="s">
        <v>2184</v>
      </c>
      <c r="F430" t="s">
        <v>2185</v>
      </c>
      <c r="G430" t="s">
        <v>4143</v>
      </c>
      <c r="H430" t="s">
        <v>108</v>
      </c>
      <c r="I430" t="s">
        <v>4002</v>
      </c>
    </row>
    <row r="431" spans="1:9">
      <c r="A431" s="93" t="s">
        <v>4150</v>
      </c>
      <c r="B431" t="s">
        <v>1884</v>
      </c>
      <c r="C431" t="s">
        <v>2186</v>
      </c>
      <c r="D431" t="s">
        <v>2187</v>
      </c>
      <c r="E431" t="s">
        <v>108</v>
      </c>
      <c r="G431" t="s">
        <v>4143</v>
      </c>
      <c r="H431" t="s">
        <v>108</v>
      </c>
      <c r="I431" t="s">
        <v>4002</v>
      </c>
    </row>
    <row r="432" spans="1:9">
      <c r="A432" s="93" t="s">
        <v>4150</v>
      </c>
      <c r="B432" t="s">
        <v>1884</v>
      </c>
      <c r="C432" t="s">
        <v>2188</v>
      </c>
      <c r="E432" t="s">
        <v>2189</v>
      </c>
      <c r="G432" t="s">
        <v>4143</v>
      </c>
      <c r="H432" t="s">
        <v>108</v>
      </c>
      <c r="I432" t="s">
        <v>4002</v>
      </c>
    </row>
    <row r="433" spans="1:9">
      <c r="A433" s="93" t="s">
        <v>4150</v>
      </c>
      <c r="B433" t="s">
        <v>1884</v>
      </c>
      <c r="C433" t="s">
        <v>2323</v>
      </c>
      <c r="D433" t="s">
        <v>2180</v>
      </c>
      <c r="E433" t="s">
        <v>2324</v>
      </c>
      <c r="G433" t="s">
        <v>4143</v>
      </c>
      <c r="H433" t="s">
        <v>2324</v>
      </c>
      <c r="I433" t="s">
        <v>4002</v>
      </c>
    </row>
    <row r="434" spans="1:9">
      <c r="A434" s="93" t="s">
        <v>4150</v>
      </c>
      <c r="B434" t="s">
        <v>1884</v>
      </c>
      <c r="C434" t="s">
        <v>2190</v>
      </c>
      <c r="E434" t="s">
        <v>2135</v>
      </c>
      <c r="G434" t="s">
        <v>4141</v>
      </c>
      <c r="H434" t="s">
        <v>2318</v>
      </c>
      <c r="I434" t="s">
        <v>4002</v>
      </c>
    </row>
    <row r="435" spans="1:9">
      <c r="A435" s="93" t="s">
        <v>4150</v>
      </c>
      <c r="B435" t="s">
        <v>1884</v>
      </c>
      <c r="C435" t="s">
        <v>2191</v>
      </c>
      <c r="E435" t="s">
        <v>2135</v>
      </c>
      <c r="G435" t="s">
        <v>4141</v>
      </c>
      <c r="H435" t="s">
        <v>2318</v>
      </c>
      <c r="I435" t="s">
        <v>4002</v>
      </c>
    </row>
    <row r="436" spans="1:9">
      <c r="A436" s="93" t="s">
        <v>4150</v>
      </c>
      <c r="B436" t="s">
        <v>1884</v>
      </c>
      <c r="C436" t="s">
        <v>2192</v>
      </c>
      <c r="D436" t="s">
        <v>2182</v>
      </c>
      <c r="E436" t="s">
        <v>2193</v>
      </c>
      <c r="G436" t="s">
        <v>4143</v>
      </c>
      <c r="H436" t="s">
        <v>2193</v>
      </c>
      <c r="I436" t="s">
        <v>4002</v>
      </c>
    </row>
    <row r="437" spans="1:9">
      <c r="A437" s="93" t="s">
        <v>4150</v>
      </c>
      <c r="B437" t="s">
        <v>1884</v>
      </c>
      <c r="C437" t="s">
        <v>2194</v>
      </c>
      <c r="D437" t="s">
        <v>2187</v>
      </c>
      <c r="E437" t="s">
        <v>108</v>
      </c>
      <c r="G437" t="s">
        <v>4143</v>
      </c>
      <c r="H437" t="s">
        <v>108</v>
      </c>
      <c r="I437" t="s">
        <v>4002</v>
      </c>
    </row>
    <row r="438" spans="1:9">
      <c r="A438" s="93" t="s">
        <v>4150</v>
      </c>
      <c r="B438" t="s">
        <v>1889</v>
      </c>
      <c r="C438" t="s">
        <v>2196</v>
      </c>
      <c r="E438" t="s">
        <v>2193</v>
      </c>
      <c r="G438" t="s">
        <v>4143</v>
      </c>
      <c r="H438" t="s">
        <v>2193</v>
      </c>
      <c r="I438" t="s">
        <v>4004</v>
      </c>
    </row>
    <row r="439" spans="1:9">
      <c r="A439" s="93" t="s">
        <v>4150</v>
      </c>
      <c r="B439" t="s">
        <v>1889</v>
      </c>
      <c r="C439" t="s">
        <v>2197</v>
      </c>
      <c r="E439" t="s">
        <v>2193</v>
      </c>
      <c r="G439" t="s">
        <v>4143</v>
      </c>
      <c r="H439" t="s">
        <v>2193</v>
      </c>
      <c r="I439" t="s">
        <v>4004</v>
      </c>
    </row>
    <row r="440" spans="1:9">
      <c r="A440" s="93" t="s">
        <v>4150</v>
      </c>
      <c r="B440" t="s">
        <v>1889</v>
      </c>
      <c r="C440" t="s">
        <v>2198</v>
      </c>
      <c r="E440" t="s">
        <v>2199</v>
      </c>
      <c r="G440" t="s">
        <v>4143</v>
      </c>
      <c r="H440" t="s">
        <v>2193</v>
      </c>
      <c r="I440" t="s">
        <v>4004</v>
      </c>
    </row>
    <row r="441" spans="1:9">
      <c r="A441" s="93" t="s">
        <v>4150</v>
      </c>
      <c r="B441" t="s">
        <v>1889</v>
      </c>
      <c r="C441" t="s">
        <v>2200</v>
      </c>
      <c r="D441" t="s">
        <v>2182</v>
      </c>
      <c r="E441" t="s">
        <v>108</v>
      </c>
      <c r="G441" t="s">
        <v>4143</v>
      </c>
      <c r="H441" t="s">
        <v>108</v>
      </c>
      <c r="I441" t="s">
        <v>4004</v>
      </c>
    </row>
    <row r="442" spans="1:9">
      <c r="A442" s="93" t="s">
        <v>4150</v>
      </c>
      <c r="B442" t="s">
        <v>1889</v>
      </c>
      <c r="C442" t="s">
        <v>2201</v>
      </c>
      <c r="D442" t="s">
        <v>2182</v>
      </c>
      <c r="E442" t="s">
        <v>108</v>
      </c>
      <c r="G442" t="s">
        <v>4143</v>
      </c>
      <c r="H442" t="s">
        <v>108</v>
      </c>
      <c r="I442" t="s">
        <v>4004</v>
      </c>
    </row>
    <row r="443" spans="1:9">
      <c r="A443" s="93" t="s">
        <v>4150</v>
      </c>
      <c r="B443" t="s">
        <v>1889</v>
      </c>
      <c r="C443" t="s">
        <v>2202</v>
      </c>
      <c r="D443" t="s">
        <v>2174</v>
      </c>
      <c r="E443" t="s">
        <v>108</v>
      </c>
      <c r="G443" t="s">
        <v>4143</v>
      </c>
      <c r="H443" t="s">
        <v>108</v>
      </c>
      <c r="I443" t="s">
        <v>4004</v>
      </c>
    </row>
    <row r="444" spans="1:9">
      <c r="A444" s="93" t="s">
        <v>4150</v>
      </c>
      <c r="B444" t="s">
        <v>1889</v>
      </c>
      <c r="C444" t="s">
        <v>2203</v>
      </c>
      <c r="D444" t="s">
        <v>2204</v>
      </c>
      <c r="E444" t="s">
        <v>2193</v>
      </c>
      <c r="G444" t="s">
        <v>4143</v>
      </c>
      <c r="H444" t="s">
        <v>2193</v>
      </c>
      <c r="I444" t="s">
        <v>4004</v>
      </c>
    </row>
    <row r="445" spans="1:9">
      <c r="A445" s="93" t="s">
        <v>4150</v>
      </c>
      <c r="B445" t="s">
        <v>1889</v>
      </c>
      <c r="C445" t="s">
        <v>2205</v>
      </c>
      <c r="D445" t="s">
        <v>2204</v>
      </c>
      <c r="E445" t="s">
        <v>2193</v>
      </c>
      <c r="G445" t="s">
        <v>4143</v>
      </c>
      <c r="H445" t="s">
        <v>2193</v>
      </c>
      <c r="I445" t="s">
        <v>4004</v>
      </c>
    </row>
    <row r="446" spans="1:9">
      <c r="A446" s="93" t="s">
        <v>4150</v>
      </c>
      <c r="B446" t="s">
        <v>1889</v>
      </c>
      <c r="C446" t="s">
        <v>2206</v>
      </c>
      <c r="E446" t="s">
        <v>2135</v>
      </c>
      <c r="G446" t="s">
        <v>4141</v>
      </c>
      <c r="H446" t="s">
        <v>2318</v>
      </c>
      <c r="I446" t="s">
        <v>4004</v>
      </c>
    </row>
    <row r="447" spans="1:9">
      <c r="A447" s="93" t="s">
        <v>4150</v>
      </c>
      <c r="B447" t="s">
        <v>1889</v>
      </c>
      <c r="C447" t="s">
        <v>2207</v>
      </c>
      <c r="D447" t="s">
        <v>2204</v>
      </c>
      <c r="E447" t="s">
        <v>108</v>
      </c>
      <c r="F447" t="s">
        <v>2208</v>
      </c>
      <c r="G447" t="s">
        <v>4143</v>
      </c>
      <c r="H447" t="s">
        <v>108</v>
      </c>
      <c r="I447" t="s">
        <v>4004</v>
      </c>
    </row>
    <row r="448" spans="1:9">
      <c r="A448" s="93" t="s">
        <v>4150</v>
      </c>
      <c r="B448" t="s">
        <v>1891</v>
      </c>
      <c r="C448" t="s">
        <v>2210</v>
      </c>
      <c r="D448" t="s">
        <v>2211</v>
      </c>
      <c r="E448" t="s">
        <v>108</v>
      </c>
      <c r="G448" t="s">
        <v>4143</v>
      </c>
      <c r="H448" t="s">
        <v>108</v>
      </c>
      <c r="I448" t="s">
        <v>4008</v>
      </c>
    </row>
    <row r="449" spans="1:9">
      <c r="A449" s="93" t="s">
        <v>4150</v>
      </c>
      <c r="B449" t="s">
        <v>1891</v>
      </c>
      <c r="C449" t="s">
        <v>2212</v>
      </c>
      <c r="D449" t="s">
        <v>2213</v>
      </c>
      <c r="E449" t="s">
        <v>108</v>
      </c>
      <c r="G449" t="s">
        <v>4143</v>
      </c>
      <c r="H449" t="s">
        <v>108</v>
      </c>
      <c r="I449" t="s">
        <v>4008</v>
      </c>
    </row>
    <row r="450" spans="1:9">
      <c r="A450" s="93" t="s">
        <v>4150</v>
      </c>
      <c r="B450" t="s">
        <v>1891</v>
      </c>
      <c r="C450" t="s">
        <v>2214</v>
      </c>
      <c r="D450" t="s">
        <v>2213</v>
      </c>
      <c r="E450" t="s">
        <v>108</v>
      </c>
      <c r="G450" t="s">
        <v>4143</v>
      </c>
      <c r="H450" t="s">
        <v>108</v>
      </c>
      <c r="I450" t="s">
        <v>4008</v>
      </c>
    </row>
    <row r="451" spans="1:9">
      <c r="A451" s="93" t="s">
        <v>4150</v>
      </c>
      <c r="B451" t="s">
        <v>1893</v>
      </c>
      <c r="C451" t="s">
        <v>2328</v>
      </c>
      <c r="D451" t="s">
        <v>2217</v>
      </c>
      <c r="E451" t="s">
        <v>2309</v>
      </c>
      <c r="F451" t="s">
        <v>2329</v>
      </c>
      <c r="G451" t="s">
        <v>4141</v>
      </c>
      <c r="H451" t="s">
        <v>2311</v>
      </c>
      <c r="I451" t="s">
        <v>4012</v>
      </c>
    </row>
    <row r="452" spans="1:9">
      <c r="A452" s="93" t="s">
        <v>4150</v>
      </c>
      <c r="B452" t="s">
        <v>1893</v>
      </c>
      <c r="C452" t="s">
        <v>2330</v>
      </c>
      <c r="D452" t="s">
        <v>2331</v>
      </c>
      <c r="E452" t="s">
        <v>2309</v>
      </c>
      <c r="F452" t="s">
        <v>2332</v>
      </c>
      <c r="G452" t="s">
        <v>4141</v>
      </c>
      <c r="H452" t="s">
        <v>2311</v>
      </c>
      <c r="I452" t="s">
        <v>4012</v>
      </c>
    </row>
    <row r="453" spans="1:9">
      <c r="A453" s="93" t="s">
        <v>4150</v>
      </c>
      <c r="B453" t="s">
        <v>1893</v>
      </c>
      <c r="C453" t="s">
        <v>2216</v>
      </c>
      <c r="D453" t="s">
        <v>2217</v>
      </c>
      <c r="E453" t="s">
        <v>2193</v>
      </c>
      <c r="F453" t="s">
        <v>2218</v>
      </c>
      <c r="G453" t="s">
        <v>4143</v>
      </c>
      <c r="H453" t="s">
        <v>2193</v>
      </c>
      <c r="I453" t="s">
        <v>4012</v>
      </c>
    </row>
    <row r="454" spans="1:9">
      <c r="A454" s="93" t="s">
        <v>4150</v>
      </c>
      <c r="B454" t="s">
        <v>1893</v>
      </c>
      <c r="C454" t="s">
        <v>2219</v>
      </c>
      <c r="D454" t="s">
        <v>2220</v>
      </c>
      <c r="E454" t="s">
        <v>108</v>
      </c>
      <c r="F454" t="s">
        <v>2221</v>
      </c>
      <c r="G454" t="s">
        <v>4143</v>
      </c>
      <c r="H454" t="s">
        <v>108</v>
      </c>
      <c r="I454" t="s">
        <v>4012</v>
      </c>
    </row>
    <row r="455" spans="1:9">
      <c r="A455" s="93" t="s">
        <v>4150</v>
      </c>
      <c r="B455" t="s">
        <v>1893</v>
      </c>
      <c r="C455" t="s">
        <v>2222</v>
      </c>
      <c r="D455" t="s">
        <v>2223</v>
      </c>
      <c r="E455" t="s">
        <v>108</v>
      </c>
      <c r="F455" t="s">
        <v>2224</v>
      </c>
      <c r="G455" t="s">
        <v>4143</v>
      </c>
      <c r="H455" t="s">
        <v>108</v>
      </c>
      <c r="I455" t="s">
        <v>4012</v>
      </c>
    </row>
    <row r="456" spans="1:9">
      <c r="A456" s="93" t="s">
        <v>4150</v>
      </c>
      <c r="B456" t="s">
        <v>1893</v>
      </c>
      <c r="C456" t="s">
        <v>2225</v>
      </c>
      <c r="D456" t="s">
        <v>2226</v>
      </c>
      <c r="E456" t="s">
        <v>108</v>
      </c>
      <c r="F456" t="s">
        <v>2227</v>
      </c>
      <c r="G456" t="s">
        <v>4143</v>
      </c>
      <c r="H456" t="s">
        <v>108</v>
      </c>
      <c r="I456" t="s">
        <v>4012</v>
      </c>
    </row>
    <row r="457" spans="1:9">
      <c r="A457" s="93" t="s">
        <v>4150</v>
      </c>
      <c r="B457" t="s">
        <v>1893</v>
      </c>
      <c r="C457" t="s">
        <v>2228</v>
      </c>
      <c r="E457" t="s">
        <v>2135</v>
      </c>
      <c r="G457" t="s">
        <v>4141</v>
      </c>
      <c r="H457" t="s">
        <v>2318</v>
      </c>
      <c r="I457" t="s">
        <v>4012</v>
      </c>
    </row>
    <row r="458" spans="1:9">
      <c r="A458" s="93" t="s">
        <v>4150</v>
      </c>
      <c r="B458" t="s">
        <v>1896</v>
      </c>
      <c r="C458" t="s">
        <v>2230</v>
      </c>
      <c r="D458" t="s">
        <v>2220</v>
      </c>
      <c r="E458" t="s">
        <v>108</v>
      </c>
      <c r="F458" t="s">
        <v>2231</v>
      </c>
      <c r="G458" t="s">
        <v>4143</v>
      </c>
      <c r="H458" t="s">
        <v>108</v>
      </c>
      <c r="I458" t="s">
        <v>4016</v>
      </c>
    </row>
    <row r="459" spans="1:9">
      <c r="A459" s="93" t="s">
        <v>4150</v>
      </c>
      <c r="B459" t="s">
        <v>1896</v>
      </c>
      <c r="C459" t="s">
        <v>2232</v>
      </c>
      <c r="D459" t="s">
        <v>2220</v>
      </c>
      <c r="E459" t="s">
        <v>108</v>
      </c>
      <c r="G459" t="s">
        <v>4143</v>
      </c>
      <c r="H459" t="s">
        <v>108</v>
      </c>
      <c r="I459" t="s">
        <v>4016</v>
      </c>
    </row>
    <row r="460" spans="1:9">
      <c r="A460" s="93" t="s">
        <v>4150</v>
      </c>
      <c r="B460" t="s">
        <v>1896</v>
      </c>
      <c r="C460" t="s">
        <v>2233</v>
      </c>
      <c r="D460" t="s">
        <v>2234</v>
      </c>
      <c r="E460" t="s">
        <v>108</v>
      </c>
      <c r="F460" t="s">
        <v>2235</v>
      </c>
      <c r="G460" t="s">
        <v>4143</v>
      </c>
      <c r="H460" t="s">
        <v>108</v>
      </c>
      <c r="I460" t="s">
        <v>4016</v>
      </c>
    </row>
    <row r="461" spans="1:9">
      <c r="A461" s="93" t="s">
        <v>4150</v>
      </c>
      <c r="B461" t="s">
        <v>1896</v>
      </c>
      <c r="C461" t="s">
        <v>2236</v>
      </c>
      <c r="D461" t="s">
        <v>2237</v>
      </c>
      <c r="E461" t="s">
        <v>108</v>
      </c>
      <c r="F461" t="s">
        <v>2231</v>
      </c>
      <c r="G461" t="s">
        <v>4143</v>
      </c>
      <c r="H461" t="s">
        <v>108</v>
      </c>
      <c r="I461" t="s">
        <v>4016</v>
      </c>
    </row>
    <row r="462" spans="1:9">
      <c r="A462" s="93" t="s">
        <v>4150</v>
      </c>
      <c r="B462" t="s">
        <v>1896</v>
      </c>
      <c r="C462" t="s">
        <v>2238</v>
      </c>
      <c r="D462" t="s">
        <v>2237</v>
      </c>
      <c r="E462" t="s">
        <v>108</v>
      </c>
      <c r="F462" t="s">
        <v>2239</v>
      </c>
      <c r="G462" t="s">
        <v>4143</v>
      </c>
      <c r="H462" t="s">
        <v>108</v>
      </c>
      <c r="I462" t="s">
        <v>4016</v>
      </c>
    </row>
    <row r="463" spans="1:9">
      <c r="A463" s="93" t="s">
        <v>4150</v>
      </c>
      <c r="B463" t="s">
        <v>1896</v>
      </c>
      <c r="C463" t="s">
        <v>2240</v>
      </c>
      <c r="D463" t="s">
        <v>2241</v>
      </c>
      <c r="E463" t="s">
        <v>2193</v>
      </c>
      <c r="G463" t="s">
        <v>4143</v>
      </c>
      <c r="H463" t="s">
        <v>2193</v>
      </c>
      <c r="I463" t="s">
        <v>4016</v>
      </c>
    </row>
    <row r="464" spans="1:9">
      <c r="A464" s="93" t="s">
        <v>4150</v>
      </c>
      <c r="B464" t="s">
        <v>1896</v>
      </c>
      <c r="C464" t="s">
        <v>2242</v>
      </c>
      <c r="D464" t="s">
        <v>2220</v>
      </c>
      <c r="E464" t="s">
        <v>2243</v>
      </c>
      <c r="F464" t="s">
        <v>2244</v>
      </c>
      <c r="G464" t="s">
        <v>4143</v>
      </c>
      <c r="H464" t="s">
        <v>2334</v>
      </c>
      <c r="I464" t="s">
        <v>4016</v>
      </c>
    </row>
    <row r="465" spans="1:9">
      <c r="A465" s="93" t="s">
        <v>4150</v>
      </c>
      <c r="B465" t="s">
        <v>1896</v>
      </c>
      <c r="C465" t="s">
        <v>2245</v>
      </c>
      <c r="D465" t="s">
        <v>2241</v>
      </c>
      <c r="E465" t="s">
        <v>2246</v>
      </c>
      <c r="G465" t="s">
        <v>4143</v>
      </c>
      <c r="H465" t="s">
        <v>108</v>
      </c>
      <c r="I465" t="s">
        <v>4016</v>
      </c>
    </row>
    <row r="466" spans="1:9">
      <c r="A466" s="93" t="s">
        <v>4150</v>
      </c>
      <c r="B466" t="s">
        <v>1896</v>
      </c>
      <c r="C466" t="s">
        <v>2335</v>
      </c>
      <c r="E466" t="s">
        <v>2309</v>
      </c>
      <c r="F466" t="s">
        <v>2336</v>
      </c>
      <c r="G466" t="s">
        <v>4141</v>
      </c>
      <c r="H466" t="s">
        <v>2311</v>
      </c>
      <c r="I466" t="s">
        <v>4016</v>
      </c>
    </row>
    <row r="467" spans="1:9">
      <c r="A467" s="93" t="s">
        <v>4150</v>
      </c>
      <c r="B467" t="s">
        <v>1896</v>
      </c>
      <c r="C467" t="s">
        <v>2247</v>
      </c>
      <c r="D467" t="s">
        <v>2248</v>
      </c>
      <c r="E467" t="s">
        <v>108</v>
      </c>
      <c r="F467" t="s">
        <v>2249</v>
      </c>
      <c r="G467" t="s">
        <v>4143</v>
      </c>
      <c r="H467" t="s">
        <v>108</v>
      </c>
      <c r="I467" t="s">
        <v>4016</v>
      </c>
    </row>
    <row r="468" spans="1:9">
      <c r="A468" s="93" t="s">
        <v>4150</v>
      </c>
      <c r="B468" t="s">
        <v>1896</v>
      </c>
      <c r="C468" t="s">
        <v>2337</v>
      </c>
      <c r="D468" t="s">
        <v>2248</v>
      </c>
      <c r="E468" t="s">
        <v>2338</v>
      </c>
      <c r="G468" t="s">
        <v>4141</v>
      </c>
      <c r="H468" t="s">
        <v>2339</v>
      </c>
      <c r="I468" t="s">
        <v>4016</v>
      </c>
    </row>
    <row r="469" spans="1:9">
      <c r="A469" s="93" t="s">
        <v>4150</v>
      </c>
      <c r="B469" t="s">
        <v>1898</v>
      </c>
      <c r="C469" t="s">
        <v>2251</v>
      </c>
      <c r="D469" t="s">
        <v>2252</v>
      </c>
      <c r="E469" t="s">
        <v>108</v>
      </c>
      <c r="G469" t="s">
        <v>4143</v>
      </c>
      <c r="H469" t="s">
        <v>108</v>
      </c>
      <c r="I469" t="s">
        <v>4020</v>
      </c>
    </row>
    <row r="470" spans="1:9">
      <c r="A470" s="93" t="s">
        <v>4150</v>
      </c>
      <c r="B470" t="s">
        <v>1898</v>
      </c>
      <c r="C470" t="s">
        <v>2253</v>
      </c>
      <c r="D470" t="s">
        <v>2252</v>
      </c>
      <c r="E470" t="s">
        <v>2193</v>
      </c>
      <c r="F470" t="s">
        <v>2254</v>
      </c>
      <c r="G470" t="s">
        <v>4143</v>
      </c>
      <c r="H470" t="s">
        <v>2193</v>
      </c>
      <c r="I470" t="s">
        <v>4020</v>
      </c>
    </row>
    <row r="471" spans="1:9">
      <c r="A471" s="93" t="s">
        <v>4150</v>
      </c>
      <c r="B471" t="s">
        <v>1898</v>
      </c>
      <c r="C471" t="s">
        <v>2255</v>
      </c>
      <c r="D471" t="s">
        <v>2256</v>
      </c>
      <c r="E471" t="s">
        <v>2257</v>
      </c>
      <c r="G471" t="s">
        <v>4143</v>
      </c>
      <c r="H471" t="s">
        <v>108</v>
      </c>
      <c r="I471" t="s">
        <v>4020</v>
      </c>
    </row>
    <row r="472" spans="1:9">
      <c r="A472" s="93" t="s">
        <v>4150</v>
      </c>
      <c r="B472" t="s">
        <v>1898</v>
      </c>
      <c r="C472" t="s">
        <v>2258</v>
      </c>
      <c r="D472" t="s">
        <v>2259</v>
      </c>
      <c r="E472" t="s">
        <v>2260</v>
      </c>
      <c r="F472" t="s">
        <v>2261</v>
      </c>
      <c r="G472" t="s">
        <v>4143</v>
      </c>
      <c r="H472" t="s">
        <v>108</v>
      </c>
      <c r="I472" t="s">
        <v>4020</v>
      </c>
    </row>
    <row r="473" spans="1:9">
      <c r="A473" s="93" t="s">
        <v>4150</v>
      </c>
      <c r="B473" t="s">
        <v>1898</v>
      </c>
      <c r="C473" t="s">
        <v>2262</v>
      </c>
      <c r="D473" t="s">
        <v>2259</v>
      </c>
      <c r="E473" t="s">
        <v>2147</v>
      </c>
      <c r="F473" t="s">
        <v>2263</v>
      </c>
      <c r="G473" t="s">
        <v>4143</v>
      </c>
      <c r="H473" t="s">
        <v>108</v>
      </c>
      <c r="I473" t="s">
        <v>4020</v>
      </c>
    </row>
    <row r="474" spans="1:9">
      <c r="A474" s="93" t="s">
        <v>4150</v>
      </c>
      <c r="B474" t="s">
        <v>1898</v>
      </c>
      <c r="C474" t="s">
        <v>2264</v>
      </c>
      <c r="D474" t="s">
        <v>2252</v>
      </c>
      <c r="E474" t="s">
        <v>2265</v>
      </c>
      <c r="G474" t="s">
        <v>4143</v>
      </c>
      <c r="H474" t="s">
        <v>108</v>
      </c>
      <c r="I474" t="s">
        <v>4020</v>
      </c>
    </row>
    <row r="475" spans="1:9">
      <c r="A475" s="93" t="s">
        <v>4150</v>
      </c>
      <c r="B475" t="s">
        <v>1898</v>
      </c>
      <c r="C475" t="s">
        <v>2266</v>
      </c>
      <c r="D475" t="s">
        <v>2252</v>
      </c>
      <c r="E475" t="s">
        <v>2267</v>
      </c>
      <c r="F475" t="s">
        <v>2268</v>
      </c>
      <c r="G475" t="s">
        <v>4143</v>
      </c>
      <c r="H475" t="s">
        <v>108</v>
      </c>
      <c r="I475" t="s">
        <v>4020</v>
      </c>
    </row>
    <row r="476" spans="1:9">
      <c r="A476" s="93" t="s">
        <v>4150</v>
      </c>
      <c r="B476" t="s">
        <v>1898</v>
      </c>
      <c r="C476" t="s">
        <v>2269</v>
      </c>
      <c r="D476" t="s">
        <v>2252</v>
      </c>
      <c r="E476" t="s">
        <v>2270</v>
      </c>
      <c r="G476" t="s">
        <v>4143</v>
      </c>
      <c r="H476" t="s">
        <v>108</v>
      </c>
      <c r="I476" t="s">
        <v>4020</v>
      </c>
    </row>
    <row r="477" spans="1:9">
      <c r="A477" s="93" t="s">
        <v>4150</v>
      </c>
      <c r="B477" t="s">
        <v>1902</v>
      </c>
      <c r="C477" t="s">
        <v>2342</v>
      </c>
      <c r="E477" t="s">
        <v>2309</v>
      </c>
      <c r="F477" t="s">
        <v>2343</v>
      </c>
      <c r="G477" t="s">
        <v>4141</v>
      </c>
      <c r="H477" t="s">
        <v>2311</v>
      </c>
      <c r="I477" t="s">
        <v>4024</v>
      </c>
    </row>
    <row r="478" spans="1:9">
      <c r="A478" s="93" t="s">
        <v>4150</v>
      </c>
      <c r="B478" t="s">
        <v>1902</v>
      </c>
      <c r="C478" t="s">
        <v>2272</v>
      </c>
      <c r="D478" t="s">
        <v>2273</v>
      </c>
      <c r="E478" t="s">
        <v>2274</v>
      </c>
      <c r="F478" t="s">
        <v>2275</v>
      </c>
      <c r="G478" t="s">
        <v>4143</v>
      </c>
      <c r="H478" t="s">
        <v>108</v>
      </c>
      <c r="I478" t="s">
        <v>4024</v>
      </c>
    </row>
    <row r="479" spans="1:9">
      <c r="A479" s="93" t="s">
        <v>4150</v>
      </c>
      <c r="B479" t="s">
        <v>1902</v>
      </c>
      <c r="C479" t="s">
        <v>2276</v>
      </c>
      <c r="D479" t="s">
        <v>2248</v>
      </c>
      <c r="E479" t="s">
        <v>2277</v>
      </c>
      <c r="F479" t="s">
        <v>2278</v>
      </c>
      <c r="G479" t="s">
        <v>4143</v>
      </c>
      <c r="H479" t="s">
        <v>108</v>
      </c>
      <c r="I479" t="s">
        <v>4024</v>
      </c>
    </row>
    <row r="480" spans="1:9">
      <c r="A480" s="93" t="s">
        <v>4150</v>
      </c>
      <c r="B480" t="s">
        <v>1902</v>
      </c>
      <c r="C480" t="s">
        <v>2279</v>
      </c>
      <c r="D480" t="s">
        <v>2280</v>
      </c>
      <c r="E480" t="s">
        <v>2281</v>
      </c>
      <c r="F480" t="s">
        <v>2282</v>
      </c>
      <c r="G480" t="s">
        <v>4143</v>
      </c>
      <c r="H480" t="s">
        <v>108</v>
      </c>
      <c r="I480" t="s">
        <v>4024</v>
      </c>
    </row>
    <row r="481" spans="1:9">
      <c r="A481" s="93" t="s">
        <v>4150</v>
      </c>
      <c r="B481" t="s">
        <v>1902</v>
      </c>
      <c r="C481" t="s">
        <v>2283</v>
      </c>
      <c r="D481" t="s">
        <v>2273</v>
      </c>
      <c r="E481" t="s">
        <v>108</v>
      </c>
      <c r="F481" t="s">
        <v>2284</v>
      </c>
      <c r="G481" t="s">
        <v>4143</v>
      </c>
      <c r="H481" t="s">
        <v>108</v>
      </c>
      <c r="I481" t="s">
        <v>4024</v>
      </c>
    </row>
    <row r="482" spans="1:9">
      <c r="A482" s="93" t="s">
        <v>4150</v>
      </c>
      <c r="B482" t="s">
        <v>1902</v>
      </c>
      <c r="C482" t="s">
        <v>2344</v>
      </c>
      <c r="D482" t="s">
        <v>2273</v>
      </c>
      <c r="E482" t="s">
        <v>2309</v>
      </c>
      <c r="F482" t="s">
        <v>2345</v>
      </c>
      <c r="G482" t="s">
        <v>4141</v>
      </c>
      <c r="H482" t="s">
        <v>2311</v>
      </c>
      <c r="I482" t="s">
        <v>4024</v>
      </c>
    </row>
    <row r="483" spans="1:9">
      <c r="A483" s="93" t="s">
        <v>4150</v>
      </c>
      <c r="B483" t="s">
        <v>1902</v>
      </c>
      <c r="C483" t="s">
        <v>2285</v>
      </c>
      <c r="E483" t="s">
        <v>2135</v>
      </c>
      <c r="G483" t="s">
        <v>4141</v>
      </c>
      <c r="H483" t="s">
        <v>2318</v>
      </c>
      <c r="I483" t="s">
        <v>4024</v>
      </c>
    </row>
    <row r="484" spans="1:9">
      <c r="A484" s="93" t="s">
        <v>4150</v>
      </c>
      <c r="B484" t="s">
        <v>1902</v>
      </c>
      <c r="C484" t="s">
        <v>2286</v>
      </c>
      <c r="E484" t="s">
        <v>108</v>
      </c>
      <c r="G484" t="s">
        <v>4143</v>
      </c>
      <c r="H484" t="s">
        <v>108</v>
      </c>
      <c r="I484" t="s">
        <v>4024</v>
      </c>
    </row>
    <row r="485" spans="1:9">
      <c r="A485" s="93" t="s">
        <v>4150</v>
      </c>
      <c r="B485" t="s">
        <v>1902</v>
      </c>
      <c r="C485" t="s">
        <v>2287</v>
      </c>
      <c r="D485" t="s">
        <v>2273</v>
      </c>
      <c r="E485" t="s">
        <v>2288</v>
      </c>
      <c r="F485" t="s">
        <v>2289</v>
      </c>
      <c r="G485" t="s">
        <v>4143</v>
      </c>
      <c r="H485" t="s">
        <v>2288</v>
      </c>
      <c r="I485" t="s">
        <v>4024</v>
      </c>
    </row>
    <row r="486" spans="1:9">
      <c r="A486" s="93" t="s">
        <v>4150</v>
      </c>
      <c r="B486" t="s">
        <v>3926</v>
      </c>
      <c r="C486" t="s">
        <v>2291</v>
      </c>
      <c r="E486" t="s">
        <v>2135</v>
      </c>
      <c r="F486" t="s">
        <v>2292</v>
      </c>
      <c r="G486" t="s">
        <v>4141</v>
      </c>
      <c r="H486" t="s">
        <v>2318</v>
      </c>
    </row>
    <row r="487" spans="1:9">
      <c r="A487" s="93" t="s">
        <v>4150</v>
      </c>
      <c r="B487" t="s">
        <v>3926</v>
      </c>
      <c r="C487" t="s">
        <v>2293</v>
      </c>
      <c r="D487" t="s">
        <v>2294</v>
      </c>
      <c r="E487" t="s">
        <v>2295</v>
      </c>
      <c r="F487" t="s">
        <v>2296</v>
      </c>
      <c r="G487" t="s">
        <v>4143</v>
      </c>
      <c r="H487" t="s">
        <v>108</v>
      </c>
    </row>
    <row r="488" spans="1:9">
      <c r="A488" s="93" t="s">
        <v>4150</v>
      </c>
      <c r="B488" t="s">
        <v>3926</v>
      </c>
      <c r="C488" t="s">
        <v>2297</v>
      </c>
      <c r="D488" t="s">
        <v>2298</v>
      </c>
      <c r="E488" t="s">
        <v>108</v>
      </c>
      <c r="F488" t="s">
        <v>2299</v>
      </c>
      <c r="G488" t="s">
        <v>4143</v>
      </c>
      <c r="H488" t="s">
        <v>108</v>
      </c>
    </row>
    <row r="489" spans="1:9">
      <c r="A489" s="93" t="s">
        <v>4150</v>
      </c>
      <c r="B489" t="s">
        <v>3926</v>
      </c>
      <c r="C489" t="s">
        <v>2300</v>
      </c>
      <c r="D489" t="s">
        <v>2294</v>
      </c>
      <c r="E489" t="s">
        <v>108</v>
      </c>
      <c r="F489" t="s">
        <v>2299</v>
      </c>
      <c r="G489" t="s">
        <v>4143</v>
      </c>
      <c r="H489" t="s">
        <v>108</v>
      </c>
    </row>
    <row r="490" spans="1:9">
      <c r="A490" s="93" t="s">
        <v>4150</v>
      </c>
      <c r="B490" t="s">
        <v>3926</v>
      </c>
      <c r="C490" t="s">
        <v>2301</v>
      </c>
      <c r="D490" t="s">
        <v>2302</v>
      </c>
      <c r="E490" t="s">
        <v>2193</v>
      </c>
      <c r="F490" t="s">
        <v>2303</v>
      </c>
      <c r="G490" t="s">
        <v>4143</v>
      </c>
      <c r="H490" t="s">
        <v>2193</v>
      </c>
    </row>
    <row r="491" spans="1:9">
      <c r="A491" s="93" t="s">
        <v>4150</v>
      </c>
      <c r="B491" t="s">
        <v>3926</v>
      </c>
      <c r="C491" t="s">
        <v>2304</v>
      </c>
      <c r="D491" t="s">
        <v>2305</v>
      </c>
      <c r="E491" t="s">
        <v>2257</v>
      </c>
      <c r="F491" t="s">
        <v>2306</v>
      </c>
      <c r="G491" t="s">
        <v>4143</v>
      </c>
      <c r="H491" t="s">
        <v>108</v>
      </c>
    </row>
    <row r="492" spans="1:9">
      <c r="A492" s="93" t="s">
        <v>4150</v>
      </c>
      <c r="B492" t="s">
        <v>3926</v>
      </c>
      <c r="C492" t="s">
        <v>2347</v>
      </c>
      <c r="D492" t="s">
        <v>2213</v>
      </c>
      <c r="E492" t="s">
        <v>2348</v>
      </c>
      <c r="F492" t="s">
        <v>2296</v>
      </c>
      <c r="G492" t="s">
        <v>4143</v>
      </c>
      <c r="H492" t="s">
        <v>2348</v>
      </c>
    </row>
    <row r="493" spans="1:9">
      <c r="A493" s="93" t="s">
        <v>4151</v>
      </c>
      <c r="B493" t="s">
        <v>1874</v>
      </c>
      <c r="C493" t="s">
        <v>2114</v>
      </c>
      <c r="D493" t="s">
        <v>2115</v>
      </c>
      <c r="E493" t="s">
        <v>1559</v>
      </c>
      <c r="F493" t="s">
        <v>2117</v>
      </c>
      <c r="G493" t="s">
        <v>4143</v>
      </c>
      <c r="H493" t="s">
        <v>1559</v>
      </c>
      <c r="I493" t="s">
        <v>3984</v>
      </c>
    </row>
    <row r="494" spans="1:9">
      <c r="A494" s="93" t="s">
        <v>4151</v>
      </c>
      <c r="B494" t="s">
        <v>1874</v>
      </c>
      <c r="C494" t="s">
        <v>2352</v>
      </c>
      <c r="E494" t="s">
        <v>1201</v>
      </c>
      <c r="G494" t="s">
        <v>4143</v>
      </c>
      <c r="H494" t="s">
        <v>1201</v>
      </c>
      <c r="I494" t="s">
        <v>3984</v>
      </c>
    </row>
    <row r="495" spans="1:9">
      <c r="A495" s="93" t="s">
        <v>4151</v>
      </c>
      <c r="B495" t="s">
        <v>1874</v>
      </c>
      <c r="C495" t="s">
        <v>2118</v>
      </c>
      <c r="E495" t="s">
        <v>2119</v>
      </c>
      <c r="G495" t="s">
        <v>4143</v>
      </c>
      <c r="H495" t="s">
        <v>2353</v>
      </c>
      <c r="I495" t="s">
        <v>3984</v>
      </c>
    </row>
    <row r="496" spans="1:9">
      <c r="A496" s="93" t="s">
        <v>4151</v>
      </c>
      <c r="B496" t="s">
        <v>1874</v>
      </c>
      <c r="C496" t="s">
        <v>2121</v>
      </c>
      <c r="D496" t="s">
        <v>2122</v>
      </c>
      <c r="E496" t="s">
        <v>108</v>
      </c>
      <c r="G496" t="s">
        <v>4143</v>
      </c>
      <c r="H496" t="s">
        <v>108</v>
      </c>
      <c r="I496" t="s">
        <v>3984</v>
      </c>
    </row>
    <row r="497" spans="1:9">
      <c r="A497" s="93" t="s">
        <v>4151</v>
      </c>
      <c r="B497" t="s">
        <v>1874</v>
      </c>
      <c r="C497" t="s">
        <v>2123</v>
      </c>
      <c r="D497" t="s">
        <v>2124</v>
      </c>
      <c r="E497" t="s">
        <v>108</v>
      </c>
      <c r="F497" t="s">
        <v>2125</v>
      </c>
      <c r="G497" t="s">
        <v>4143</v>
      </c>
      <c r="H497" t="s">
        <v>108</v>
      </c>
      <c r="I497" t="s">
        <v>3984</v>
      </c>
    </row>
    <row r="498" spans="1:9">
      <c r="A498" s="93" t="s">
        <v>4151</v>
      </c>
      <c r="B498" t="s">
        <v>1874</v>
      </c>
      <c r="C498" t="s">
        <v>2126</v>
      </c>
      <c r="E498" t="s">
        <v>108</v>
      </c>
      <c r="G498" t="s">
        <v>4143</v>
      </c>
      <c r="H498" t="s">
        <v>108</v>
      </c>
      <c r="I498" t="s">
        <v>3984</v>
      </c>
    </row>
    <row r="499" spans="1:9">
      <c r="A499" s="93" t="s">
        <v>4151</v>
      </c>
      <c r="B499" t="s">
        <v>1875</v>
      </c>
      <c r="C499" t="s">
        <v>2128</v>
      </c>
      <c r="D499" t="s">
        <v>2129</v>
      </c>
      <c r="E499" t="s">
        <v>108</v>
      </c>
      <c r="G499" t="s">
        <v>4143</v>
      </c>
      <c r="H499" t="s">
        <v>108</v>
      </c>
      <c r="I499" t="s">
        <v>3988</v>
      </c>
    </row>
    <row r="500" spans="1:9">
      <c r="A500" s="93" t="s">
        <v>4151</v>
      </c>
      <c r="B500" t="s">
        <v>1875</v>
      </c>
      <c r="C500" t="s">
        <v>2130</v>
      </c>
      <c r="D500" t="s">
        <v>2131</v>
      </c>
      <c r="E500" t="s">
        <v>108</v>
      </c>
      <c r="F500" t="s">
        <v>2132</v>
      </c>
      <c r="G500" t="s">
        <v>4143</v>
      </c>
      <c r="H500" t="s">
        <v>108</v>
      </c>
      <c r="I500" t="s">
        <v>3988</v>
      </c>
    </row>
    <row r="501" spans="1:9">
      <c r="A501" s="93" t="s">
        <v>4151</v>
      </c>
      <c r="B501" t="s">
        <v>1875</v>
      </c>
      <c r="C501" t="s">
        <v>2133</v>
      </c>
      <c r="D501" t="s">
        <v>2131</v>
      </c>
      <c r="E501" t="s">
        <v>108</v>
      </c>
      <c r="G501" t="s">
        <v>4143</v>
      </c>
      <c r="H501" t="s">
        <v>108</v>
      </c>
      <c r="I501" t="s">
        <v>3988</v>
      </c>
    </row>
    <row r="502" spans="1:9">
      <c r="A502" s="93" t="s">
        <v>4151</v>
      </c>
      <c r="B502" t="s">
        <v>1875</v>
      </c>
      <c r="C502" t="s">
        <v>2134</v>
      </c>
      <c r="E502" t="s">
        <v>2135</v>
      </c>
      <c r="F502" t="s">
        <v>2137</v>
      </c>
      <c r="G502" t="s">
        <v>4145</v>
      </c>
      <c r="H502" t="s">
        <v>2355</v>
      </c>
      <c r="I502" t="s">
        <v>3988</v>
      </c>
    </row>
    <row r="503" spans="1:9">
      <c r="A503" s="93" t="s">
        <v>4151</v>
      </c>
      <c r="B503" t="s">
        <v>1875</v>
      </c>
      <c r="C503" t="s">
        <v>2138</v>
      </c>
      <c r="D503" t="s">
        <v>2139</v>
      </c>
      <c r="E503" t="s">
        <v>108</v>
      </c>
      <c r="F503" t="s">
        <v>2140</v>
      </c>
      <c r="G503" t="s">
        <v>4143</v>
      </c>
      <c r="H503" t="s">
        <v>108</v>
      </c>
      <c r="I503" t="s">
        <v>3988</v>
      </c>
    </row>
    <row r="504" spans="1:9">
      <c r="A504" s="93" t="s">
        <v>4151</v>
      </c>
      <c r="B504" t="s">
        <v>3697</v>
      </c>
      <c r="C504" t="s">
        <v>2142</v>
      </c>
      <c r="D504" t="s">
        <v>2143</v>
      </c>
      <c r="E504" t="s">
        <v>108</v>
      </c>
      <c r="G504" t="s">
        <v>4143</v>
      </c>
      <c r="H504" t="s">
        <v>108</v>
      </c>
      <c r="I504" t="s">
        <v>3992</v>
      </c>
    </row>
    <row r="505" spans="1:9">
      <c r="A505" s="93" t="s">
        <v>4151</v>
      </c>
      <c r="B505" t="s">
        <v>3697</v>
      </c>
      <c r="C505" t="s">
        <v>2144</v>
      </c>
      <c r="D505" t="s">
        <v>2143</v>
      </c>
      <c r="E505" t="s">
        <v>2145</v>
      </c>
      <c r="G505" t="s">
        <v>4143</v>
      </c>
      <c r="H505" t="s">
        <v>108</v>
      </c>
      <c r="I505" t="s">
        <v>3992</v>
      </c>
    </row>
    <row r="506" spans="1:9">
      <c r="A506" s="93" t="s">
        <v>4151</v>
      </c>
      <c r="B506" t="s">
        <v>3697</v>
      </c>
      <c r="C506" t="s">
        <v>2146</v>
      </c>
      <c r="D506" t="s">
        <v>2143</v>
      </c>
      <c r="E506" t="s">
        <v>2147</v>
      </c>
      <c r="F506" t="s">
        <v>2148</v>
      </c>
      <c r="G506" t="s">
        <v>4143</v>
      </c>
      <c r="H506" t="s">
        <v>108</v>
      </c>
      <c r="I506" t="s">
        <v>3992</v>
      </c>
    </row>
    <row r="507" spans="1:9">
      <c r="A507" s="93" t="s">
        <v>4151</v>
      </c>
      <c r="B507" t="s">
        <v>3697</v>
      </c>
      <c r="C507" t="s">
        <v>2149</v>
      </c>
      <c r="D507" t="s">
        <v>2143</v>
      </c>
      <c r="E507" t="s">
        <v>108</v>
      </c>
      <c r="G507" t="s">
        <v>4143</v>
      </c>
      <c r="H507" t="s">
        <v>108</v>
      </c>
      <c r="I507" t="s">
        <v>3992</v>
      </c>
    </row>
    <row r="508" spans="1:9">
      <c r="A508" s="93" t="s">
        <v>4151</v>
      </c>
      <c r="B508" t="s">
        <v>1881</v>
      </c>
      <c r="C508" t="s">
        <v>2151</v>
      </c>
      <c r="D508" t="s">
        <v>2152</v>
      </c>
      <c r="E508" t="s">
        <v>2153</v>
      </c>
      <c r="G508" t="s">
        <v>4143</v>
      </c>
      <c r="H508" t="s">
        <v>108</v>
      </c>
      <c r="I508" t="s">
        <v>3996</v>
      </c>
    </row>
    <row r="509" spans="1:9">
      <c r="A509" s="93" t="s">
        <v>4151</v>
      </c>
      <c r="B509" t="s">
        <v>1881</v>
      </c>
      <c r="C509" t="s">
        <v>2358</v>
      </c>
      <c r="E509" t="s">
        <v>543</v>
      </c>
      <c r="F509" t="s">
        <v>2359</v>
      </c>
      <c r="G509" t="s">
        <v>4143</v>
      </c>
      <c r="H509" t="s">
        <v>543</v>
      </c>
      <c r="I509" t="s">
        <v>3996</v>
      </c>
    </row>
    <row r="510" spans="1:9">
      <c r="A510" s="93" t="s">
        <v>4151</v>
      </c>
      <c r="B510" t="s">
        <v>1881</v>
      </c>
      <c r="C510" t="s">
        <v>2360</v>
      </c>
      <c r="D510" t="s">
        <v>2155</v>
      </c>
      <c r="E510" t="s">
        <v>543</v>
      </c>
      <c r="F510" t="s">
        <v>2361</v>
      </c>
      <c r="G510" t="s">
        <v>4143</v>
      </c>
      <c r="H510" t="s">
        <v>543</v>
      </c>
      <c r="I510" t="s">
        <v>3996</v>
      </c>
    </row>
    <row r="511" spans="1:9">
      <c r="A511" s="93" t="s">
        <v>4151</v>
      </c>
      <c r="B511" t="s">
        <v>1881</v>
      </c>
      <c r="C511" t="s">
        <v>2154</v>
      </c>
      <c r="D511" t="s">
        <v>2155</v>
      </c>
      <c r="E511" t="s">
        <v>108</v>
      </c>
      <c r="G511" t="s">
        <v>4143</v>
      </c>
      <c r="H511" t="s">
        <v>108</v>
      </c>
      <c r="I511" t="s">
        <v>3996</v>
      </c>
    </row>
    <row r="512" spans="1:9">
      <c r="A512" s="93" t="s">
        <v>4151</v>
      </c>
      <c r="B512" t="s">
        <v>1881</v>
      </c>
      <c r="C512" t="s">
        <v>2156</v>
      </c>
      <c r="D512" t="s">
        <v>2152</v>
      </c>
      <c r="E512" t="s">
        <v>2157</v>
      </c>
      <c r="G512" t="s">
        <v>4143</v>
      </c>
      <c r="H512" t="s">
        <v>108</v>
      </c>
      <c r="I512" t="s">
        <v>3996</v>
      </c>
    </row>
    <row r="513" spans="1:9">
      <c r="A513" s="93" t="s">
        <v>4151</v>
      </c>
      <c r="B513" t="s">
        <v>1881</v>
      </c>
      <c r="C513" t="s">
        <v>2158</v>
      </c>
      <c r="D513" t="s">
        <v>2155</v>
      </c>
      <c r="E513" t="s">
        <v>2159</v>
      </c>
      <c r="F513" t="s">
        <v>2160</v>
      </c>
      <c r="G513" t="s">
        <v>4143</v>
      </c>
      <c r="H513" t="s">
        <v>1559</v>
      </c>
      <c r="I513" t="s">
        <v>3996</v>
      </c>
    </row>
    <row r="514" spans="1:9">
      <c r="A514" s="93" t="s">
        <v>4151</v>
      </c>
      <c r="B514" t="s">
        <v>1881</v>
      </c>
      <c r="C514" t="s">
        <v>2161</v>
      </c>
      <c r="D514" t="s">
        <v>2162</v>
      </c>
      <c r="E514" t="s">
        <v>108</v>
      </c>
      <c r="F514" t="s">
        <v>2163</v>
      </c>
      <c r="G514" t="s">
        <v>4143</v>
      </c>
      <c r="H514" t="s">
        <v>108</v>
      </c>
      <c r="I514" t="s">
        <v>3996</v>
      </c>
    </row>
    <row r="515" spans="1:9">
      <c r="A515" s="93" t="s">
        <v>4151</v>
      </c>
      <c r="B515" t="s">
        <v>1881</v>
      </c>
      <c r="C515" t="s">
        <v>2164</v>
      </c>
      <c r="D515" t="s">
        <v>2162</v>
      </c>
      <c r="E515" t="s">
        <v>108</v>
      </c>
      <c r="G515" t="s">
        <v>4143</v>
      </c>
      <c r="H515" t="s">
        <v>108</v>
      </c>
      <c r="I515" t="s">
        <v>3996</v>
      </c>
    </row>
    <row r="516" spans="1:9">
      <c r="A516" s="93" t="s">
        <v>4151</v>
      </c>
      <c r="B516" t="s">
        <v>1882</v>
      </c>
      <c r="C516" t="s">
        <v>2166</v>
      </c>
      <c r="D516" t="s">
        <v>2167</v>
      </c>
      <c r="E516" t="s">
        <v>108</v>
      </c>
      <c r="F516" t="s">
        <v>2168</v>
      </c>
      <c r="G516" t="s">
        <v>4143</v>
      </c>
      <c r="H516" t="s">
        <v>108</v>
      </c>
      <c r="I516" t="s">
        <v>4000</v>
      </c>
    </row>
    <row r="517" spans="1:9">
      <c r="A517" s="93" t="s">
        <v>4151</v>
      </c>
      <c r="B517" t="s">
        <v>1882</v>
      </c>
      <c r="C517" t="s">
        <v>2169</v>
      </c>
      <c r="D517" t="s">
        <v>2129</v>
      </c>
      <c r="E517" t="s">
        <v>2170</v>
      </c>
      <c r="G517" t="s">
        <v>4145</v>
      </c>
      <c r="H517" t="s">
        <v>2355</v>
      </c>
      <c r="I517" t="s">
        <v>4000</v>
      </c>
    </row>
    <row r="518" spans="1:9">
      <c r="A518" s="93" t="s">
        <v>4151</v>
      </c>
      <c r="B518" t="s">
        <v>1882</v>
      </c>
      <c r="C518" t="s">
        <v>2171</v>
      </c>
      <c r="D518" t="s">
        <v>2129</v>
      </c>
      <c r="E518" t="s">
        <v>2135</v>
      </c>
      <c r="G518" t="s">
        <v>4145</v>
      </c>
      <c r="H518" t="s">
        <v>2355</v>
      </c>
      <c r="I518" t="s">
        <v>4000</v>
      </c>
    </row>
    <row r="519" spans="1:9">
      <c r="A519" s="93" t="s">
        <v>4151</v>
      </c>
      <c r="B519" t="s">
        <v>1882</v>
      </c>
      <c r="C519" t="s">
        <v>2172</v>
      </c>
      <c r="D519" t="s">
        <v>2129</v>
      </c>
      <c r="E519" t="s">
        <v>2135</v>
      </c>
      <c r="G519" t="s">
        <v>4145</v>
      </c>
      <c r="H519" t="s">
        <v>2355</v>
      </c>
      <c r="I519" t="s">
        <v>4000</v>
      </c>
    </row>
    <row r="520" spans="1:9">
      <c r="A520" s="93" t="s">
        <v>4151</v>
      </c>
      <c r="B520" t="s">
        <v>1882</v>
      </c>
      <c r="C520" t="s">
        <v>2173</v>
      </c>
      <c r="D520" t="s">
        <v>2174</v>
      </c>
      <c r="E520" t="s">
        <v>2135</v>
      </c>
      <c r="G520" t="s">
        <v>4145</v>
      </c>
      <c r="H520" t="s">
        <v>2355</v>
      </c>
      <c r="I520" t="s">
        <v>4000</v>
      </c>
    </row>
    <row r="521" spans="1:9">
      <c r="A521" s="93" t="s">
        <v>4151</v>
      </c>
      <c r="B521" t="s">
        <v>1882</v>
      </c>
      <c r="C521" t="s">
        <v>2175</v>
      </c>
      <c r="E521" t="s">
        <v>2135</v>
      </c>
      <c r="G521" t="s">
        <v>4145</v>
      </c>
      <c r="H521" t="s">
        <v>2355</v>
      </c>
      <c r="I521" t="s">
        <v>4000</v>
      </c>
    </row>
    <row r="522" spans="1:9">
      <c r="A522" s="93" t="s">
        <v>4151</v>
      </c>
      <c r="B522" t="s">
        <v>1882</v>
      </c>
      <c r="C522" t="s">
        <v>2176</v>
      </c>
      <c r="E522" t="s">
        <v>2135</v>
      </c>
      <c r="G522" t="s">
        <v>4145</v>
      </c>
      <c r="H522" t="s">
        <v>2355</v>
      </c>
      <c r="I522" t="s">
        <v>4000</v>
      </c>
    </row>
    <row r="523" spans="1:9">
      <c r="A523" s="93" t="s">
        <v>4151</v>
      </c>
      <c r="B523" t="s">
        <v>1882</v>
      </c>
      <c r="C523" t="s">
        <v>2177</v>
      </c>
      <c r="E523" t="s">
        <v>2135</v>
      </c>
      <c r="G523" t="s">
        <v>4145</v>
      </c>
      <c r="H523" t="s">
        <v>2355</v>
      </c>
      <c r="I523" t="s">
        <v>4000</v>
      </c>
    </row>
    <row r="524" spans="1:9">
      <c r="A524" s="93" t="s">
        <v>4151</v>
      </c>
      <c r="B524" t="s">
        <v>1884</v>
      </c>
      <c r="C524" t="s">
        <v>2179</v>
      </c>
      <c r="D524" t="s">
        <v>2180</v>
      </c>
      <c r="E524" t="s">
        <v>108</v>
      </c>
      <c r="G524" t="s">
        <v>4143</v>
      </c>
      <c r="H524" t="s">
        <v>108</v>
      </c>
      <c r="I524" t="s">
        <v>4002</v>
      </c>
    </row>
    <row r="525" spans="1:9">
      <c r="A525" s="93" t="s">
        <v>4151</v>
      </c>
      <c r="B525" t="s">
        <v>1884</v>
      </c>
      <c r="C525" t="s">
        <v>2181</v>
      </c>
      <c r="D525" t="s">
        <v>2182</v>
      </c>
      <c r="E525" t="s">
        <v>108</v>
      </c>
      <c r="G525" t="s">
        <v>4143</v>
      </c>
      <c r="H525" t="s">
        <v>108</v>
      </c>
      <c r="I525" t="s">
        <v>4002</v>
      </c>
    </row>
    <row r="526" spans="1:9">
      <c r="A526" s="93" t="s">
        <v>4151</v>
      </c>
      <c r="B526" t="s">
        <v>1884</v>
      </c>
      <c r="C526" t="s">
        <v>2183</v>
      </c>
      <c r="D526" t="s">
        <v>2182</v>
      </c>
      <c r="E526" t="s">
        <v>2184</v>
      </c>
      <c r="F526" t="s">
        <v>2185</v>
      </c>
      <c r="G526" t="s">
        <v>4143</v>
      </c>
      <c r="H526" t="s">
        <v>108</v>
      </c>
      <c r="I526" t="s">
        <v>4002</v>
      </c>
    </row>
    <row r="527" spans="1:9">
      <c r="A527" s="93" t="s">
        <v>4151</v>
      </c>
      <c r="B527" t="s">
        <v>1884</v>
      </c>
      <c r="C527" t="s">
        <v>2186</v>
      </c>
      <c r="D527" t="s">
        <v>2187</v>
      </c>
      <c r="E527" t="s">
        <v>108</v>
      </c>
      <c r="G527" t="s">
        <v>4143</v>
      </c>
      <c r="H527" t="s">
        <v>108</v>
      </c>
      <c r="I527" t="s">
        <v>4002</v>
      </c>
    </row>
    <row r="528" spans="1:9">
      <c r="A528" s="93" t="s">
        <v>4151</v>
      </c>
      <c r="B528" t="s">
        <v>1884</v>
      </c>
      <c r="C528" t="s">
        <v>2188</v>
      </c>
      <c r="E528" t="s">
        <v>2189</v>
      </c>
      <c r="G528" t="s">
        <v>4143</v>
      </c>
      <c r="H528" t="s">
        <v>108</v>
      </c>
      <c r="I528" t="s">
        <v>4002</v>
      </c>
    </row>
    <row r="529" spans="1:9">
      <c r="A529" s="93" t="s">
        <v>4151</v>
      </c>
      <c r="B529" t="s">
        <v>1884</v>
      </c>
      <c r="C529" t="s">
        <v>2190</v>
      </c>
      <c r="E529" t="s">
        <v>2135</v>
      </c>
      <c r="G529" t="s">
        <v>4145</v>
      </c>
      <c r="H529" t="s">
        <v>2355</v>
      </c>
      <c r="I529" t="s">
        <v>4002</v>
      </c>
    </row>
    <row r="530" spans="1:9">
      <c r="A530" s="93" t="s">
        <v>4151</v>
      </c>
      <c r="B530" t="s">
        <v>1884</v>
      </c>
      <c r="C530" t="s">
        <v>2191</v>
      </c>
      <c r="E530" t="s">
        <v>2135</v>
      </c>
      <c r="G530" t="s">
        <v>4145</v>
      </c>
      <c r="H530" t="s">
        <v>2355</v>
      </c>
      <c r="I530" t="s">
        <v>4002</v>
      </c>
    </row>
    <row r="531" spans="1:9">
      <c r="A531" s="93" t="s">
        <v>4151</v>
      </c>
      <c r="B531" t="s">
        <v>1884</v>
      </c>
      <c r="C531" t="s">
        <v>2192</v>
      </c>
      <c r="D531" t="s">
        <v>2182</v>
      </c>
      <c r="E531" t="s">
        <v>2193</v>
      </c>
      <c r="G531" t="s">
        <v>4143</v>
      </c>
      <c r="H531" t="s">
        <v>2193</v>
      </c>
      <c r="I531" t="s">
        <v>4002</v>
      </c>
    </row>
    <row r="532" spans="1:9">
      <c r="A532" s="93" t="s">
        <v>4151</v>
      </c>
      <c r="B532" t="s">
        <v>1884</v>
      </c>
      <c r="C532" t="s">
        <v>2194</v>
      </c>
      <c r="D532" t="s">
        <v>2187</v>
      </c>
      <c r="E532" t="s">
        <v>108</v>
      </c>
      <c r="G532" t="s">
        <v>4143</v>
      </c>
      <c r="H532" t="s">
        <v>108</v>
      </c>
      <c r="I532" t="s">
        <v>4002</v>
      </c>
    </row>
    <row r="533" spans="1:9">
      <c r="A533" s="93" t="s">
        <v>4151</v>
      </c>
      <c r="B533" t="s">
        <v>1884</v>
      </c>
      <c r="C533" t="s">
        <v>2364</v>
      </c>
      <c r="E533" t="s">
        <v>543</v>
      </c>
      <c r="F533" t="s">
        <v>2365</v>
      </c>
      <c r="G533" t="s">
        <v>4143</v>
      </c>
      <c r="H533" t="s">
        <v>543</v>
      </c>
      <c r="I533" t="s">
        <v>4002</v>
      </c>
    </row>
    <row r="534" spans="1:9">
      <c r="A534" s="93" t="s">
        <v>4151</v>
      </c>
      <c r="B534" t="s">
        <v>1889</v>
      </c>
      <c r="C534" t="s">
        <v>2196</v>
      </c>
      <c r="E534" t="s">
        <v>2193</v>
      </c>
      <c r="G534" t="s">
        <v>4143</v>
      </c>
      <c r="H534" t="s">
        <v>2193</v>
      </c>
      <c r="I534" t="s">
        <v>4004</v>
      </c>
    </row>
    <row r="535" spans="1:9">
      <c r="A535" s="93" t="s">
        <v>4151</v>
      </c>
      <c r="B535" t="s">
        <v>1889</v>
      </c>
      <c r="C535" t="s">
        <v>2197</v>
      </c>
      <c r="E535" t="s">
        <v>2193</v>
      </c>
      <c r="G535" t="s">
        <v>4143</v>
      </c>
      <c r="H535" t="s">
        <v>2193</v>
      </c>
      <c r="I535" t="s">
        <v>4004</v>
      </c>
    </row>
    <row r="536" spans="1:9">
      <c r="A536" s="93" t="s">
        <v>4151</v>
      </c>
      <c r="B536" t="s">
        <v>1889</v>
      </c>
      <c r="C536" t="s">
        <v>2198</v>
      </c>
      <c r="E536" t="s">
        <v>2199</v>
      </c>
      <c r="G536" t="s">
        <v>4143</v>
      </c>
      <c r="H536" t="s">
        <v>2367</v>
      </c>
      <c r="I536" t="s">
        <v>4004</v>
      </c>
    </row>
    <row r="537" spans="1:9">
      <c r="A537" s="93" t="s">
        <v>4151</v>
      </c>
      <c r="B537" t="s">
        <v>1889</v>
      </c>
      <c r="C537" t="s">
        <v>2200</v>
      </c>
      <c r="D537" t="s">
        <v>2182</v>
      </c>
      <c r="E537" t="s">
        <v>108</v>
      </c>
      <c r="G537" t="s">
        <v>4143</v>
      </c>
      <c r="H537" t="s">
        <v>108</v>
      </c>
      <c r="I537" t="s">
        <v>4004</v>
      </c>
    </row>
    <row r="538" spans="1:9">
      <c r="A538" s="93" t="s">
        <v>4151</v>
      </c>
      <c r="B538" t="s">
        <v>1889</v>
      </c>
      <c r="C538" t="s">
        <v>2201</v>
      </c>
      <c r="D538" t="s">
        <v>2182</v>
      </c>
      <c r="E538" t="s">
        <v>108</v>
      </c>
      <c r="G538" t="s">
        <v>4143</v>
      </c>
      <c r="H538" t="s">
        <v>108</v>
      </c>
      <c r="I538" t="s">
        <v>4004</v>
      </c>
    </row>
    <row r="539" spans="1:9">
      <c r="A539" s="93" t="s">
        <v>4151</v>
      </c>
      <c r="B539" t="s">
        <v>1889</v>
      </c>
      <c r="C539" t="s">
        <v>2202</v>
      </c>
      <c r="D539" t="s">
        <v>2174</v>
      </c>
      <c r="E539" t="s">
        <v>108</v>
      </c>
      <c r="G539" t="s">
        <v>4143</v>
      </c>
      <c r="H539" t="s">
        <v>108</v>
      </c>
      <c r="I539" t="s">
        <v>4004</v>
      </c>
    </row>
    <row r="540" spans="1:9">
      <c r="A540" s="93" t="s">
        <v>4151</v>
      </c>
      <c r="B540" t="s">
        <v>1889</v>
      </c>
      <c r="C540" t="s">
        <v>2203</v>
      </c>
      <c r="D540" t="s">
        <v>2204</v>
      </c>
      <c r="E540" t="s">
        <v>2193</v>
      </c>
      <c r="G540" t="s">
        <v>4143</v>
      </c>
      <c r="H540" t="s">
        <v>2193</v>
      </c>
      <c r="I540" t="s">
        <v>4004</v>
      </c>
    </row>
    <row r="541" spans="1:9">
      <c r="A541" s="93" t="s">
        <v>4151</v>
      </c>
      <c r="B541" t="s">
        <v>1889</v>
      </c>
      <c r="C541" t="s">
        <v>2205</v>
      </c>
      <c r="D541" t="s">
        <v>2204</v>
      </c>
      <c r="E541" t="s">
        <v>2193</v>
      </c>
      <c r="G541" t="s">
        <v>4143</v>
      </c>
      <c r="H541" t="s">
        <v>2193</v>
      </c>
      <c r="I541" t="s">
        <v>4004</v>
      </c>
    </row>
    <row r="542" spans="1:9">
      <c r="A542" s="93" t="s">
        <v>4151</v>
      </c>
      <c r="B542" t="s">
        <v>1889</v>
      </c>
      <c r="C542" t="s">
        <v>2206</v>
      </c>
      <c r="E542" t="s">
        <v>2135</v>
      </c>
      <c r="G542" t="s">
        <v>4145</v>
      </c>
      <c r="H542" t="s">
        <v>2355</v>
      </c>
      <c r="I542" t="s">
        <v>4004</v>
      </c>
    </row>
    <row r="543" spans="1:9">
      <c r="A543" s="93" t="s">
        <v>4151</v>
      </c>
      <c r="B543" t="s">
        <v>1889</v>
      </c>
      <c r="C543" t="s">
        <v>2207</v>
      </c>
      <c r="D543" t="s">
        <v>2204</v>
      </c>
      <c r="E543" t="s">
        <v>108</v>
      </c>
      <c r="F543" t="s">
        <v>2208</v>
      </c>
      <c r="G543" t="s">
        <v>4143</v>
      </c>
      <c r="H543" t="s">
        <v>108</v>
      </c>
      <c r="I543" t="s">
        <v>4004</v>
      </c>
    </row>
    <row r="544" spans="1:9">
      <c r="A544" s="93" t="s">
        <v>4151</v>
      </c>
      <c r="B544" t="s">
        <v>1891</v>
      </c>
      <c r="C544" t="s">
        <v>2210</v>
      </c>
      <c r="D544" t="s">
        <v>2211</v>
      </c>
      <c r="E544" t="s">
        <v>108</v>
      </c>
      <c r="G544" t="s">
        <v>4143</v>
      </c>
      <c r="H544" t="s">
        <v>108</v>
      </c>
      <c r="I544" t="s">
        <v>4008</v>
      </c>
    </row>
    <row r="545" spans="1:9">
      <c r="A545" s="93" t="s">
        <v>4151</v>
      </c>
      <c r="B545" t="s">
        <v>1891</v>
      </c>
      <c r="C545" t="s">
        <v>2212</v>
      </c>
      <c r="D545" t="s">
        <v>2213</v>
      </c>
      <c r="E545" t="s">
        <v>108</v>
      </c>
      <c r="G545" t="s">
        <v>4143</v>
      </c>
      <c r="H545" t="s">
        <v>108</v>
      </c>
      <c r="I545" t="s">
        <v>4008</v>
      </c>
    </row>
    <row r="546" spans="1:9">
      <c r="A546" s="93" t="s">
        <v>4151</v>
      </c>
      <c r="B546" t="s">
        <v>1891</v>
      </c>
      <c r="C546" t="s">
        <v>2214</v>
      </c>
      <c r="D546" t="s">
        <v>2213</v>
      </c>
      <c r="E546" t="s">
        <v>108</v>
      </c>
      <c r="G546" t="s">
        <v>4143</v>
      </c>
      <c r="H546" t="s">
        <v>108</v>
      </c>
      <c r="I546" t="s">
        <v>4008</v>
      </c>
    </row>
    <row r="547" spans="1:9">
      <c r="A547" s="93" t="s">
        <v>4151</v>
      </c>
      <c r="B547" t="s">
        <v>1893</v>
      </c>
      <c r="C547" t="s">
        <v>2370</v>
      </c>
      <c r="D547" t="s">
        <v>2223</v>
      </c>
      <c r="E547" t="s">
        <v>543</v>
      </c>
      <c r="F547" t="s">
        <v>2371</v>
      </c>
      <c r="G547" t="s">
        <v>4143</v>
      </c>
      <c r="H547" t="s">
        <v>543</v>
      </c>
      <c r="I547" t="s">
        <v>4012</v>
      </c>
    </row>
    <row r="548" spans="1:9">
      <c r="A548" s="93" t="s">
        <v>4151</v>
      </c>
      <c r="B548" t="s">
        <v>1893</v>
      </c>
      <c r="C548" t="s">
        <v>2372</v>
      </c>
      <c r="D548" t="s">
        <v>2220</v>
      </c>
      <c r="E548" t="s">
        <v>2373</v>
      </c>
      <c r="F548" t="s">
        <v>2374</v>
      </c>
      <c r="G548" t="s">
        <v>4143</v>
      </c>
      <c r="H548" t="s">
        <v>543</v>
      </c>
      <c r="I548" t="s">
        <v>4012</v>
      </c>
    </row>
    <row r="549" spans="1:9">
      <c r="A549" s="93" t="s">
        <v>4151</v>
      </c>
      <c r="B549" t="s">
        <v>1893</v>
      </c>
      <c r="C549" t="s">
        <v>2216</v>
      </c>
      <c r="D549" t="s">
        <v>2217</v>
      </c>
      <c r="E549" t="s">
        <v>2193</v>
      </c>
      <c r="F549" t="s">
        <v>2218</v>
      </c>
      <c r="G549" t="s">
        <v>4143</v>
      </c>
      <c r="H549" t="s">
        <v>2193</v>
      </c>
      <c r="I549" t="s">
        <v>4012</v>
      </c>
    </row>
    <row r="550" spans="1:9">
      <c r="A550" s="93" t="s">
        <v>4151</v>
      </c>
      <c r="B550" t="s">
        <v>1893</v>
      </c>
      <c r="C550" t="s">
        <v>2219</v>
      </c>
      <c r="D550" t="s">
        <v>2220</v>
      </c>
      <c r="E550" t="s">
        <v>108</v>
      </c>
      <c r="F550" t="s">
        <v>2221</v>
      </c>
      <c r="G550" t="s">
        <v>4143</v>
      </c>
      <c r="H550" t="s">
        <v>108</v>
      </c>
      <c r="I550" t="s">
        <v>4012</v>
      </c>
    </row>
    <row r="551" spans="1:9">
      <c r="A551" s="93" t="s">
        <v>4151</v>
      </c>
      <c r="B551" t="s">
        <v>1893</v>
      </c>
      <c r="C551" t="s">
        <v>2222</v>
      </c>
      <c r="D551" t="s">
        <v>2223</v>
      </c>
      <c r="E551" t="s">
        <v>108</v>
      </c>
      <c r="F551" t="s">
        <v>2224</v>
      </c>
      <c r="G551" t="s">
        <v>4143</v>
      </c>
      <c r="H551" t="s">
        <v>108</v>
      </c>
      <c r="I551" t="s">
        <v>4012</v>
      </c>
    </row>
    <row r="552" spans="1:9">
      <c r="A552" s="93" t="s">
        <v>4151</v>
      </c>
      <c r="B552" t="s">
        <v>1893</v>
      </c>
      <c r="C552" t="s">
        <v>2225</v>
      </c>
      <c r="D552" t="s">
        <v>2226</v>
      </c>
      <c r="E552" t="s">
        <v>108</v>
      </c>
      <c r="F552" t="s">
        <v>2227</v>
      </c>
      <c r="G552" t="s">
        <v>4143</v>
      </c>
      <c r="H552" t="s">
        <v>108</v>
      </c>
      <c r="I552" t="s">
        <v>4012</v>
      </c>
    </row>
    <row r="553" spans="1:9">
      <c r="A553" s="93" t="s">
        <v>4151</v>
      </c>
      <c r="B553" t="s">
        <v>1893</v>
      </c>
      <c r="C553" t="s">
        <v>2228</v>
      </c>
      <c r="E553" t="s">
        <v>2135</v>
      </c>
      <c r="G553" t="s">
        <v>4145</v>
      </c>
      <c r="H553" t="s">
        <v>2355</v>
      </c>
      <c r="I553" t="s">
        <v>4012</v>
      </c>
    </row>
    <row r="554" spans="1:9">
      <c r="A554" s="93" t="s">
        <v>4151</v>
      </c>
      <c r="B554" t="s">
        <v>1896</v>
      </c>
      <c r="C554" t="s">
        <v>2376</v>
      </c>
      <c r="D554" t="s">
        <v>2237</v>
      </c>
      <c r="E554" t="s">
        <v>543</v>
      </c>
      <c r="G554" t="s">
        <v>4143</v>
      </c>
      <c r="H554" t="s">
        <v>543</v>
      </c>
      <c r="I554" t="s">
        <v>4016</v>
      </c>
    </row>
    <row r="555" spans="1:9">
      <c r="A555" s="93" t="s">
        <v>4151</v>
      </c>
      <c r="B555" t="s">
        <v>1896</v>
      </c>
      <c r="C555" t="s">
        <v>2230</v>
      </c>
      <c r="D555" t="s">
        <v>2220</v>
      </c>
      <c r="E555" t="s">
        <v>108</v>
      </c>
      <c r="F555" t="s">
        <v>2231</v>
      </c>
      <c r="G555" t="s">
        <v>4143</v>
      </c>
      <c r="H555" t="s">
        <v>108</v>
      </c>
      <c r="I555" t="s">
        <v>4016</v>
      </c>
    </row>
    <row r="556" spans="1:9">
      <c r="A556" s="93" t="s">
        <v>4151</v>
      </c>
      <c r="B556" t="s">
        <v>1896</v>
      </c>
      <c r="C556" t="s">
        <v>2232</v>
      </c>
      <c r="D556" t="s">
        <v>2220</v>
      </c>
      <c r="E556" t="s">
        <v>108</v>
      </c>
      <c r="G556" t="s">
        <v>4143</v>
      </c>
      <c r="H556" t="s">
        <v>108</v>
      </c>
      <c r="I556" t="s">
        <v>4016</v>
      </c>
    </row>
    <row r="557" spans="1:9">
      <c r="A557" s="93" t="s">
        <v>4151</v>
      </c>
      <c r="B557" t="s">
        <v>1896</v>
      </c>
      <c r="C557" t="s">
        <v>2233</v>
      </c>
      <c r="D557" t="s">
        <v>2234</v>
      </c>
      <c r="E557" t="s">
        <v>108</v>
      </c>
      <c r="F557" t="s">
        <v>2235</v>
      </c>
      <c r="G557" t="s">
        <v>4143</v>
      </c>
      <c r="H557" t="s">
        <v>108</v>
      </c>
      <c r="I557" t="s">
        <v>4016</v>
      </c>
    </row>
    <row r="558" spans="1:9">
      <c r="A558" s="93" t="s">
        <v>4151</v>
      </c>
      <c r="B558" t="s">
        <v>1896</v>
      </c>
      <c r="C558" t="s">
        <v>2236</v>
      </c>
      <c r="D558" t="s">
        <v>2237</v>
      </c>
      <c r="E558" t="s">
        <v>108</v>
      </c>
      <c r="F558" t="s">
        <v>2231</v>
      </c>
      <c r="G558" t="s">
        <v>4143</v>
      </c>
      <c r="H558" t="s">
        <v>108</v>
      </c>
      <c r="I558" t="s">
        <v>4016</v>
      </c>
    </row>
    <row r="559" spans="1:9">
      <c r="A559" s="93" t="s">
        <v>4151</v>
      </c>
      <c r="B559" t="s">
        <v>1896</v>
      </c>
      <c r="C559" t="s">
        <v>2238</v>
      </c>
      <c r="D559" t="s">
        <v>2237</v>
      </c>
      <c r="E559" t="s">
        <v>108</v>
      </c>
      <c r="F559" t="s">
        <v>2239</v>
      </c>
      <c r="G559" t="s">
        <v>4143</v>
      </c>
      <c r="H559" t="s">
        <v>108</v>
      </c>
      <c r="I559" t="s">
        <v>4016</v>
      </c>
    </row>
    <row r="560" spans="1:9">
      <c r="A560" s="93" t="s">
        <v>4151</v>
      </c>
      <c r="B560" t="s">
        <v>1896</v>
      </c>
      <c r="C560" t="s">
        <v>2240</v>
      </c>
      <c r="D560" t="s">
        <v>2241</v>
      </c>
      <c r="E560" t="s">
        <v>2193</v>
      </c>
      <c r="G560" t="s">
        <v>4143</v>
      </c>
      <c r="H560" t="s">
        <v>2193</v>
      </c>
      <c r="I560" t="s">
        <v>4016</v>
      </c>
    </row>
    <row r="561" spans="1:9">
      <c r="A561" s="93" t="s">
        <v>4151</v>
      </c>
      <c r="B561" t="s">
        <v>1896</v>
      </c>
      <c r="C561" t="s">
        <v>2242</v>
      </c>
      <c r="D561" t="s">
        <v>2220</v>
      </c>
      <c r="E561" t="s">
        <v>2243</v>
      </c>
      <c r="F561" t="s">
        <v>2244</v>
      </c>
      <c r="G561" t="s">
        <v>4143</v>
      </c>
      <c r="H561" t="s">
        <v>2377</v>
      </c>
      <c r="I561" t="s">
        <v>4016</v>
      </c>
    </row>
    <row r="562" spans="1:9">
      <c r="A562" s="93" t="s">
        <v>4151</v>
      </c>
      <c r="B562" t="s">
        <v>1896</v>
      </c>
      <c r="C562" t="s">
        <v>2245</v>
      </c>
      <c r="D562" t="s">
        <v>2241</v>
      </c>
      <c r="E562" t="s">
        <v>2246</v>
      </c>
      <c r="G562" t="s">
        <v>4143</v>
      </c>
      <c r="H562" t="s">
        <v>108</v>
      </c>
      <c r="I562" t="s">
        <v>4016</v>
      </c>
    </row>
    <row r="563" spans="1:9">
      <c r="A563" s="93" t="s">
        <v>4151</v>
      </c>
      <c r="B563" t="s">
        <v>1896</v>
      </c>
      <c r="C563" t="s">
        <v>2378</v>
      </c>
      <c r="E563" t="s">
        <v>543</v>
      </c>
      <c r="F563" t="s">
        <v>2336</v>
      </c>
      <c r="G563" t="s">
        <v>4143</v>
      </c>
      <c r="H563" t="s">
        <v>543</v>
      </c>
      <c r="I563" t="s">
        <v>4016</v>
      </c>
    </row>
    <row r="564" spans="1:9">
      <c r="A564" s="93" t="s">
        <v>4151</v>
      </c>
      <c r="B564" t="s">
        <v>1896</v>
      </c>
      <c r="C564" t="s">
        <v>2247</v>
      </c>
      <c r="D564" t="s">
        <v>2248</v>
      </c>
      <c r="E564" t="s">
        <v>108</v>
      </c>
      <c r="F564" t="s">
        <v>2249</v>
      </c>
      <c r="G564" t="s">
        <v>4143</v>
      </c>
      <c r="H564" t="s">
        <v>108</v>
      </c>
      <c r="I564" t="s">
        <v>4016</v>
      </c>
    </row>
    <row r="565" spans="1:9">
      <c r="A565" s="93" t="s">
        <v>4151</v>
      </c>
      <c r="B565" t="s">
        <v>1896</v>
      </c>
      <c r="C565" t="s">
        <v>2337</v>
      </c>
      <c r="D565" t="s">
        <v>2248</v>
      </c>
      <c r="E565" t="s">
        <v>2338</v>
      </c>
      <c r="G565" t="s">
        <v>4145</v>
      </c>
      <c r="H565" t="s">
        <v>2379</v>
      </c>
      <c r="I565" t="s">
        <v>4016</v>
      </c>
    </row>
    <row r="566" spans="1:9">
      <c r="A566" s="93" t="s">
        <v>4151</v>
      </c>
      <c r="B566" t="s">
        <v>1898</v>
      </c>
      <c r="C566" t="s">
        <v>2381</v>
      </c>
      <c r="E566" t="s">
        <v>543</v>
      </c>
      <c r="G566" t="s">
        <v>4143</v>
      </c>
      <c r="H566" t="s">
        <v>543</v>
      </c>
      <c r="I566" t="s">
        <v>4020</v>
      </c>
    </row>
    <row r="567" spans="1:9">
      <c r="A567" s="93" t="s">
        <v>4151</v>
      </c>
      <c r="B567" t="s">
        <v>1898</v>
      </c>
      <c r="C567" t="s">
        <v>2251</v>
      </c>
      <c r="D567" t="s">
        <v>2252</v>
      </c>
      <c r="E567" t="s">
        <v>108</v>
      </c>
      <c r="G567" t="s">
        <v>4143</v>
      </c>
      <c r="H567" t="s">
        <v>108</v>
      </c>
      <c r="I567" t="s">
        <v>4020</v>
      </c>
    </row>
    <row r="568" spans="1:9">
      <c r="A568" s="93" t="s">
        <v>4151</v>
      </c>
      <c r="B568" t="s">
        <v>1898</v>
      </c>
      <c r="C568" t="s">
        <v>2253</v>
      </c>
      <c r="D568" t="s">
        <v>2252</v>
      </c>
      <c r="E568" t="s">
        <v>2193</v>
      </c>
      <c r="F568" t="s">
        <v>2254</v>
      </c>
      <c r="G568" t="s">
        <v>4143</v>
      </c>
      <c r="H568" t="s">
        <v>2193</v>
      </c>
      <c r="I568" t="s">
        <v>4020</v>
      </c>
    </row>
    <row r="569" spans="1:9">
      <c r="A569" s="93" t="s">
        <v>4151</v>
      </c>
      <c r="B569" t="s">
        <v>1898</v>
      </c>
      <c r="C569" t="s">
        <v>2255</v>
      </c>
      <c r="D569" t="s">
        <v>2256</v>
      </c>
      <c r="E569" t="s">
        <v>2257</v>
      </c>
      <c r="G569" t="s">
        <v>4143</v>
      </c>
      <c r="H569" t="s">
        <v>108</v>
      </c>
      <c r="I569" t="s">
        <v>4020</v>
      </c>
    </row>
    <row r="570" spans="1:9">
      <c r="A570" s="93" t="s">
        <v>4151</v>
      </c>
      <c r="B570" t="s">
        <v>1898</v>
      </c>
      <c r="C570" t="s">
        <v>2258</v>
      </c>
      <c r="D570" t="s">
        <v>2259</v>
      </c>
      <c r="E570" t="s">
        <v>2260</v>
      </c>
      <c r="F570" t="s">
        <v>2261</v>
      </c>
      <c r="G570" t="s">
        <v>4143</v>
      </c>
      <c r="H570" t="s">
        <v>2382</v>
      </c>
      <c r="I570" t="s">
        <v>4020</v>
      </c>
    </row>
    <row r="571" spans="1:9">
      <c r="A571" s="93" t="s">
        <v>4151</v>
      </c>
      <c r="B571" t="s">
        <v>1898</v>
      </c>
      <c r="C571" t="s">
        <v>2262</v>
      </c>
      <c r="D571" t="s">
        <v>2259</v>
      </c>
      <c r="E571" t="s">
        <v>2147</v>
      </c>
      <c r="F571" t="s">
        <v>2263</v>
      </c>
      <c r="G571" t="s">
        <v>4143</v>
      </c>
      <c r="H571" t="s">
        <v>108</v>
      </c>
      <c r="I571" t="s">
        <v>4020</v>
      </c>
    </row>
    <row r="572" spans="1:9">
      <c r="A572" s="93" t="s">
        <v>4151</v>
      </c>
      <c r="B572" t="s">
        <v>1898</v>
      </c>
      <c r="C572" t="s">
        <v>2264</v>
      </c>
      <c r="D572" t="s">
        <v>2252</v>
      </c>
      <c r="E572" t="s">
        <v>2265</v>
      </c>
      <c r="G572" t="s">
        <v>4143</v>
      </c>
      <c r="H572" t="s">
        <v>108</v>
      </c>
      <c r="I572" t="s">
        <v>4020</v>
      </c>
    </row>
    <row r="573" spans="1:9">
      <c r="A573" s="93" t="s">
        <v>4151</v>
      </c>
      <c r="B573" t="s">
        <v>1898</v>
      </c>
      <c r="C573" t="s">
        <v>2266</v>
      </c>
      <c r="D573" t="s">
        <v>2252</v>
      </c>
      <c r="E573" t="s">
        <v>2267</v>
      </c>
      <c r="F573" t="s">
        <v>2268</v>
      </c>
      <c r="G573" t="s">
        <v>4143</v>
      </c>
      <c r="H573" t="s">
        <v>108</v>
      </c>
      <c r="I573" t="s">
        <v>4020</v>
      </c>
    </row>
    <row r="574" spans="1:9">
      <c r="A574" s="93" t="s">
        <v>4151</v>
      </c>
      <c r="B574" t="s">
        <v>1898</v>
      </c>
      <c r="C574" t="s">
        <v>2269</v>
      </c>
      <c r="D574" t="s">
        <v>2252</v>
      </c>
      <c r="E574" t="s">
        <v>2270</v>
      </c>
      <c r="G574" t="s">
        <v>4143</v>
      </c>
      <c r="H574" t="s">
        <v>108</v>
      </c>
      <c r="I574" t="s">
        <v>4020</v>
      </c>
    </row>
    <row r="575" spans="1:9">
      <c r="A575" s="93" t="s">
        <v>4151</v>
      </c>
      <c r="B575" t="s">
        <v>1902</v>
      </c>
      <c r="C575" t="s">
        <v>2272</v>
      </c>
      <c r="D575" t="s">
        <v>2273</v>
      </c>
      <c r="E575" t="s">
        <v>2274</v>
      </c>
      <c r="F575" t="s">
        <v>2275</v>
      </c>
      <c r="G575" t="s">
        <v>4143</v>
      </c>
      <c r="H575" t="s">
        <v>1559</v>
      </c>
      <c r="I575" t="s">
        <v>4024</v>
      </c>
    </row>
    <row r="576" spans="1:9">
      <c r="A576" s="93" t="s">
        <v>4151</v>
      </c>
      <c r="B576" t="s">
        <v>1902</v>
      </c>
      <c r="C576" t="s">
        <v>2276</v>
      </c>
      <c r="D576" t="s">
        <v>2248</v>
      </c>
      <c r="E576" t="s">
        <v>2277</v>
      </c>
      <c r="F576" t="s">
        <v>2278</v>
      </c>
      <c r="G576" t="s">
        <v>4143</v>
      </c>
      <c r="H576" t="s">
        <v>108</v>
      </c>
      <c r="I576" t="s">
        <v>4024</v>
      </c>
    </row>
    <row r="577" spans="1:9">
      <c r="A577" s="93" t="s">
        <v>4151</v>
      </c>
      <c r="B577" t="s">
        <v>1902</v>
      </c>
      <c r="C577" t="s">
        <v>2279</v>
      </c>
      <c r="D577" t="s">
        <v>2280</v>
      </c>
      <c r="E577" t="s">
        <v>2281</v>
      </c>
      <c r="F577" t="s">
        <v>2282</v>
      </c>
      <c r="G577" t="s">
        <v>4143</v>
      </c>
      <c r="H577" t="s">
        <v>108</v>
      </c>
      <c r="I577" t="s">
        <v>4024</v>
      </c>
    </row>
    <row r="578" spans="1:9">
      <c r="A578" s="93" t="s">
        <v>4151</v>
      </c>
      <c r="B578" t="s">
        <v>1902</v>
      </c>
      <c r="C578" t="s">
        <v>2283</v>
      </c>
      <c r="D578" t="s">
        <v>2273</v>
      </c>
      <c r="E578" t="s">
        <v>108</v>
      </c>
      <c r="F578" t="s">
        <v>2284</v>
      </c>
      <c r="G578" t="s">
        <v>4143</v>
      </c>
      <c r="H578" t="s">
        <v>108</v>
      </c>
      <c r="I578" t="s">
        <v>4024</v>
      </c>
    </row>
    <row r="579" spans="1:9">
      <c r="A579" s="93" t="s">
        <v>4151</v>
      </c>
      <c r="B579" t="s">
        <v>1902</v>
      </c>
      <c r="C579" t="s">
        <v>2285</v>
      </c>
      <c r="E579" t="s">
        <v>2135</v>
      </c>
      <c r="G579" t="s">
        <v>4145</v>
      </c>
      <c r="H579" t="s">
        <v>2355</v>
      </c>
      <c r="I579" t="s">
        <v>4024</v>
      </c>
    </row>
    <row r="580" spans="1:9">
      <c r="A580" s="93" t="s">
        <v>4151</v>
      </c>
      <c r="B580" t="s">
        <v>1902</v>
      </c>
      <c r="C580" t="s">
        <v>2286</v>
      </c>
      <c r="E580" t="s">
        <v>108</v>
      </c>
      <c r="G580" t="s">
        <v>4143</v>
      </c>
      <c r="H580" t="s">
        <v>108</v>
      </c>
      <c r="I580" t="s">
        <v>4024</v>
      </c>
    </row>
    <row r="581" spans="1:9">
      <c r="A581" s="93" t="s">
        <v>4151</v>
      </c>
      <c r="B581" t="s">
        <v>1902</v>
      </c>
      <c r="C581" t="s">
        <v>2287</v>
      </c>
      <c r="D581" t="s">
        <v>2273</v>
      </c>
      <c r="E581" t="s">
        <v>2288</v>
      </c>
      <c r="F581" t="s">
        <v>2289</v>
      </c>
      <c r="G581" t="s">
        <v>4143</v>
      </c>
      <c r="H581" t="s">
        <v>2288</v>
      </c>
      <c r="I581" t="s">
        <v>4024</v>
      </c>
    </row>
    <row r="582" spans="1:9">
      <c r="A582" s="93" t="s">
        <v>4151</v>
      </c>
      <c r="B582" t="s">
        <v>3926</v>
      </c>
      <c r="C582" t="s">
        <v>2291</v>
      </c>
      <c r="E582" t="s">
        <v>2135</v>
      </c>
      <c r="F582" t="s">
        <v>2292</v>
      </c>
      <c r="G582" t="s">
        <v>4145</v>
      </c>
      <c r="H582" t="s">
        <v>2355</v>
      </c>
    </row>
    <row r="583" spans="1:9">
      <c r="A583" s="93" t="s">
        <v>4151</v>
      </c>
      <c r="B583" t="s">
        <v>3926</v>
      </c>
      <c r="C583" t="s">
        <v>2293</v>
      </c>
      <c r="D583" t="s">
        <v>2294</v>
      </c>
      <c r="E583" t="s">
        <v>2295</v>
      </c>
      <c r="F583" t="s">
        <v>2296</v>
      </c>
      <c r="G583" t="s">
        <v>4143</v>
      </c>
      <c r="H583" t="s">
        <v>108</v>
      </c>
    </row>
    <row r="584" spans="1:9">
      <c r="A584" s="93" t="s">
        <v>4151</v>
      </c>
      <c r="B584" t="s">
        <v>3926</v>
      </c>
      <c r="C584" t="s">
        <v>2385</v>
      </c>
      <c r="D584" t="s">
        <v>2298</v>
      </c>
      <c r="E584" t="s">
        <v>543</v>
      </c>
      <c r="F584" t="s">
        <v>2386</v>
      </c>
      <c r="G584" t="s">
        <v>4143</v>
      </c>
      <c r="H584" t="s">
        <v>543</v>
      </c>
    </row>
    <row r="585" spans="1:9">
      <c r="A585" s="93" t="s">
        <v>4151</v>
      </c>
      <c r="B585" t="s">
        <v>3926</v>
      </c>
      <c r="C585" t="s">
        <v>2297</v>
      </c>
      <c r="D585" t="s">
        <v>2298</v>
      </c>
      <c r="E585" t="s">
        <v>108</v>
      </c>
      <c r="F585" t="s">
        <v>2299</v>
      </c>
      <c r="G585" t="s">
        <v>4143</v>
      </c>
      <c r="H585" t="s">
        <v>108</v>
      </c>
    </row>
    <row r="586" spans="1:9">
      <c r="A586" s="93" t="s">
        <v>4151</v>
      </c>
      <c r="B586" t="s">
        <v>3926</v>
      </c>
      <c r="C586" t="s">
        <v>2300</v>
      </c>
      <c r="D586" t="s">
        <v>2294</v>
      </c>
      <c r="E586" t="s">
        <v>108</v>
      </c>
      <c r="F586" t="s">
        <v>2299</v>
      </c>
      <c r="G586" t="s">
        <v>4143</v>
      </c>
      <c r="H586" t="s">
        <v>108</v>
      </c>
    </row>
    <row r="587" spans="1:9">
      <c r="A587" s="93" t="s">
        <v>4151</v>
      </c>
      <c r="B587" t="s">
        <v>3926</v>
      </c>
      <c r="C587" t="s">
        <v>2301</v>
      </c>
      <c r="D587" t="s">
        <v>2302</v>
      </c>
      <c r="E587" t="s">
        <v>2193</v>
      </c>
      <c r="F587" t="s">
        <v>2303</v>
      </c>
      <c r="G587" t="s">
        <v>4143</v>
      </c>
      <c r="H587" t="s">
        <v>2193</v>
      </c>
    </row>
    <row r="588" spans="1:9">
      <c r="A588" s="93" t="s">
        <v>4151</v>
      </c>
      <c r="B588" t="s">
        <v>3926</v>
      </c>
      <c r="C588" t="s">
        <v>2304</v>
      </c>
      <c r="D588" t="s">
        <v>2305</v>
      </c>
      <c r="E588" t="s">
        <v>2257</v>
      </c>
      <c r="F588" t="s">
        <v>2306</v>
      </c>
      <c r="G588" t="s">
        <v>4143</v>
      </c>
      <c r="H588" t="s">
        <v>108</v>
      </c>
    </row>
    <row r="589" spans="1:9">
      <c r="A589" s="93" t="s">
        <v>4151</v>
      </c>
      <c r="B589" t="s">
        <v>3926</v>
      </c>
      <c r="C589" t="s">
        <v>2347</v>
      </c>
      <c r="D589" t="s">
        <v>2213</v>
      </c>
      <c r="E589" t="s">
        <v>2348</v>
      </c>
      <c r="F589" t="s">
        <v>2296</v>
      </c>
      <c r="G589" t="s">
        <v>4143</v>
      </c>
      <c r="H589" t="s">
        <v>2348</v>
      </c>
    </row>
    <row r="590" spans="1:9">
      <c r="A590" s="93" t="s">
        <v>4152</v>
      </c>
      <c r="B590" t="s">
        <v>1874</v>
      </c>
      <c r="C590" t="s">
        <v>2352</v>
      </c>
      <c r="E590" t="s">
        <v>1201</v>
      </c>
      <c r="G590" t="s">
        <v>4143</v>
      </c>
      <c r="H590" t="s">
        <v>1201</v>
      </c>
      <c r="I590" t="s">
        <v>3984</v>
      </c>
    </row>
    <row r="591" spans="1:9">
      <c r="A591" s="93" t="s">
        <v>4152</v>
      </c>
      <c r="B591" t="s">
        <v>1874</v>
      </c>
      <c r="C591" t="s">
        <v>2118</v>
      </c>
      <c r="E591" t="s">
        <v>2119</v>
      </c>
      <c r="G591" t="s">
        <v>4143</v>
      </c>
      <c r="H591" t="s">
        <v>1201</v>
      </c>
      <c r="I591" t="s">
        <v>3984</v>
      </c>
    </row>
    <row r="592" spans="1:9">
      <c r="A592" s="93" t="s">
        <v>4152</v>
      </c>
      <c r="B592" t="s">
        <v>1896</v>
      </c>
      <c r="C592" t="s">
        <v>2242</v>
      </c>
      <c r="D592" t="s">
        <v>2220</v>
      </c>
      <c r="E592" t="s">
        <v>2243</v>
      </c>
      <c r="F592" t="s">
        <v>2244</v>
      </c>
      <c r="G592" t="s">
        <v>4143</v>
      </c>
      <c r="H592" t="s">
        <v>2390</v>
      </c>
      <c r="I592" t="s">
        <v>4016</v>
      </c>
    </row>
    <row r="593" spans="1:9">
      <c r="A593" s="93" t="s">
        <v>4152</v>
      </c>
      <c r="B593" t="s">
        <v>1898</v>
      </c>
      <c r="C593" t="s">
        <v>2258</v>
      </c>
      <c r="D593" t="s">
        <v>2259</v>
      </c>
      <c r="E593" t="s">
        <v>2260</v>
      </c>
      <c r="F593" t="s">
        <v>2261</v>
      </c>
      <c r="G593" t="s">
        <v>4143</v>
      </c>
      <c r="H593" t="s">
        <v>2392</v>
      </c>
      <c r="I593" t="s">
        <v>4020</v>
      </c>
    </row>
    <row r="594" spans="1:9">
      <c r="A594" s="93" t="s">
        <v>4152</v>
      </c>
      <c r="B594" t="s">
        <v>3926</v>
      </c>
      <c r="C594" t="s">
        <v>2347</v>
      </c>
      <c r="D594" t="s">
        <v>2213</v>
      </c>
      <c r="E594" t="s">
        <v>2348</v>
      </c>
      <c r="F594" t="s">
        <v>2296</v>
      </c>
      <c r="G594" t="s">
        <v>4143</v>
      </c>
      <c r="H594" t="s">
        <v>2394</v>
      </c>
    </row>
    <row r="595" spans="1:9">
      <c r="A595" s="93" t="s">
        <v>4153</v>
      </c>
      <c r="B595" t="s">
        <v>1874</v>
      </c>
      <c r="C595" t="s">
        <v>2308</v>
      </c>
      <c r="D595" t="s">
        <v>2122</v>
      </c>
      <c r="E595" t="s">
        <v>2309</v>
      </c>
      <c r="F595" t="s">
        <v>2312</v>
      </c>
      <c r="G595" t="s">
        <v>4148</v>
      </c>
      <c r="H595" t="s">
        <v>2311</v>
      </c>
      <c r="I595" t="s">
        <v>3984</v>
      </c>
    </row>
    <row r="596" spans="1:9">
      <c r="A596" s="93" t="s">
        <v>4153</v>
      </c>
      <c r="B596" t="s">
        <v>1874</v>
      </c>
      <c r="C596" t="s">
        <v>2313</v>
      </c>
      <c r="D596" t="s">
        <v>2314</v>
      </c>
      <c r="E596" t="s">
        <v>2309</v>
      </c>
      <c r="G596" t="s">
        <v>4148</v>
      </c>
      <c r="H596" t="s">
        <v>2311</v>
      </c>
      <c r="I596" t="s">
        <v>3984</v>
      </c>
    </row>
    <row r="597" spans="1:9">
      <c r="A597" s="93" t="s">
        <v>4153</v>
      </c>
      <c r="B597" t="s">
        <v>1874</v>
      </c>
      <c r="C597" t="s">
        <v>2315</v>
      </c>
      <c r="D597" t="s">
        <v>2314</v>
      </c>
      <c r="E597" t="s">
        <v>2309</v>
      </c>
      <c r="G597" t="s">
        <v>4148</v>
      </c>
      <c r="H597" t="s">
        <v>2311</v>
      </c>
      <c r="I597" t="s">
        <v>3984</v>
      </c>
    </row>
    <row r="598" spans="1:9">
      <c r="A598" s="93" t="s">
        <v>4153</v>
      </c>
      <c r="B598" t="s">
        <v>1874</v>
      </c>
      <c r="C598" t="s">
        <v>2316</v>
      </c>
      <c r="D598" t="s">
        <v>2124</v>
      </c>
      <c r="E598" t="s">
        <v>2309</v>
      </c>
      <c r="G598" t="s">
        <v>4148</v>
      </c>
      <c r="H598" t="s">
        <v>2311</v>
      </c>
      <c r="I598" t="s">
        <v>3984</v>
      </c>
    </row>
    <row r="599" spans="1:9">
      <c r="A599" s="93" t="s">
        <v>4153</v>
      </c>
      <c r="B599" t="s">
        <v>1875</v>
      </c>
      <c r="C599" t="s">
        <v>2134</v>
      </c>
      <c r="E599" t="s">
        <v>2135</v>
      </c>
      <c r="F599" t="s">
        <v>2137</v>
      </c>
      <c r="G599" t="s">
        <v>4148</v>
      </c>
      <c r="H599" t="s">
        <v>2318</v>
      </c>
      <c r="I599" t="s">
        <v>3988</v>
      </c>
    </row>
    <row r="600" spans="1:9">
      <c r="A600" s="93" t="s">
        <v>4153</v>
      </c>
      <c r="B600" t="s">
        <v>1882</v>
      </c>
      <c r="C600" t="s">
        <v>2169</v>
      </c>
      <c r="D600" t="s">
        <v>2129</v>
      </c>
      <c r="E600" t="s">
        <v>2170</v>
      </c>
      <c r="G600" t="s">
        <v>4148</v>
      </c>
      <c r="H600" t="s">
        <v>2318</v>
      </c>
      <c r="I600" t="s">
        <v>4000</v>
      </c>
    </row>
    <row r="601" spans="1:9">
      <c r="A601" s="93" t="s">
        <v>4153</v>
      </c>
      <c r="B601" t="s">
        <v>1882</v>
      </c>
      <c r="C601" t="s">
        <v>2171</v>
      </c>
      <c r="D601" t="s">
        <v>2129</v>
      </c>
      <c r="E601" t="s">
        <v>2135</v>
      </c>
      <c r="G601" t="s">
        <v>4148</v>
      </c>
      <c r="H601" t="s">
        <v>2318</v>
      </c>
      <c r="I601" t="s">
        <v>4000</v>
      </c>
    </row>
    <row r="602" spans="1:9">
      <c r="A602" s="93" t="s">
        <v>4153</v>
      </c>
      <c r="B602" t="s">
        <v>1882</v>
      </c>
      <c r="C602" t="s">
        <v>2172</v>
      </c>
      <c r="D602" t="s">
        <v>2129</v>
      </c>
      <c r="E602" t="s">
        <v>2135</v>
      </c>
      <c r="G602" t="s">
        <v>4148</v>
      </c>
      <c r="H602" t="s">
        <v>2318</v>
      </c>
      <c r="I602" t="s">
        <v>4000</v>
      </c>
    </row>
    <row r="603" spans="1:9">
      <c r="A603" s="93" t="s">
        <v>4153</v>
      </c>
      <c r="B603" t="s">
        <v>1882</v>
      </c>
      <c r="C603" t="s">
        <v>2173</v>
      </c>
      <c r="D603" t="s">
        <v>2174</v>
      </c>
      <c r="E603" t="s">
        <v>2135</v>
      </c>
      <c r="G603" t="s">
        <v>4148</v>
      </c>
      <c r="H603" t="s">
        <v>2318</v>
      </c>
      <c r="I603" t="s">
        <v>4000</v>
      </c>
    </row>
    <row r="604" spans="1:9">
      <c r="A604" s="93" t="s">
        <v>4153</v>
      </c>
      <c r="B604" t="s">
        <v>1882</v>
      </c>
      <c r="C604" t="s">
        <v>2175</v>
      </c>
      <c r="E604" t="s">
        <v>2135</v>
      </c>
      <c r="G604" t="s">
        <v>4148</v>
      </c>
      <c r="H604" t="s">
        <v>2318</v>
      </c>
      <c r="I604" t="s">
        <v>4000</v>
      </c>
    </row>
    <row r="605" spans="1:9">
      <c r="A605" s="93" t="s">
        <v>4153</v>
      </c>
      <c r="B605" t="s">
        <v>1882</v>
      </c>
      <c r="C605" t="s">
        <v>2176</v>
      </c>
      <c r="E605" t="s">
        <v>2135</v>
      </c>
      <c r="G605" t="s">
        <v>4148</v>
      </c>
      <c r="H605" t="s">
        <v>2318</v>
      </c>
      <c r="I605" t="s">
        <v>4000</v>
      </c>
    </row>
    <row r="606" spans="1:9">
      <c r="A606" s="93" t="s">
        <v>4153</v>
      </c>
      <c r="B606" t="s">
        <v>1882</v>
      </c>
      <c r="C606" t="s">
        <v>2177</v>
      </c>
      <c r="E606" t="s">
        <v>2135</v>
      </c>
      <c r="G606" t="s">
        <v>4148</v>
      </c>
      <c r="H606" t="s">
        <v>2318</v>
      </c>
      <c r="I606" t="s">
        <v>4000</v>
      </c>
    </row>
    <row r="607" spans="1:9">
      <c r="A607" s="93" t="s">
        <v>4153</v>
      </c>
      <c r="B607" t="s">
        <v>1884</v>
      </c>
      <c r="C607" t="s">
        <v>2188</v>
      </c>
      <c r="E607" t="s">
        <v>2189</v>
      </c>
      <c r="G607" t="s">
        <v>4143</v>
      </c>
      <c r="H607" t="s">
        <v>2400</v>
      </c>
      <c r="I607" t="s">
        <v>4002</v>
      </c>
    </row>
    <row r="608" spans="1:9">
      <c r="A608" s="93" t="s">
        <v>4153</v>
      </c>
      <c r="B608" t="s">
        <v>1884</v>
      </c>
      <c r="C608" t="s">
        <v>2190</v>
      </c>
      <c r="E608" t="s">
        <v>2135</v>
      </c>
      <c r="G608" t="s">
        <v>4148</v>
      </c>
      <c r="H608" t="s">
        <v>2318</v>
      </c>
      <c r="I608" t="s">
        <v>4002</v>
      </c>
    </row>
    <row r="609" spans="1:9">
      <c r="A609" s="93" t="s">
        <v>4153</v>
      </c>
      <c r="B609" t="s">
        <v>1884</v>
      </c>
      <c r="C609" t="s">
        <v>2191</v>
      </c>
      <c r="E609" t="s">
        <v>2135</v>
      </c>
      <c r="G609" t="s">
        <v>4148</v>
      </c>
      <c r="H609" t="s">
        <v>2318</v>
      </c>
      <c r="I609" t="s">
        <v>4002</v>
      </c>
    </row>
    <row r="610" spans="1:9">
      <c r="A610" s="93" t="s">
        <v>4153</v>
      </c>
      <c r="B610" t="s">
        <v>1889</v>
      </c>
      <c r="C610" t="s">
        <v>2206</v>
      </c>
      <c r="E610" t="s">
        <v>2135</v>
      </c>
      <c r="G610" t="s">
        <v>4148</v>
      </c>
      <c r="H610" t="s">
        <v>2318</v>
      </c>
      <c r="I610" t="s">
        <v>4004</v>
      </c>
    </row>
    <row r="611" spans="1:9">
      <c r="A611" s="93" t="s">
        <v>4153</v>
      </c>
      <c r="B611" t="s">
        <v>1893</v>
      </c>
      <c r="C611" t="s">
        <v>2328</v>
      </c>
      <c r="D611" t="s">
        <v>2217</v>
      </c>
      <c r="E611" t="s">
        <v>2309</v>
      </c>
      <c r="F611" t="s">
        <v>2329</v>
      </c>
      <c r="G611" t="s">
        <v>4148</v>
      </c>
      <c r="H611" t="s">
        <v>2311</v>
      </c>
      <c r="I611" t="s">
        <v>4012</v>
      </c>
    </row>
    <row r="612" spans="1:9">
      <c r="A612" s="93" t="s">
        <v>4153</v>
      </c>
      <c r="B612" t="s">
        <v>1893</v>
      </c>
      <c r="C612" t="s">
        <v>2330</v>
      </c>
      <c r="D612" t="s">
        <v>2331</v>
      </c>
      <c r="E612" t="s">
        <v>2309</v>
      </c>
      <c r="F612" t="s">
        <v>2332</v>
      </c>
      <c r="G612" t="s">
        <v>4148</v>
      </c>
      <c r="H612" t="s">
        <v>2311</v>
      </c>
      <c r="I612" t="s">
        <v>4012</v>
      </c>
    </row>
    <row r="613" spans="1:9">
      <c r="A613" s="93" t="s">
        <v>4153</v>
      </c>
      <c r="B613" t="s">
        <v>1893</v>
      </c>
      <c r="C613" t="s">
        <v>2228</v>
      </c>
      <c r="E613" t="s">
        <v>2135</v>
      </c>
      <c r="G613" t="s">
        <v>4148</v>
      </c>
      <c r="H613" t="s">
        <v>2318</v>
      </c>
      <c r="I613" t="s">
        <v>4012</v>
      </c>
    </row>
    <row r="614" spans="1:9">
      <c r="A614" s="93" t="s">
        <v>4153</v>
      </c>
      <c r="B614" t="s">
        <v>1896</v>
      </c>
      <c r="C614" t="s">
        <v>2335</v>
      </c>
      <c r="E614" t="s">
        <v>2309</v>
      </c>
      <c r="F614" t="s">
        <v>2336</v>
      </c>
      <c r="G614" t="s">
        <v>4148</v>
      </c>
      <c r="H614" t="s">
        <v>2311</v>
      </c>
      <c r="I614" t="s">
        <v>4016</v>
      </c>
    </row>
    <row r="615" spans="1:9">
      <c r="A615" s="93" t="s">
        <v>4153</v>
      </c>
      <c r="B615" t="s">
        <v>1896</v>
      </c>
      <c r="C615" t="s">
        <v>2337</v>
      </c>
      <c r="D615" t="s">
        <v>2248</v>
      </c>
      <c r="E615" t="s">
        <v>2338</v>
      </c>
      <c r="G615" t="s">
        <v>4148</v>
      </c>
      <c r="H615" t="s">
        <v>2339</v>
      </c>
      <c r="I615" t="s">
        <v>4016</v>
      </c>
    </row>
    <row r="616" spans="1:9">
      <c r="A616" s="93" t="s">
        <v>4153</v>
      </c>
      <c r="B616" t="s">
        <v>1902</v>
      </c>
      <c r="C616" t="s">
        <v>2342</v>
      </c>
      <c r="E616" t="s">
        <v>2309</v>
      </c>
      <c r="F616" t="s">
        <v>2343</v>
      </c>
      <c r="G616" t="s">
        <v>4148</v>
      </c>
      <c r="H616" t="s">
        <v>2311</v>
      </c>
      <c r="I616" t="s">
        <v>4024</v>
      </c>
    </row>
    <row r="617" spans="1:9">
      <c r="A617" s="93" t="s">
        <v>4153</v>
      </c>
      <c r="B617" t="s">
        <v>1902</v>
      </c>
      <c r="C617" t="s">
        <v>2344</v>
      </c>
      <c r="D617" t="s">
        <v>2273</v>
      </c>
      <c r="E617" t="s">
        <v>2309</v>
      </c>
      <c r="F617" t="s">
        <v>2345</v>
      </c>
      <c r="G617" t="s">
        <v>4148</v>
      </c>
      <c r="H617" t="s">
        <v>2311</v>
      </c>
      <c r="I617" t="s">
        <v>4024</v>
      </c>
    </row>
    <row r="618" spans="1:9">
      <c r="A618" s="93" t="s">
        <v>4153</v>
      </c>
      <c r="B618" t="s">
        <v>1902</v>
      </c>
      <c r="C618" t="s">
        <v>2285</v>
      </c>
      <c r="E618" t="s">
        <v>2135</v>
      </c>
      <c r="G618" t="s">
        <v>4148</v>
      </c>
      <c r="H618" t="s">
        <v>2318</v>
      </c>
      <c r="I618" t="s">
        <v>4024</v>
      </c>
    </row>
    <row r="619" spans="1:9">
      <c r="A619" s="93" t="s">
        <v>4153</v>
      </c>
      <c r="B619" t="s">
        <v>3926</v>
      </c>
      <c r="C619" t="s">
        <v>2291</v>
      </c>
      <c r="E619" t="s">
        <v>2135</v>
      </c>
      <c r="F619" t="s">
        <v>2292</v>
      </c>
      <c r="G619" t="s">
        <v>4148</v>
      </c>
      <c r="H619" t="s">
        <v>2318</v>
      </c>
    </row>
    <row r="620" spans="1:9">
      <c r="A620" s="93" t="s">
        <v>4154</v>
      </c>
      <c r="B620" t="s">
        <v>1874</v>
      </c>
      <c r="C620" t="s">
        <v>2114</v>
      </c>
      <c r="D620" t="s">
        <v>2115</v>
      </c>
      <c r="E620" t="s">
        <v>1559</v>
      </c>
      <c r="F620" t="s">
        <v>2117</v>
      </c>
      <c r="G620" t="s">
        <v>4143</v>
      </c>
      <c r="H620" t="s">
        <v>543</v>
      </c>
      <c r="I620" t="s">
        <v>3984</v>
      </c>
    </row>
    <row r="621" spans="1:9">
      <c r="A621" s="93" t="s">
        <v>4154</v>
      </c>
      <c r="B621" t="s">
        <v>1875</v>
      </c>
      <c r="C621" t="s">
        <v>2134</v>
      </c>
      <c r="E621" t="s">
        <v>2135</v>
      </c>
      <c r="F621" t="s">
        <v>2137</v>
      </c>
      <c r="G621" t="s">
        <v>4155</v>
      </c>
      <c r="H621" t="s">
        <v>2461</v>
      </c>
      <c r="I621" t="s">
        <v>3988</v>
      </c>
    </row>
    <row r="622" spans="1:9">
      <c r="A622" s="93" t="s">
        <v>4154</v>
      </c>
      <c r="B622" t="s">
        <v>3697</v>
      </c>
      <c r="C622" t="s">
        <v>2144</v>
      </c>
      <c r="D622" t="s">
        <v>2143</v>
      </c>
      <c r="E622" t="s">
        <v>2145</v>
      </c>
      <c r="G622" t="s">
        <v>4143</v>
      </c>
      <c r="H622" t="s">
        <v>2463</v>
      </c>
      <c r="I622" t="s">
        <v>3992</v>
      </c>
    </row>
    <row r="623" spans="1:9">
      <c r="A623" s="93" t="s">
        <v>4154</v>
      </c>
      <c r="B623" t="s">
        <v>1881</v>
      </c>
      <c r="C623" t="s">
        <v>2465</v>
      </c>
      <c r="D623" t="s">
        <v>2248</v>
      </c>
      <c r="E623" t="s">
        <v>2466</v>
      </c>
      <c r="G623" t="s">
        <v>4143</v>
      </c>
      <c r="H623" t="s">
        <v>2463</v>
      </c>
      <c r="I623" t="s">
        <v>3996</v>
      </c>
    </row>
    <row r="624" spans="1:9">
      <c r="A624" s="93" t="s">
        <v>4154</v>
      </c>
      <c r="B624" t="s">
        <v>1881</v>
      </c>
      <c r="C624" t="s">
        <v>2358</v>
      </c>
      <c r="E624" t="s">
        <v>543</v>
      </c>
      <c r="F624" t="s">
        <v>2359</v>
      </c>
      <c r="G624" t="s">
        <v>4143</v>
      </c>
      <c r="H624" t="s">
        <v>543</v>
      </c>
      <c r="I624" t="s">
        <v>3996</v>
      </c>
    </row>
    <row r="625" spans="1:9">
      <c r="A625" s="93" t="s">
        <v>4154</v>
      </c>
      <c r="B625" t="s">
        <v>1881</v>
      </c>
      <c r="C625" t="s">
        <v>2360</v>
      </c>
      <c r="D625" t="s">
        <v>2155</v>
      </c>
      <c r="E625" t="s">
        <v>543</v>
      </c>
      <c r="F625" t="s">
        <v>2361</v>
      </c>
      <c r="G625" t="s">
        <v>4143</v>
      </c>
      <c r="H625" t="s">
        <v>543</v>
      </c>
      <c r="I625" t="s">
        <v>3996</v>
      </c>
    </row>
    <row r="626" spans="1:9">
      <c r="A626" s="93" t="s">
        <v>4154</v>
      </c>
      <c r="B626" t="s">
        <v>1881</v>
      </c>
      <c r="C626" t="s">
        <v>2158</v>
      </c>
      <c r="D626" t="s">
        <v>2155</v>
      </c>
      <c r="E626" t="s">
        <v>2159</v>
      </c>
      <c r="F626" t="s">
        <v>2160</v>
      </c>
      <c r="G626" t="s">
        <v>4143</v>
      </c>
      <c r="H626" t="s">
        <v>2467</v>
      </c>
      <c r="I626" t="s">
        <v>3996</v>
      </c>
    </row>
    <row r="627" spans="1:9">
      <c r="A627" s="93" t="s">
        <v>4154</v>
      </c>
      <c r="B627" t="s">
        <v>1882</v>
      </c>
      <c r="C627" t="s">
        <v>2169</v>
      </c>
      <c r="D627" t="s">
        <v>2129</v>
      </c>
      <c r="E627" t="s">
        <v>2170</v>
      </c>
      <c r="G627" t="s">
        <v>4155</v>
      </c>
      <c r="H627" t="s">
        <v>2461</v>
      </c>
      <c r="I627" t="s">
        <v>4000</v>
      </c>
    </row>
    <row r="628" spans="1:9">
      <c r="A628" s="93" t="s">
        <v>4154</v>
      </c>
      <c r="B628" t="s">
        <v>1882</v>
      </c>
      <c r="C628" t="s">
        <v>2171</v>
      </c>
      <c r="D628" t="s">
        <v>2129</v>
      </c>
      <c r="E628" t="s">
        <v>2135</v>
      </c>
      <c r="G628" t="s">
        <v>4155</v>
      </c>
      <c r="H628" t="s">
        <v>2461</v>
      </c>
      <c r="I628" t="s">
        <v>4000</v>
      </c>
    </row>
    <row r="629" spans="1:9">
      <c r="A629" s="93" t="s">
        <v>4154</v>
      </c>
      <c r="B629" t="s">
        <v>1882</v>
      </c>
      <c r="C629" t="s">
        <v>2172</v>
      </c>
      <c r="D629" t="s">
        <v>2129</v>
      </c>
      <c r="E629" t="s">
        <v>2135</v>
      </c>
      <c r="G629" t="s">
        <v>4155</v>
      </c>
      <c r="H629" t="s">
        <v>2461</v>
      </c>
      <c r="I629" t="s">
        <v>4000</v>
      </c>
    </row>
    <row r="630" spans="1:9">
      <c r="A630" s="93" t="s">
        <v>4154</v>
      </c>
      <c r="B630" t="s">
        <v>1882</v>
      </c>
      <c r="C630" t="s">
        <v>2173</v>
      </c>
      <c r="D630" t="s">
        <v>2174</v>
      </c>
      <c r="E630" t="s">
        <v>2135</v>
      </c>
      <c r="G630" t="s">
        <v>4155</v>
      </c>
      <c r="H630" t="s">
        <v>2461</v>
      </c>
      <c r="I630" t="s">
        <v>4000</v>
      </c>
    </row>
    <row r="631" spans="1:9">
      <c r="A631" s="93" t="s">
        <v>4154</v>
      </c>
      <c r="B631" t="s">
        <v>1882</v>
      </c>
      <c r="C631" t="s">
        <v>2175</v>
      </c>
      <c r="E631" t="s">
        <v>2135</v>
      </c>
      <c r="G631" t="s">
        <v>4155</v>
      </c>
      <c r="H631" t="s">
        <v>2461</v>
      </c>
      <c r="I631" t="s">
        <v>4000</v>
      </c>
    </row>
    <row r="632" spans="1:9">
      <c r="A632" s="93" t="s">
        <v>4154</v>
      </c>
      <c r="B632" t="s">
        <v>1882</v>
      </c>
      <c r="C632" t="s">
        <v>2176</v>
      </c>
      <c r="E632" t="s">
        <v>2135</v>
      </c>
      <c r="G632" t="s">
        <v>4155</v>
      </c>
      <c r="H632" t="s">
        <v>2461</v>
      </c>
      <c r="I632" t="s">
        <v>4000</v>
      </c>
    </row>
    <row r="633" spans="1:9">
      <c r="A633" s="93" t="s">
        <v>4154</v>
      </c>
      <c r="B633" t="s">
        <v>1882</v>
      </c>
      <c r="C633" t="s">
        <v>2177</v>
      </c>
      <c r="E633" t="s">
        <v>2135</v>
      </c>
      <c r="G633" t="s">
        <v>4155</v>
      </c>
      <c r="H633" t="s">
        <v>2461</v>
      </c>
      <c r="I633" t="s">
        <v>4000</v>
      </c>
    </row>
    <row r="634" spans="1:9">
      <c r="A634" s="93" t="s">
        <v>4154</v>
      </c>
      <c r="B634" t="s">
        <v>1884</v>
      </c>
      <c r="C634" t="s">
        <v>2190</v>
      </c>
      <c r="E634" t="s">
        <v>2135</v>
      </c>
      <c r="G634" t="s">
        <v>4155</v>
      </c>
      <c r="H634" t="s">
        <v>2461</v>
      </c>
      <c r="I634" t="s">
        <v>4002</v>
      </c>
    </row>
    <row r="635" spans="1:9">
      <c r="A635" s="93" t="s">
        <v>4154</v>
      </c>
      <c r="B635" t="s">
        <v>1884</v>
      </c>
      <c r="C635" t="s">
        <v>2191</v>
      </c>
      <c r="E635" t="s">
        <v>2135</v>
      </c>
      <c r="G635" t="s">
        <v>4155</v>
      </c>
      <c r="H635" t="s">
        <v>2461</v>
      </c>
      <c r="I635" t="s">
        <v>4002</v>
      </c>
    </row>
    <row r="636" spans="1:9">
      <c r="A636" s="93" t="s">
        <v>4154</v>
      </c>
      <c r="B636" t="s">
        <v>1884</v>
      </c>
      <c r="C636" t="s">
        <v>2364</v>
      </c>
      <c r="E636" t="s">
        <v>543</v>
      </c>
      <c r="F636" t="s">
        <v>2365</v>
      </c>
      <c r="G636" t="s">
        <v>4143</v>
      </c>
      <c r="H636" t="s">
        <v>543</v>
      </c>
      <c r="I636" t="s">
        <v>4002</v>
      </c>
    </row>
    <row r="637" spans="1:9">
      <c r="A637" s="93" t="s">
        <v>4154</v>
      </c>
      <c r="B637" t="s">
        <v>1889</v>
      </c>
      <c r="C637" t="s">
        <v>2198</v>
      </c>
      <c r="E637" t="s">
        <v>2199</v>
      </c>
      <c r="G637" t="s">
        <v>4143</v>
      </c>
      <c r="H637" t="s">
        <v>543</v>
      </c>
      <c r="I637" t="s">
        <v>4004</v>
      </c>
    </row>
    <row r="638" spans="1:9">
      <c r="A638" s="93" t="s">
        <v>4154</v>
      </c>
      <c r="B638" t="s">
        <v>1889</v>
      </c>
      <c r="C638" t="s">
        <v>2206</v>
      </c>
      <c r="E638" t="s">
        <v>2135</v>
      </c>
      <c r="G638" t="s">
        <v>4155</v>
      </c>
      <c r="H638" t="s">
        <v>2461</v>
      </c>
      <c r="I638" t="s">
        <v>4004</v>
      </c>
    </row>
    <row r="639" spans="1:9">
      <c r="A639" s="93" t="s">
        <v>4154</v>
      </c>
      <c r="B639" t="s">
        <v>1893</v>
      </c>
      <c r="C639" t="s">
        <v>2370</v>
      </c>
      <c r="D639" t="s">
        <v>2223</v>
      </c>
      <c r="E639" t="s">
        <v>543</v>
      </c>
      <c r="F639" t="s">
        <v>2371</v>
      </c>
      <c r="G639" t="s">
        <v>4143</v>
      </c>
      <c r="H639" t="s">
        <v>543</v>
      </c>
      <c r="I639" t="s">
        <v>4012</v>
      </c>
    </row>
    <row r="640" spans="1:9">
      <c r="A640" s="93" t="s">
        <v>4154</v>
      </c>
      <c r="B640" t="s">
        <v>1893</v>
      </c>
      <c r="C640" t="s">
        <v>2372</v>
      </c>
      <c r="D640" t="s">
        <v>2220</v>
      </c>
      <c r="E640" t="s">
        <v>2373</v>
      </c>
      <c r="F640" t="s">
        <v>2374</v>
      </c>
      <c r="G640" t="s">
        <v>4143</v>
      </c>
      <c r="H640" t="s">
        <v>543</v>
      </c>
      <c r="I640" t="s">
        <v>4012</v>
      </c>
    </row>
    <row r="641" spans="1:9">
      <c r="A641" s="93" t="s">
        <v>4154</v>
      </c>
      <c r="B641" t="s">
        <v>1893</v>
      </c>
      <c r="C641" t="s">
        <v>2228</v>
      </c>
      <c r="E641" t="s">
        <v>2135</v>
      </c>
      <c r="G641" t="s">
        <v>4155</v>
      </c>
      <c r="H641" t="s">
        <v>2461</v>
      </c>
      <c r="I641" t="s">
        <v>4012</v>
      </c>
    </row>
    <row r="642" spans="1:9">
      <c r="A642" s="93" t="s">
        <v>4154</v>
      </c>
      <c r="B642" t="s">
        <v>1896</v>
      </c>
      <c r="C642" t="s">
        <v>2376</v>
      </c>
      <c r="D642" t="s">
        <v>2237</v>
      </c>
      <c r="E642" t="s">
        <v>543</v>
      </c>
      <c r="G642" t="s">
        <v>4143</v>
      </c>
      <c r="H642" t="s">
        <v>543</v>
      </c>
      <c r="I642" t="s">
        <v>4016</v>
      </c>
    </row>
    <row r="643" spans="1:9">
      <c r="A643" s="93" t="s">
        <v>4154</v>
      </c>
      <c r="B643" t="s">
        <v>1896</v>
      </c>
      <c r="C643" t="s">
        <v>2242</v>
      </c>
      <c r="D643" t="s">
        <v>2220</v>
      </c>
      <c r="E643" t="s">
        <v>2243</v>
      </c>
      <c r="F643" t="s">
        <v>2244</v>
      </c>
      <c r="G643" t="s">
        <v>4143</v>
      </c>
      <c r="H643" t="s">
        <v>2473</v>
      </c>
      <c r="I643" t="s">
        <v>4016</v>
      </c>
    </row>
    <row r="644" spans="1:9">
      <c r="A644" s="93" t="s">
        <v>4154</v>
      </c>
      <c r="B644" t="s">
        <v>1896</v>
      </c>
      <c r="C644" t="s">
        <v>2378</v>
      </c>
      <c r="E644" t="s">
        <v>543</v>
      </c>
      <c r="F644" t="s">
        <v>2336</v>
      </c>
      <c r="G644" t="s">
        <v>4143</v>
      </c>
      <c r="H644" t="s">
        <v>543</v>
      </c>
      <c r="I644" t="s">
        <v>4016</v>
      </c>
    </row>
    <row r="645" spans="1:9">
      <c r="A645" s="93" t="s">
        <v>4154</v>
      </c>
      <c r="B645" t="s">
        <v>1896</v>
      </c>
      <c r="C645" t="s">
        <v>2337</v>
      </c>
      <c r="D645" t="s">
        <v>2248</v>
      </c>
      <c r="E645" t="s">
        <v>2338</v>
      </c>
      <c r="G645" t="s">
        <v>4155</v>
      </c>
      <c r="H645" t="s">
        <v>2379</v>
      </c>
      <c r="I645" t="s">
        <v>4016</v>
      </c>
    </row>
    <row r="646" spans="1:9">
      <c r="A646" s="93" t="s">
        <v>4154</v>
      </c>
      <c r="B646" t="s">
        <v>1898</v>
      </c>
      <c r="C646" t="s">
        <v>2381</v>
      </c>
      <c r="E646" t="s">
        <v>543</v>
      </c>
      <c r="G646" t="s">
        <v>4143</v>
      </c>
      <c r="H646" t="s">
        <v>543</v>
      </c>
      <c r="I646" t="s">
        <v>4020</v>
      </c>
    </row>
    <row r="647" spans="1:9">
      <c r="A647" s="93" t="s">
        <v>4154</v>
      </c>
      <c r="B647" t="s">
        <v>1898</v>
      </c>
      <c r="C647" t="s">
        <v>2255</v>
      </c>
      <c r="D647" t="s">
        <v>2256</v>
      </c>
      <c r="E647" t="s">
        <v>2257</v>
      </c>
      <c r="G647" t="s">
        <v>4143</v>
      </c>
      <c r="H647" t="s">
        <v>2463</v>
      </c>
      <c r="I647" t="s">
        <v>4020</v>
      </c>
    </row>
    <row r="648" spans="1:9">
      <c r="A648" s="93" t="s">
        <v>4154</v>
      </c>
      <c r="B648" t="s">
        <v>1902</v>
      </c>
      <c r="C648" t="s">
        <v>2272</v>
      </c>
      <c r="D648" t="s">
        <v>2273</v>
      </c>
      <c r="E648" t="s">
        <v>2274</v>
      </c>
      <c r="F648" t="s">
        <v>2275</v>
      </c>
      <c r="G648" t="s">
        <v>4143</v>
      </c>
      <c r="H648" t="s">
        <v>543</v>
      </c>
      <c r="I648" t="s">
        <v>4024</v>
      </c>
    </row>
    <row r="649" spans="1:9">
      <c r="A649" s="93" t="s">
        <v>4154</v>
      </c>
      <c r="B649" t="s">
        <v>1902</v>
      </c>
      <c r="C649" t="s">
        <v>2285</v>
      </c>
      <c r="E649" t="s">
        <v>2135</v>
      </c>
      <c r="G649" t="s">
        <v>4155</v>
      </c>
      <c r="H649" t="s">
        <v>2461</v>
      </c>
      <c r="I649" t="s">
        <v>4024</v>
      </c>
    </row>
    <row r="650" spans="1:9">
      <c r="A650" s="93" t="s">
        <v>4154</v>
      </c>
      <c r="B650" t="s">
        <v>3926</v>
      </c>
      <c r="C650" t="s">
        <v>2291</v>
      </c>
      <c r="E650" t="s">
        <v>2135</v>
      </c>
      <c r="F650" t="s">
        <v>2292</v>
      </c>
      <c r="G650" t="s">
        <v>4155</v>
      </c>
      <c r="H650" t="s">
        <v>2461</v>
      </c>
    </row>
    <row r="651" spans="1:9">
      <c r="A651" s="93" t="s">
        <v>4154</v>
      </c>
      <c r="B651" t="s">
        <v>3926</v>
      </c>
      <c r="C651" t="s">
        <v>2385</v>
      </c>
      <c r="D651" t="s">
        <v>2298</v>
      </c>
      <c r="E651" t="s">
        <v>543</v>
      </c>
      <c r="F651" t="s">
        <v>2386</v>
      </c>
      <c r="G651" t="s">
        <v>4143</v>
      </c>
      <c r="H651" t="s">
        <v>543</v>
      </c>
    </row>
    <row r="652" spans="1:9">
      <c r="A652" s="93" t="s">
        <v>4154</v>
      </c>
      <c r="B652" t="s">
        <v>3926</v>
      </c>
      <c r="C652" t="s">
        <v>2304</v>
      </c>
      <c r="D652" t="s">
        <v>2305</v>
      </c>
      <c r="E652" t="s">
        <v>2257</v>
      </c>
      <c r="F652" t="s">
        <v>2306</v>
      </c>
      <c r="G652" t="s">
        <v>4143</v>
      </c>
      <c r="H652" t="s">
        <v>2463</v>
      </c>
    </row>
    <row r="653" spans="1:9">
      <c r="A653" s="93" t="s">
        <v>4154</v>
      </c>
      <c r="B653" t="s">
        <v>3926</v>
      </c>
      <c r="C653" t="s">
        <v>2347</v>
      </c>
      <c r="D653" t="s">
        <v>2213</v>
      </c>
      <c r="E653" t="s">
        <v>2348</v>
      </c>
      <c r="F653" t="s">
        <v>2296</v>
      </c>
      <c r="G653" t="s">
        <v>4143</v>
      </c>
      <c r="H653" t="s">
        <v>2348</v>
      </c>
    </row>
    <row r="654" spans="1:9">
      <c r="A654" s="93" t="s">
        <v>4154</v>
      </c>
      <c r="B654" t="s">
        <v>3926</v>
      </c>
      <c r="C654" t="s">
        <v>2477</v>
      </c>
      <c r="D654" t="s">
        <v>2213</v>
      </c>
      <c r="E654" t="s">
        <v>2463</v>
      </c>
      <c r="F654" t="s">
        <v>2292</v>
      </c>
      <c r="G654" t="s">
        <v>4143</v>
      </c>
      <c r="H654" t="s">
        <v>2463</v>
      </c>
    </row>
    <row r="655" spans="1:9">
      <c r="A655" s="93" t="s">
        <v>4156</v>
      </c>
      <c r="B655" t="s">
        <v>1874</v>
      </c>
      <c r="C655" t="s">
        <v>2308</v>
      </c>
      <c r="D655" t="s">
        <v>2122</v>
      </c>
      <c r="E655" t="s">
        <v>2309</v>
      </c>
      <c r="F655" t="s">
        <v>2312</v>
      </c>
      <c r="G655" t="s">
        <v>4157</v>
      </c>
      <c r="H655" t="s">
        <v>2311</v>
      </c>
      <c r="I655" t="s">
        <v>3984</v>
      </c>
    </row>
    <row r="656" spans="1:9">
      <c r="A656" s="93" t="s">
        <v>4156</v>
      </c>
      <c r="B656" t="s">
        <v>1874</v>
      </c>
      <c r="C656" t="s">
        <v>2114</v>
      </c>
      <c r="D656" t="s">
        <v>2115</v>
      </c>
      <c r="E656" t="s">
        <v>1559</v>
      </c>
      <c r="F656" t="s">
        <v>2117</v>
      </c>
      <c r="G656" t="s">
        <v>4143</v>
      </c>
      <c r="H656" t="s">
        <v>108</v>
      </c>
      <c r="I656" t="s">
        <v>3984</v>
      </c>
    </row>
    <row r="657" spans="1:9">
      <c r="A657" s="93" t="s">
        <v>4156</v>
      </c>
      <c r="B657" t="s">
        <v>1874</v>
      </c>
      <c r="C657" t="s">
        <v>2352</v>
      </c>
      <c r="E657" t="s">
        <v>1201</v>
      </c>
      <c r="G657" t="s">
        <v>4143</v>
      </c>
      <c r="H657" t="s">
        <v>1201</v>
      </c>
      <c r="I657" t="s">
        <v>3984</v>
      </c>
    </row>
    <row r="658" spans="1:9">
      <c r="A658" s="93" t="s">
        <v>4156</v>
      </c>
      <c r="B658" t="s">
        <v>1874</v>
      </c>
      <c r="C658" t="s">
        <v>2118</v>
      </c>
      <c r="E658" t="s">
        <v>2119</v>
      </c>
      <c r="G658" t="s">
        <v>4143</v>
      </c>
      <c r="H658" t="s">
        <v>2353</v>
      </c>
      <c r="I658" t="s">
        <v>3984</v>
      </c>
    </row>
    <row r="659" spans="1:9">
      <c r="A659" s="93" t="s">
        <v>4156</v>
      </c>
      <c r="B659" t="s">
        <v>1874</v>
      </c>
      <c r="C659" t="s">
        <v>2121</v>
      </c>
      <c r="D659" t="s">
        <v>2122</v>
      </c>
      <c r="E659" t="s">
        <v>108</v>
      </c>
      <c r="G659" t="s">
        <v>4143</v>
      </c>
      <c r="H659" t="s">
        <v>108</v>
      </c>
      <c r="I659" t="s">
        <v>3984</v>
      </c>
    </row>
    <row r="660" spans="1:9">
      <c r="A660" s="93" t="s">
        <v>4156</v>
      </c>
      <c r="B660" t="s">
        <v>1874</v>
      </c>
      <c r="C660" t="s">
        <v>2123</v>
      </c>
      <c r="D660" t="s">
        <v>2124</v>
      </c>
      <c r="E660" t="s">
        <v>108</v>
      </c>
      <c r="F660" t="s">
        <v>2125</v>
      </c>
      <c r="G660" t="s">
        <v>4143</v>
      </c>
      <c r="H660" t="s">
        <v>108</v>
      </c>
      <c r="I660" t="s">
        <v>3984</v>
      </c>
    </row>
    <row r="661" spans="1:9">
      <c r="A661" s="93" t="s">
        <v>4156</v>
      </c>
      <c r="B661" t="s">
        <v>1874</v>
      </c>
      <c r="C661" t="s">
        <v>2126</v>
      </c>
      <c r="E661" t="s">
        <v>108</v>
      </c>
      <c r="G661" t="s">
        <v>4143</v>
      </c>
      <c r="H661" t="s">
        <v>108</v>
      </c>
      <c r="I661" t="s">
        <v>3984</v>
      </c>
    </row>
    <row r="662" spans="1:9">
      <c r="A662" s="93" t="s">
        <v>4156</v>
      </c>
      <c r="B662" t="s">
        <v>1874</v>
      </c>
      <c r="C662" t="s">
        <v>2313</v>
      </c>
      <c r="D662" t="s">
        <v>2314</v>
      </c>
      <c r="E662" t="s">
        <v>2309</v>
      </c>
      <c r="G662" t="s">
        <v>4157</v>
      </c>
      <c r="H662" t="s">
        <v>2311</v>
      </c>
      <c r="I662" t="s">
        <v>3984</v>
      </c>
    </row>
    <row r="663" spans="1:9">
      <c r="A663" s="93" t="s">
        <v>4156</v>
      </c>
      <c r="B663" t="s">
        <v>1874</v>
      </c>
      <c r="C663" t="s">
        <v>2315</v>
      </c>
      <c r="D663" t="s">
        <v>2314</v>
      </c>
      <c r="E663" t="s">
        <v>2309</v>
      </c>
      <c r="G663" t="s">
        <v>4157</v>
      </c>
      <c r="H663" t="s">
        <v>2311</v>
      </c>
      <c r="I663" t="s">
        <v>3984</v>
      </c>
    </row>
    <row r="664" spans="1:9">
      <c r="A664" s="93" t="s">
        <v>4156</v>
      </c>
      <c r="B664" t="s">
        <v>1874</v>
      </c>
      <c r="C664" t="s">
        <v>2316</v>
      </c>
      <c r="D664" t="s">
        <v>2124</v>
      </c>
      <c r="E664" t="s">
        <v>2309</v>
      </c>
      <c r="G664" t="s">
        <v>4157</v>
      </c>
      <c r="H664" t="s">
        <v>2311</v>
      </c>
      <c r="I664" t="s">
        <v>3984</v>
      </c>
    </row>
    <row r="665" spans="1:9">
      <c r="A665" s="93" t="s">
        <v>4156</v>
      </c>
      <c r="B665" t="s">
        <v>1875</v>
      </c>
      <c r="C665" t="s">
        <v>2128</v>
      </c>
      <c r="D665" t="s">
        <v>2129</v>
      </c>
      <c r="E665" t="s">
        <v>108</v>
      </c>
      <c r="G665" t="s">
        <v>4143</v>
      </c>
      <c r="H665" t="s">
        <v>108</v>
      </c>
      <c r="I665" t="s">
        <v>3988</v>
      </c>
    </row>
    <row r="666" spans="1:9">
      <c r="A666" s="93" t="s">
        <v>4156</v>
      </c>
      <c r="B666" t="s">
        <v>1875</v>
      </c>
      <c r="C666" t="s">
        <v>2130</v>
      </c>
      <c r="D666" t="s">
        <v>2131</v>
      </c>
      <c r="E666" t="s">
        <v>108</v>
      </c>
      <c r="F666" t="s">
        <v>2132</v>
      </c>
      <c r="G666" t="s">
        <v>4143</v>
      </c>
      <c r="H666" t="s">
        <v>108</v>
      </c>
      <c r="I666" t="s">
        <v>3988</v>
      </c>
    </row>
    <row r="667" spans="1:9">
      <c r="A667" s="93" t="s">
        <v>4156</v>
      </c>
      <c r="B667" t="s">
        <v>1875</v>
      </c>
      <c r="C667" t="s">
        <v>2133</v>
      </c>
      <c r="D667" t="s">
        <v>2131</v>
      </c>
      <c r="E667" t="s">
        <v>108</v>
      </c>
      <c r="G667" t="s">
        <v>4143</v>
      </c>
      <c r="H667" t="s">
        <v>108</v>
      </c>
      <c r="I667" t="s">
        <v>3988</v>
      </c>
    </row>
    <row r="668" spans="1:9">
      <c r="A668" s="93" t="s">
        <v>4156</v>
      </c>
      <c r="B668" t="s">
        <v>1875</v>
      </c>
      <c r="C668" t="s">
        <v>2134</v>
      </c>
      <c r="E668" t="s">
        <v>2135</v>
      </c>
      <c r="F668" t="s">
        <v>2137</v>
      </c>
      <c r="G668" t="s">
        <v>4157</v>
      </c>
      <c r="H668" t="s">
        <v>2481</v>
      </c>
      <c r="I668" t="s">
        <v>3988</v>
      </c>
    </row>
    <row r="669" spans="1:9">
      <c r="A669" s="93" t="s">
        <v>4156</v>
      </c>
      <c r="B669" t="s">
        <v>1875</v>
      </c>
      <c r="C669" t="s">
        <v>2138</v>
      </c>
      <c r="D669" t="s">
        <v>2139</v>
      </c>
      <c r="E669" t="s">
        <v>108</v>
      </c>
      <c r="F669" t="s">
        <v>2140</v>
      </c>
      <c r="G669" t="s">
        <v>4143</v>
      </c>
      <c r="H669" t="s">
        <v>108</v>
      </c>
      <c r="I669" t="s">
        <v>3988</v>
      </c>
    </row>
    <row r="670" spans="1:9">
      <c r="A670" s="93" t="s">
        <v>4156</v>
      </c>
      <c r="B670" t="s">
        <v>3697</v>
      </c>
      <c r="C670" t="s">
        <v>2142</v>
      </c>
      <c r="D670" t="s">
        <v>2143</v>
      </c>
      <c r="E670" t="s">
        <v>108</v>
      </c>
      <c r="G670" t="s">
        <v>4143</v>
      </c>
      <c r="H670" t="s">
        <v>108</v>
      </c>
      <c r="I670" t="s">
        <v>3992</v>
      </c>
    </row>
    <row r="671" spans="1:9">
      <c r="A671" s="93" t="s">
        <v>4156</v>
      </c>
      <c r="B671" t="s">
        <v>3697</v>
      </c>
      <c r="C671" t="s">
        <v>2144</v>
      </c>
      <c r="D671" t="s">
        <v>2143</v>
      </c>
      <c r="E671" t="s">
        <v>2145</v>
      </c>
      <c r="G671" t="s">
        <v>4143</v>
      </c>
      <c r="H671" t="s">
        <v>2483</v>
      </c>
      <c r="I671" t="s">
        <v>3992</v>
      </c>
    </row>
    <row r="672" spans="1:9">
      <c r="A672" s="93" t="s">
        <v>4156</v>
      </c>
      <c r="B672" t="s">
        <v>3697</v>
      </c>
      <c r="C672" t="s">
        <v>2146</v>
      </c>
      <c r="D672" t="s">
        <v>2143</v>
      </c>
      <c r="E672" t="s">
        <v>2147</v>
      </c>
      <c r="F672" t="s">
        <v>2148</v>
      </c>
      <c r="G672" t="s">
        <v>4143</v>
      </c>
      <c r="H672" t="s">
        <v>108</v>
      </c>
      <c r="I672" t="s">
        <v>3992</v>
      </c>
    </row>
    <row r="673" spans="1:9">
      <c r="A673" s="93" t="s">
        <v>4156</v>
      </c>
      <c r="B673" t="s">
        <v>3697</v>
      </c>
      <c r="C673" t="s">
        <v>2149</v>
      </c>
      <c r="D673" t="s">
        <v>2143</v>
      </c>
      <c r="E673" t="s">
        <v>108</v>
      </c>
      <c r="G673" t="s">
        <v>4143</v>
      </c>
      <c r="H673" t="s">
        <v>108</v>
      </c>
      <c r="I673" t="s">
        <v>3992</v>
      </c>
    </row>
    <row r="674" spans="1:9">
      <c r="A674" s="93" t="s">
        <v>4156</v>
      </c>
      <c r="B674" t="s">
        <v>1881</v>
      </c>
      <c r="C674" t="s">
        <v>2151</v>
      </c>
      <c r="D674" t="s">
        <v>2152</v>
      </c>
      <c r="E674" t="s">
        <v>2153</v>
      </c>
      <c r="G674" t="s">
        <v>4143</v>
      </c>
      <c r="H674" t="s">
        <v>108</v>
      </c>
      <c r="I674" t="s">
        <v>3996</v>
      </c>
    </row>
    <row r="675" spans="1:9">
      <c r="A675" s="93" t="s">
        <v>4156</v>
      </c>
      <c r="B675" t="s">
        <v>1881</v>
      </c>
      <c r="C675" t="s">
        <v>2154</v>
      </c>
      <c r="D675" t="s">
        <v>2155</v>
      </c>
      <c r="E675" t="s">
        <v>108</v>
      </c>
      <c r="G675" t="s">
        <v>4143</v>
      </c>
      <c r="H675" t="s">
        <v>108</v>
      </c>
      <c r="I675" t="s">
        <v>3996</v>
      </c>
    </row>
    <row r="676" spans="1:9">
      <c r="A676" s="93" t="s">
        <v>4156</v>
      </c>
      <c r="B676" t="s">
        <v>1881</v>
      </c>
      <c r="C676" t="s">
        <v>2156</v>
      </c>
      <c r="D676" t="s">
        <v>2152</v>
      </c>
      <c r="E676" t="s">
        <v>2157</v>
      </c>
      <c r="G676" t="s">
        <v>4143</v>
      </c>
      <c r="H676" t="s">
        <v>108</v>
      </c>
      <c r="I676" t="s">
        <v>3996</v>
      </c>
    </row>
    <row r="677" spans="1:9">
      <c r="A677" s="93" t="s">
        <v>4156</v>
      </c>
      <c r="B677" t="s">
        <v>1881</v>
      </c>
      <c r="C677" t="s">
        <v>2158</v>
      </c>
      <c r="D677" t="s">
        <v>2155</v>
      </c>
      <c r="E677" t="s">
        <v>2159</v>
      </c>
      <c r="F677" t="s">
        <v>2160</v>
      </c>
      <c r="G677" t="s">
        <v>4143</v>
      </c>
      <c r="H677" t="s">
        <v>108</v>
      </c>
      <c r="I677" t="s">
        <v>3996</v>
      </c>
    </row>
    <row r="678" spans="1:9">
      <c r="A678" s="93" t="s">
        <v>4156</v>
      </c>
      <c r="B678" t="s">
        <v>1881</v>
      </c>
      <c r="C678" t="s">
        <v>2161</v>
      </c>
      <c r="D678" t="s">
        <v>2162</v>
      </c>
      <c r="E678" t="s">
        <v>108</v>
      </c>
      <c r="F678" t="s">
        <v>2163</v>
      </c>
      <c r="G678" t="s">
        <v>4143</v>
      </c>
      <c r="H678" t="s">
        <v>108</v>
      </c>
      <c r="I678" t="s">
        <v>3996</v>
      </c>
    </row>
    <row r="679" spans="1:9">
      <c r="A679" s="93" t="s">
        <v>4156</v>
      </c>
      <c r="B679" t="s">
        <v>1881</v>
      </c>
      <c r="C679" t="s">
        <v>2164</v>
      </c>
      <c r="D679" t="s">
        <v>2162</v>
      </c>
      <c r="E679" t="s">
        <v>108</v>
      </c>
      <c r="G679" t="s">
        <v>4143</v>
      </c>
      <c r="H679" t="s">
        <v>108</v>
      </c>
      <c r="I679" t="s">
        <v>3996</v>
      </c>
    </row>
    <row r="680" spans="1:9">
      <c r="A680" s="93" t="s">
        <v>4156</v>
      </c>
      <c r="B680" t="s">
        <v>1882</v>
      </c>
      <c r="C680" t="s">
        <v>2166</v>
      </c>
      <c r="D680" t="s">
        <v>2167</v>
      </c>
      <c r="E680" t="s">
        <v>108</v>
      </c>
      <c r="F680" t="s">
        <v>2168</v>
      </c>
      <c r="G680" t="s">
        <v>4143</v>
      </c>
      <c r="H680" t="s">
        <v>108</v>
      </c>
      <c r="I680" t="s">
        <v>4000</v>
      </c>
    </row>
    <row r="681" spans="1:9">
      <c r="A681" s="93" t="s">
        <v>4156</v>
      </c>
      <c r="B681" t="s">
        <v>1882</v>
      </c>
      <c r="C681" t="s">
        <v>2169</v>
      </c>
      <c r="D681" t="s">
        <v>2129</v>
      </c>
      <c r="E681" t="s">
        <v>2170</v>
      </c>
      <c r="G681" t="s">
        <v>4157</v>
      </c>
      <c r="H681" t="s">
        <v>2481</v>
      </c>
      <c r="I681" t="s">
        <v>4000</v>
      </c>
    </row>
    <row r="682" spans="1:9">
      <c r="A682" s="93" t="s">
        <v>4156</v>
      </c>
      <c r="B682" t="s">
        <v>1882</v>
      </c>
      <c r="C682" t="s">
        <v>2171</v>
      </c>
      <c r="D682" t="s">
        <v>2129</v>
      </c>
      <c r="E682" t="s">
        <v>2135</v>
      </c>
      <c r="G682" t="s">
        <v>4157</v>
      </c>
      <c r="H682" t="s">
        <v>2481</v>
      </c>
      <c r="I682" t="s">
        <v>4000</v>
      </c>
    </row>
    <row r="683" spans="1:9">
      <c r="A683" s="93" t="s">
        <v>4156</v>
      </c>
      <c r="B683" t="s">
        <v>1882</v>
      </c>
      <c r="C683" t="s">
        <v>2172</v>
      </c>
      <c r="D683" t="s">
        <v>2129</v>
      </c>
      <c r="E683" t="s">
        <v>2135</v>
      </c>
      <c r="G683" t="s">
        <v>4157</v>
      </c>
      <c r="H683" t="s">
        <v>2481</v>
      </c>
      <c r="I683" t="s">
        <v>4000</v>
      </c>
    </row>
    <row r="684" spans="1:9">
      <c r="A684" s="93" t="s">
        <v>4156</v>
      </c>
      <c r="B684" t="s">
        <v>1882</v>
      </c>
      <c r="C684" t="s">
        <v>2173</v>
      </c>
      <c r="D684" t="s">
        <v>2174</v>
      </c>
      <c r="E684" t="s">
        <v>2135</v>
      </c>
      <c r="G684" t="s">
        <v>4157</v>
      </c>
      <c r="H684" t="s">
        <v>2481</v>
      </c>
      <c r="I684" t="s">
        <v>4000</v>
      </c>
    </row>
    <row r="685" spans="1:9">
      <c r="A685" s="93" t="s">
        <v>4156</v>
      </c>
      <c r="B685" t="s">
        <v>1882</v>
      </c>
      <c r="C685" t="s">
        <v>2175</v>
      </c>
      <c r="E685" t="s">
        <v>2135</v>
      </c>
      <c r="G685" t="s">
        <v>4157</v>
      </c>
      <c r="H685" t="s">
        <v>2481</v>
      </c>
      <c r="I685" t="s">
        <v>4000</v>
      </c>
    </row>
    <row r="686" spans="1:9">
      <c r="A686" s="93" t="s">
        <v>4156</v>
      </c>
      <c r="B686" t="s">
        <v>1882</v>
      </c>
      <c r="C686" t="s">
        <v>2176</v>
      </c>
      <c r="E686" t="s">
        <v>2135</v>
      </c>
      <c r="G686" t="s">
        <v>4157</v>
      </c>
      <c r="H686" t="s">
        <v>2481</v>
      </c>
      <c r="I686" t="s">
        <v>4000</v>
      </c>
    </row>
    <row r="687" spans="1:9">
      <c r="A687" s="93" t="s">
        <v>4156</v>
      </c>
      <c r="B687" t="s">
        <v>1882</v>
      </c>
      <c r="C687" t="s">
        <v>2177</v>
      </c>
      <c r="E687" t="s">
        <v>2135</v>
      </c>
      <c r="G687" t="s">
        <v>4157</v>
      </c>
      <c r="H687" t="s">
        <v>2481</v>
      </c>
      <c r="I687" t="s">
        <v>4000</v>
      </c>
    </row>
    <row r="688" spans="1:9">
      <c r="A688" s="93" t="s">
        <v>4156</v>
      </c>
      <c r="B688" t="s">
        <v>1884</v>
      </c>
      <c r="C688" t="s">
        <v>2179</v>
      </c>
      <c r="D688" t="s">
        <v>2180</v>
      </c>
      <c r="E688" t="s">
        <v>108</v>
      </c>
      <c r="G688" t="s">
        <v>4143</v>
      </c>
      <c r="H688" t="s">
        <v>108</v>
      </c>
      <c r="I688" t="s">
        <v>4002</v>
      </c>
    </row>
    <row r="689" spans="1:9">
      <c r="A689" s="93" t="s">
        <v>4156</v>
      </c>
      <c r="B689" t="s">
        <v>1884</v>
      </c>
      <c r="C689" t="s">
        <v>2181</v>
      </c>
      <c r="D689" t="s">
        <v>2182</v>
      </c>
      <c r="E689" t="s">
        <v>108</v>
      </c>
      <c r="G689" t="s">
        <v>4143</v>
      </c>
      <c r="H689" t="s">
        <v>108</v>
      </c>
      <c r="I689" t="s">
        <v>4002</v>
      </c>
    </row>
    <row r="690" spans="1:9">
      <c r="A690" s="93" t="s">
        <v>4156</v>
      </c>
      <c r="B690" t="s">
        <v>1884</v>
      </c>
      <c r="C690" t="s">
        <v>2183</v>
      </c>
      <c r="D690" t="s">
        <v>2182</v>
      </c>
      <c r="E690" t="s">
        <v>2184</v>
      </c>
      <c r="F690" t="s">
        <v>2185</v>
      </c>
      <c r="G690" t="s">
        <v>4143</v>
      </c>
      <c r="H690" t="s">
        <v>108</v>
      </c>
      <c r="I690" t="s">
        <v>4002</v>
      </c>
    </row>
    <row r="691" spans="1:9">
      <c r="A691" s="93" t="s">
        <v>4156</v>
      </c>
      <c r="B691" t="s">
        <v>1884</v>
      </c>
      <c r="C691" t="s">
        <v>2186</v>
      </c>
      <c r="D691" t="s">
        <v>2187</v>
      </c>
      <c r="E691" t="s">
        <v>108</v>
      </c>
      <c r="G691" t="s">
        <v>4143</v>
      </c>
      <c r="H691" t="s">
        <v>108</v>
      </c>
      <c r="I691" t="s">
        <v>4002</v>
      </c>
    </row>
    <row r="692" spans="1:9">
      <c r="A692" s="93" t="s">
        <v>4156</v>
      </c>
      <c r="B692" t="s">
        <v>1884</v>
      </c>
      <c r="C692" t="s">
        <v>2188</v>
      </c>
      <c r="E692" t="s">
        <v>2189</v>
      </c>
      <c r="G692" t="s">
        <v>4143</v>
      </c>
      <c r="H692" t="s">
        <v>108</v>
      </c>
      <c r="I692" t="s">
        <v>4002</v>
      </c>
    </row>
    <row r="693" spans="1:9">
      <c r="A693" s="93" t="s">
        <v>4156</v>
      </c>
      <c r="B693" t="s">
        <v>1884</v>
      </c>
      <c r="C693" t="s">
        <v>2190</v>
      </c>
      <c r="E693" t="s">
        <v>2135</v>
      </c>
      <c r="G693" t="s">
        <v>4157</v>
      </c>
      <c r="H693" t="s">
        <v>2481</v>
      </c>
      <c r="I693" t="s">
        <v>4002</v>
      </c>
    </row>
    <row r="694" spans="1:9">
      <c r="A694" s="93" t="s">
        <v>4156</v>
      </c>
      <c r="B694" t="s">
        <v>1884</v>
      </c>
      <c r="C694" t="s">
        <v>2191</v>
      </c>
      <c r="E694" t="s">
        <v>2135</v>
      </c>
      <c r="G694" t="s">
        <v>4157</v>
      </c>
      <c r="H694" t="s">
        <v>2481</v>
      </c>
      <c r="I694" t="s">
        <v>4002</v>
      </c>
    </row>
    <row r="695" spans="1:9">
      <c r="A695" s="93" t="s">
        <v>4156</v>
      </c>
      <c r="B695" t="s">
        <v>1884</v>
      </c>
      <c r="C695" t="s">
        <v>2192</v>
      </c>
      <c r="D695" t="s">
        <v>2182</v>
      </c>
      <c r="E695" t="s">
        <v>2193</v>
      </c>
      <c r="G695" t="s">
        <v>4143</v>
      </c>
      <c r="H695" t="s">
        <v>2193</v>
      </c>
      <c r="I695" t="s">
        <v>4002</v>
      </c>
    </row>
    <row r="696" spans="1:9">
      <c r="A696" s="93" t="s">
        <v>4156</v>
      </c>
      <c r="B696" t="s">
        <v>1884</v>
      </c>
      <c r="C696" t="s">
        <v>2194</v>
      </c>
      <c r="D696" t="s">
        <v>2187</v>
      </c>
      <c r="E696" t="s">
        <v>108</v>
      </c>
      <c r="G696" t="s">
        <v>4143</v>
      </c>
      <c r="H696" t="s">
        <v>108</v>
      </c>
      <c r="I696" t="s">
        <v>4002</v>
      </c>
    </row>
    <row r="697" spans="1:9">
      <c r="A697" s="93" t="s">
        <v>4156</v>
      </c>
      <c r="B697" t="s">
        <v>1889</v>
      </c>
      <c r="C697" t="s">
        <v>2488</v>
      </c>
      <c r="D697" t="s">
        <v>2182</v>
      </c>
      <c r="E697" t="s">
        <v>2489</v>
      </c>
      <c r="G697" t="s">
        <v>4143</v>
      </c>
      <c r="H697" t="s">
        <v>1997</v>
      </c>
      <c r="I697" t="s">
        <v>4004</v>
      </c>
    </row>
    <row r="698" spans="1:9">
      <c r="A698" s="93" t="s">
        <v>4156</v>
      </c>
      <c r="B698" t="s">
        <v>1889</v>
      </c>
      <c r="C698" t="s">
        <v>2490</v>
      </c>
      <c r="D698" t="s">
        <v>2174</v>
      </c>
      <c r="E698" t="s">
        <v>2489</v>
      </c>
      <c r="G698" t="s">
        <v>4143</v>
      </c>
      <c r="H698" t="s">
        <v>1997</v>
      </c>
      <c r="I698" t="s">
        <v>4004</v>
      </c>
    </row>
    <row r="699" spans="1:9">
      <c r="A699" s="93" t="s">
        <v>4156</v>
      </c>
      <c r="B699" t="s">
        <v>1889</v>
      </c>
      <c r="C699" t="s">
        <v>2196</v>
      </c>
      <c r="E699" t="s">
        <v>2193</v>
      </c>
      <c r="G699" t="s">
        <v>4143</v>
      </c>
      <c r="H699" t="s">
        <v>2193</v>
      </c>
      <c r="I699" t="s">
        <v>4004</v>
      </c>
    </row>
    <row r="700" spans="1:9">
      <c r="A700" s="93" t="s">
        <v>4156</v>
      </c>
      <c r="B700" t="s">
        <v>1889</v>
      </c>
      <c r="C700" t="s">
        <v>2197</v>
      </c>
      <c r="E700" t="s">
        <v>2193</v>
      </c>
      <c r="G700" t="s">
        <v>4143</v>
      </c>
      <c r="H700" t="s">
        <v>2193</v>
      </c>
      <c r="I700" t="s">
        <v>4004</v>
      </c>
    </row>
    <row r="701" spans="1:9">
      <c r="A701" s="93" t="s">
        <v>4156</v>
      </c>
      <c r="B701" t="s">
        <v>1889</v>
      </c>
      <c r="C701" t="s">
        <v>2198</v>
      </c>
      <c r="E701" t="s">
        <v>2199</v>
      </c>
      <c r="G701" t="s">
        <v>4143</v>
      </c>
      <c r="H701" t="s">
        <v>2193</v>
      </c>
      <c r="I701" t="s">
        <v>4004</v>
      </c>
    </row>
    <row r="702" spans="1:9">
      <c r="A702" s="93" t="s">
        <v>4156</v>
      </c>
      <c r="B702" t="s">
        <v>1889</v>
      </c>
      <c r="C702" t="s">
        <v>2200</v>
      </c>
      <c r="D702" t="s">
        <v>2182</v>
      </c>
      <c r="E702" t="s">
        <v>108</v>
      </c>
      <c r="G702" t="s">
        <v>4143</v>
      </c>
      <c r="H702" t="s">
        <v>108</v>
      </c>
      <c r="I702" t="s">
        <v>4004</v>
      </c>
    </row>
    <row r="703" spans="1:9">
      <c r="A703" s="93" t="s">
        <v>4156</v>
      </c>
      <c r="B703" t="s">
        <v>1889</v>
      </c>
      <c r="C703" t="s">
        <v>2201</v>
      </c>
      <c r="D703" t="s">
        <v>2182</v>
      </c>
      <c r="E703" t="s">
        <v>108</v>
      </c>
      <c r="G703" t="s">
        <v>4143</v>
      </c>
      <c r="H703" t="s">
        <v>108</v>
      </c>
      <c r="I703" t="s">
        <v>4004</v>
      </c>
    </row>
    <row r="704" spans="1:9">
      <c r="A704" s="93" t="s">
        <v>4156</v>
      </c>
      <c r="B704" t="s">
        <v>1889</v>
      </c>
      <c r="C704" t="s">
        <v>2202</v>
      </c>
      <c r="D704" t="s">
        <v>2174</v>
      </c>
      <c r="E704" t="s">
        <v>108</v>
      </c>
      <c r="G704" t="s">
        <v>4143</v>
      </c>
      <c r="H704" t="s">
        <v>108</v>
      </c>
      <c r="I704" t="s">
        <v>4004</v>
      </c>
    </row>
    <row r="705" spans="1:9">
      <c r="A705" s="93" t="s">
        <v>4156</v>
      </c>
      <c r="B705" t="s">
        <v>1889</v>
      </c>
      <c r="C705" t="s">
        <v>2203</v>
      </c>
      <c r="D705" t="s">
        <v>2204</v>
      </c>
      <c r="E705" t="s">
        <v>2193</v>
      </c>
      <c r="G705" t="s">
        <v>4143</v>
      </c>
      <c r="H705" t="s">
        <v>2193</v>
      </c>
      <c r="I705" t="s">
        <v>4004</v>
      </c>
    </row>
    <row r="706" spans="1:9">
      <c r="A706" s="93" t="s">
        <v>4156</v>
      </c>
      <c r="B706" t="s">
        <v>1889</v>
      </c>
      <c r="C706" t="s">
        <v>2205</v>
      </c>
      <c r="D706" t="s">
        <v>2204</v>
      </c>
      <c r="E706" t="s">
        <v>2193</v>
      </c>
      <c r="G706" t="s">
        <v>4143</v>
      </c>
      <c r="H706" t="s">
        <v>2193</v>
      </c>
      <c r="I706" t="s">
        <v>4004</v>
      </c>
    </row>
    <row r="707" spans="1:9">
      <c r="A707" s="93" t="s">
        <v>4156</v>
      </c>
      <c r="B707" t="s">
        <v>1889</v>
      </c>
      <c r="C707" t="s">
        <v>2206</v>
      </c>
      <c r="E707" t="s">
        <v>2135</v>
      </c>
      <c r="G707" t="s">
        <v>4157</v>
      </c>
      <c r="H707" t="s">
        <v>2481</v>
      </c>
      <c r="I707" t="s">
        <v>4004</v>
      </c>
    </row>
    <row r="708" spans="1:9">
      <c r="A708" s="93" t="s">
        <v>4156</v>
      </c>
      <c r="B708" t="s">
        <v>1889</v>
      </c>
      <c r="C708" t="s">
        <v>2207</v>
      </c>
      <c r="D708" t="s">
        <v>2204</v>
      </c>
      <c r="E708" t="s">
        <v>108</v>
      </c>
      <c r="F708" t="s">
        <v>2208</v>
      </c>
      <c r="G708" t="s">
        <v>4143</v>
      </c>
      <c r="H708" t="s">
        <v>108</v>
      </c>
      <c r="I708" t="s">
        <v>4004</v>
      </c>
    </row>
    <row r="709" spans="1:9">
      <c r="A709" s="93" t="s">
        <v>4156</v>
      </c>
      <c r="B709" t="s">
        <v>1891</v>
      </c>
      <c r="C709" t="s">
        <v>2210</v>
      </c>
      <c r="D709" t="s">
        <v>2211</v>
      </c>
      <c r="E709" t="s">
        <v>108</v>
      </c>
      <c r="G709" t="s">
        <v>4143</v>
      </c>
      <c r="H709" t="s">
        <v>108</v>
      </c>
      <c r="I709" t="s">
        <v>4008</v>
      </c>
    </row>
    <row r="710" spans="1:9">
      <c r="A710" s="93" t="s">
        <v>4156</v>
      </c>
      <c r="B710" t="s">
        <v>1891</v>
      </c>
      <c r="C710" t="s">
        <v>2212</v>
      </c>
      <c r="D710" t="s">
        <v>2213</v>
      </c>
      <c r="E710" t="s">
        <v>108</v>
      </c>
      <c r="G710" t="s">
        <v>4143</v>
      </c>
      <c r="H710" t="s">
        <v>108</v>
      </c>
      <c r="I710" t="s">
        <v>4008</v>
      </c>
    </row>
    <row r="711" spans="1:9">
      <c r="A711" s="93" t="s">
        <v>4156</v>
      </c>
      <c r="B711" t="s">
        <v>1891</v>
      </c>
      <c r="C711" t="s">
        <v>2214</v>
      </c>
      <c r="D711" t="s">
        <v>2213</v>
      </c>
      <c r="E711" t="s">
        <v>108</v>
      </c>
      <c r="G711" t="s">
        <v>4143</v>
      </c>
      <c r="H711" t="s">
        <v>108</v>
      </c>
      <c r="I711" t="s">
        <v>4008</v>
      </c>
    </row>
    <row r="712" spans="1:9">
      <c r="A712" s="93" t="s">
        <v>4156</v>
      </c>
      <c r="B712" t="s">
        <v>1893</v>
      </c>
      <c r="C712" t="s">
        <v>2328</v>
      </c>
      <c r="D712" t="s">
        <v>2217</v>
      </c>
      <c r="E712" t="s">
        <v>2309</v>
      </c>
      <c r="F712" t="s">
        <v>2329</v>
      </c>
      <c r="G712" t="s">
        <v>4157</v>
      </c>
      <c r="H712" t="s">
        <v>2311</v>
      </c>
      <c r="I712" t="s">
        <v>4012</v>
      </c>
    </row>
    <row r="713" spans="1:9">
      <c r="A713" s="93" t="s">
        <v>4156</v>
      </c>
      <c r="B713" t="s">
        <v>1893</v>
      </c>
      <c r="C713" t="s">
        <v>2330</v>
      </c>
      <c r="D713" t="s">
        <v>2331</v>
      </c>
      <c r="E713" t="s">
        <v>2309</v>
      </c>
      <c r="F713" t="s">
        <v>2332</v>
      </c>
      <c r="G713" t="s">
        <v>4157</v>
      </c>
      <c r="H713" t="s">
        <v>2311</v>
      </c>
      <c r="I713" t="s">
        <v>4012</v>
      </c>
    </row>
    <row r="714" spans="1:9">
      <c r="A714" s="93" t="s">
        <v>4156</v>
      </c>
      <c r="B714" t="s">
        <v>1893</v>
      </c>
      <c r="C714" t="s">
        <v>2216</v>
      </c>
      <c r="D714" t="s">
        <v>2217</v>
      </c>
      <c r="E714" t="s">
        <v>2193</v>
      </c>
      <c r="F714" t="s">
        <v>2218</v>
      </c>
      <c r="G714" t="s">
        <v>4143</v>
      </c>
      <c r="H714" t="s">
        <v>2193</v>
      </c>
      <c r="I714" t="s">
        <v>4012</v>
      </c>
    </row>
    <row r="715" spans="1:9">
      <c r="A715" s="93" t="s">
        <v>4156</v>
      </c>
      <c r="B715" t="s">
        <v>1893</v>
      </c>
      <c r="C715" t="s">
        <v>2219</v>
      </c>
      <c r="D715" t="s">
        <v>2220</v>
      </c>
      <c r="E715" t="s">
        <v>108</v>
      </c>
      <c r="F715" t="s">
        <v>2221</v>
      </c>
      <c r="G715" t="s">
        <v>4143</v>
      </c>
      <c r="H715" t="s">
        <v>108</v>
      </c>
      <c r="I715" t="s">
        <v>4012</v>
      </c>
    </row>
    <row r="716" spans="1:9">
      <c r="A716" s="93" t="s">
        <v>4156</v>
      </c>
      <c r="B716" t="s">
        <v>1893</v>
      </c>
      <c r="C716" t="s">
        <v>2222</v>
      </c>
      <c r="D716" t="s">
        <v>2223</v>
      </c>
      <c r="E716" t="s">
        <v>108</v>
      </c>
      <c r="F716" t="s">
        <v>2224</v>
      </c>
      <c r="G716" t="s">
        <v>4143</v>
      </c>
      <c r="H716" t="s">
        <v>108</v>
      </c>
      <c r="I716" t="s">
        <v>4012</v>
      </c>
    </row>
    <row r="717" spans="1:9">
      <c r="A717" s="93" t="s">
        <v>4156</v>
      </c>
      <c r="B717" t="s">
        <v>1893</v>
      </c>
      <c r="C717" t="s">
        <v>2225</v>
      </c>
      <c r="D717" t="s">
        <v>2226</v>
      </c>
      <c r="E717" t="s">
        <v>108</v>
      </c>
      <c r="F717" t="s">
        <v>2227</v>
      </c>
      <c r="G717" t="s">
        <v>4143</v>
      </c>
      <c r="H717" t="s">
        <v>108</v>
      </c>
      <c r="I717" t="s">
        <v>4012</v>
      </c>
    </row>
    <row r="718" spans="1:9">
      <c r="A718" s="93" t="s">
        <v>4156</v>
      </c>
      <c r="B718" t="s">
        <v>1893</v>
      </c>
      <c r="C718" t="s">
        <v>2228</v>
      </c>
      <c r="E718" t="s">
        <v>2135</v>
      </c>
      <c r="G718" t="s">
        <v>4157</v>
      </c>
      <c r="H718" t="s">
        <v>2481</v>
      </c>
      <c r="I718" t="s">
        <v>4012</v>
      </c>
    </row>
    <row r="719" spans="1:9">
      <c r="A719" s="93" t="s">
        <v>4156</v>
      </c>
      <c r="B719" t="s">
        <v>1896</v>
      </c>
      <c r="C719" t="s">
        <v>2230</v>
      </c>
      <c r="D719" t="s">
        <v>2220</v>
      </c>
      <c r="E719" t="s">
        <v>108</v>
      </c>
      <c r="F719" t="s">
        <v>2231</v>
      </c>
      <c r="G719" t="s">
        <v>4143</v>
      </c>
      <c r="H719" t="s">
        <v>108</v>
      </c>
      <c r="I719" t="s">
        <v>4016</v>
      </c>
    </row>
    <row r="720" spans="1:9">
      <c r="A720" s="93" t="s">
        <v>4156</v>
      </c>
      <c r="B720" t="s">
        <v>1896</v>
      </c>
      <c r="C720" t="s">
        <v>2232</v>
      </c>
      <c r="D720" t="s">
        <v>2220</v>
      </c>
      <c r="E720" t="s">
        <v>108</v>
      </c>
      <c r="G720" t="s">
        <v>4143</v>
      </c>
      <c r="H720" t="s">
        <v>108</v>
      </c>
      <c r="I720" t="s">
        <v>4016</v>
      </c>
    </row>
    <row r="721" spans="1:9">
      <c r="A721" s="93" t="s">
        <v>4156</v>
      </c>
      <c r="B721" t="s">
        <v>1896</v>
      </c>
      <c r="C721" t="s">
        <v>2233</v>
      </c>
      <c r="D721" t="s">
        <v>2234</v>
      </c>
      <c r="E721" t="s">
        <v>108</v>
      </c>
      <c r="F721" t="s">
        <v>2235</v>
      </c>
      <c r="G721" t="s">
        <v>4143</v>
      </c>
      <c r="H721" t="s">
        <v>108</v>
      </c>
      <c r="I721" t="s">
        <v>4016</v>
      </c>
    </row>
    <row r="722" spans="1:9">
      <c r="A722" s="93" t="s">
        <v>4156</v>
      </c>
      <c r="B722" t="s">
        <v>1896</v>
      </c>
      <c r="C722" t="s">
        <v>2236</v>
      </c>
      <c r="D722" t="s">
        <v>2237</v>
      </c>
      <c r="E722" t="s">
        <v>108</v>
      </c>
      <c r="F722" t="s">
        <v>2231</v>
      </c>
      <c r="G722" t="s">
        <v>4143</v>
      </c>
      <c r="H722" t="s">
        <v>108</v>
      </c>
      <c r="I722" t="s">
        <v>4016</v>
      </c>
    </row>
    <row r="723" spans="1:9">
      <c r="A723" s="93" t="s">
        <v>4156</v>
      </c>
      <c r="B723" t="s">
        <v>1896</v>
      </c>
      <c r="C723" t="s">
        <v>2238</v>
      </c>
      <c r="D723" t="s">
        <v>2237</v>
      </c>
      <c r="E723" t="s">
        <v>108</v>
      </c>
      <c r="F723" t="s">
        <v>2239</v>
      </c>
      <c r="G723" t="s">
        <v>4143</v>
      </c>
      <c r="H723" t="s">
        <v>108</v>
      </c>
      <c r="I723" t="s">
        <v>4016</v>
      </c>
    </row>
    <row r="724" spans="1:9">
      <c r="A724" s="93" t="s">
        <v>4156</v>
      </c>
      <c r="B724" t="s">
        <v>1896</v>
      </c>
      <c r="C724" t="s">
        <v>2240</v>
      </c>
      <c r="D724" t="s">
        <v>2241</v>
      </c>
      <c r="E724" t="s">
        <v>2193</v>
      </c>
      <c r="G724" t="s">
        <v>4143</v>
      </c>
      <c r="H724" t="s">
        <v>2193</v>
      </c>
      <c r="I724" t="s">
        <v>4016</v>
      </c>
    </row>
    <row r="725" spans="1:9">
      <c r="A725" s="93" t="s">
        <v>4156</v>
      </c>
      <c r="B725" t="s">
        <v>1896</v>
      </c>
      <c r="C725" t="s">
        <v>2242</v>
      </c>
      <c r="D725" t="s">
        <v>2220</v>
      </c>
      <c r="E725" t="s">
        <v>2243</v>
      </c>
      <c r="F725" t="s">
        <v>2244</v>
      </c>
      <c r="G725" t="s">
        <v>4143</v>
      </c>
      <c r="H725" t="s">
        <v>2494</v>
      </c>
      <c r="I725" t="s">
        <v>4016</v>
      </c>
    </row>
    <row r="726" spans="1:9">
      <c r="A726" s="93" t="s">
        <v>4156</v>
      </c>
      <c r="B726" t="s">
        <v>1896</v>
      </c>
      <c r="C726" t="s">
        <v>2245</v>
      </c>
      <c r="D726" t="s">
        <v>2241</v>
      </c>
      <c r="E726" t="s">
        <v>2246</v>
      </c>
      <c r="G726" t="s">
        <v>4143</v>
      </c>
      <c r="H726" t="s">
        <v>108</v>
      </c>
      <c r="I726" t="s">
        <v>4016</v>
      </c>
    </row>
    <row r="727" spans="1:9">
      <c r="A727" s="93" t="s">
        <v>4156</v>
      </c>
      <c r="B727" t="s">
        <v>1896</v>
      </c>
      <c r="C727" t="s">
        <v>2335</v>
      </c>
      <c r="E727" t="s">
        <v>2309</v>
      </c>
      <c r="F727" t="s">
        <v>2336</v>
      </c>
      <c r="G727" t="s">
        <v>4157</v>
      </c>
      <c r="H727" t="s">
        <v>2311</v>
      </c>
      <c r="I727" t="s">
        <v>4016</v>
      </c>
    </row>
    <row r="728" spans="1:9">
      <c r="A728" s="93" t="s">
        <v>4156</v>
      </c>
      <c r="B728" t="s">
        <v>1896</v>
      </c>
      <c r="C728" t="s">
        <v>2247</v>
      </c>
      <c r="D728" t="s">
        <v>2248</v>
      </c>
      <c r="E728" t="s">
        <v>108</v>
      </c>
      <c r="F728" t="s">
        <v>2249</v>
      </c>
      <c r="G728" t="s">
        <v>4143</v>
      </c>
      <c r="H728" t="s">
        <v>108</v>
      </c>
      <c r="I728" t="s">
        <v>4016</v>
      </c>
    </row>
    <row r="729" spans="1:9">
      <c r="A729" s="93" t="s">
        <v>4156</v>
      </c>
      <c r="B729" t="s">
        <v>1896</v>
      </c>
      <c r="C729" t="s">
        <v>2337</v>
      </c>
      <c r="D729" t="s">
        <v>2248</v>
      </c>
      <c r="E729" t="s">
        <v>2338</v>
      </c>
      <c r="G729" t="s">
        <v>4157</v>
      </c>
      <c r="H729" t="s">
        <v>2339</v>
      </c>
      <c r="I729" t="s">
        <v>4016</v>
      </c>
    </row>
    <row r="730" spans="1:9">
      <c r="A730" s="93" t="s">
        <v>4156</v>
      </c>
      <c r="B730" t="s">
        <v>1898</v>
      </c>
      <c r="C730" t="s">
        <v>2251</v>
      </c>
      <c r="D730" t="s">
        <v>2252</v>
      </c>
      <c r="E730" t="s">
        <v>108</v>
      </c>
      <c r="G730" t="s">
        <v>4143</v>
      </c>
      <c r="H730" t="s">
        <v>108</v>
      </c>
      <c r="I730" t="s">
        <v>4020</v>
      </c>
    </row>
    <row r="731" spans="1:9">
      <c r="A731" s="93" t="s">
        <v>4156</v>
      </c>
      <c r="B731" t="s">
        <v>1898</v>
      </c>
      <c r="C731" t="s">
        <v>2253</v>
      </c>
      <c r="D731" t="s">
        <v>2252</v>
      </c>
      <c r="E731" t="s">
        <v>2193</v>
      </c>
      <c r="F731" t="s">
        <v>2254</v>
      </c>
      <c r="G731" t="s">
        <v>4143</v>
      </c>
      <c r="H731" t="s">
        <v>2193</v>
      </c>
      <c r="I731" t="s">
        <v>4020</v>
      </c>
    </row>
    <row r="732" spans="1:9">
      <c r="A732" s="93" t="s">
        <v>4156</v>
      </c>
      <c r="B732" t="s">
        <v>1898</v>
      </c>
      <c r="C732" t="s">
        <v>2255</v>
      </c>
      <c r="D732" t="s">
        <v>2256</v>
      </c>
      <c r="E732" t="s">
        <v>2257</v>
      </c>
      <c r="G732" t="s">
        <v>4143</v>
      </c>
      <c r="H732" t="s">
        <v>108</v>
      </c>
      <c r="I732" t="s">
        <v>4020</v>
      </c>
    </row>
    <row r="733" spans="1:9">
      <c r="A733" s="93" t="s">
        <v>4156</v>
      </c>
      <c r="B733" t="s">
        <v>1898</v>
      </c>
      <c r="C733" t="s">
        <v>2258</v>
      </c>
      <c r="D733" t="s">
        <v>2259</v>
      </c>
      <c r="E733" t="s">
        <v>2260</v>
      </c>
      <c r="F733" t="s">
        <v>2261</v>
      </c>
      <c r="G733" t="s">
        <v>4143</v>
      </c>
      <c r="H733" t="s">
        <v>2496</v>
      </c>
      <c r="I733" t="s">
        <v>4020</v>
      </c>
    </row>
    <row r="734" spans="1:9">
      <c r="A734" s="93" t="s">
        <v>4156</v>
      </c>
      <c r="B734" t="s">
        <v>1898</v>
      </c>
      <c r="C734" t="s">
        <v>2262</v>
      </c>
      <c r="D734" t="s">
        <v>2259</v>
      </c>
      <c r="E734" t="s">
        <v>2147</v>
      </c>
      <c r="F734" t="s">
        <v>2263</v>
      </c>
      <c r="G734" t="s">
        <v>4143</v>
      </c>
      <c r="H734" t="s">
        <v>108</v>
      </c>
      <c r="I734" t="s">
        <v>4020</v>
      </c>
    </row>
    <row r="735" spans="1:9">
      <c r="A735" s="93" t="s">
        <v>4156</v>
      </c>
      <c r="B735" t="s">
        <v>1898</v>
      </c>
      <c r="C735" t="s">
        <v>2264</v>
      </c>
      <c r="D735" t="s">
        <v>2252</v>
      </c>
      <c r="E735" t="s">
        <v>2265</v>
      </c>
      <c r="G735" t="s">
        <v>4143</v>
      </c>
      <c r="H735" t="s">
        <v>108</v>
      </c>
      <c r="I735" t="s">
        <v>4020</v>
      </c>
    </row>
    <row r="736" spans="1:9">
      <c r="A736" s="93" t="s">
        <v>4156</v>
      </c>
      <c r="B736" t="s">
        <v>1898</v>
      </c>
      <c r="C736" t="s">
        <v>2266</v>
      </c>
      <c r="D736" t="s">
        <v>2252</v>
      </c>
      <c r="E736" t="s">
        <v>2267</v>
      </c>
      <c r="F736" t="s">
        <v>2268</v>
      </c>
      <c r="G736" t="s">
        <v>4143</v>
      </c>
      <c r="H736" t="s">
        <v>108</v>
      </c>
      <c r="I736" t="s">
        <v>4020</v>
      </c>
    </row>
    <row r="737" spans="1:9">
      <c r="A737" s="93" t="s">
        <v>4156</v>
      </c>
      <c r="B737" t="s">
        <v>1898</v>
      </c>
      <c r="C737" t="s">
        <v>2269</v>
      </c>
      <c r="D737" t="s">
        <v>2252</v>
      </c>
      <c r="E737" t="s">
        <v>2270</v>
      </c>
      <c r="G737" t="s">
        <v>4143</v>
      </c>
      <c r="H737" t="s">
        <v>108</v>
      </c>
      <c r="I737" t="s">
        <v>4020</v>
      </c>
    </row>
    <row r="738" spans="1:9">
      <c r="A738" s="93" t="s">
        <v>4156</v>
      </c>
      <c r="B738" t="s">
        <v>1902</v>
      </c>
      <c r="C738" t="s">
        <v>2342</v>
      </c>
      <c r="E738" t="s">
        <v>2309</v>
      </c>
      <c r="F738" t="s">
        <v>2343</v>
      </c>
      <c r="G738" t="s">
        <v>4157</v>
      </c>
      <c r="H738" t="s">
        <v>2311</v>
      </c>
      <c r="I738" t="s">
        <v>4024</v>
      </c>
    </row>
    <row r="739" spans="1:9">
      <c r="A739" s="93" t="s">
        <v>4156</v>
      </c>
      <c r="B739" t="s">
        <v>1902</v>
      </c>
      <c r="C739" t="s">
        <v>2272</v>
      </c>
      <c r="D739" t="s">
        <v>2273</v>
      </c>
      <c r="E739" t="s">
        <v>2274</v>
      </c>
      <c r="F739" t="s">
        <v>2275</v>
      </c>
      <c r="G739" t="s">
        <v>4143</v>
      </c>
      <c r="H739" t="s">
        <v>108</v>
      </c>
      <c r="I739" t="s">
        <v>4024</v>
      </c>
    </row>
    <row r="740" spans="1:9">
      <c r="A740" s="93" t="s">
        <v>4156</v>
      </c>
      <c r="B740" t="s">
        <v>1902</v>
      </c>
      <c r="C740" t="s">
        <v>2276</v>
      </c>
      <c r="D740" t="s">
        <v>2248</v>
      </c>
      <c r="E740" t="s">
        <v>2277</v>
      </c>
      <c r="F740" t="s">
        <v>2278</v>
      </c>
      <c r="G740" t="s">
        <v>4143</v>
      </c>
      <c r="H740" t="s">
        <v>108</v>
      </c>
      <c r="I740" t="s">
        <v>4024</v>
      </c>
    </row>
    <row r="741" spans="1:9">
      <c r="A741" s="93" t="s">
        <v>4156</v>
      </c>
      <c r="B741" t="s">
        <v>1902</v>
      </c>
      <c r="C741" t="s">
        <v>2279</v>
      </c>
      <c r="D741" t="s">
        <v>2280</v>
      </c>
      <c r="E741" t="s">
        <v>2281</v>
      </c>
      <c r="F741" t="s">
        <v>2282</v>
      </c>
      <c r="G741" t="s">
        <v>4143</v>
      </c>
      <c r="H741" t="s">
        <v>108</v>
      </c>
      <c r="I741" t="s">
        <v>4024</v>
      </c>
    </row>
    <row r="742" spans="1:9">
      <c r="A742" s="93" t="s">
        <v>4156</v>
      </c>
      <c r="B742" t="s">
        <v>1902</v>
      </c>
      <c r="C742" t="s">
        <v>2283</v>
      </c>
      <c r="D742" t="s">
        <v>2273</v>
      </c>
      <c r="E742" t="s">
        <v>108</v>
      </c>
      <c r="F742" t="s">
        <v>2284</v>
      </c>
      <c r="G742" t="s">
        <v>4143</v>
      </c>
      <c r="H742" t="s">
        <v>108</v>
      </c>
      <c r="I742" t="s">
        <v>4024</v>
      </c>
    </row>
    <row r="743" spans="1:9">
      <c r="A743" s="93" t="s">
        <v>4156</v>
      </c>
      <c r="B743" t="s">
        <v>1902</v>
      </c>
      <c r="C743" t="s">
        <v>2344</v>
      </c>
      <c r="D743" t="s">
        <v>2273</v>
      </c>
      <c r="E743" t="s">
        <v>2309</v>
      </c>
      <c r="F743" t="s">
        <v>2345</v>
      </c>
      <c r="G743" t="s">
        <v>4157</v>
      </c>
      <c r="H743" t="s">
        <v>2311</v>
      </c>
      <c r="I743" t="s">
        <v>4024</v>
      </c>
    </row>
    <row r="744" spans="1:9">
      <c r="A744" s="93" t="s">
        <v>4156</v>
      </c>
      <c r="B744" t="s">
        <v>1902</v>
      </c>
      <c r="C744" t="s">
        <v>2285</v>
      </c>
      <c r="E744" t="s">
        <v>2135</v>
      </c>
      <c r="G744" t="s">
        <v>4157</v>
      </c>
      <c r="H744" t="s">
        <v>2481</v>
      </c>
      <c r="I744" t="s">
        <v>4024</v>
      </c>
    </row>
    <row r="745" spans="1:9">
      <c r="A745" s="93" t="s">
        <v>4156</v>
      </c>
      <c r="B745" t="s">
        <v>1902</v>
      </c>
      <c r="C745" t="s">
        <v>2286</v>
      </c>
      <c r="E745" t="s">
        <v>108</v>
      </c>
      <c r="G745" t="s">
        <v>4143</v>
      </c>
      <c r="H745" t="s">
        <v>108</v>
      </c>
      <c r="I745" t="s">
        <v>4024</v>
      </c>
    </row>
    <row r="746" spans="1:9">
      <c r="A746" s="93" t="s">
        <v>4156</v>
      </c>
      <c r="B746" t="s">
        <v>1902</v>
      </c>
      <c r="C746" t="s">
        <v>2287</v>
      </c>
      <c r="D746" t="s">
        <v>2273</v>
      </c>
      <c r="E746" t="s">
        <v>2288</v>
      </c>
      <c r="F746" t="s">
        <v>2289</v>
      </c>
      <c r="G746" t="s">
        <v>4143</v>
      </c>
      <c r="H746" t="s">
        <v>2288</v>
      </c>
      <c r="I746" t="s">
        <v>4024</v>
      </c>
    </row>
    <row r="747" spans="1:9">
      <c r="A747" s="93" t="s">
        <v>4156</v>
      </c>
      <c r="B747" t="s">
        <v>3926</v>
      </c>
      <c r="C747" t="s">
        <v>2291</v>
      </c>
      <c r="E747" t="s">
        <v>2135</v>
      </c>
      <c r="F747" t="s">
        <v>2292</v>
      </c>
      <c r="G747" t="s">
        <v>4157</v>
      </c>
      <c r="H747" t="s">
        <v>2481</v>
      </c>
    </row>
    <row r="748" spans="1:9">
      <c r="A748" s="93" t="s">
        <v>4156</v>
      </c>
      <c r="B748" t="s">
        <v>3926</v>
      </c>
      <c r="C748" t="s">
        <v>2293</v>
      </c>
      <c r="D748" t="s">
        <v>2294</v>
      </c>
      <c r="E748" t="s">
        <v>2295</v>
      </c>
      <c r="F748" t="s">
        <v>2296</v>
      </c>
      <c r="G748" t="s">
        <v>4143</v>
      </c>
      <c r="H748" t="s">
        <v>108</v>
      </c>
    </row>
    <row r="749" spans="1:9">
      <c r="A749" s="93" t="s">
        <v>4156</v>
      </c>
      <c r="B749" t="s">
        <v>3926</v>
      </c>
      <c r="C749" t="s">
        <v>2297</v>
      </c>
      <c r="D749" t="s">
        <v>2298</v>
      </c>
      <c r="E749" t="s">
        <v>108</v>
      </c>
      <c r="F749" t="s">
        <v>2299</v>
      </c>
      <c r="G749" t="s">
        <v>4143</v>
      </c>
      <c r="H749" t="s">
        <v>108</v>
      </c>
    </row>
    <row r="750" spans="1:9">
      <c r="A750" s="93" t="s">
        <v>4156</v>
      </c>
      <c r="B750" t="s">
        <v>3926</v>
      </c>
      <c r="C750" t="s">
        <v>2300</v>
      </c>
      <c r="D750" t="s">
        <v>2294</v>
      </c>
      <c r="E750" t="s">
        <v>108</v>
      </c>
      <c r="F750" t="s">
        <v>2299</v>
      </c>
      <c r="G750" t="s">
        <v>4143</v>
      </c>
      <c r="H750" t="s">
        <v>108</v>
      </c>
    </row>
    <row r="751" spans="1:9">
      <c r="A751" s="93" t="s">
        <v>4156</v>
      </c>
      <c r="B751" t="s">
        <v>3926</v>
      </c>
      <c r="C751" t="s">
        <v>2301</v>
      </c>
      <c r="D751" t="s">
        <v>2302</v>
      </c>
      <c r="E751" t="s">
        <v>2193</v>
      </c>
      <c r="F751" t="s">
        <v>2303</v>
      </c>
      <c r="G751" t="s">
        <v>4143</v>
      </c>
      <c r="H751" t="s">
        <v>2193</v>
      </c>
    </row>
    <row r="752" spans="1:9">
      <c r="A752" s="93" t="s">
        <v>4156</v>
      </c>
      <c r="B752" t="s">
        <v>3926</v>
      </c>
      <c r="C752" t="s">
        <v>2304</v>
      </c>
      <c r="D752" t="s">
        <v>2305</v>
      </c>
      <c r="E752" t="s">
        <v>2257</v>
      </c>
      <c r="F752" t="s">
        <v>2306</v>
      </c>
      <c r="G752" t="s">
        <v>4143</v>
      </c>
      <c r="H752" t="s">
        <v>108</v>
      </c>
    </row>
    <row r="753" spans="1:9">
      <c r="A753" s="93" t="s">
        <v>4158</v>
      </c>
      <c r="B753" t="s">
        <v>1874</v>
      </c>
      <c r="C753" t="s">
        <v>2114</v>
      </c>
      <c r="D753" t="s">
        <v>2115</v>
      </c>
      <c r="E753" t="s">
        <v>1559</v>
      </c>
      <c r="F753" t="s">
        <v>2117</v>
      </c>
      <c r="G753" t="s">
        <v>4143</v>
      </c>
      <c r="H753" t="s">
        <v>1559</v>
      </c>
      <c r="I753" t="s">
        <v>3984</v>
      </c>
    </row>
    <row r="754" spans="1:9">
      <c r="A754" s="93" t="s">
        <v>4158</v>
      </c>
      <c r="B754" t="s">
        <v>1874</v>
      </c>
      <c r="C754" t="s">
        <v>2352</v>
      </c>
      <c r="E754" t="s">
        <v>1201</v>
      </c>
      <c r="G754" t="s">
        <v>4143</v>
      </c>
      <c r="H754" t="s">
        <v>1201</v>
      </c>
      <c r="I754" t="s">
        <v>3984</v>
      </c>
    </row>
    <row r="755" spans="1:9">
      <c r="A755" s="93" t="s">
        <v>4158</v>
      </c>
      <c r="B755" t="s">
        <v>1874</v>
      </c>
      <c r="C755" t="s">
        <v>2118</v>
      </c>
      <c r="E755" t="s">
        <v>2119</v>
      </c>
      <c r="G755" t="s">
        <v>4143</v>
      </c>
      <c r="H755" t="s">
        <v>2353</v>
      </c>
      <c r="I755" t="s">
        <v>3984</v>
      </c>
    </row>
    <row r="756" spans="1:9">
      <c r="A756" s="93" t="s">
        <v>4158</v>
      </c>
      <c r="B756" t="s">
        <v>1874</v>
      </c>
      <c r="C756" t="s">
        <v>2121</v>
      </c>
      <c r="D756" t="s">
        <v>2122</v>
      </c>
      <c r="E756" t="s">
        <v>108</v>
      </c>
      <c r="G756" t="s">
        <v>4143</v>
      </c>
      <c r="H756" t="s">
        <v>108</v>
      </c>
      <c r="I756" t="s">
        <v>3984</v>
      </c>
    </row>
    <row r="757" spans="1:9">
      <c r="A757" s="93" t="s">
        <v>4158</v>
      </c>
      <c r="B757" t="s">
        <v>1874</v>
      </c>
      <c r="C757" t="s">
        <v>2123</v>
      </c>
      <c r="D757" t="s">
        <v>2124</v>
      </c>
      <c r="E757" t="s">
        <v>108</v>
      </c>
      <c r="F757" t="s">
        <v>2125</v>
      </c>
      <c r="G757" t="s">
        <v>4143</v>
      </c>
      <c r="H757" t="s">
        <v>108</v>
      </c>
      <c r="I757" t="s">
        <v>3984</v>
      </c>
    </row>
    <row r="758" spans="1:9">
      <c r="A758" s="93" t="s">
        <v>4158</v>
      </c>
      <c r="B758" t="s">
        <v>1874</v>
      </c>
      <c r="C758" t="s">
        <v>2126</v>
      </c>
      <c r="E758" t="s">
        <v>108</v>
      </c>
      <c r="G758" t="s">
        <v>4143</v>
      </c>
      <c r="H758" t="s">
        <v>108</v>
      </c>
      <c r="I758" t="s">
        <v>3984</v>
      </c>
    </row>
    <row r="759" spans="1:9">
      <c r="A759" s="93" t="s">
        <v>4158</v>
      </c>
      <c r="B759" t="s">
        <v>1875</v>
      </c>
      <c r="C759" t="s">
        <v>2128</v>
      </c>
      <c r="D759" t="s">
        <v>2129</v>
      </c>
      <c r="E759" t="s">
        <v>108</v>
      </c>
      <c r="G759" t="s">
        <v>4143</v>
      </c>
      <c r="H759" t="s">
        <v>108</v>
      </c>
      <c r="I759" t="s">
        <v>3988</v>
      </c>
    </row>
    <row r="760" spans="1:9">
      <c r="A760" s="93" t="s">
        <v>4158</v>
      </c>
      <c r="B760" t="s">
        <v>1875</v>
      </c>
      <c r="C760" t="s">
        <v>2130</v>
      </c>
      <c r="D760" t="s">
        <v>2131</v>
      </c>
      <c r="E760" t="s">
        <v>108</v>
      </c>
      <c r="F760" t="s">
        <v>2132</v>
      </c>
      <c r="G760" t="s">
        <v>4143</v>
      </c>
      <c r="H760" t="s">
        <v>108</v>
      </c>
      <c r="I760" t="s">
        <v>3988</v>
      </c>
    </row>
    <row r="761" spans="1:9">
      <c r="A761" s="93" t="s">
        <v>4158</v>
      </c>
      <c r="B761" t="s">
        <v>1875</v>
      </c>
      <c r="C761" t="s">
        <v>2133</v>
      </c>
      <c r="D761" t="s">
        <v>2131</v>
      </c>
      <c r="E761" t="s">
        <v>108</v>
      </c>
      <c r="G761" t="s">
        <v>4143</v>
      </c>
      <c r="H761" t="s">
        <v>108</v>
      </c>
      <c r="I761" t="s">
        <v>3988</v>
      </c>
    </row>
    <row r="762" spans="1:9">
      <c r="A762" s="93" t="s">
        <v>4158</v>
      </c>
      <c r="B762" t="s">
        <v>1875</v>
      </c>
      <c r="C762" t="s">
        <v>2134</v>
      </c>
      <c r="E762" t="s">
        <v>2135</v>
      </c>
      <c r="F762" t="s">
        <v>2137</v>
      </c>
      <c r="G762" t="s">
        <v>4159</v>
      </c>
      <c r="H762" t="s">
        <v>2355</v>
      </c>
      <c r="I762" t="s">
        <v>3988</v>
      </c>
    </row>
    <row r="763" spans="1:9">
      <c r="A763" s="93" t="s">
        <v>4158</v>
      </c>
      <c r="B763" t="s">
        <v>1875</v>
      </c>
      <c r="C763" t="s">
        <v>2138</v>
      </c>
      <c r="D763" t="s">
        <v>2139</v>
      </c>
      <c r="E763" t="s">
        <v>108</v>
      </c>
      <c r="F763" t="s">
        <v>2140</v>
      </c>
      <c r="G763" t="s">
        <v>4143</v>
      </c>
      <c r="H763" t="s">
        <v>108</v>
      </c>
      <c r="I763" t="s">
        <v>3988</v>
      </c>
    </row>
    <row r="764" spans="1:9">
      <c r="A764" s="93" t="s">
        <v>4158</v>
      </c>
      <c r="B764" t="s">
        <v>3697</v>
      </c>
      <c r="C764" t="s">
        <v>2142</v>
      </c>
      <c r="D764" t="s">
        <v>2143</v>
      </c>
      <c r="E764" t="s">
        <v>108</v>
      </c>
      <c r="G764" t="s">
        <v>4143</v>
      </c>
      <c r="H764" t="s">
        <v>108</v>
      </c>
      <c r="I764" t="s">
        <v>3992</v>
      </c>
    </row>
    <row r="765" spans="1:9">
      <c r="A765" s="93" t="s">
        <v>4158</v>
      </c>
      <c r="B765" t="s">
        <v>3697</v>
      </c>
      <c r="C765" t="s">
        <v>2144</v>
      </c>
      <c r="D765" t="s">
        <v>2143</v>
      </c>
      <c r="E765" t="s">
        <v>2145</v>
      </c>
      <c r="G765" t="s">
        <v>4143</v>
      </c>
      <c r="H765" t="s">
        <v>108</v>
      </c>
      <c r="I765" t="s">
        <v>3992</v>
      </c>
    </row>
    <row r="766" spans="1:9">
      <c r="A766" s="93" t="s">
        <v>4158</v>
      </c>
      <c r="B766" t="s">
        <v>3697</v>
      </c>
      <c r="C766" t="s">
        <v>2146</v>
      </c>
      <c r="D766" t="s">
        <v>2143</v>
      </c>
      <c r="E766" t="s">
        <v>2147</v>
      </c>
      <c r="F766" t="s">
        <v>2148</v>
      </c>
      <c r="G766" t="s">
        <v>4143</v>
      </c>
      <c r="H766" t="s">
        <v>108</v>
      </c>
      <c r="I766" t="s">
        <v>3992</v>
      </c>
    </row>
    <row r="767" spans="1:9">
      <c r="A767" s="93" t="s">
        <v>4158</v>
      </c>
      <c r="B767" t="s">
        <v>3697</v>
      </c>
      <c r="C767" t="s">
        <v>2149</v>
      </c>
      <c r="D767" t="s">
        <v>2143</v>
      </c>
      <c r="E767" t="s">
        <v>108</v>
      </c>
      <c r="G767" t="s">
        <v>4143</v>
      </c>
      <c r="H767" t="s">
        <v>108</v>
      </c>
      <c r="I767" t="s">
        <v>3992</v>
      </c>
    </row>
    <row r="768" spans="1:9">
      <c r="A768" s="93" t="s">
        <v>4158</v>
      </c>
      <c r="B768" t="s">
        <v>1881</v>
      </c>
      <c r="C768" t="s">
        <v>2151</v>
      </c>
      <c r="D768" t="s">
        <v>2152</v>
      </c>
      <c r="E768" t="s">
        <v>2153</v>
      </c>
      <c r="G768" t="s">
        <v>4143</v>
      </c>
      <c r="H768" t="s">
        <v>108</v>
      </c>
      <c r="I768" t="s">
        <v>3996</v>
      </c>
    </row>
    <row r="769" spans="1:9">
      <c r="A769" s="93" t="s">
        <v>4158</v>
      </c>
      <c r="B769" t="s">
        <v>1881</v>
      </c>
      <c r="C769" t="s">
        <v>2358</v>
      </c>
      <c r="E769" t="s">
        <v>543</v>
      </c>
      <c r="F769" t="s">
        <v>2359</v>
      </c>
      <c r="G769" t="s">
        <v>4143</v>
      </c>
      <c r="H769" t="s">
        <v>543</v>
      </c>
      <c r="I769" t="s">
        <v>3996</v>
      </c>
    </row>
    <row r="770" spans="1:9">
      <c r="A770" s="93" t="s">
        <v>4158</v>
      </c>
      <c r="B770" t="s">
        <v>1881</v>
      </c>
      <c r="C770" t="s">
        <v>2360</v>
      </c>
      <c r="D770" t="s">
        <v>2155</v>
      </c>
      <c r="E770" t="s">
        <v>543</v>
      </c>
      <c r="F770" t="s">
        <v>2361</v>
      </c>
      <c r="G770" t="s">
        <v>4143</v>
      </c>
      <c r="H770" t="s">
        <v>543</v>
      </c>
      <c r="I770" t="s">
        <v>3996</v>
      </c>
    </row>
    <row r="771" spans="1:9">
      <c r="A771" s="93" t="s">
        <v>4158</v>
      </c>
      <c r="B771" t="s">
        <v>1881</v>
      </c>
      <c r="C771" t="s">
        <v>2154</v>
      </c>
      <c r="D771" t="s">
        <v>2155</v>
      </c>
      <c r="E771" t="s">
        <v>108</v>
      </c>
      <c r="G771" t="s">
        <v>4143</v>
      </c>
      <c r="H771" t="s">
        <v>108</v>
      </c>
      <c r="I771" t="s">
        <v>3996</v>
      </c>
    </row>
    <row r="772" spans="1:9">
      <c r="A772" s="93" t="s">
        <v>4158</v>
      </c>
      <c r="B772" t="s">
        <v>1881</v>
      </c>
      <c r="C772" t="s">
        <v>2156</v>
      </c>
      <c r="D772" t="s">
        <v>2152</v>
      </c>
      <c r="E772" t="s">
        <v>2157</v>
      </c>
      <c r="G772" t="s">
        <v>4143</v>
      </c>
      <c r="H772" t="s">
        <v>108</v>
      </c>
      <c r="I772" t="s">
        <v>3996</v>
      </c>
    </row>
    <row r="773" spans="1:9">
      <c r="A773" s="93" t="s">
        <v>4158</v>
      </c>
      <c r="B773" t="s">
        <v>1881</v>
      </c>
      <c r="C773" t="s">
        <v>2158</v>
      </c>
      <c r="D773" t="s">
        <v>2155</v>
      </c>
      <c r="E773" t="s">
        <v>2159</v>
      </c>
      <c r="F773" t="s">
        <v>2160</v>
      </c>
      <c r="G773" t="s">
        <v>4143</v>
      </c>
      <c r="H773" t="s">
        <v>2504</v>
      </c>
      <c r="I773" t="s">
        <v>3996</v>
      </c>
    </row>
    <row r="774" spans="1:9">
      <c r="A774" s="93" t="s">
        <v>4158</v>
      </c>
      <c r="B774" t="s">
        <v>1881</v>
      </c>
      <c r="C774" t="s">
        <v>2161</v>
      </c>
      <c r="D774" t="s">
        <v>2162</v>
      </c>
      <c r="E774" t="s">
        <v>108</v>
      </c>
      <c r="F774" t="s">
        <v>2163</v>
      </c>
      <c r="G774" t="s">
        <v>4143</v>
      </c>
      <c r="H774" t="s">
        <v>108</v>
      </c>
      <c r="I774" t="s">
        <v>3996</v>
      </c>
    </row>
    <row r="775" spans="1:9">
      <c r="A775" s="93" t="s">
        <v>4158</v>
      </c>
      <c r="B775" t="s">
        <v>1881</v>
      </c>
      <c r="C775" t="s">
        <v>2164</v>
      </c>
      <c r="D775" t="s">
        <v>2162</v>
      </c>
      <c r="E775" t="s">
        <v>108</v>
      </c>
      <c r="G775" t="s">
        <v>4143</v>
      </c>
      <c r="H775" t="s">
        <v>108</v>
      </c>
      <c r="I775" t="s">
        <v>3996</v>
      </c>
    </row>
    <row r="776" spans="1:9">
      <c r="A776" s="93" t="s">
        <v>4158</v>
      </c>
      <c r="B776" t="s">
        <v>1882</v>
      </c>
      <c r="C776" t="s">
        <v>2166</v>
      </c>
      <c r="D776" t="s">
        <v>2167</v>
      </c>
      <c r="E776" t="s">
        <v>108</v>
      </c>
      <c r="F776" t="s">
        <v>2168</v>
      </c>
      <c r="G776" t="s">
        <v>4143</v>
      </c>
      <c r="H776" t="s">
        <v>108</v>
      </c>
      <c r="I776" t="s">
        <v>4000</v>
      </c>
    </row>
    <row r="777" spans="1:9">
      <c r="A777" s="93" t="s">
        <v>4158</v>
      </c>
      <c r="B777" t="s">
        <v>1882</v>
      </c>
      <c r="C777" t="s">
        <v>2169</v>
      </c>
      <c r="D777" t="s">
        <v>2129</v>
      </c>
      <c r="E777" t="s">
        <v>2170</v>
      </c>
      <c r="G777" t="s">
        <v>4159</v>
      </c>
      <c r="H777" t="s">
        <v>2355</v>
      </c>
      <c r="I777" t="s">
        <v>4000</v>
      </c>
    </row>
    <row r="778" spans="1:9">
      <c r="A778" s="93" t="s">
        <v>4158</v>
      </c>
      <c r="B778" t="s">
        <v>1882</v>
      </c>
      <c r="C778" t="s">
        <v>2171</v>
      </c>
      <c r="D778" t="s">
        <v>2129</v>
      </c>
      <c r="E778" t="s">
        <v>2135</v>
      </c>
      <c r="G778" t="s">
        <v>4159</v>
      </c>
      <c r="H778" t="s">
        <v>2355</v>
      </c>
      <c r="I778" t="s">
        <v>4000</v>
      </c>
    </row>
    <row r="779" spans="1:9">
      <c r="A779" s="93" t="s">
        <v>4158</v>
      </c>
      <c r="B779" t="s">
        <v>1882</v>
      </c>
      <c r="C779" t="s">
        <v>2172</v>
      </c>
      <c r="D779" t="s">
        <v>2129</v>
      </c>
      <c r="E779" t="s">
        <v>2135</v>
      </c>
      <c r="G779" t="s">
        <v>4159</v>
      </c>
      <c r="H779" t="s">
        <v>2355</v>
      </c>
      <c r="I779" t="s">
        <v>4000</v>
      </c>
    </row>
    <row r="780" spans="1:9">
      <c r="A780" s="93" t="s">
        <v>4158</v>
      </c>
      <c r="B780" t="s">
        <v>1882</v>
      </c>
      <c r="C780" t="s">
        <v>2173</v>
      </c>
      <c r="D780" t="s">
        <v>2174</v>
      </c>
      <c r="E780" t="s">
        <v>2135</v>
      </c>
      <c r="G780" t="s">
        <v>4159</v>
      </c>
      <c r="H780" t="s">
        <v>2355</v>
      </c>
      <c r="I780" t="s">
        <v>4000</v>
      </c>
    </row>
    <row r="781" spans="1:9">
      <c r="A781" s="93" t="s">
        <v>4158</v>
      </c>
      <c r="B781" t="s">
        <v>1882</v>
      </c>
      <c r="C781" t="s">
        <v>2175</v>
      </c>
      <c r="E781" t="s">
        <v>2135</v>
      </c>
      <c r="G781" t="s">
        <v>4159</v>
      </c>
      <c r="H781" t="s">
        <v>2355</v>
      </c>
      <c r="I781" t="s">
        <v>4000</v>
      </c>
    </row>
    <row r="782" spans="1:9">
      <c r="A782" s="93" t="s">
        <v>4158</v>
      </c>
      <c r="B782" t="s">
        <v>1882</v>
      </c>
      <c r="C782" t="s">
        <v>2176</v>
      </c>
      <c r="E782" t="s">
        <v>2135</v>
      </c>
      <c r="G782" t="s">
        <v>4159</v>
      </c>
      <c r="H782" t="s">
        <v>2355</v>
      </c>
      <c r="I782" t="s">
        <v>4000</v>
      </c>
    </row>
    <row r="783" spans="1:9">
      <c r="A783" s="93" t="s">
        <v>4158</v>
      </c>
      <c r="B783" t="s">
        <v>1882</v>
      </c>
      <c r="C783" t="s">
        <v>2177</v>
      </c>
      <c r="E783" t="s">
        <v>2135</v>
      </c>
      <c r="G783" t="s">
        <v>4159</v>
      </c>
      <c r="H783" t="s">
        <v>2355</v>
      </c>
      <c r="I783" t="s">
        <v>4000</v>
      </c>
    </row>
    <row r="784" spans="1:9">
      <c r="A784" s="93" t="s">
        <v>4158</v>
      </c>
      <c r="B784" t="s">
        <v>1884</v>
      </c>
      <c r="C784" t="s">
        <v>2179</v>
      </c>
      <c r="D784" t="s">
        <v>2180</v>
      </c>
      <c r="E784" t="s">
        <v>108</v>
      </c>
      <c r="G784" t="s">
        <v>4143</v>
      </c>
      <c r="H784" t="s">
        <v>108</v>
      </c>
      <c r="I784" t="s">
        <v>4002</v>
      </c>
    </row>
    <row r="785" spans="1:9">
      <c r="A785" s="93" t="s">
        <v>4158</v>
      </c>
      <c r="B785" t="s">
        <v>1884</v>
      </c>
      <c r="C785" t="s">
        <v>2181</v>
      </c>
      <c r="D785" t="s">
        <v>2182</v>
      </c>
      <c r="E785" t="s">
        <v>108</v>
      </c>
      <c r="G785" t="s">
        <v>4143</v>
      </c>
      <c r="H785" t="s">
        <v>108</v>
      </c>
      <c r="I785" t="s">
        <v>4002</v>
      </c>
    </row>
    <row r="786" spans="1:9">
      <c r="A786" s="93" t="s">
        <v>4158</v>
      </c>
      <c r="B786" t="s">
        <v>1884</v>
      </c>
      <c r="C786" t="s">
        <v>2183</v>
      </c>
      <c r="D786" t="s">
        <v>2182</v>
      </c>
      <c r="E786" t="s">
        <v>2184</v>
      </c>
      <c r="F786" t="s">
        <v>2185</v>
      </c>
      <c r="G786" t="s">
        <v>4143</v>
      </c>
      <c r="H786" t="s">
        <v>108</v>
      </c>
      <c r="I786" t="s">
        <v>4002</v>
      </c>
    </row>
    <row r="787" spans="1:9">
      <c r="A787" s="93" t="s">
        <v>4158</v>
      </c>
      <c r="B787" t="s">
        <v>1884</v>
      </c>
      <c r="C787" t="s">
        <v>2186</v>
      </c>
      <c r="D787" t="s">
        <v>2187</v>
      </c>
      <c r="E787" t="s">
        <v>108</v>
      </c>
      <c r="G787" t="s">
        <v>4143</v>
      </c>
      <c r="H787" t="s">
        <v>108</v>
      </c>
      <c r="I787" t="s">
        <v>4002</v>
      </c>
    </row>
    <row r="788" spans="1:9">
      <c r="A788" s="93" t="s">
        <v>4158</v>
      </c>
      <c r="B788" t="s">
        <v>1884</v>
      </c>
      <c r="C788" t="s">
        <v>2188</v>
      </c>
      <c r="E788" t="s">
        <v>2189</v>
      </c>
      <c r="G788" t="s">
        <v>4143</v>
      </c>
      <c r="H788" t="s">
        <v>108</v>
      </c>
      <c r="I788" t="s">
        <v>4002</v>
      </c>
    </row>
    <row r="789" spans="1:9">
      <c r="A789" s="93" t="s">
        <v>4158</v>
      </c>
      <c r="B789" t="s">
        <v>1884</v>
      </c>
      <c r="C789" t="s">
        <v>2190</v>
      </c>
      <c r="E789" t="s">
        <v>2135</v>
      </c>
      <c r="G789" t="s">
        <v>4159</v>
      </c>
      <c r="H789" t="s">
        <v>2355</v>
      </c>
      <c r="I789" t="s">
        <v>4002</v>
      </c>
    </row>
    <row r="790" spans="1:9">
      <c r="A790" s="93" t="s">
        <v>4158</v>
      </c>
      <c r="B790" t="s">
        <v>1884</v>
      </c>
      <c r="C790" t="s">
        <v>2191</v>
      </c>
      <c r="E790" t="s">
        <v>2135</v>
      </c>
      <c r="G790" t="s">
        <v>4159</v>
      </c>
      <c r="H790" t="s">
        <v>2355</v>
      </c>
      <c r="I790" t="s">
        <v>4002</v>
      </c>
    </row>
    <row r="791" spans="1:9">
      <c r="A791" s="93" t="s">
        <v>4158</v>
      </c>
      <c r="B791" t="s">
        <v>1884</v>
      </c>
      <c r="C791" t="s">
        <v>2192</v>
      </c>
      <c r="D791" t="s">
        <v>2182</v>
      </c>
      <c r="E791" t="s">
        <v>2193</v>
      </c>
      <c r="G791" t="s">
        <v>4143</v>
      </c>
      <c r="H791" t="s">
        <v>2193</v>
      </c>
      <c r="I791" t="s">
        <v>4002</v>
      </c>
    </row>
    <row r="792" spans="1:9">
      <c r="A792" s="93" t="s">
        <v>4158</v>
      </c>
      <c r="B792" t="s">
        <v>1884</v>
      </c>
      <c r="C792" t="s">
        <v>2194</v>
      </c>
      <c r="D792" t="s">
        <v>2187</v>
      </c>
      <c r="E792" t="s">
        <v>108</v>
      </c>
      <c r="G792" t="s">
        <v>4143</v>
      </c>
      <c r="H792" t="s">
        <v>108</v>
      </c>
      <c r="I792" t="s">
        <v>4002</v>
      </c>
    </row>
    <row r="793" spans="1:9">
      <c r="A793" s="93" t="s">
        <v>4158</v>
      </c>
      <c r="B793" t="s">
        <v>1884</v>
      </c>
      <c r="C793" t="s">
        <v>2364</v>
      </c>
      <c r="E793" t="s">
        <v>543</v>
      </c>
      <c r="F793" t="s">
        <v>2365</v>
      </c>
      <c r="G793" t="s">
        <v>4143</v>
      </c>
      <c r="H793" t="s">
        <v>543</v>
      </c>
      <c r="I793" t="s">
        <v>4002</v>
      </c>
    </row>
    <row r="794" spans="1:9">
      <c r="A794" s="93" t="s">
        <v>4158</v>
      </c>
      <c r="B794" t="s">
        <v>1889</v>
      </c>
      <c r="C794" t="s">
        <v>2196</v>
      </c>
      <c r="E794" t="s">
        <v>2193</v>
      </c>
      <c r="G794" t="s">
        <v>4143</v>
      </c>
      <c r="H794" t="s">
        <v>2193</v>
      </c>
      <c r="I794" t="s">
        <v>4004</v>
      </c>
    </row>
    <row r="795" spans="1:9">
      <c r="A795" s="93" t="s">
        <v>4158</v>
      </c>
      <c r="B795" t="s">
        <v>1889</v>
      </c>
      <c r="C795" t="s">
        <v>2197</v>
      </c>
      <c r="E795" t="s">
        <v>2193</v>
      </c>
      <c r="G795" t="s">
        <v>4143</v>
      </c>
      <c r="H795" t="s">
        <v>2193</v>
      </c>
      <c r="I795" t="s">
        <v>4004</v>
      </c>
    </row>
    <row r="796" spans="1:9">
      <c r="A796" s="93" t="s">
        <v>4158</v>
      </c>
      <c r="B796" t="s">
        <v>1889</v>
      </c>
      <c r="C796" t="s">
        <v>2198</v>
      </c>
      <c r="E796" t="s">
        <v>2199</v>
      </c>
      <c r="G796" t="s">
        <v>4143</v>
      </c>
      <c r="H796" t="s">
        <v>2199</v>
      </c>
      <c r="I796" t="s">
        <v>4004</v>
      </c>
    </row>
    <row r="797" spans="1:9">
      <c r="A797" s="93" t="s">
        <v>4158</v>
      </c>
      <c r="B797" t="s">
        <v>1889</v>
      </c>
      <c r="C797" t="s">
        <v>2200</v>
      </c>
      <c r="D797" t="s">
        <v>2182</v>
      </c>
      <c r="E797" t="s">
        <v>108</v>
      </c>
      <c r="G797" t="s">
        <v>4143</v>
      </c>
      <c r="H797" t="s">
        <v>108</v>
      </c>
      <c r="I797" t="s">
        <v>4004</v>
      </c>
    </row>
    <row r="798" spans="1:9">
      <c r="A798" s="93" t="s">
        <v>4158</v>
      </c>
      <c r="B798" t="s">
        <v>1889</v>
      </c>
      <c r="C798" t="s">
        <v>2201</v>
      </c>
      <c r="D798" t="s">
        <v>2182</v>
      </c>
      <c r="E798" t="s">
        <v>108</v>
      </c>
      <c r="G798" t="s">
        <v>4143</v>
      </c>
      <c r="H798" t="s">
        <v>108</v>
      </c>
      <c r="I798" t="s">
        <v>4004</v>
      </c>
    </row>
    <row r="799" spans="1:9">
      <c r="A799" s="93" t="s">
        <v>4158</v>
      </c>
      <c r="B799" t="s">
        <v>1889</v>
      </c>
      <c r="C799" t="s">
        <v>2202</v>
      </c>
      <c r="D799" t="s">
        <v>2174</v>
      </c>
      <c r="E799" t="s">
        <v>108</v>
      </c>
      <c r="G799" t="s">
        <v>4143</v>
      </c>
      <c r="H799" t="s">
        <v>108</v>
      </c>
      <c r="I799" t="s">
        <v>4004</v>
      </c>
    </row>
    <row r="800" spans="1:9">
      <c r="A800" s="93" t="s">
        <v>4158</v>
      </c>
      <c r="B800" t="s">
        <v>1889</v>
      </c>
      <c r="C800" t="s">
        <v>2203</v>
      </c>
      <c r="D800" t="s">
        <v>2204</v>
      </c>
      <c r="E800" t="s">
        <v>2193</v>
      </c>
      <c r="G800" t="s">
        <v>4143</v>
      </c>
      <c r="H800" t="s">
        <v>2193</v>
      </c>
      <c r="I800" t="s">
        <v>4004</v>
      </c>
    </row>
    <row r="801" spans="1:9">
      <c r="A801" s="93" t="s">
        <v>4158</v>
      </c>
      <c r="B801" t="s">
        <v>1889</v>
      </c>
      <c r="C801" t="s">
        <v>2205</v>
      </c>
      <c r="D801" t="s">
        <v>2204</v>
      </c>
      <c r="E801" t="s">
        <v>2193</v>
      </c>
      <c r="G801" t="s">
        <v>4143</v>
      </c>
      <c r="H801" t="s">
        <v>2193</v>
      </c>
      <c r="I801" t="s">
        <v>4004</v>
      </c>
    </row>
    <row r="802" spans="1:9">
      <c r="A802" s="93" t="s">
        <v>4158</v>
      </c>
      <c r="B802" t="s">
        <v>1889</v>
      </c>
      <c r="C802" t="s">
        <v>2206</v>
      </c>
      <c r="E802" t="s">
        <v>2135</v>
      </c>
      <c r="G802" t="s">
        <v>4159</v>
      </c>
      <c r="H802" t="s">
        <v>2355</v>
      </c>
      <c r="I802" t="s">
        <v>4004</v>
      </c>
    </row>
    <row r="803" spans="1:9">
      <c r="A803" s="93" t="s">
        <v>4158</v>
      </c>
      <c r="B803" t="s">
        <v>1889</v>
      </c>
      <c r="C803" t="s">
        <v>2207</v>
      </c>
      <c r="D803" t="s">
        <v>2204</v>
      </c>
      <c r="E803" t="s">
        <v>108</v>
      </c>
      <c r="F803" t="s">
        <v>2208</v>
      </c>
      <c r="G803" t="s">
        <v>4143</v>
      </c>
      <c r="H803" t="s">
        <v>108</v>
      </c>
      <c r="I803" t="s">
        <v>4004</v>
      </c>
    </row>
    <row r="804" spans="1:9">
      <c r="A804" s="93" t="s">
        <v>4158</v>
      </c>
      <c r="B804" t="s">
        <v>1891</v>
      </c>
      <c r="C804" t="s">
        <v>2210</v>
      </c>
      <c r="D804" t="s">
        <v>2211</v>
      </c>
      <c r="E804" t="s">
        <v>108</v>
      </c>
      <c r="G804" t="s">
        <v>4143</v>
      </c>
      <c r="H804" t="s">
        <v>108</v>
      </c>
      <c r="I804" t="s">
        <v>4008</v>
      </c>
    </row>
    <row r="805" spans="1:9">
      <c r="A805" s="93" t="s">
        <v>4158</v>
      </c>
      <c r="B805" t="s">
        <v>1891</v>
      </c>
      <c r="C805" t="s">
        <v>2212</v>
      </c>
      <c r="D805" t="s">
        <v>2213</v>
      </c>
      <c r="E805" t="s">
        <v>108</v>
      </c>
      <c r="G805" t="s">
        <v>4143</v>
      </c>
      <c r="H805" t="s">
        <v>108</v>
      </c>
      <c r="I805" t="s">
        <v>4008</v>
      </c>
    </row>
    <row r="806" spans="1:9">
      <c r="A806" s="93" t="s">
        <v>4158</v>
      </c>
      <c r="B806" t="s">
        <v>1891</v>
      </c>
      <c r="C806" t="s">
        <v>2214</v>
      </c>
      <c r="D806" t="s">
        <v>2213</v>
      </c>
      <c r="E806" t="s">
        <v>108</v>
      </c>
      <c r="G806" t="s">
        <v>4143</v>
      </c>
      <c r="H806" t="s">
        <v>108</v>
      </c>
      <c r="I806" t="s">
        <v>4008</v>
      </c>
    </row>
    <row r="807" spans="1:9">
      <c r="A807" s="93" t="s">
        <v>4158</v>
      </c>
      <c r="B807" t="s">
        <v>1893</v>
      </c>
      <c r="C807" t="s">
        <v>2370</v>
      </c>
      <c r="D807" t="s">
        <v>2223</v>
      </c>
      <c r="E807" t="s">
        <v>543</v>
      </c>
      <c r="F807" t="s">
        <v>2371</v>
      </c>
      <c r="G807" t="s">
        <v>4143</v>
      </c>
      <c r="H807" t="s">
        <v>543</v>
      </c>
      <c r="I807" t="s">
        <v>4012</v>
      </c>
    </row>
    <row r="808" spans="1:9">
      <c r="A808" s="93" t="s">
        <v>4158</v>
      </c>
      <c r="B808" t="s">
        <v>1893</v>
      </c>
      <c r="C808" t="s">
        <v>2372</v>
      </c>
      <c r="D808" t="s">
        <v>2220</v>
      </c>
      <c r="E808" t="s">
        <v>2373</v>
      </c>
      <c r="F808" t="s">
        <v>2374</v>
      </c>
      <c r="G808" t="s">
        <v>4143</v>
      </c>
      <c r="H808" t="s">
        <v>543</v>
      </c>
      <c r="I808" t="s">
        <v>4012</v>
      </c>
    </row>
    <row r="809" spans="1:9">
      <c r="A809" s="93" t="s">
        <v>4158</v>
      </c>
      <c r="B809" t="s">
        <v>1893</v>
      </c>
      <c r="C809" t="s">
        <v>2216</v>
      </c>
      <c r="D809" t="s">
        <v>2217</v>
      </c>
      <c r="E809" t="s">
        <v>2193</v>
      </c>
      <c r="F809" t="s">
        <v>2218</v>
      </c>
      <c r="G809" t="s">
        <v>4143</v>
      </c>
      <c r="H809" t="s">
        <v>2193</v>
      </c>
      <c r="I809" t="s">
        <v>4012</v>
      </c>
    </row>
    <row r="810" spans="1:9">
      <c r="A810" s="93" t="s">
        <v>4158</v>
      </c>
      <c r="B810" t="s">
        <v>1893</v>
      </c>
      <c r="C810" t="s">
        <v>2219</v>
      </c>
      <c r="D810" t="s">
        <v>2220</v>
      </c>
      <c r="E810" t="s">
        <v>108</v>
      </c>
      <c r="F810" t="s">
        <v>2221</v>
      </c>
      <c r="G810" t="s">
        <v>4143</v>
      </c>
      <c r="H810" t="s">
        <v>108</v>
      </c>
      <c r="I810" t="s">
        <v>4012</v>
      </c>
    </row>
    <row r="811" spans="1:9">
      <c r="A811" s="93" t="s">
        <v>4158</v>
      </c>
      <c r="B811" t="s">
        <v>1893</v>
      </c>
      <c r="C811" t="s">
        <v>2222</v>
      </c>
      <c r="D811" t="s">
        <v>2223</v>
      </c>
      <c r="E811" t="s">
        <v>108</v>
      </c>
      <c r="F811" t="s">
        <v>2224</v>
      </c>
      <c r="G811" t="s">
        <v>4143</v>
      </c>
      <c r="H811" t="s">
        <v>108</v>
      </c>
      <c r="I811" t="s">
        <v>4012</v>
      </c>
    </row>
    <row r="812" spans="1:9">
      <c r="A812" s="93" t="s">
        <v>4158</v>
      </c>
      <c r="B812" t="s">
        <v>1893</v>
      </c>
      <c r="C812" t="s">
        <v>2225</v>
      </c>
      <c r="D812" t="s">
        <v>2226</v>
      </c>
      <c r="E812" t="s">
        <v>108</v>
      </c>
      <c r="F812" t="s">
        <v>2227</v>
      </c>
      <c r="G812" t="s">
        <v>4143</v>
      </c>
      <c r="H812" t="s">
        <v>108</v>
      </c>
      <c r="I812" t="s">
        <v>4012</v>
      </c>
    </row>
    <row r="813" spans="1:9">
      <c r="A813" s="93" t="s">
        <v>4158</v>
      </c>
      <c r="B813" t="s">
        <v>1893</v>
      </c>
      <c r="C813" t="s">
        <v>2228</v>
      </c>
      <c r="E813" t="s">
        <v>2135</v>
      </c>
      <c r="G813" t="s">
        <v>4159</v>
      </c>
      <c r="H813" t="s">
        <v>2355</v>
      </c>
      <c r="I813" t="s">
        <v>4012</v>
      </c>
    </row>
    <row r="814" spans="1:9">
      <c r="A814" s="93" t="s">
        <v>4158</v>
      </c>
      <c r="B814" t="s">
        <v>1896</v>
      </c>
      <c r="C814" t="s">
        <v>2376</v>
      </c>
      <c r="D814" t="s">
        <v>2237</v>
      </c>
      <c r="E814" t="s">
        <v>543</v>
      </c>
      <c r="G814" t="s">
        <v>4143</v>
      </c>
      <c r="H814" t="s">
        <v>543</v>
      </c>
      <c r="I814" t="s">
        <v>4016</v>
      </c>
    </row>
    <row r="815" spans="1:9">
      <c r="A815" s="93" t="s">
        <v>4158</v>
      </c>
      <c r="B815" t="s">
        <v>1896</v>
      </c>
      <c r="C815" t="s">
        <v>2230</v>
      </c>
      <c r="D815" t="s">
        <v>2220</v>
      </c>
      <c r="E815" t="s">
        <v>108</v>
      </c>
      <c r="F815" t="s">
        <v>2231</v>
      </c>
      <c r="G815" t="s">
        <v>4143</v>
      </c>
      <c r="H815" t="s">
        <v>108</v>
      </c>
      <c r="I815" t="s">
        <v>4016</v>
      </c>
    </row>
    <row r="816" spans="1:9">
      <c r="A816" s="93" t="s">
        <v>4158</v>
      </c>
      <c r="B816" t="s">
        <v>1896</v>
      </c>
      <c r="C816" t="s">
        <v>2232</v>
      </c>
      <c r="D816" t="s">
        <v>2220</v>
      </c>
      <c r="E816" t="s">
        <v>108</v>
      </c>
      <c r="G816" t="s">
        <v>4143</v>
      </c>
      <c r="H816" t="s">
        <v>108</v>
      </c>
      <c r="I816" t="s">
        <v>4016</v>
      </c>
    </row>
    <row r="817" spans="1:9">
      <c r="A817" s="93" t="s">
        <v>4158</v>
      </c>
      <c r="B817" t="s">
        <v>1896</v>
      </c>
      <c r="C817" t="s">
        <v>2233</v>
      </c>
      <c r="D817" t="s">
        <v>2234</v>
      </c>
      <c r="E817" t="s">
        <v>108</v>
      </c>
      <c r="F817" t="s">
        <v>2235</v>
      </c>
      <c r="G817" t="s">
        <v>4143</v>
      </c>
      <c r="H817" t="s">
        <v>108</v>
      </c>
      <c r="I817" t="s">
        <v>4016</v>
      </c>
    </row>
    <row r="818" spans="1:9">
      <c r="A818" s="93" t="s">
        <v>4158</v>
      </c>
      <c r="B818" t="s">
        <v>1896</v>
      </c>
      <c r="C818" t="s">
        <v>2236</v>
      </c>
      <c r="D818" t="s">
        <v>2237</v>
      </c>
      <c r="E818" t="s">
        <v>108</v>
      </c>
      <c r="F818" t="s">
        <v>2231</v>
      </c>
      <c r="G818" t="s">
        <v>4143</v>
      </c>
      <c r="H818" t="s">
        <v>108</v>
      </c>
      <c r="I818" t="s">
        <v>4016</v>
      </c>
    </row>
    <row r="819" spans="1:9">
      <c r="A819" s="93" t="s">
        <v>4158</v>
      </c>
      <c r="B819" t="s">
        <v>1896</v>
      </c>
      <c r="C819" t="s">
        <v>2238</v>
      </c>
      <c r="D819" t="s">
        <v>2237</v>
      </c>
      <c r="E819" t="s">
        <v>108</v>
      </c>
      <c r="F819" t="s">
        <v>2239</v>
      </c>
      <c r="G819" t="s">
        <v>4143</v>
      </c>
      <c r="H819" t="s">
        <v>108</v>
      </c>
      <c r="I819" t="s">
        <v>4016</v>
      </c>
    </row>
    <row r="820" spans="1:9">
      <c r="A820" s="93" t="s">
        <v>4158</v>
      </c>
      <c r="B820" t="s">
        <v>1896</v>
      </c>
      <c r="C820" t="s">
        <v>2240</v>
      </c>
      <c r="D820" t="s">
        <v>2241</v>
      </c>
      <c r="E820" t="s">
        <v>2193</v>
      </c>
      <c r="G820" t="s">
        <v>4143</v>
      </c>
      <c r="H820" t="s">
        <v>2193</v>
      </c>
      <c r="I820" t="s">
        <v>4016</v>
      </c>
    </row>
    <row r="821" spans="1:9">
      <c r="A821" s="93" t="s">
        <v>4158</v>
      </c>
      <c r="B821" t="s">
        <v>1896</v>
      </c>
      <c r="C821" t="s">
        <v>2242</v>
      </c>
      <c r="D821" t="s">
        <v>2220</v>
      </c>
      <c r="E821" t="s">
        <v>2243</v>
      </c>
      <c r="F821" t="s">
        <v>2244</v>
      </c>
      <c r="G821" t="s">
        <v>4143</v>
      </c>
      <c r="H821" t="s">
        <v>2377</v>
      </c>
      <c r="I821" t="s">
        <v>4016</v>
      </c>
    </row>
    <row r="822" spans="1:9">
      <c r="A822" s="93" t="s">
        <v>4158</v>
      </c>
      <c r="B822" t="s">
        <v>1896</v>
      </c>
      <c r="C822" t="s">
        <v>2245</v>
      </c>
      <c r="D822" t="s">
        <v>2241</v>
      </c>
      <c r="E822" t="s">
        <v>2246</v>
      </c>
      <c r="G822" t="s">
        <v>4143</v>
      </c>
      <c r="H822" t="s">
        <v>108</v>
      </c>
      <c r="I822" t="s">
        <v>4016</v>
      </c>
    </row>
    <row r="823" spans="1:9">
      <c r="A823" s="93" t="s">
        <v>4158</v>
      </c>
      <c r="B823" t="s">
        <v>1896</v>
      </c>
      <c r="C823" t="s">
        <v>2378</v>
      </c>
      <c r="E823" t="s">
        <v>543</v>
      </c>
      <c r="F823" t="s">
        <v>2336</v>
      </c>
      <c r="G823" t="s">
        <v>4143</v>
      </c>
      <c r="H823" t="s">
        <v>543</v>
      </c>
      <c r="I823" t="s">
        <v>4016</v>
      </c>
    </row>
    <row r="824" spans="1:9">
      <c r="A824" s="93" t="s">
        <v>4158</v>
      </c>
      <c r="B824" t="s">
        <v>1896</v>
      </c>
      <c r="C824" t="s">
        <v>2247</v>
      </c>
      <c r="D824" t="s">
        <v>2248</v>
      </c>
      <c r="E824" t="s">
        <v>108</v>
      </c>
      <c r="F824" t="s">
        <v>2249</v>
      </c>
      <c r="G824" t="s">
        <v>4143</v>
      </c>
      <c r="H824" t="s">
        <v>108</v>
      </c>
      <c r="I824" t="s">
        <v>4016</v>
      </c>
    </row>
    <row r="825" spans="1:9">
      <c r="A825" s="93" t="s">
        <v>4158</v>
      </c>
      <c r="B825" t="s">
        <v>1896</v>
      </c>
      <c r="C825" t="s">
        <v>2337</v>
      </c>
      <c r="D825" t="s">
        <v>2248</v>
      </c>
      <c r="E825" t="s">
        <v>2338</v>
      </c>
      <c r="G825" t="s">
        <v>4159</v>
      </c>
      <c r="H825" t="s">
        <v>2379</v>
      </c>
      <c r="I825" t="s">
        <v>4016</v>
      </c>
    </row>
    <row r="826" spans="1:9">
      <c r="A826" s="93" t="s">
        <v>4158</v>
      </c>
      <c r="B826" t="s">
        <v>1898</v>
      </c>
      <c r="C826" t="s">
        <v>2381</v>
      </c>
      <c r="E826" t="s">
        <v>543</v>
      </c>
      <c r="G826" t="s">
        <v>4143</v>
      </c>
      <c r="H826" t="s">
        <v>543</v>
      </c>
      <c r="I826" t="s">
        <v>4020</v>
      </c>
    </row>
    <row r="827" spans="1:9">
      <c r="A827" s="93" t="s">
        <v>4158</v>
      </c>
      <c r="B827" t="s">
        <v>1898</v>
      </c>
      <c r="C827" t="s">
        <v>2251</v>
      </c>
      <c r="D827" t="s">
        <v>2252</v>
      </c>
      <c r="E827" t="s">
        <v>108</v>
      </c>
      <c r="G827" t="s">
        <v>4143</v>
      </c>
      <c r="H827" t="s">
        <v>108</v>
      </c>
      <c r="I827" t="s">
        <v>4020</v>
      </c>
    </row>
    <row r="828" spans="1:9">
      <c r="A828" s="93" t="s">
        <v>4158</v>
      </c>
      <c r="B828" t="s">
        <v>1898</v>
      </c>
      <c r="C828" t="s">
        <v>2253</v>
      </c>
      <c r="D828" t="s">
        <v>2252</v>
      </c>
      <c r="E828" t="s">
        <v>2193</v>
      </c>
      <c r="F828" t="s">
        <v>2254</v>
      </c>
      <c r="G828" t="s">
        <v>4143</v>
      </c>
      <c r="H828" t="s">
        <v>2193</v>
      </c>
      <c r="I828" t="s">
        <v>4020</v>
      </c>
    </row>
    <row r="829" spans="1:9">
      <c r="A829" s="93" t="s">
        <v>4158</v>
      </c>
      <c r="B829" t="s">
        <v>1898</v>
      </c>
      <c r="C829" t="s">
        <v>2255</v>
      </c>
      <c r="D829" t="s">
        <v>2256</v>
      </c>
      <c r="E829" t="s">
        <v>2257</v>
      </c>
      <c r="G829" t="s">
        <v>4143</v>
      </c>
      <c r="H829" t="s">
        <v>108</v>
      </c>
      <c r="I829" t="s">
        <v>4020</v>
      </c>
    </row>
    <row r="830" spans="1:9">
      <c r="A830" s="93" t="s">
        <v>4158</v>
      </c>
      <c r="B830" t="s">
        <v>1898</v>
      </c>
      <c r="C830" t="s">
        <v>2258</v>
      </c>
      <c r="D830" t="s">
        <v>2259</v>
      </c>
      <c r="E830" t="s">
        <v>2260</v>
      </c>
      <c r="F830" t="s">
        <v>2261</v>
      </c>
      <c r="G830" t="s">
        <v>4143</v>
      </c>
      <c r="H830" t="s">
        <v>2382</v>
      </c>
      <c r="I830" t="s">
        <v>4020</v>
      </c>
    </row>
    <row r="831" spans="1:9">
      <c r="A831" s="93" t="s">
        <v>4158</v>
      </c>
      <c r="B831" t="s">
        <v>1898</v>
      </c>
      <c r="C831" t="s">
        <v>2262</v>
      </c>
      <c r="D831" t="s">
        <v>2259</v>
      </c>
      <c r="E831" t="s">
        <v>2147</v>
      </c>
      <c r="F831" t="s">
        <v>2263</v>
      </c>
      <c r="G831" t="s">
        <v>4143</v>
      </c>
      <c r="H831" t="s">
        <v>108</v>
      </c>
      <c r="I831" t="s">
        <v>4020</v>
      </c>
    </row>
    <row r="832" spans="1:9">
      <c r="A832" s="93" t="s">
        <v>4158</v>
      </c>
      <c r="B832" t="s">
        <v>1898</v>
      </c>
      <c r="C832" t="s">
        <v>2264</v>
      </c>
      <c r="D832" t="s">
        <v>2252</v>
      </c>
      <c r="E832" t="s">
        <v>2265</v>
      </c>
      <c r="G832" t="s">
        <v>4143</v>
      </c>
      <c r="H832" t="s">
        <v>108</v>
      </c>
      <c r="I832" t="s">
        <v>4020</v>
      </c>
    </row>
    <row r="833" spans="1:9">
      <c r="A833" s="93" t="s">
        <v>4158</v>
      </c>
      <c r="B833" t="s">
        <v>1898</v>
      </c>
      <c r="C833" t="s">
        <v>2266</v>
      </c>
      <c r="D833" t="s">
        <v>2252</v>
      </c>
      <c r="E833" t="s">
        <v>2267</v>
      </c>
      <c r="F833" t="s">
        <v>2268</v>
      </c>
      <c r="G833" t="s">
        <v>4143</v>
      </c>
      <c r="H833" t="s">
        <v>108</v>
      </c>
      <c r="I833" t="s">
        <v>4020</v>
      </c>
    </row>
    <row r="834" spans="1:9">
      <c r="A834" s="93" t="s">
        <v>4158</v>
      </c>
      <c r="B834" t="s">
        <v>1898</v>
      </c>
      <c r="C834" t="s">
        <v>2269</v>
      </c>
      <c r="D834" t="s">
        <v>2252</v>
      </c>
      <c r="E834" t="s">
        <v>2270</v>
      </c>
      <c r="G834" t="s">
        <v>4143</v>
      </c>
      <c r="H834" t="s">
        <v>108</v>
      </c>
      <c r="I834" t="s">
        <v>4020</v>
      </c>
    </row>
    <row r="835" spans="1:9">
      <c r="A835" s="93" t="s">
        <v>4158</v>
      </c>
      <c r="B835" t="s">
        <v>1902</v>
      </c>
      <c r="C835" t="s">
        <v>2272</v>
      </c>
      <c r="D835" t="s">
        <v>2273</v>
      </c>
      <c r="E835" t="s">
        <v>2274</v>
      </c>
      <c r="F835" t="s">
        <v>2275</v>
      </c>
      <c r="G835" t="s">
        <v>4143</v>
      </c>
      <c r="H835" t="s">
        <v>2504</v>
      </c>
      <c r="I835" t="s">
        <v>4024</v>
      </c>
    </row>
    <row r="836" spans="1:9">
      <c r="A836" s="93" t="s">
        <v>4158</v>
      </c>
      <c r="B836" t="s">
        <v>1902</v>
      </c>
      <c r="C836" t="s">
        <v>2276</v>
      </c>
      <c r="D836" t="s">
        <v>2248</v>
      </c>
      <c r="E836" t="s">
        <v>2277</v>
      </c>
      <c r="F836" t="s">
        <v>2278</v>
      </c>
      <c r="G836" t="s">
        <v>4143</v>
      </c>
      <c r="H836" t="s">
        <v>108</v>
      </c>
      <c r="I836" t="s">
        <v>4024</v>
      </c>
    </row>
    <row r="837" spans="1:9">
      <c r="A837" s="93" t="s">
        <v>4158</v>
      </c>
      <c r="B837" t="s">
        <v>1902</v>
      </c>
      <c r="C837" t="s">
        <v>2279</v>
      </c>
      <c r="D837" t="s">
        <v>2280</v>
      </c>
      <c r="E837" t="s">
        <v>2281</v>
      </c>
      <c r="F837" t="s">
        <v>2282</v>
      </c>
      <c r="G837" t="s">
        <v>4143</v>
      </c>
      <c r="H837" t="s">
        <v>108</v>
      </c>
      <c r="I837" t="s">
        <v>4024</v>
      </c>
    </row>
    <row r="838" spans="1:9">
      <c r="A838" s="93" t="s">
        <v>4158</v>
      </c>
      <c r="B838" t="s">
        <v>1902</v>
      </c>
      <c r="C838" t="s">
        <v>2283</v>
      </c>
      <c r="D838" t="s">
        <v>2273</v>
      </c>
      <c r="E838" t="s">
        <v>108</v>
      </c>
      <c r="F838" t="s">
        <v>2284</v>
      </c>
      <c r="G838" t="s">
        <v>4143</v>
      </c>
      <c r="H838" t="s">
        <v>108</v>
      </c>
      <c r="I838" t="s">
        <v>4024</v>
      </c>
    </row>
    <row r="839" spans="1:9">
      <c r="A839" s="93" t="s">
        <v>4158</v>
      </c>
      <c r="B839" t="s">
        <v>1902</v>
      </c>
      <c r="C839" t="s">
        <v>2285</v>
      </c>
      <c r="E839" t="s">
        <v>2135</v>
      </c>
      <c r="G839" t="s">
        <v>4159</v>
      </c>
      <c r="H839" t="s">
        <v>2355</v>
      </c>
      <c r="I839" t="s">
        <v>4024</v>
      </c>
    </row>
    <row r="840" spans="1:9">
      <c r="A840" s="93" t="s">
        <v>4158</v>
      </c>
      <c r="B840" t="s">
        <v>1902</v>
      </c>
      <c r="C840" t="s">
        <v>2286</v>
      </c>
      <c r="E840" t="s">
        <v>108</v>
      </c>
      <c r="G840" t="s">
        <v>4143</v>
      </c>
      <c r="H840" t="s">
        <v>108</v>
      </c>
      <c r="I840" t="s">
        <v>4024</v>
      </c>
    </row>
    <row r="841" spans="1:9">
      <c r="A841" s="93" t="s">
        <v>4158</v>
      </c>
      <c r="B841" t="s">
        <v>1902</v>
      </c>
      <c r="C841" t="s">
        <v>2287</v>
      </c>
      <c r="D841" t="s">
        <v>2273</v>
      </c>
      <c r="E841" t="s">
        <v>2288</v>
      </c>
      <c r="F841" t="s">
        <v>2289</v>
      </c>
      <c r="G841" t="s">
        <v>4143</v>
      </c>
      <c r="H841" t="s">
        <v>2288</v>
      </c>
      <c r="I841" t="s">
        <v>4024</v>
      </c>
    </row>
    <row r="842" spans="1:9">
      <c r="A842" s="93" t="s">
        <v>4158</v>
      </c>
      <c r="B842" t="s">
        <v>3926</v>
      </c>
      <c r="C842" t="s">
        <v>2291</v>
      </c>
      <c r="E842" t="s">
        <v>2135</v>
      </c>
      <c r="F842" t="s">
        <v>2292</v>
      </c>
      <c r="G842" t="s">
        <v>4159</v>
      </c>
      <c r="H842" t="s">
        <v>2355</v>
      </c>
    </row>
    <row r="843" spans="1:9">
      <c r="A843" s="93" t="s">
        <v>4158</v>
      </c>
      <c r="B843" t="s">
        <v>3926</v>
      </c>
      <c r="C843" t="s">
        <v>2293</v>
      </c>
      <c r="D843" t="s">
        <v>2294</v>
      </c>
      <c r="E843" t="s">
        <v>2295</v>
      </c>
      <c r="F843" t="s">
        <v>2296</v>
      </c>
      <c r="G843" t="s">
        <v>4143</v>
      </c>
      <c r="H843" t="s">
        <v>108</v>
      </c>
    </row>
    <row r="844" spans="1:9">
      <c r="A844" s="93" t="s">
        <v>4158</v>
      </c>
      <c r="B844" t="s">
        <v>3926</v>
      </c>
      <c r="C844" t="s">
        <v>2385</v>
      </c>
      <c r="D844" t="s">
        <v>2298</v>
      </c>
      <c r="E844" t="s">
        <v>543</v>
      </c>
      <c r="F844" t="s">
        <v>2386</v>
      </c>
      <c r="G844" t="s">
        <v>4143</v>
      </c>
      <c r="H844" t="s">
        <v>543</v>
      </c>
    </row>
    <row r="845" spans="1:9">
      <c r="A845" s="93" t="s">
        <v>4158</v>
      </c>
      <c r="B845" t="s">
        <v>3926</v>
      </c>
      <c r="C845" t="s">
        <v>2297</v>
      </c>
      <c r="D845" t="s">
        <v>2298</v>
      </c>
      <c r="E845" t="s">
        <v>108</v>
      </c>
      <c r="F845" t="s">
        <v>2299</v>
      </c>
      <c r="G845" t="s">
        <v>4143</v>
      </c>
      <c r="H845" t="s">
        <v>108</v>
      </c>
    </row>
    <row r="846" spans="1:9">
      <c r="A846" s="93" t="s">
        <v>4158</v>
      </c>
      <c r="B846" t="s">
        <v>3926</v>
      </c>
      <c r="C846" t="s">
        <v>2300</v>
      </c>
      <c r="D846" t="s">
        <v>2294</v>
      </c>
      <c r="E846" t="s">
        <v>108</v>
      </c>
      <c r="F846" t="s">
        <v>2299</v>
      </c>
      <c r="G846" t="s">
        <v>4143</v>
      </c>
      <c r="H846" t="s">
        <v>108</v>
      </c>
    </row>
    <row r="847" spans="1:9">
      <c r="A847" s="93" t="s">
        <v>4158</v>
      </c>
      <c r="B847" t="s">
        <v>3926</v>
      </c>
      <c r="C847" t="s">
        <v>2301</v>
      </c>
      <c r="D847" t="s">
        <v>2302</v>
      </c>
      <c r="E847" t="s">
        <v>2193</v>
      </c>
      <c r="F847" t="s">
        <v>2303</v>
      </c>
      <c r="G847" t="s">
        <v>4143</v>
      </c>
      <c r="H847" t="s">
        <v>2193</v>
      </c>
    </row>
    <row r="848" spans="1:9">
      <c r="A848" s="93" t="s">
        <v>4158</v>
      </c>
      <c r="B848" t="s">
        <v>3926</v>
      </c>
      <c r="C848" t="s">
        <v>2304</v>
      </c>
      <c r="D848" t="s">
        <v>2305</v>
      </c>
      <c r="E848" t="s">
        <v>2257</v>
      </c>
      <c r="F848" t="s">
        <v>2306</v>
      </c>
      <c r="G848" t="s">
        <v>4143</v>
      </c>
      <c r="H848" t="s">
        <v>108</v>
      </c>
    </row>
    <row r="849" spans="1:9">
      <c r="A849" s="93" t="s">
        <v>4158</v>
      </c>
      <c r="B849" t="s">
        <v>3926</v>
      </c>
      <c r="C849" t="s">
        <v>2347</v>
      </c>
      <c r="D849" t="s">
        <v>2213</v>
      </c>
      <c r="E849" t="s">
        <v>2348</v>
      </c>
      <c r="F849" t="s">
        <v>2296</v>
      </c>
      <c r="G849" t="s">
        <v>4143</v>
      </c>
      <c r="H849" t="s">
        <v>2348</v>
      </c>
    </row>
    <row r="850" spans="1:9">
      <c r="A850" s="93" t="s">
        <v>4160</v>
      </c>
      <c r="B850" t="s">
        <v>1874</v>
      </c>
      <c r="C850" t="s">
        <v>2308</v>
      </c>
      <c r="D850" t="s">
        <v>2122</v>
      </c>
      <c r="E850" t="s">
        <v>2309</v>
      </c>
      <c r="F850" t="s">
        <v>2312</v>
      </c>
      <c r="G850" t="s">
        <v>4161</v>
      </c>
      <c r="H850" t="s">
        <v>2311</v>
      </c>
      <c r="I850" t="s">
        <v>3984</v>
      </c>
    </row>
    <row r="851" spans="1:9">
      <c r="A851" s="93" t="s">
        <v>4160</v>
      </c>
      <c r="B851" t="s">
        <v>1874</v>
      </c>
      <c r="C851" t="s">
        <v>2114</v>
      </c>
      <c r="D851" t="s">
        <v>2115</v>
      </c>
      <c r="E851" t="s">
        <v>1559</v>
      </c>
      <c r="F851" t="s">
        <v>2117</v>
      </c>
      <c r="G851" t="s">
        <v>4143</v>
      </c>
      <c r="H851" t="s">
        <v>108</v>
      </c>
      <c r="I851" t="s">
        <v>3984</v>
      </c>
    </row>
    <row r="852" spans="1:9">
      <c r="A852" s="93" t="s">
        <v>4160</v>
      </c>
      <c r="B852" t="s">
        <v>1874</v>
      </c>
      <c r="C852" t="s">
        <v>2352</v>
      </c>
      <c r="E852" t="s">
        <v>1201</v>
      </c>
      <c r="G852" t="s">
        <v>4143</v>
      </c>
      <c r="H852" t="s">
        <v>1201</v>
      </c>
      <c r="I852" t="s">
        <v>3984</v>
      </c>
    </row>
    <row r="853" spans="1:9">
      <c r="A853" s="93" t="s">
        <v>4160</v>
      </c>
      <c r="B853" t="s">
        <v>1874</v>
      </c>
      <c r="C853" t="s">
        <v>2118</v>
      </c>
      <c r="E853" t="s">
        <v>2119</v>
      </c>
      <c r="G853" t="s">
        <v>4143</v>
      </c>
      <c r="H853" t="s">
        <v>2353</v>
      </c>
      <c r="I853" t="s">
        <v>3984</v>
      </c>
    </row>
    <row r="854" spans="1:9">
      <c r="A854" s="93" t="s">
        <v>4160</v>
      </c>
      <c r="B854" t="s">
        <v>1874</v>
      </c>
      <c r="C854" t="s">
        <v>2121</v>
      </c>
      <c r="D854" t="s">
        <v>2122</v>
      </c>
      <c r="E854" t="s">
        <v>108</v>
      </c>
      <c r="G854" t="s">
        <v>4143</v>
      </c>
      <c r="H854" t="s">
        <v>108</v>
      </c>
      <c r="I854" t="s">
        <v>3984</v>
      </c>
    </row>
    <row r="855" spans="1:9">
      <c r="A855" s="93" t="s">
        <v>4160</v>
      </c>
      <c r="B855" t="s">
        <v>1874</v>
      </c>
      <c r="C855" t="s">
        <v>2123</v>
      </c>
      <c r="D855" t="s">
        <v>2124</v>
      </c>
      <c r="E855" t="s">
        <v>108</v>
      </c>
      <c r="F855" t="s">
        <v>2125</v>
      </c>
      <c r="G855" t="s">
        <v>4143</v>
      </c>
      <c r="H855" t="s">
        <v>108</v>
      </c>
      <c r="I855" t="s">
        <v>3984</v>
      </c>
    </row>
    <row r="856" spans="1:9">
      <c r="A856" s="93" t="s">
        <v>4160</v>
      </c>
      <c r="B856" t="s">
        <v>1874</v>
      </c>
      <c r="C856" t="s">
        <v>2126</v>
      </c>
      <c r="E856" t="s">
        <v>108</v>
      </c>
      <c r="G856" t="s">
        <v>4143</v>
      </c>
      <c r="H856" t="s">
        <v>108</v>
      </c>
      <c r="I856" t="s">
        <v>3984</v>
      </c>
    </row>
    <row r="857" spans="1:9">
      <c r="A857" s="93" t="s">
        <v>4160</v>
      </c>
      <c r="B857" t="s">
        <v>1874</v>
      </c>
      <c r="C857" t="s">
        <v>2313</v>
      </c>
      <c r="D857" t="s">
        <v>2314</v>
      </c>
      <c r="E857" t="s">
        <v>2309</v>
      </c>
      <c r="G857" t="s">
        <v>4161</v>
      </c>
      <c r="H857" t="s">
        <v>2311</v>
      </c>
      <c r="I857" t="s">
        <v>3984</v>
      </c>
    </row>
    <row r="858" spans="1:9">
      <c r="A858" s="93" t="s">
        <v>4160</v>
      </c>
      <c r="B858" t="s">
        <v>1874</v>
      </c>
      <c r="C858" t="s">
        <v>2315</v>
      </c>
      <c r="D858" t="s">
        <v>2314</v>
      </c>
      <c r="E858" t="s">
        <v>2309</v>
      </c>
      <c r="G858" t="s">
        <v>4161</v>
      </c>
      <c r="H858" t="s">
        <v>2311</v>
      </c>
      <c r="I858" t="s">
        <v>3984</v>
      </c>
    </row>
    <row r="859" spans="1:9">
      <c r="A859" s="93" t="s">
        <v>4160</v>
      </c>
      <c r="B859" t="s">
        <v>1874</v>
      </c>
      <c r="C859" t="s">
        <v>2316</v>
      </c>
      <c r="D859" t="s">
        <v>2124</v>
      </c>
      <c r="E859" t="s">
        <v>2309</v>
      </c>
      <c r="G859" t="s">
        <v>4161</v>
      </c>
      <c r="H859" t="s">
        <v>2311</v>
      </c>
      <c r="I859" t="s">
        <v>3984</v>
      </c>
    </row>
    <row r="860" spans="1:9">
      <c r="A860" s="93" t="s">
        <v>4160</v>
      </c>
      <c r="B860" t="s">
        <v>1875</v>
      </c>
      <c r="C860" t="s">
        <v>2128</v>
      </c>
      <c r="D860" t="s">
        <v>2129</v>
      </c>
      <c r="E860" t="s">
        <v>108</v>
      </c>
      <c r="G860" t="s">
        <v>4143</v>
      </c>
      <c r="H860" t="s">
        <v>108</v>
      </c>
      <c r="I860" t="s">
        <v>3988</v>
      </c>
    </row>
    <row r="861" spans="1:9">
      <c r="A861" s="93" t="s">
        <v>4160</v>
      </c>
      <c r="B861" t="s">
        <v>1875</v>
      </c>
      <c r="C861" t="s">
        <v>2130</v>
      </c>
      <c r="D861" t="s">
        <v>2131</v>
      </c>
      <c r="E861" t="s">
        <v>108</v>
      </c>
      <c r="F861" t="s">
        <v>2132</v>
      </c>
      <c r="G861" t="s">
        <v>4143</v>
      </c>
      <c r="H861" t="s">
        <v>108</v>
      </c>
      <c r="I861" t="s">
        <v>3988</v>
      </c>
    </row>
    <row r="862" spans="1:9">
      <c r="A862" s="93" t="s">
        <v>4160</v>
      </c>
      <c r="B862" t="s">
        <v>1875</v>
      </c>
      <c r="C862" t="s">
        <v>2133</v>
      </c>
      <c r="D862" t="s">
        <v>2131</v>
      </c>
      <c r="E862" t="s">
        <v>108</v>
      </c>
      <c r="G862" t="s">
        <v>4143</v>
      </c>
      <c r="H862" t="s">
        <v>108</v>
      </c>
      <c r="I862" t="s">
        <v>3988</v>
      </c>
    </row>
    <row r="863" spans="1:9">
      <c r="A863" s="93" t="s">
        <v>4160</v>
      </c>
      <c r="B863" t="s">
        <v>1875</v>
      </c>
      <c r="C863" t="s">
        <v>2134</v>
      </c>
      <c r="E863" t="s">
        <v>2135</v>
      </c>
      <c r="F863" t="s">
        <v>2137</v>
      </c>
      <c r="G863" t="s">
        <v>4161</v>
      </c>
      <c r="H863" t="s">
        <v>2517</v>
      </c>
      <c r="I863" t="s">
        <v>3988</v>
      </c>
    </row>
    <row r="864" spans="1:9">
      <c r="A864" s="93" t="s">
        <v>4160</v>
      </c>
      <c r="B864" t="s">
        <v>1875</v>
      </c>
      <c r="C864" t="s">
        <v>2138</v>
      </c>
      <c r="D864" t="s">
        <v>2139</v>
      </c>
      <c r="E864" t="s">
        <v>108</v>
      </c>
      <c r="F864" t="s">
        <v>2140</v>
      </c>
      <c r="G864" t="s">
        <v>4143</v>
      </c>
      <c r="H864" t="s">
        <v>108</v>
      </c>
      <c r="I864" t="s">
        <v>3988</v>
      </c>
    </row>
    <row r="865" spans="1:9">
      <c r="A865" s="93" t="s">
        <v>4160</v>
      </c>
      <c r="B865" t="s">
        <v>3697</v>
      </c>
      <c r="C865" t="s">
        <v>2142</v>
      </c>
      <c r="D865" t="s">
        <v>2143</v>
      </c>
      <c r="E865" t="s">
        <v>108</v>
      </c>
      <c r="G865" t="s">
        <v>4143</v>
      </c>
      <c r="H865" t="s">
        <v>108</v>
      </c>
      <c r="I865" t="s">
        <v>3992</v>
      </c>
    </row>
    <row r="866" spans="1:9">
      <c r="A866" s="93" t="s">
        <v>4160</v>
      </c>
      <c r="B866" t="s">
        <v>3697</v>
      </c>
      <c r="C866" t="s">
        <v>2144</v>
      </c>
      <c r="D866" t="s">
        <v>2143</v>
      </c>
      <c r="E866" t="s">
        <v>2145</v>
      </c>
      <c r="G866" t="s">
        <v>4143</v>
      </c>
      <c r="H866" t="s">
        <v>108</v>
      </c>
      <c r="I866" t="s">
        <v>3992</v>
      </c>
    </row>
    <row r="867" spans="1:9">
      <c r="A867" s="93" t="s">
        <v>4160</v>
      </c>
      <c r="B867" t="s">
        <v>3697</v>
      </c>
      <c r="C867" t="s">
        <v>2146</v>
      </c>
      <c r="D867" t="s">
        <v>2143</v>
      </c>
      <c r="E867" t="s">
        <v>2147</v>
      </c>
      <c r="F867" t="s">
        <v>2148</v>
      </c>
      <c r="G867" t="s">
        <v>4143</v>
      </c>
      <c r="H867" t="s">
        <v>108</v>
      </c>
      <c r="I867" t="s">
        <v>3992</v>
      </c>
    </row>
    <row r="868" spans="1:9">
      <c r="A868" s="93" t="s">
        <v>4160</v>
      </c>
      <c r="B868" t="s">
        <v>3697</v>
      </c>
      <c r="C868" t="s">
        <v>2149</v>
      </c>
      <c r="D868" t="s">
        <v>2143</v>
      </c>
      <c r="E868" t="s">
        <v>108</v>
      </c>
      <c r="G868" t="s">
        <v>4143</v>
      </c>
      <c r="H868" t="s">
        <v>108</v>
      </c>
      <c r="I868" t="s">
        <v>3992</v>
      </c>
    </row>
    <row r="869" spans="1:9">
      <c r="A869" s="93" t="s">
        <v>4160</v>
      </c>
      <c r="B869" t="s">
        <v>1881</v>
      </c>
      <c r="C869" t="s">
        <v>2151</v>
      </c>
      <c r="D869" t="s">
        <v>2152</v>
      </c>
      <c r="E869" t="s">
        <v>2153</v>
      </c>
      <c r="G869" t="s">
        <v>4143</v>
      </c>
      <c r="H869" t="s">
        <v>108</v>
      </c>
      <c r="I869" t="s">
        <v>3996</v>
      </c>
    </row>
    <row r="870" spans="1:9">
      <c r="A870" s="93" t="s">
        <v>4160</v>
      </c>
      <c r="B870" t="s">
        <v>1881</v>
      </c>
      <c r="C870" t="s">
        <v>2154</v>
      </c>
      <c r="D870" t="s">
        <v>2155</v>
      </c>
      <c r="E870" t="s">
        <v>108</v>
      </c>
      <c r="G870" t="s">
        <v>4143</v>
      </c>
      <c r="H870" t="s">
        <v>108</v>
      </c>
      <c r="I870" t="s">
        <v>3996</v>
      </c>
    </row>
    <row r="871" spans="1:9">
      <c r="A871" s="93" t="s">
        <v>4160</v>
      </c>
      <c r="B871" t="s">
        <v>1881</v>
      </c>
      <c r="C871" t="s">
        <v>2156</v>
      </c>
      <c r="D871" t="s">
        <v>2152</v>
      </c>
      <c r="E871" t="s">
        <v>2157</v>
      </c>
      <c r="G871" t="s">
        <v>4143</v>
      </c>
      <c r="H871" t="s">
        <v>108</v>
      </c>
      <c r="I871" t="s">
        <v>3996</v>
      </c>
    </row>
    <row r="872" spans="1:9">
      <c r="A872" s="93" t="s">
        <v>4160</v>
      </c>
      <c r="B872" t="s">
        <v>1881</v>
      </c>
      <c r="C872" t="s">
        <v>2158</v>
      </c>
      <c r="D872" t="s">
        <v>2155</v>
      </c>
      <c r="E872" t="s">
        <v>2159</v>
      </c>
      <c r="F872" t="s">
        <v>2160</v>
      </c>
      <c r="G872" t="s">
        <v>4143</v>
      </c>
      <c r="H872" t="s">
        <v>108</v>
      </c>
      <c r="I872" t="s">
        <v>3996</v>
      </c>
    </row>
    <row r="873" spans="1:9">
      <c r="A873" s="93" t="s">
        <v>4160</v>
      </c>
      <c r="B873" t="s">
        <v>1881</v>
      </c>
      <c r="C873" t="s">
        <v>2161</v>
      </c>
      <c r="D873" t="s">
        <v>2162</v>
      </c>
      <c r="E873" t="s">
        <v>108</v>
      </c>
      <c r="F873" t="s">
        <v>2163</v>
      </c>
      <c r="G873" t="s">
        <v>4143</v>
      </c>
      <c r="H873" t="s">
        <v>108</v>
      </c>
      <c r="I873" t="s">
        <v>3996</v>
      </c>
    </row>
    <row r="874" spans="1:9">
      <c r="A874" s="93" t="s">
        <v>4160</v>
      </c>
      <c r="B874" t="s">
        <v>1881</v>
      </c>
      <c r="C874" t="s">
        <v>2164</v>
      </c>
      <c r="D874" t="s">
        <v>2162</v>
      </c>
      <c r="E874" t="s">
        <v>108</v>
      </c>
      <c r="G874" t="s">
        <v>4143</v>
      </c>
      <c r="H874" t="s">
        <v>108</v>
      </c>
      <c r="I874" t="s">
        <v>3996</v>
      </c>
    </row>
    <row r="875" spans="1:9">
      <c r="A875" s="93" t="s">
        <v>4160</v>
      </c>
      <c r="B875" t="s">
        <v>1882</v>
      </c>
      <c r="C875" t="s">
        <v>2166</v>
      </c>
      <c r="D875" t="s">
        <v>2167</v>
      </c>
      <c r="E875" t="s">
        <v>108</v>
      </c>
      <c r="F875" t="s">
        <v>2168</v>
      </c>
      <c r="G875" t="s">
        <v>4143</v>
      </c>
      <c r="H875" t="s">
        <v>108</v>
      </c>
      <c r="I875" t="s">
        <v>4000</v>
      </c>
    </row>
    <row r="876" spans="1:9">
      <c r="A876" s="93" t="s">
        <v>4160</v>
      </c>
      <c r="B876" t="s">
        <v>1882</v>
      </c>
      <c r="C876" t="s">
        <v>2169</v>
      </c>
      <c r="D876" t="s">
        <v>2129</v>
      </c>
      <c r="E876" t="s">
        <v>2170</v>
      </c>
      <c r="G876" t="s">
        <v>4161</v>
      </c>
      <c r="H876" t="s">
        <v>2517</v>
      </c>
      <c r="I876" t="s">
        <v>4000</v>
      </c>
    </row>
    <row r="877" spans="1:9">
      <c r="A877" s="93" t="s">
        <v>4160</v>
      </c>
      <c r="B877" t="s">
        <v>1882</v>
      </c>
      <c r="C877" t="s">
        <v>2171</v>
      </c>
      <c r="D877" t="s">
        <v>2129</v>
      </c>
      <c r="E877" t="s">
        <v>2135</v>
      </c>
      <c r="G877" t="s">
        <v>4161</v>
      </c>
      <c r="H877" t="s">
        <v>2517</v>
      </c>
      <c r="I877" t="s">
        <v>4000</v>
      </c>
    </row>
    <row r="878" spans="1:9">
      <c r="A878" s="93" t="s">
        <v>4160</v>
      </c>
      <c r="B878" t="s">
        <v>1882</v>
      </c>
      <c r="C878" t="s">
        <v>2172</v>
      </c>
      <c r="D878" t="s">
        <v>2129</v>
      </c>
      <c r="E878" t="s">
        <v>2135</v>
      </c>
      <c r="G878" t="s">
        <v>4161</v>
      </c>
      <c r="H878" t="s">
        <v>2517</v>
      </c>
      <c r="I878" t="s">
        <v>4000</v>
      </c>
    </row>
    <row r="879" spans="1:9">
      <c r="A879" s="93" t="s">
        <v>4160</v>
      </c>
      <c r="B879" t="s">
        <v>1882</v>
      </c>
      <c r="C879" t="s">
        <v>2173</v>
      </c>
      <c r="D879" t="s">
        <v>2174</v>
      </c>
      <c r="E879" t="s">
        <v>2135</v>
      </c>
      <c r="G879" t="s">
        <v>4161</v>
      </c>
      <c r="H879" t="s">
        <v>2517</v>
      </c>
      <c r="I879" t="s">
        <v>4000</v>
      </c>
    </row>
    <row r="880" spans="1:9">
      <c r="A880" s="93" t="s">
        <v>4160</v>
      </c>
      <c r="B880" t="s">
        <v>1882</v>
      </c>
      <c r="C880" t="s">
        <v>2175</v>
      </c>
      <c r="E880" t="s">
        <v>2135</v>
      </c>
      <c r="G880" t="s">
        <v>4161</v>
      </c>
      <c r="H880" t="s">
        <v>2517</v>
      </c>
      <c r="I880" t="s">
        <v>4000</v>
      </c>
    </row>
    <row r="881" spans="1:9">
      <c r="A881" s="93" t="s">
        <v>4160</v>
      </c>
      <c r="B881" t="s">
        <v>1882</v>
      </c>
      <c r="C881" t="s">
        <v>2176</v>
      </c>
      <c r="E881" t="s">
        <v>2135</v>
      </c>
      <c r="G881" t="s">
        <v>4161</v>
      </c>
      <c r="H881" t="s">
        <v>2517</v>
      </c>
      <c r="I881" t="s">
        <v>4000</v>
      </c>
    </row>
    <row r="882" spans="1:9">
      <c r="A882" s="93" t="s">
        <v>4160</v>
      </c>
      <c r="B882" t="s">
        <v>1882</v>
      </c>
      <c r="C882" t="s">
        <v>2177</v>
      </c>
      <c r="E882" t="s">
        <v>2135</v>
      </c>
      <c r="G882" t="s">
        <v>4161</v>
      </c>
      <c r="H882" t="s">
        <v>2517</v>
      </c>
      <c r="I882" t="s">
        <v>4000</v>
      </c>
    </row>
    <row r="883" spans="1:9">
      <c r="A883" s="93" t="s">
        <v>4160</v>
      </c>
      <c r="B883" t="s">
        <v>1884</v>
      </c>
      <c r="C883" t="s">
        <v>2179</v>
      </c>
      <c r="D883" t="s">
        <v>2180</v>
      </c>
      <c r="E883" t="s">
        <v>108</v>
      </c>
      <c r="G883" t="s">
        <v>4143</v>
      </c>
      <c r="H883" t="s">
        <v>108</v>
      </c>
      <c r="I883" t="s">
        <v>4002</v>
      </c>
    </row>
    <row r="884" spans="1:9">
      <c r="A884" s="93" t="s">
        <v>4160</v>
      </c>
      <c r="B884" t="s">
        <v>1884</v>
      </c>
      <c r="C884" t="s">
        <v>2181</v>
      </c>
      <c r="D884" t="s">
        <v>2182</v>
      </c>
      <c r="E884" t="s">
        <v>108</v>
      </c>
      <c r="G884" t="s">
        <v>4143</v>
      </c>
      <c r="H884" t="s">
        <v>108</v>
      </c>
      <c r="I884" t="s">
        <v>4002</v>
      </c>
    </row>
    <row r="885" spans="1:9">
      <c r="A885" s="93" t="s">
        <v>4160</v>
      </c>
      <c r="B885" t="s">
        <v>1884</v>
      </c>
      <c r="C885" t="s">
        <v>2183</v>
      </c>
      <c r="D885" t="s">
        <v>2182</v>
      </c>
      <c r="E885" t="s">
        <v>2184</v>
      </c>
      <c r="F885" t="s">
        <v>2185</v>
      </c>
      <c r="G885" t="s">
        <v>4143</v>
      </c>
      <c r="H885" t="s">
        <v>108</v>
      </c>
      <c r="I885" t="s">
        <v>4002</v>
      </c>
    </row>
    <row r="886" spans="1:9">
      <c r="A886" s="93" t="s">
        <v>4160</v>
      </c>
      <c r="B886" t="s">
        <v>1884</v>
      </c>
      <c r="C886" t="s">
        <v>2186</v>
      </c>
      <c r="D886" t="s">
        <v>2187</v>
      </c>
      <c r="E886" t="s">
        <v>108</v>
      </c>
      <c r="G886" t="s">
        <v>4143</v>
      </c>
      <c r="H886" t="s">
        <v>108</v>
      </c>
      <c r="I886" t="s">
        <v>4002</v>
      </c>
    </row>
    <row r="887" spans="1:9">
      <c r="A887" s="93" t="s">
        <v>4160</v>
      </c>
      <c r="B887" t="s">
        <v>1884</v>
      </c>
      <c r="C887" t="s">
        <v>2188</v>
      </c>
      <c r="E887" t="s">
        <v>2189</v>
      </c>
      <c r="G887" t="s">
        <v>4143</v>
      </c>
      <c r="H887" t="s">
        <v>108</v>
      </c>
      <c r="I887" t="s">
        <v>4002</v>
      </c>
    </row>
    <row r="888" spans="1:9">
      <c r="A888" s="93" t="s">
        <v>4160</v>
      </c>
      <c r="B888" t="s">
        <v>1884</v>
      </c>
      <c r="C888" t="s">
        <v>2190</v>
      </c>
      <c r="E888" t="s">
        <v>2135</v>
      </c>
      <c r="G888" t="s">
        <v>4161</v>
      </c>
      <c r="H888" t="s">
        <v>2517</v>
      </c>
      <c r="I888" t="s">
        <v>4002</v>
      </c>
    </row>
    <row r="889" spans="1:9">
      <c r="A889" s="93" t="s">
        <v>4160</v>
      </c>
      <c r="B889" t="s">
        <v>1884</v>
      </c>
      <c r="C889" t="s">
        <v>2191</v>
      </c>
      <c r="E889" t="s">
        <v>2135</v>
      </c>
      <c r="G889" t="s">
        <v>4161</v>
      </c>
      <c r="H889" t="s">
        <v>2517</v>
      </c>
      <c r="I889" t="s">
        <v>4002</v>
      </c>
    </row>
    <row r="890" spans="1:9">
      <c r="A890" s="93" t="s">
        <v>4160</v>
      </c>
      <c r="B890" t="s">
        <v>1884</v>
      </c>
      <c r="C890" t="s">
        <v>2192</v>
      </c>
      <c r="D890" t="s">
        <v>2182</v>
      </c>
      <c r="E890" t="s">
        <v>2193</v>
      </c>
      <c r="G890" t="s">
        <v>4143</v>
      </c>
      <c r="H890" t="s">
        <v>2193</v>
      </c>
      <c r="I890" t="s">
        <v>4002</v>
      </c>
    </row>
    <row r="891" spans="1:9">
      <c r="A891" s="93" t="s">
        <v>4160</v>
      </c>
      <c r="B891" t="s">
        <v>1884</v>
      </c>
      <c r="C891" t="s">
        <v>2194</v>
      </c>
      <c r="D891" t="s">
        <v>2187</v>
      </c>
      <c r="E891" t="s">
        <v>108</v>
      </c>
      <c r="G891" t="s">
        <v>4143</v>
      </c>
      <c r="H891" t="s">
        <v>108</v>
      </c>
      <c r="I891" t="s">
        <v>4002</v>
      </c>
    </row>
    <row r="892" spans="1:9">
      <c r="A892" s="93" t="s">
        <v>4160</v>
      </c>
      <c r="B892" t="s">
        <v>1889</v>
      </c>
      <c r="C892" t="s">
        <v>2196</v>
      </c>
      <c r="E892" t="s">
        <v>2193</v>
      </c>
      <c r="G892" t="s">
        <v>4143</v>
      </c>
      <c r="H892" t="s">
        <v>2193</v>
      </c>
      <c r="I892" t="s">
        <v>4004</v>
      </c>
    </row>
    <row r="893" spans="1:9">
      <c r="A893" s="93" t="s">
        <v>4160</v>
      </c>
      <c r="B893" t="s">
        <v>1889</v>
      </c>
      <c r="C893" t="s">
        <v>2197</v>
      </c>
      <c r="E893" t="s">
        <v>2193</v>
      </c>
      <c r="G893" t="s">
        <v>4143</v>
      </c>
      <c r="H893" t="s">
        <v>2193</v>
      </c>
      <c r="I893" t="s">
        <v>4004</v>
      </c>
    </row>
    <row r="894" spans="1:9">
      <c r="A894" s="93" t="s">
        <v>4160</v>
      </c>
      <c r="B894" t="s">
        <v>1889</v>
      </c>
      <c r="C894" t="s">
        <v>2198</v>
      </c>
      <c r="E894" t="s">
        <v>2199</v>
      </c>
      <c r="G894" t="s">
        <v>4143</v>
      </c>
      <c r="H894" t="s">
        <v>2193</v>
      </c>
      <c r="I894" t="s">
        <v>4004</v>
      </c>
    </row>
    <row r="895" spans="1:9">
      <c r="A895" s="93" t="s">
        <v>4160</v>
      </c>
      <c r="B895" t="s">
        <v>1889</v>
      </c>
      <c r="C895" t="s">
        <v>2200</v>
      </c>
      <c r="D895" t="s">
        <v>2182</v>
      </c>
      <c r="E895" t="s">
        <v>108</v>
      </c>
      <c r="G895" t="s">
        <v>4143</v>
      </c>
      <c r="H895" t="s">
        <v>108</v>
      </c>
      <c r="I895" t="s">
        <v>4004</v>
      </c>
    </row>
    <row r="896" spans="1:9">
      <c r="A896" s="93" t="s">
        <v>4160</v>
      </c>
      <c r="B896" t="s">
        <v>1889</v>
      </c>
      <c r="C896" t="s">
        <v>2201</v>
      </c>
      <c r="D896" t="s">
        <v>2182</v>
      </c>
      <c r="E896" t="s">
        <v>108</v>
      </c>
      <c r="G896" t="s">
        <v>4143</v>
      </c>
      <c r="H896" t="s">
        <v>108</v>
      </c>
      <c r="I896" t="s">
        <v>4004</v>
      </c>
    </row>
    <row r="897" spans="1:9">
      <c r="A897" s="93" t="s">
        <v>4160</v>
      </c>
      <c r="B897" t="s">
        <v>1889</v>
      </c>
      <c r="C897" t="s">
        <v>2202</v>
      </c>
      <c r="D897" t="s">
        <v>2174</v>
      </c>
      <c r="E897" t="s">
        <v>108</v>
      </c>
      <c r="G897" t="s">
        <v>4143</v>
      </c>
      <c r="H897" t="s">
        <v>108</v>
      </c>
      <c r="I897" t="s">
        <v>4004</v>
      </c>
    </row>
    <row r="898" spans="1:9">
      <c r="A898" s="93" t="s">
        <v>4160</v>
      </c>
      <c r="B898" t="s">
        <v>1889</v>
      </c>
      <c r="C898" t="s">
        <v>2203</v>
      </c>
      <c r="D898" t="s">
        <v>2204</v>
      </c>
      <c r="E898" t="s">
        <v>2193</v>
      </c>
      <c r="G898" t="s">
        <v>4143</v>
      </c>
      <c r="H898" t="s">
        <v>2193</v>
      </c>
      <c r="I898" t="s">
        <v>4004</v>
      </c>
    </row>
    <row r="899" spans="1:9">
      <c r="A899" s="93" t="s">
        <v>4160</v>
      </c>
      <c r="B899" t="s">
        <v>1889</v>
      </c>
      <c r="C899" t="s">
        <v>2205</v>
      </c>
      <c r="D899" t="s">
        <v>2204</v>
      </c>
      <c r="E899" t="s">
        <v>2193</v>
      </c>
      <c r="G899" t="s">
        <v>4143</v>
      </c>
      <c r="H899" t="s">
        <v>2193</v>
      </c>
      <c r="I899" t="s">
        <v>4004</v>
      </c>
    </row>
    <row r="900" spans="1:9">
      <c r="A900" s="93" t="s">
        <v>4160</v>
      </c>
      <c r="B900" t="s">
        <v>1889</v>
      </c>
      <c r="C900" t="s">
        <v>2206</v>
      </c>
      <c r="E900" t="s">
        <v>2135</v>
      </c>
      <c r="G900" t="s">
        <v>4161</v>
      </c>
      <c r="H900" t="s">
        <v>2517</v>
      </c>
      <c r="I900" t="s">
        <v>4004</v>
      </c>
    </row>
    <row r="901" spans="1:9">
      <c r="A901" s="93" t="s">
        <v>4160</v>
      </c>
      <c r="B901" t="s">
        <v>1889</v>
      </c>
      <c r="C901" t="s">
        <v>2207</v>
      </c>
      <c r="D901" t="s">
        <v>2204</v>
      </c>
      <c r="E901" t="s">
        <v>108</v>
      </c>
      <c r="F901" t="s">
        <v>2208</v>
      </c>
      <c r="G901" t="s">
        <v>4143</v>
      </c>
      <c r="H901" t="s">
        <v>108</v>
      </c>
      <c r="I901" t="s">
        <v>4004</v>
      </c>
    </row>
    <row r="902" spans="1:9">
      <c r="A902" s="93" t="s">
        <v>4160</v>
      </c>
      <c r="B902" t="s">
        <v>1891</v>
      </c>
      <c r="C902" t="s">
        <v>2210</v>
      </c>
      <c r="D902" t="s">
        <v>2211</v>
      </c>
      <c r="E902" t="s">
        <v>108</v>
      </c>
      <c r="G902" t="s">
        <v>4143</v>
      </c>
      <c r="H902" t="s">
        <v>108</v>
      </c>
      <c r="I902" t="s">
        <v>4008</v>
      </c>
    </row>
    <row r="903" spans="1:9">
      <c r="A903" s="93" t="s">
        <v>4160</v>
      </c>
      <c r="B903" t="s">
        <v>1891</v>
      </c>
      <c r="C903" t="s">
        <v>2212</v>
      </c>
      <c r="D903" t="s">
        <v>2213</v>
      </c>
      <c r="E903" t="s">
        <v>108</v>
      </c>
      <c r="G903" t="s">
        <v>4143</v>
      </c>
      <c r="H903" t="s">
        <v>108</v>
      </c>
      <c r="I903" t="s">
        <v>4008</v>
      </c>
    </row>
    <row r="904" spans="1:9">
      <c r="A904" s="93" t="s">
        <v>4160</v>
      </c>
      <c r="B904" t="s">
        <v>1891</v>
      </c>
      <c r="C904" t="s">
        <v>2214</v>
      </c>
      <c r="D904" t="s">
        <v>2213</v>
      </c>
      <c r="E904" t="s">
        <v>108</v>
      </c>
      <c r="G904" t="s">
        <v>4143</v>
      </c>
      <c r="H904" t="s">
        <v>108</v>
      </c>
      <c r="I904" t="s">
        <v>4008</v>
      </c>
    </row>
    <row r="905" spans="1:9">
      <c r="A905" s="93" t="s">
        <v>4160</v>
      </c>
      <c r="B905" t="s">
        <v>1893</v>
      </c>
      <c r="C905" t="s">
        <v>2328</v>
      </c>
      <c r="D905" t="s">
        <v>2217</v>
      </c>
      <c r="E905" t="s">
        <v>2309</v>
      </c>
      <c r="F905" t="s">
        <v>2329</v>
      </c>
      <c r="G905" t="s">
        <v>4161</v>
      </c>
      <c r="H905" t="s">
        <v>2311</v>
      </c>
      <c r="I905" t="s">
        <v>4012</v>
      </c>
    </row>
    <row r="906" spans="1:9">
      <c r="A906" s="93" t="s">
        <v>4160</v>
      </c>
      <c r="B906" t="s">
        <v>1893</v>
      </c>
      <c r="C906" t="s">
        <v>2330</v>
      </c>
      <c r="D906" t="s">
        <v>2331</v>
      </c>
      <c r="E906" t="s">
        <v>2309</v>
      </c>
      <c r="F906" t="s">
        <v>2332</v>
      </c>
      <c r="G906" t="s">
        <v>4161</v>
      </c>
      <c r="H906" t="s">
        <v>2311</v>
      </c>
      <c r="I906" t="s">
        <v>4012</v>
      </c>
    </row>
    <row r="907" spans="1:9">
      <c r="A907" s="93" t="s">
        <v>4160</v>
      </c>
      <c r="B907" t="s">
        <v>1893</v>
      </c>
      <c r="C907" t="s">
        <v>2216</v>
      </c>
      <c r="D907" t="s">
        <v>2217</v>
      </c>
      <c r="E907" t="s">
        <v>2193</v>
      </c>
      <c r="F907" t="s">
        <v>2218</v>
      </c>
      <c r="G907" t="s">
        <v>4143</v>
      </c>
      <c r="H907" t="s">
        <v>2193</v>
      </c>
      <c r="I907" t="s">
        <v>4012</v>
      </c>
    </row>
    <row r="908" spans="1:9">
      <c r="A908" s="93" t="s">
        <v>4160</v>
      </c>
      <c r="B908" t="s">
        <v>1893</v>
      </c>
      <c r="C908" t="s">
        <v>2219</v>
      </c>
      <c r="D908" t="s">
        <v>2220</v>
      </c>
      <c r="E908" t="s">
        <v>108</v>
      </c>
      <c r="F908" t="s">
        <v>2221</v>
      </c>
      <c r="G908" t="s">
        <v>4143</v>
      </c>
      <c r="H908" t="s">
        <v>108</v>
      </c>
      <c r="I908" t="s">
        <v>4012</v>
      </c>
    </row>
    <row r="909" spans="1:9">
      <c r="A909" s="93" t="s">
        <v>4160</v>
      </c>
      <c r="B909" t="s">
        <v>1893</v>
      </c>
      <c r="C909" t="s">
        <v>2222</v>
      </c>
      <c r="D909" t="s">
        <v>2223</v>
      </c>
      <c r="E909" t="s">
        <v>108</v>
      </c>
      <c r="F909" t="s">
        <v>2224</v>
      </c>
      <c r="G909" t="s">
        <v>4143</v>
      </c>
      <c r="H909" t="s">
        <v>108</v>
      </c>
      <c r="I909" t="s">
        <v>4012</v>
      </c>
    </row>
    <row r="910" spans="1:9">
      <c r="A910" s="93" t="s">
        <v>4160</v>
      </c>
      <c r="B910" t="s">
        <v>1893</v>
      </c>
      <c r="C910" t="s">
        <v>2225</v>
      </c>
      <c r="D910" t="s">
        <v>2226</v>
      </c>
      <c r="E910" t="s">
        <v>108</v>
      </c>
      <c r="F910" t="s">
        <v>2227</v>
      </c>
      <c r="G910" t="s">
        <v>4143</v>
      </c>
      <c r="H910" t="s">
        <v>108</v>
      </c>
      <c r="I910" t="s">
        <v>4012</v>
      </c>
    </row>
    <row r="911" spans="1:9">
      <c r="A911" s="93" t="s">
        <v>4160</v>
      </c>
      <c r="B911" t="s">
        <v>1893</v>
      </c>
      <c r="C911" t="s">
        <v>2228</v>
      </c>
      <c r="E911" t="s">
        <v>2135</v>
      </c>
      <c r="G911" t="s">
        <v>4161</v>
      </c>
      <c r="H911" t="s">
        <v>2517</v>
      </c>
      <c r="I911" t="s">
        <v>4012</v>
      </c>
    </row>
    <row r="912" spans="1:9">
      <c r="A912" s="93" t="s">
        <v>4160</v>
      </c>
      <c r="B912" t="s">
        <v>1896</v>
      </c>
      <c r="C912" t="s">
        <v>2230</v>
      </c>
      <c r="D912" t="s">
        <v>2220</v>
      </c>
      <c r="E912" t="s">
        <v>108</v>
      </c>
      <c r="F912" t="s">
        <v>2231</v>
      </c>
      <c r="G912" t="s">
        <v>4143</v>
      </c>
      <c r="H912" t="s">
        <v>108</v>
      </c>
      <c r="I912" t="s">
        <v>4016</v>
      </c>
    </row>
    <row r="913" spans="1:9">
      <c r="A913" s="93" t="s">
        <v>4160</v>
      </c>
      <c r="B913" t="s">
        <v>1896</v>
      </c>
      <c r="C913" t="s">
        <v>2232</v>
      </c>
      <c r="D913" t="s">
        <v>2220</v>
      </c>
      <c r="E913" t="s">
        <v>108</v>
      </c>
      <c r="G913" t="s">
        <v>4143</v>
      </c>
      <c r="H913" t="s">
        <v>108</v>
      </c>
      <c r="I913" t="s">
        <v>4016</v>
      </c>
    </row>
    <row r="914" spans="1:9">
      <c r="A914" s="93" t="s">
        <v>4160</v>
      </c>
      <c r="B914" t="s">
        <v>1896</v>
      </c>
      <c r="C914" t="s">
        <v>2233</v>
      </c>
      <c r="D914" t="s">
        <v>2234</v>
      </c>
      <c r="E914" t="s">
        <v>108</v>
      </c>
      <c r="F914" t="s">
        <v>2235</v>
      </c>
      <c r="G914" t="s">
        <v>4143</v>
      </c>
      <c r="H914" t="s">
        <v>108</v>
      </c>
      <c r="I914" t="s">
        <v>4016</v>
      </c>
    </row>
    <row r="915" spans="1:9">
      <c r="A915" s="93" t="s">
        <v>4160</v>
      </c>
      <c r="B915" t="s">
        <v>1896</v>
      </c>
      <c r="C915" t="s">
        <v>2236</v>
      </c>
      <c r="D915" t="s">
        <v>2237</v>
      </c>
      <c r="E915" t="s">
        <v>108</v>
      </c>
      <c r="F915" t="s">
        <v>2231</v>
      </c>
      <c r="G915" t="s">
        <v>4143</v>
      </c>
      <c r="H915" t="s">
        <v>108</v>
      </c>
      <c r="I915" t="s">
        <v>4016</v>
      </c>
    </row>
    <row r="916" spans="1:9">
      <c r="A916" s="93" t="s">
        <v>4160</v>
      </c>
      <c r="B916" t="s">
        <v>1896</v>
      </c>
      <c r="C916" t="s">
        <v>2238</v>
      </c>
      <c r="D916" t="s">
        <v>2237</v>
      </c>
      <c r="E916" t="s">
        <v>108</v>
      </c>
      <c r="F916" t="s">
        <v>2239</v>
      </c>
      <c r="G916" t="s">
        <v>4143</v>
      </c>
      <c r="H916" t="s">
        <v>108</v>
      </c>
      <c r="I916" t="s">
        <v>4016</v>
      </c>
    </row>
    <row r="917" spans="1:9">
      <c r="A917" s="93" t="s">
        <v>4160</v>
      </c>
      <c r="B917" t="s">
        <v>1896</v>
      </c>
      <c r="C917" t="s">
        <v>2240</v>
      </c>
      <c r="D917" t="s">
        <v>2241</v>
      </c>
      <c r="E917" t="s">
        <v>2193</v>
      </c>
      <c r="G917" t="s">
        <v>4143</v>
      </c>
      <c r="H917" t="s">
        <v>2193</v>
      </c>
      <c r="I917" t="s">
        <v>4016</v>
      </c>
    </row>
    <row r="918" spans="1:9">
      <c r="A918" s="93" t="s">
        <v>4160</v>
      </c>
      <c r="B918" t="s">
        <v>1896</v>
      </c>
      <c r="C918" t="s">
        <v>2242</v>
      </c>
      <c r="D918" t="s">
        <v>2220</v>
      </c>
      <c r="E918" t="s">
        <v>2243</v>
      </c>
      <c r="F918" t="s">
        <v>2244</v>
      </c>
      <c r="G918" t="s">
        <v>4143</v>
      </c>
      <c r="H918" t="s">
        <v>2526</v>
      </c>
      <c r="I918" t="s">
        <v>4016</v>
      </c>
    </row>
    <row r="919" spans="1:9">
      <c r="A919" s="93" t="s">
        <v>4160</v>
      </c>
      <c r="B919" t="s">
        <v>1896</v>
      </c>
      <c r="C919" t="s">
        <v>2245</v>
      </c>
      <c r="D919" t="s">
        <v>2241</v>
      </c>
      <c r="E919" t="s">
        <v>2246</v>
      </c>
      <c r="G919" t="s">
        <v>4143</v>
      </c>
      <c r="H919" t="s">
        <v>108</v>
      </c>
      <c r="I919" t="s">
        <v>4016</v>
      </c>
    </row>
    <row r="920" spans="1:9">
      <c r="A920" s="93" t="s">
        <v>4160</v>
      </c>
      <c r="B920" t="s">
        <v>1896</v>
      </c>
      <c r="C920" t="s">
        <v>2335</v>
      </c>
      <c r="E920" t="s">
        <v>2309</v>
      </c>
      <c r="F920" t="s">
        <v>2336</v>
      </c>
      <c r="G920" t="s">
        <v>4161</v>
      </c>
      <c r="H920" t="s">
        <v>2311</v>
      </c>
      <c r="I920" t="s">
        <v>4016</v>
      </c>
    </row>
    <row r="921" spans="1:9">
      <c r="A921" s="93" t="s">
        <v>4160</v>
      </c>
      <c r="B921" t="s">
        <v>1896</v>
      </c>
      <c r="C921" t="s">
        <v>2247</v>
      </c>
      <c r="D921" t="s">
        <v>2248</v>
      </c>
      <c r="E921" t="s">
        <v>108</v>
      </c>
      <c r="F921" t="s">
        <v>2249</v>
      </c>
      <c r="G921" t="s">
        <v>4143</v>
      </c>
      <c r="H921" t="s">
        <v>108</v>
      </c>
      <c r="I921" t="s">
        <v>4016</v>
      </c>
    </row>
    <row r="922" spans="1:9">
      <c r="A922" s="93" t="s">
        <v>4160</v>
      </c>
      <c r="B922" t="s">
        <v>1896</v>
      </c>
      <c r="C922" t="s">
        <v>2337</v>
      </c>
      <c r="D922" t="s">
        <v>2248</v>
      </c>
      <c r="E922" t="s">
        <v>2338</v>
      </c>
      <c r="G922" t="s">
        <v>4161</v>
      </c>
      <c r="H922" t="s">
        <v>2339</v>
      </c>
      <c r="I922" t="s">
        <v>4016</v>
      </c>
    </row>
    <row r="923" spans="1:9">
      <c r="A923" s="93" t="s">
        <v>4160</v>
      </c>
      <c r="B923" t="s">
        <v>1898</v>
      </c>
      <c r="C923" t="s">
        <v>2251</v>
      </c>
      <c r="D923" t="s">
        <v>2252</v>
      </c>
      <c r="E923" t="s">
        <v>108</v>
      </c>
      <c r="G923" t="s">
        <v>4143</v>
      </c>
      <c r="H923" t="s">
        <v>108</v>
      </c>
      <c r="I923" t="s">
        <v>4020</v>
      </c>
    </row>
    <row r="924" spans="1:9">
      <c r="A924" s="93" t="s">
        <v>4160</v>
      </c>
      <c r="B924" t="s">
        <v>1898</v>
      </c>
      <c r="C924" t="s">
        <v>2253</v>
      </c>
      <c r="D924" t="s">
        <v>2252</v>
      </c>
      <c r="E924" t="s">
        <v>2193</v>
      </c>
      <c r="F924" t="s">
        <v>2254</v>
      </c>
      <c r="G924" t="s">
        <v>4143</v>
      </c>
      <c r="H924" t="s">
        <v>2193</v>
      </c>
      <c r="I924" t="s">
        <v>4020</v>
      </c>
    </row>
    <row r="925" spans="1:9">
      <c r="A925" s="93" t="s">
        <v>4160</v>
      </c>
      <c r="B925" t="s">
        <v>1898</v>
      </c>
      <c r="C925" t="s">
        <v>2255</v>
      </c>
      <c r="D925" t="s">
        <v>2256</v>
      </c>
      <c r="E925" t="s">
        <v>2257</v>
      </c>
      <c r="G925" t="s">
        <v>4143</v>
      </c>
      <c r="H925" t="s">
        <v>108</v>
      </c>
      <c r="I925" t="s">
        <v>4020</v>
      </c>
    </row>
    <row r="926" spans="1:9">
      <c r="A926" s="93" t="s">
        <v>4160</v>
      </c>
      <c r="B926" t="s">
        <v>1898</v>
      </c>
      <c r="C926" t="s">
        <v>2258</v>
      </c>
      <c r="D926" t="s">
        <v>2259</v>
      </c>
      <c r="E926" t="s">
        <v>2260</v>
      </c>
      <c r="F926" t="s">
        <v>2261</v>
      </c>
      <c r="G926" t="s">
        <v>4143</v>
      </c>
      <c r="H926" t="s">
        <v>2528</v>
      </c>
      <c r="I926" t="s">
        <v>4020</v>
      </c>
    </row>
    <row r="927" spans="1:9">
      <c r="A927" s="93" t="s">
        <v>4160</v>
      </c>
      <c r="B927" t="s">
        <v>1898</v>
      </c>
      <c r="C927" t="s">
        <v>2262</v>
      </c>
      <c r="D927" t="s">
        <v>2259</v>
      </c>
      <c r="E927" t="s">
        <v>2147</v>
      </c>
      <c r="F927" t="s">
        <v>2263</v>
      </c>
      <c r="G927" t="s">
        <v>4143</v>
      </c>
      <c r="H927" t="s">
        <v>108</v>
      </c>
      <c r="I927" t="s">
        <v>4020</v>
      </c>
    </row>
    <row r="928" spans="1:9">
      <c r="A928" s="93" t="s">
        <v>4160</v>
      </c>
      <c r="B928" t="s">
        <v>1898</v>
      </c>
      <c r="C928" t="s">
        <v>2264</v>
      </c>
      <c r="D928" t="s">
        <v>2252</v>
      </c>
      <c r="E928" t="s">
        <v>2265</v>
      </c>
      <c r="G928" t="s">
        <v>4143</v>
      </c>
      <c r="H928" t="s">
        <v>108</v>
      </c>
      <c r="I928" t="s">
        <v>4020</v>
      </c>
    </row>
    <row r="929" spans="1:9">
      <c r="A929" s="93" t="s">
        <v>4160</v>
      </c>
      <c r="B929" t="s">
        <v>1898</v>
      </c>
      <c r="C929" t="s">
        <v>2266</v>
      </c>
      <c r="D929" t="s">
        <v>2252</v>
      </c>
      <c r="E929" t="s">
        <v>2267</v>
      </c>
      <c r="F929" t="s">
        <v>2268</v>
      </c>
      <c r="G929" t="s">
        <v>4143</v>
      </c>
      <c r="H929" t="s">
        <v>108</v>
      </c>
      <c r="I929" t="s">
        <v>4020</v>
      </c>
    </row>
    <row r="930" spans="1:9">
      <c r="A930" s="93" t="s">
        <v>4160</v>
      </c>
      <c r="B930" t="s">
        <v>1898</v>
      </c>
      <c r="C930" t="s">
        <v>2269</v>
      </c>
      <c r="D930" t="s">
        <v>2252</v>
      </c>
      <c r="E930" t="s">
        <v>2270</v>
      </c>
      <c r="G930" t="s">
        <v>4143</v>
      </c>
      <c r="H930" t="s">
        <v>108</v>
      </c>
      <c r="I930" t="s">
        <v>4020</v>
      </c>
    </row>
    <row r="931" spans="1:9">
      <c r="A931" s="93" t="s">
        <v>4160</v>
      </c>
      <c r="B931" t="s">
        <v>1902</v>
      </c>
      <c r="C931" t="s">
        <v>2342</v>
      </c>
      <c r="E931" t="s">
        <v>2309</v>
      </c>
      <c r="F931" t="s">
        <v>2343</v>
      </c>
      <c r="G931" t="s">
        <v>4161</v>
      </c>
      <c r="H931" t="s">
        <v>2311</v>
      </c>
      <c r="I931" t="s">
        <v>4024</v>
      </c>
    </row>
    <row r="932" spans="1:9">
      <c r="A932" s="93" t="s">
        <v>4160</v>
      </c>
      <c r="B932" t="s">
        <v>1902</v>
      </c>
      <c r="C932" t="s">
        <v>2272</v>
      </c>
      <c r="D932" t="s">
        <v>2273</v>
      </c>
      <c r="E932" t="s">
        <v>2274</v>
      </c>
      <c r="F932" t="s">
        <v>2275</v>
      </c>
      <c r="G932" t="s">
        <v>4143</v>
      </c>
      <c r="H932" t="s">
        <v>108</v>
      </c>
      <c r="I932" t="s">
        <v>4024</v>
      </c>
    </row>
    <row r="933" spans="1:9">
      <c r="A933" s="93" t="s">
        <v>4160</v>
      </c>
      <c r="B933" t="s">
        <v>1902</v>
      </c>
      <c r="C933" t="s">
        <v>2276</v>
      </c>
      <c r="D933" t="s">
        <v>2248</v>
      </c>
      <c r="E933" t="s">
        <v>2277</v>
      </c>
      <c r="F933" t="s">
        <v>2278</v>
      </c>
      <c r="G933" t="s">
        <v>4143</v>
      </c>
      <c r="H933" t="s">
        <v>108</v>
      </c>
      <c r="I933" t="s">
        <v>4024</v>
      </c>
    </row>
    <row r="934" spans="1:9">
      <c r="A934" s="93" t="s">
        <v>4160</v>
      </c>
      <c r="B934" t="s">
        <v>1902</v>
      </c>
      <c r="C934" t="s">
        <v>2279</v>
      </c>
      <c r="D934" t="s">
        <v>2280</v>
      </c>
      <c r="E934" t="s">
        <v>2281</v>
      </c>
      <c r="F934" t="s">
        <v>2282</v>
      </c>
      <c r="G934" t="s">
        <v>4143</v>
      </c>
      <c r="H934" t="s">
        <v>108</v>
      </c>
      <c r="I934" t="s">
        <v>4024</v>
      </c>
    </row>
    <row r="935" spans="1:9">
      <c r="A935" s="93" t="s">
        <v>4160</v>
      </c>
      <c r="B935" t="s">
        <v>1902</v>
      </c>
      <c r="C935" t="s">
        <v>2283</v>
      </c>
      <c r="D935" t="s">
        <v>2273</v>
      </c>
      <c r="E935" t="s">
        <v>108</v>
      </c>
      <c r="F935" t="s">
        <v>2284</v>
      </c>
      <c r="G935" t="s">
        <v>4143</v>
      </c>
      <c r="H935" t="s">
        <v>108</v>
      </c>
      <c r="I935" t="s">
        <v>4024</v>
      </c>
    </row>
    <row r="936" spans="1:9">
      <c r="A936" s="93" t="s">
        <v>4160</v>
      </c>
      <c r="B936" t="s">
        <v>1902</v>
      </c>
      <c r="C936" t="s">
        <v>2344</v>
      </c>
      <c r="D936" t="s">
        <v>2273</v>
      </c>
      <c r="E936" t="s">
        <v>2309</v>
      </c>
      <c r="F936" t="s">
        <v>2345</v>
      </c>
      <c r="G936" t="s">
        <v>4161</v>
      </c>
      <c r="H936" t="s">
        <v>2311</v>
      </c>
      <c r="I936" t="s">
        <v>4024</v>
      </c>
    </row>
    <row r="937" spans="1:9">
      <c r="A937" s="93" t="s">
        <v>4160</v>
      </c>
      <c r="B937" t="s">
        <v>1902</v>
      </c>
      <c r="C937" t="s">
        <v>2285</v>
      </c>
      <c r="E937" t="s">
        <v>2135</v>
      </c>
      <c r="G937" t="s">
        <v>4161</v>
      </c>
      <c r="H937" t="s">
        <v>2517</v>
      </c>
      <c r="I937" t="s">
        <v>4024</v>
      </c>
    </row>
    <row r="938" spans="1:9">
      <c r="A938" s="93" t="s">
        <v>4160</v>
      </c>
      <c r="B938" t="s">
        <v>1902</v>
      </c>
      <c r="C938" t="s">
        <v>2286</v>
      </c>
      <c r="E938" t="s">
        <v>108</v>
      </c>
      <c r="G938" t="s">
        <v>4143</v>
      </c>
      <c r="H938" t="s">
        <v>108</v>
      </c>
      <c r="I938" t="s">
        <v>4024</v>
      </c>
    </row>
    <row r="939" spans="1:9">
      <c r="A939" s="93" t="s">
        <v>4160</v>
      </c>
      <c r="B939" t="s">
        <v>1902</v>
      </c>
      <c r="C939" t="s">
        <v>2287</v>
      </c>
      <c r="D939" t="s">
        <v>2273</v>
      </c>
      <c r="E939" t="s">
        <v>2288</v>
      </c>
      <c r="F939" t="s">
        <v>2289</v>
      </c>
      <c r="G939" t="s">
        <v>4143</v>
      </c>
      <c r="H939" t="s">
        <v>2288</v>
      </c>
      <c r="I939" t="s">
        <v>4024</v>
      </c>
    </row>
    <row r="940" spans="1:9">
      <c r="A940" s="93" t="s">
        <v>4160</v>
      </c>
      <c r="B940" t="s">
        <v>3926</v>
      </c>
      <c r="C940" t="s">
        <v>2291</v>
      </c>
      <c r="E940" t="s">
        <v>2135</v>
      </c>
      <c r="F940" t="s">
        <v>2292</v>
      </c>
      <c r="G940" t="s">
        <v>4161</v>
      </c>
      <c r="H940" t="s">
        <v>2517</v>
      </c>
    </row>
    <row r="941" spans="1:9">
      <c r="A941" s="93" t="s">
        <v>4160</v>
      </c>
      <c r="B941" t="s">
        <v>3926</v>
      </c>
      <c r="C941" t="s">
        <v>2293</v>
      </c>
      <c r="D941" t="s">
        <v>2294</v>
      </c>
      <c r="E941" t="s">
        <v>2295</v>
      </c>
      <c r="F941" t="s">
        <v>2296</v>
      </c>
      <c r="G941" t="s">
        <v>4143</v>
      </c>
      <c r="H941" t="s">
        <v>108</v>
      </c>
    </row>
    <row r="942" spans="1:9">
      <c r="A942" s="93" t="s">
        <v>4160</v>
      </c>
      <c r="B942" t="s">
        <v>3926</v>
      </c>
      <c r="C942" t="s">
        <v>2297</v>
      </c>
      <c r="D942" t="s">
        <v>2298</v>
      </c>
      <c r="E942" t="s">
        <v>108</v>
      </c>
      <c r="F942" t="s">
        <v>2299</v>
      </c>
      <c r="G942" t="s">
        <v>4143</v>
      </c>
      <c r="H942" t="s">
        <v>108</v>
      </c>
    </row>
    <row r="943" spans="1:9">
      <c r="A943" s="93" t="s">
        <v>4160</v>
      </c>
      <c r="B943" t="s">
        <v>3926</v>
      </c>
      <c r="C943" t="s">
        <v>2300</v>
      </c>
      <c r="D943" t="s">
        <v>2294</v>
      </c>
      <c r="E943" t="s">
        <v>108</v>
      </c>
      <c r="F943" t="s">
        <v>2299</v>
      </c>
      <c r="G943" t="s">
        <v>4143</v>
      </c>
      <c r="H943" t="s">
        <v>108</v>
      </c>
    </row>
    <row r="944" spans="1:9">
      <c r="A944" s="93" t="s">
        <v>4160</v>
      </c>
      <c r="B944" t="s">
        <v>3926</v>
      </c>
      <c r="C944" t="s">
        <v>2301</v>
      </c>
      <c r="D944" t="s">
        <v>2302</v>
      </c>
      <c r="E944" t="s">
        <v>2193</v>
      </c>
      <c r="F944" t="s">
        <v>2303</v>
      </c>
      <c r="G944" t="s">
        <v>4143</v>
      </c>
      <c r="H944" t="s">
        <v>2193</v>
      </c>
    </row>
    <row r="945" spans="1:9">
      <c r="A945" s="93" t="s">
        <v>4160</v>
      </c>
      <c r="B945" t="s">
        <v>3926</v>
      </c>
      <c r="C945" t="s">
        <v>2304</v>
      </c>
      <c r="D945" t="s">
        <v>2305</v>
      </c>
      <c r="E945" t="s">
        <v>2257</v>
      </c>
      <c r="F945" t="s">
        <v>2306</v>
      </c>
      <c r="G945" t="s">
        <v>4143</v>
      </c>
      <c r="H945" t="s">
        <v>108</v>
      </c>
    </row>
    <row r="946" spans="1:9">
      <c r="A946" s="93" t="s">
        <v>4162</v>
      </c>
      <c r="B946" t="s">
        <v>1860</v>
      </c>
      <c r="C946" t="s">
        <v>2532</v>
      </c>
      <c r="D946" t="s">
        <v>2533</v>
      </c>
      <c r="E946" t="s">
        <v>1559</v>
      </c>
      <c r="F946" t="s">
        <v>2535</v>
      </c>
      <c r="G946" t="s">
        <v>4143</v>
      </c>
      <c r="H946" t="s">
        <v>108</v>
      </c>
      <c r="I946" t="s">
        <v>3953</v>
      </c>
    </row>
    <row r="947" spans="1:9">
      <c r="A947" s="93" t="s">
        <v>4162</v>
      </c>
      <c r="B947" t="s">
        <v>1860</v>
      </c>
      <c r="C947" t="s">
        <v>2536</v>
      </c>
      <c r="D947" t="s">
        <v>2537</v>
      </c>
      <c r="E947" t="s">
        <v>2538</v>
      </c>
      <c r="F947" t="s">
        <v>2539</v>
      </c>
      <c r="G947" t="s">
        <v>4143</v>
      </c>
      <c r="H947" t="s">
        <v>108</v>
      </c>
      <c r="I947" t="s">
        <v>3953</v>
      </c>
    </row>
    <row r="948" spans="1:9">
      <c r="A948" s="93" t="s">
        <v>4162</v>
      </c>
      <c r="B948" t="s">
        <v>1860</v>
      </c>
      <c r="C948" t="s">
        <v>2540</v>
      </c>
      <c r="D948" t="s">
        <v>2537</v>
      </c>
      <c r="E948" t="s">
        <v>2193</v>
      </c>
      <c r="F948" t="s">
        <v>2541</v>
      </c>
      <c r="G948" t="s">
        <v>4143</v>
      </c>
      <c r="H948" t="s">
        <v>2193</v>
      </c>
      <c r="I948" t="s">
        <v>3953</v>
      </c>
    </row>
    <row r="949" spans="1:9">
      <c r="A949" s="93" t="s">
        <v>4162</v>
      </c>
      <c r="B949" t="s">
        <v>1860</v>
      </c>
      <c r="C949" t="s">
        <v>2542</v>
      </c>
      <c r="D949" t="s">
        <v>2533</v>
      </c>
      <c r="E949" t="s">
        <v>108</v>
      </c>
      <c r="F949" t="s">
        <v>2543</v>
      </c>
      <c r="G949" t="s">
        <v>4143</v>
      </c>
      <c r="H949" t="s">
        <v>108</v>
      </c>
      <c r="I949" t="s">
        <v>3953</v>
      </c>
    </row>
    <row r="950" spans="1:9">
      <c r="A950" s="93" t="s">
        <v>4162</v>
      </c>
      <c r="B950" t="s">
        <v>1860</v>
      </c>
      <c r="C950" t="s">
        <v>2544</v>
      </c>
      <c r="D950" t="s">
        <v>2545</v>
      </c>
      <c r="E950" t="s">
        <v>2193</v>
      </c>
      <c r="F950" t="s">
        <v>2541</v>
      </c>
      <c r="G950" t="s">
        <v>4143</v>
      </c>
      <c r="H950" t="s">
        <v>2193</v>
      </c>
      <c r="I950" t="s">
        <v>3953</v>
      </c>
    </row>
    <row r="951" spans="1:9">
      <c r="A951" s="93" t="s">
        <v>4162</v>
      </c>
      <c r="B951" t="s">
        <v>1860</v>
      </c>
      <c r="C951" t="s">
        <v>2546</v>
      </c>
      <c r="D951" t="s">
        <v>2546</v>
      </c>
      <c r="E951" t="s">
        <v>2135</v>
      </c>
      <c r="F951" t="s">
        <v>2547</v>
      </c>
      <c r="G951" t="s">
        <v>4163</v>
      </c>
      <c r="H951" t="s">
        <v>2517</v>
      </c>
      <c r="I951" t="s">
        <v>3953</v>
      </c>
    </row>
    <row r="952" spans="1:9">
      <c r="A952" s="93" t="s">
        <v>4162</v>
      </c>
      <c r="B952" t="s">
        <v>1861</v>
      </c>
      <c r="C952" t="s">
        <v>2549</v>
      </c>
      <c r="D952" t="s">
        <v>2537</v>
      </c>
      <c r="E952" t="s">
        <v>2288</v>
      </c>
      <c r="F952" t="s">
        <v>2550</v>
      </c>
      <c r="G952" t="s">
        <v>4143</v>
      </c>
      <c r="H952" t="s">
        <v>2288</v>
      </c>
      <c r="I952" t="s">
        <v>3957</v>
      </c>
    </row>
    <row r="953" spans="1:9">
      <c r="A953" s="93" t="s">
        <v>4162</v>
      </c>
      <c r="B953" t="s">
        <v>1861</v>
      </c>
      <c r="C953" t="s">
        <v>2551</v>
      </c>
      <c r="D953" t="s">
        <v>2537</v>
      </c>
      <c r="E953" t="s">
        <v>2135</v>
      </c>
      <c r="F953" t="s">
        <v>2552</v>
      </c>
      <c r="G953" t="s">
        <v>4163</v>
      </c>
      <c r="H953" t="s">
        <v>2517</v>
      </c>
      <c r="I953" t="s">
        <v>3957</v>
      </c>
    </row>
    <row r="954" spans="1:9">
      <c r="A954" s="93" t="s">
        <v>4162</v>
      </c>
      <c r="B954" t="s">
        <v>1861</v>
      </c>
      <c r="C954" t="s">
        <v>2553</v>
      </c>
      <c r="D954" t="s">
        <v>2554</v>
      </c>
      <c r="E954" t="s">
        <v>2135</v>
      </c>
      <c r="F954" t="s">
        <v>2555</v>
      </c>
      <c r="G954" t="s">
        <v>4163</v>
      </c>
      <c r="H954" t="s">
        <v>2517</v>
      </c>
      <c r="I954" t="s">
        <v>3957</v>
      </c>
    </row>
    <row r="955" spans="1:9">
      <c r="A955" s="93" t="s">
        <v>4162</v>
      </c>
      <c r="B955" t="s">
        <v>1861</v>
      </c>
      <c r="C955" t="s">
        <v>2556</v>
      </c>
      <c r="D955" t="s">
        <v>2533</v>
      </c>
      <c r="E955" t="s">
        <v>2288</v>
      </c>
      <c r="F955" t="s">
        <v>2557</v>
      </c>
      <c r="G955" t="s">
        <v>4143</v>
      </c>
      <c r="H955" t="s">
        <v>2288</v>
      </c>
      <c r="I955" t="s">
        <v>3957</v>
      </c>
    </row>
    <row r="956" spans="1:9">
      <c r="A956" s="93" t="s">
        <v>4162</v>
      </c>
      <c r="B956" t="s">
        <v>1861</v>
      </c>
      <c r="C956" t="s">
        <v>2558</v>
      </c>
      <c r="D956" t="s">
        <v>2559</v>
      </c>
      <c r="E956" t="s">
        <v>2560</v>
      </c>
      <c r="F956" t="s">
        <v>2561</v>
      </c>
      <c r="G956" t="s">
        <v>4143</v>
      </c>
      <c r="H956" t="s">
        <v>2288</v>
      </c>
      <c r="I956" t="s">
        <v>3957</v>
      </c>
    </row>
    <row r="957" spans="1:9">
      <c r="A957" s="93" t="s">
        <v>4162</v>
      </c>
      <c r="B957" t="s">
        <v>1861</v>
      </c>
      <c r="C957" t="s">
        <v>2562</v>
      </c>
      <c r="D957" t="s">
        <v>2563</v>
      </c>
      <c r="E957" t="s">
        <v>2564</v>
      </c>
      <c r="F957" t="s">
        <v>2565</v>
      </c>
      <c r="G957" t="s">
        <v>4143</v>
      </c>
      <c r="H957" t="s">
        <v>1201</v>
      </c>
      <c r="I957" t="s">
        <v>3957</v>
      </c>
    </row>
    <row r="958" spans="1:9">
      <c r="A958" s="93" t="s">
        <v>4162</v>
      </c>
      <c r="B958" t="s">
        <v>1861</v>
      </c>
      <c r="C958" t="s">
        <v>2566</v>
      </c>
      <c r="D958" t="s">
        <v>2545</v>
      </c>
      <c r="E958" t="s">
        <v>2567</v>
      </c>
      <c r="F958" t="s">
        <v>2569</v>
      </c>
      <c r="G958" t="s">
        <v>4163</v>
      </c>
      <c r="H958" t="s">
        <v>2568</v>
      </c>
      <c r="I958" t="s">
        <v>3957</v>
      </c>
    </row>
    <row r="959" spans="1:9">
      <c r="A959" s="93" t="s">
        <v>4162</v>
      </c>
      <c r="B959" t="s">
        <v>1861</v>
      </c>
      <c r="C959" t="s">
        <v>2570</v>
      </c>
      <c r="D959" t="s">
        <v>2571</v>
      </c>
      <c r="E959" t="s">
        <v>2135</v>
      </c>
      <c r="G959" t="s">
        <v>4163</v>
      </c>
      <c r="H959" t="s">
        <v>2517</v>
      </c>
      <c r="I959" t="s">
        <v>3957</v>
      </c>
    </row>
    <row r="960" spans="1:9">
      <c r="A960" s="93" t="s">
        <v>4162</v>
      </c>
      <c r="B960" t="s">
        <v>1861</v>
      </c>
      <c r="C960" t="s">
        <v>2572</v>
      </c>
      <c r="D960" t="s">
        <v>2571</v>
      </c>
      <c r="E960" t="s">
        <v>2309</v>
      </c>
      <c r="F960" t="s">
        <v>2573</v>
      </c>
      <c r="G960" t="s">
        <v>4163</v>
      </c>
      <c r="H960" t="s">
        <v>2311</v>
      </c>
      <c r="I960" t="s">
        <v>3957</v>
      </c>
    </row>
    <row r="961" spans="1:9">
      <c r="A961" s="93" t="s">
        <v>4162</v>
      </c>
      <c r="B961" t="s">
        <v>1861</v>
      </c>
      <c r="C961" t="s">
        <v>2574</v>
      </c>
      <c r="D961" t="s">
        <v>2563</v>
      </c>
      <c r="E961" t="s">
        <v>2309</v>
      </c>
      <c r="F961" t="s">
        <v>2573</v>
      </c>
      <c r="G961" t="s">
        <v>4163</v>
      </c>
      <c r="H961" t="s">
        <v>2311</v>
      </c>
      <c r="I961" t="s">
        <v>3957</v>
      </c>
    </row>
    <row r="962" spans="1:9">
      <c r="A962" s="93" t="s">
        <v>4162</v>
      </c>
      <c r="B962" t="s">
        <v>1861</v>
      </c>
      <c r="C962" t="s">
        <v>2575</v>
      </c>
      <c r="D962" t="s">
        <v>2533</v>
      </c>
      <c r="E962" t="s">
        <v>2135</v>
      </c>
      <c r="G962" t="s">
        <v>4163</v>
      </c>
      <c r="H962" t="s">
        <v>2517</v>
      </c>
      <c r="I962" t="s">
        <v>3957</v>
      </c>
    </row>
    <row r="963" spans="1:9">
      <c r="A963" s="93" t="s">
        <v>4162</v>
      </c>
      <c r="B963" t="s">
        <v>1861</v>
      </c>
      <c r="C963" t="s">
        <v>2576</v>
      </c>
      <c r="D963" t="s">
        <v>2571</v>
      </c>
      <c r="E963" t="s">
        <v>108</v>
      </c>
      <c r="F963" t="s">
        <v>2577</v>
      </c>
      <c r="G963" t="s">
        <v>4143</v>
      </c>
      <c r="H963" t="s">
        <v>108</v>
      </c>
      <c r="I963" t="s">
        <v>3957</v>
      </c>
    </row>
    <row r="964" spans="1:9">
      <c r="A964" s="93" t="s">
        <v>4162</v>
      </c>
      <c r="B964" t="s">
        <v>1861</v>
      </c>
      <c r="C964" t="s">
        <v>2578</v>
      </c>
      <c r="D964" t="s">
        <v>2579</v>
      </c>
      <c r="E964" t="s">
        <v>2564</v>
      </c>
      <c r="F964" t="s">
        <v>2565</v>
      </c>
      <c r="G964" t="s">
        <v>4143</v>
      </c>
      <c r="H964" t="s">
        <v>1201</v>
      </c>
      <c r="I964" t="s">
        <v>3957</v>
      </c>
    </row>
    <row r="965" spans="1:9">
      <c r="A965" s="93" t="s">
        <v>4162</v>
      </c>
      <c r="B965" t="s">
        <v>1861</v>
      </c>
      <c r="C965" t="s">
        <v>2546</v>
      </c>
      <c r="D965" t="s">
        <v>2546</v>
      </c>
      <c r="E965" t="s">
        <v>2135</v>
      </c>
      <c r="F965" t="s">
        <v>2580</v>
      </c>
      <c r="G965" t="s">
        <v>4163</v>
      </c>
      <c r="H965" t="s">
        <v>2517</v>
      </c>
      <c r="I965" t="s">
        <v>3957</v>
      </c>
    </row>
    <row r="966" spans="1:9">
      <c r="A966" s="93" t="s">
        <v>4162</v>
      </c>
      <c r="B966" t="s">
        <v>1861</v>
      </c>
      <c r="C966" t="s">
        <v>2581</v>
      </c>
      <c r="D966" t="s">
        <v>2582</v>
      </c>
      <c r="E966" t="s">
        <v>2135</v>
      </c>
      <c r="F966" t="s">
        <v>2583</v>
      </c>
      <c r="G966" t="s">
        <v>4163</v>
      </c>
      <c r="H966" t="s">
        <v>2517</v>
      </c>
      <c r="I966" t="s">
        <v>3957</v>
      </c>
    </row>
    <row r="967" spans="1:9">
      <c r="A967" s="93" t="s">
        <v>4162</v>
      </c>
      <c r="B967" t="s">
        <v>1861</v>
      </c>
      <c r="C967" t="s">
        <v>2584</v>
      </c>
      <c r="D967" t="s">
        <v>2545</v>
      </c>
      <c r="E967" t="s">
        <v>2585</v>
      </c>
      <c r="F967" t="s">
        <v>2586</v>
      </c>
      <c r="G967" t="s">
        <v>4143</v>
      </c>
      <c r="H967" t="s">
        <v>2353</v>
      </c>
      <c r="I967" t="s">
        <v>3957</v>
      </c>
    </row>
    <row r="968" spans="1:9">
      <c r="A968" s="93" t="s">
        <v>4162</v>
      </c>
      <c r="B968" t="s">
        <v>1861</v>
      </c>
      <c r="C968" t="s">
        <v>2587</v>
      </c>
      <c r="D968" t="s">
        <v>2554</v>
      </c>
      <c r="E968" t="s">
        <v>2288</v>
      </c>
      <c r="F968" t="s">
        <v>2588</v>
      </c>
      <c r="G968" t="s">
        <v>4143</v>
      </c>
      <c r="H968" t="s">
        <v>2288</v>
      </c>
      <c r="I968" t="s">
        <v>3957</v>
      </c>
    </row>
    <row r="969" spans="1:9">
      <c r="A969" s="93" t="s">
        <v>4162</v>
      </c>
      <c r="B969" t="s">
        <v>1862</v>
      </c>
      <c r="C969" t="s">
        <v>2546</v>
      </c>
      <c r="D969" t="s">
        <v>2546</v>
      </c>
      <c r="E969" t="s">
        <v>2135</v>
      </c>
      <c r="F969" t="s">
        <v>2547</v>
      </c>
      <c r="G969" t="s">
        <v>4163</v>
      </c>
      <c r="H969" t="s">
        <v>2517</v>
      </c>
      <c r="I969" t="s">
        <v>3961</v>
      </c>
    </row>
    <row r="970" spans="1:9">
      <c r="A970" s="93" t="s">
        <v>4162</v>
      </c>
      <c r="B970" t="s">
        <v>1862</v>
      </c>
      <c r="C970" t="s">
        <v>2590</v>
      </c>
      <c r="D970" t="s">
        <v>2591</v>
      </c>
      <c r="E970" t="s">
        <v>2592</v>
      </c>
      <c r="F970" t="s">
        <v>2593</v>
      </c>
      <c r="G970" t="s">
        <v>4143</v>
      </c>
      <c r="H970" t="s">
        <v>2288</v>
      </c>
      <c r="I970" t="s">
        <v>3961</v>
      </c>
    </row>
    <row r="971" spans="1:9">
      <c r="A971" s="93" t="s">
        <v>4162</v>
      </c>
      <c r="B971" t="s">
        <v>1862</v>
      </c>
      <c r="C971" t="s">
        <v>2594</v>
      </c>
      <c r="D971" t="s">
        <v>2533</v>
      </c>
      <c r="E971" t="s">
        <v>2288</v>
      </c>
      <c r="F971" t="s">
        <v>2595</v>
      </c>
      <c r="G971" t="s">
        <v>4143</v>
      </c>
      <c r="H971" t="s">
        <v>2288</v>
      </c>
      <c r="I971" t="s">
        <v>3961</v>
      </c>
    </row>
    <row r="972" spans="1:9">
      <c r="A972" s="93" t="s">
        <v>4162</v>
      </c>
      <c r="B972" t="s">
        <v>1862</v>
      </c>
      <c r="C972" t="s">
        <v>2596</v>
      </c>
      <c r="D972" t="s">
        <v>2582</v>
      </c>
      <c r="E972" t="s">
        <v>108</v>
      </c>
      <c r="G972" t="s">
        <v>4143</v>
      </c>
      <c r="H972" t="s">
        <v>108</v>
      </c>
      <c r="I972" t="s">
        <v>3961</v>
      </c>
    </row>
    <row r="973" spans="1:9">
      <c r="A973" s="93" t="s">
        <v>4162</v>
      </c>
      <c r="B973" t="s">
        <v>1862</v>
      </c>
      <c r="C973" t="s">
        <v>2597</v>
      </c>
      <c r="D973" t="s">
        <v>2537</v>
      </c>
      <c r="E973" t="s">
        <v>108</v>
      </c>
      <c r="F973" t="s">
        <v>2598</v>
      </c>
      <c r="G973" t="s">
        <v>4143</v>
      </c>
      <c r="H973" t="s">
        <v>108</v>
      </c>
      <c r="I973" t="s">
        <v>3961</v>
      </c>
    </row>
    <row r="974" spans="1:9">
      <c r="A974" s="93" t="s">
        <v>4162</v>
      </c>
      <c r="B974" t="s">
        <v>1862</v>
      </c>
      <c r="C974" t="s">
        <v>2599</v>
      </c>
      <c r="D974" t="s">
        <v>2559</v>
      </c>
      <c r="E974" t="s">
        <v>2288</v>
      </c>
      <c r="F974" t="s">
        <v>2600</v>
      </c>
      <c r="G974" t="s">
        <v>4143</v>
      </c>
      <c r="H974" t="s">
        <v>2288</v>
      </c>
      <c r="I974" t="s">
        <v>3961</v>
      </c>
    </row>
    <row r="975" spans="1:9">
      <c r="A975" s="93" t="s">
        <v>4162</v>
      </c>
      <c r="B975" t="s">
        <v>1862</v>
      </c>
      <c r="C975" t="s">
        <v>2601</v>
      </c>
      <c r="D975" t="s">
        <v>2533</v>
      </c>
      <c r="E975" t="s">
        <v>2288</v>
      </c>
      <c r="F975" t="s">
        <v>2602</v>
      </c>
      <c r="G975" t="s">
        <v>4143</v>
      </c>
      <c r="H975" t="s">
        <v>2288</v>
      </c>
      <c r="I975" t="s">
        <v>3961</v>
      </c>
    </row>
    <row r="976" spans="1:9">
      <c r="A976" s="93" t="s">
        <v>4162</v>
      </c>
      <c r="B976" t="s">
        <v>1862</v>
      </c>
      <c r="C976" t="s">
        <v>2603</v>
      </c>
      <c r="D976" t="s">
        <v>2559</v>
      </c>
      <c r="E976" t="s">
        <v>2604</v>
      </c>
      <c r="F976" t="s">
        <v>2606</v>
      </c>
      <c r="G976" t="s">
        <v>4143</v>
      </c>
      <c r="H976" t="s">
        <v>2605</v>
      </c>
      <c r="I976" t="s">
        <v>3961</v>
      </c>
    </row>
    <row r="977" spans="1:9">
      <c r="A977" s="93" t="s">
        <v>4162</v>
      </c>
      <c r="B977" t="s">
        <v>1862</v>
      </c>
      <c r="C977" t="s">
        <v>2607</v>
      </c>
      <c r="D977" t="s">
        <v>2563</v>
      </c>
      <c r="E977" t="s">
        <v>2608</v>
      </c>
      <c r="F977" t="s">
        <v>2609</v>
      </c>
      <c r="G977" t="s">
        <v>4143</v>
      </c>
      <c r="H977" t="s">
        <v>2288</v>
      </c>
      <c r="I977" t="s">
        <v>3961</v>
      </c>
    </row>
    <row r="978" spans="1:9">
      <c r="A978" s="93" t="s">
        <v>4162</v>
      </c>
      <c r="B978" t="s">
        <v>1862</v>
      </c>
      <c r="C978" t="s">
        <v>2610</v>
      </c>
      <c r="D978" t="s">
        <v>2545</v>
      </c>
      <c r="E978" t="s">
        <v>108</v>
      </c>
      <c r="G978" t="s">
        <v>4143</v>
      </c>
      <c r="H978" t="s">
        <v>108</v>
      </c>
      <c r="I978" t="s">
        <v>3961</v>
      </c>
    </row>
    <row r="979" spans="1:9">
      <c r="A979" s="93" t="s">
        <v>4162</v>
      </c>
      <c r="B979" t="s">
        <v>1862</v>
      </c>
      <c r="C979" t="s">
        <v>2611</v>
      </c>
      <c r="D979" t="s">
        <v>2545</v>
      </c>
      <c r="E979" t="s">
        <v>2288</v>
      </c>
      <c r="F979" t="s">
        <v>2612</v>
      </c>
      <c r="G979" t="s">
        <v>4143</v>
      </c>
      <c r="H979" t="s">
        <v>2288</v>
      </c>
      <c r="I979" t="s">
        <v>3961</v>
      </c>
    </row>
    <row r="980" spans="1:9">
      <c r="A980" s="93" t="s">
        <v>4162</v>
      </c>
      <c r="B980" t="s">
        <v>1864</v>
      </c>
      <c r="C980" t="s">
        <v>2546</v>
      </c>
      <c r="D980" t="s">
        <v>2546</v>
      </c>
      <c r="E980" t="s">
        <v>2135</v>
      </c>
      <c r="F980" t="s">
        <v>2614</v>
      </c>
      <c r="G980" t="s">
        <v>4163</v>
      </c>
      <c r="H980" t="s">
        <v>2517</v>
      </c>
      <c r="I980" t="s">
        <v>3965</v>
      </c>
    </row>
    <row r="981" spans="1:9">
      <c r="A981" s="93" t="s">
        <v>4162</v>
      </c>
      <c r="B981" t="s">
        <v>1864</v>
      </c>
      <c r="C981" t="s">
        <v>2615</v>
      </c>
      <c r="D981" t="s">
        <v>2537</v>
      </c>
      <c r="E981" t="s">
        <v>2616</v>
      </c>
      <c r="F981" t="s">
        <v>2617</v>
      </c>
      <c r="G981" t="s">
        <v>4143</v>
      </c>
      <c r="H981" t="s">
        <v>2288</v>
      </c>
      <c r="I981" t="s">
        <v>3965</v>
      </c>
    </row>
    <row r="982" spans="1:9">
      <c r="A982" s="93" t="s">
        <v>4162</v>
      </c>
      <c r="B982" t="s">
        <v>1864</v>
      </c>
      <c r="C982" t="s">
        <v>2618</v>
      </c>
      <c r="D982" t="s">
        <v>2619</v>
      </c>
      <c r="E982" t="s">
        <v>2135</v>
      </c>
      <c r="G982" t="s">
        <v>4163</v>
      </c>
      <c r="H982" t="s">
        <v>2517</v>
      </c>
      <c r="I982" t="s">
        <v>3965</v>
      </c>
    </row>
    <row r="983" spans="1:9">
      <c r="A983" s="93" t="s">
        <v>4162</v>
      </c>
      <c r="B983" t="s">
        <v>1864</v>
      </c>
      <c r="C983" t="s">
        <v>2620</v>
      </c>
      <c r="D983" t="s">
        <v>2554</v>
      </c>
      <c r="E983" t="s">
        <v>2288</v>
      </c>
      <c r="F983" t="s">
        <v>2621</v>
      </c>
      <c r="G983" t="s">
        <v>4143</v>
      </c>
      <c r="H983" t="s">
        <v>2288</v>
      </c>
      <c r="I983" t="s">
        <v>3965</v>
      </c>
    </row>
    <row r="984" spans="1:9">
      <c r="A984" s="93" t="s">
        <v>4162</v>
      </c>
      <c r="B984" t="s">
        <v>1864</v>
      </c>
      <c r="C984" t="s">
        <v>2622</v>
      </c>
      <c r="D984" t="s">
        <v>2582</v>
      </c>
      <c r="E984" t="s">
        <v>2135</v>
      </c>
      <c r="G984" t="s">
        <v>4163</v>
      </c>
      <c r="H984" t="s">
        <v>2517</v>
      </c>
      <c r="I984" t="s">
        <v>3965</v>
      </c>
    </row>
    <row r="985" spans="1:9">
      <c r="A985" s="93" t="s">
        <v>4162</v>
      </c>
      <c r="B985" t="s">
        <v>1864</v>
      </c>
      <c r="C985" t="s">
        <v>2623</v>
      </c>
      <c r="D985" t="s">
        <v>2533</v>
      </c>
      <c r="E985" t="s">
        <v>2288</v>
      </c>
      <c r="F985" t="s">
        <v>2624</v>
      </c>
      <c r="G985" t="s">
        <v>4143</v>
      </c>
      <c r="H985" t="s">
        <v>2288</v>
      </c>
      <c r="I985" t="s">
        <v>3965</v>
      </c>
    </row>
    <row r="986" spans="1:9">
      <c r="A986" s="93" t="s">
        <v>4162</v>
      </c>
      <c r="B986" t="s">
        <v>1864</v>
      </c>
      <c r="C986" t="s">
        <v>2625</v>
      </c>
      <c r="D986" t="s">
        <v>2533</v>
      </c>
      <c r="E986" t="s">
        <v>2288</v>
      </c>
      <c r="G986" t="s">
        <v>4143</v>
      </c>
      <c r="H986" t="s">
        <v>2288</v>
      </c>
      <c r="I986" t="s">
        <v>3965</v>
      </c>
    </row>
    <row r="987" spans="1:9">
      <c r="A987" s="93" t="s">
        <v>4162</v>
      </c>
      <c r="B987" t="s">
        <v>1864</v>
      </c>
      <c r="C987" t="s">
        <v>2626</v>
      </c>
      <c r="D987" t="s">
        <v>2579</v>
      </c>
      <c r="E987" t="s">
        <v>1201</v>
      </c>
      <c r="F987" t="s">
        <v>2627</v>
      </c>
      <c r="G987" t="s">
        <v>4143</v>
      </c>
      <c r="H987" t="s">
        <v>1201</v>
      </c>
      <c r="I987" t="s">
        <v>3965</v>
      </c>
    </row>
    <row r="988" spans="1:9">
      <c r="A988" s="93" t="s">
        <v>4162</v>
      </c>
      <c r="B988" t="s">
        <v>1864</v>
      </c>
      <c r="C988" t="s">
        <v>2628</v>
      </c>
      <c r="D988" t="s">
        <v>2533</v>
      </c>
      <c r="E988" t="s">
        <v>2629</v>
      </c>
      <c r="F988" t="s">
        <v>2630</v>
      </c>
      <c r="G988" t="s">
        <v>4143</v>
      </c>
      <c r="H988" t="s">
        <v>2629</v>
      </c>
      <c r="I988" t="s">
        <v>3965</v>
      </c>
    </row>
    <row r="989" spans="1:9">
      <c r="A989" s="93" t="s">
        <v>4162</v>
      </c>
      <c r="B989" t="s">
        <v>1864</v>
      </c>
      <c r="C989" t="s">
        <v>2631</v>
      </c>
      <c r="D989" t="s">
        <v>2537</v>
      </c>
      <c r="E989" t="s">
        <v>2135</v>
      </c>
      <c r="F989" t="s">
        <v>2632</v>
      </c>
      <c r="G989" t="s">
        <v>4163</v>
      </c>
      <c r="H989" t="s">
        <v>2517</v>
      </c>
      <c r="I989" t="s">
        <v>3965</v>
      </c>
    </row>
    <row r="990" spans="1:9">
      <c r="A990" s="93" t="s">
        <v>4162</v>
      </c>
      <c r="B990" t="s">
        <v>1864</v>
      </c>
      <c r="C990" t="s">
        <v>2633</v>
      </c>
      <c r="D990" t="s">
        <v>2571</v>
      </c>
      <c r="E990" t="s">
        <v>2135</v>
      </c>
      <c r="F990" t="s">
        <v>2632</v>
      </c>
      <c r="G990" t="s">
        <v>4163</v>
      </c>
      <c r="H990" t="s">
        <v>2517</v>
      </c>
      <c r="I990" t="s">
        <v>3965</v>
      </c>
    </row>
    <row r="991" spans="1:9">
      <c r="A991" s="93" t="s">
        <v>4162</v>
      </c>
      <c r="B991" t="s">
        <v>1864</v>
      </c>
      <c r="C991" t="s">
        <v>2634</v>
      </c>
      <c r="D991" t="s">
        <v>2563</v>
      </c>
      <c r="E991" t="s">
        <v>2288</v>
      </c>
      <c r="F991" t="s">
        <v>2635</v>
      </c>
      <c r="G991" t="s">
        <v>4143</v>
      </c>
      <c r="H991" t="s">
        <v>2288</v>
      </c>
      <c r="I991" t="s">
        <v>3965</v>
      </c>
    </row>
    <row r="992" spans="1:9">
      <c r="A992" s="93" t="s">
        <v>4162</v>
      </c>
      <c r="B992" t="s">
        <v>1864</v>
      </c>
      <c r="C992" t="s">
        <v>2636</v>
      </c>
      <c r="D992" t="s">
        <v>2582</v>
      </c>
      <c r="E992" t="s">
        <v>2135</v>
      </c>
      <c r="G992" t="s">
        <v>4163</v>
      </c>
      <c r="H992" t="s">
        <v>2517</v>
      </c>
      <c r="I992" t="s">
        <v>3965</v>
      </c>
    </row>
    <row r="993" spans="1:9">
      <c r="A993" s="93" t="s">
        <v>4162</v>
      </c>
      <c r="B993" t="s">
        <v>1864</v>
      </c>
      <c r="C993" t="s">
        <v>2637</v>
      </c>
      <c r="D993" t="s">
        <v>2619</v>
      </c>
      <c r="E993" t="s">
        <v>2338</v>
      </c>
      <c r="G993" t="s">
        <v>4163</v>
      </c>
      <c r="H993" t="s">
        <v>2339</v>
      </c>
      <c r="I993" t="s">
        <v>3965</v>
      </c>
    </row>
    <row r="994" spans="1:9">
      <c r="A994" s="93" t="s">
        <v>4162</v>
      </c>
      <c r="B994" t="s">
        <v>1864</v>
      </c>
      <c r="C994" t="s">
        <v>2638</v>
      </c>
      <c r="D994" t="s">
        <v>2537</v>
      </c>
      <c r="E994" t="s">
        <v>2338</v>
      </c>
      <c r="F994" t="s">
        <v>2639</v>
      </c>
      <c r="G994" t="s">
        <v>4163</v>
      </c>
      <c r="H994" t="s">
        <v>2339</v>
      </c>
      <c r="I994" t="s">
        <v>3965</v>
      </c>
    </row>
    <row r="995" spans="1:9">
      <c r="A995" s="93" t="s">
        <v>4162</v>
      </c>
      <c r="B995" t="s">
        <v>1864</v>
      </c>
      <c r="C995" t="s">
        <v>2640</v>
      </c>
      <c r="D995" t="s">
        <v>2619</v>
      </c>
      <c r="E995" t="s">
        <v>2309</v>
      </c>
      <c r="F995" t="s">
        <v>2641</v>
      </c>
      <c r="G995" t="s">
        <v>4163</v>
      </c>
      <c r="H995" t="s">
        <v>2311</v>
      </c>
      <c r="I995" t="s">
        <v>3965</v>
      </c>
    </row>
    <row r="996" spans="1:9">
      <c r="A996" s="93" t="s">
        <v>4162</v>
      </c>
      <c r="B996" t="s">
        <v>1866</v>
      </c>
      <c r="C996" t="s">
        <v>2546</v>
      </c>
      <c r="D996" t="s">
        <v>2546</v>
      </c>
      <c r="E996" t="s">
        <v>2135</v>
      </c>
      <c r="F996" t="s">
        <v>2580</v>
      </c>
      <c r="G996" t="s">
        <v>4163</v>
      </c>
      <c r="H996" t="s">
        <v>2517</v>
      </c>
      <c r="I996" t="s">
        <v>3969</v>
      </c>
    </row>
    <row r="997" spans="1:9">
      <c r="A997" s="93" t="s">
        <v>4162</v>
      </c>
      <c r="B997" t="s">
        <v>1866</v>
      </c>
      <c r="C997" t="s">
        <v>2643</v>
      </c>
      <c r="D997" t="s">
        <v>2579</v>
      </c>
      <c r="E997" t="s">
        <v>2288</v>
      </c>
      <c r="F997" t="s">
        <v>2644</v>
      </c>
      <c r="G997" t="s">
        <v>4143</v>
      </c>
      <c r="H997" t="s">
        <v>2288</v>
      </c>
      <c r="I997" t="s">
        <v>3969</v>
      </c>
    </row>
    <row r="998" spans="1:9">
      <c r="A998" s="93" t="s">
        <v>4162</v>
      </c>
      <c r="B998" t="s">
        <v>1866</v>
      </c>
      <c r="C998" t="s">
        <v>2645</v>
      </c>
      <c r="D998" t="s">
        <v>2537</v>
      </c>
      <c r="E998" t="s">
        <v>2288</v>
      </c>
      <c r="F998" t="s">
        <v>2646</v>
      </c>
      <c r="G998" t="s">
        <v>4143</v>
      </c>
      <c r="H998" t="s">
        <v>2288</v>
      </c>
      <c r="I998" t="s">
        <v>3969</v>
      </c>
    </row>
    <row r="999" spans="1:9">
      <c r="A999" s="93" t="s">
        <v>4162</v>
      </c>
      <c r="B999" t="s">
        <v>1866</v>
      </c>
      <c r="C999" t="s">
        <v>2647</v>
      </c>
      <c r="D999" t="s">
        <v>2591</v>
      </c>
      <c r="E999" t="s">
        <v>2135</v>
      </c>
      <c r="G999" t="s">
        <v>4163</v>
      </c>
      <c r="H999" t="s">
        <v>2517</v>
      </c>
      <c r="I999" t="s">
        <v>3969</v>
      </c>
    </row>
    <row r="1000" spans="1:9">
      <c r="A1000" s="93" t="s">
        <v>4162</v>
      </c>
      <c r="B1000" t="s">
        <v>1866</v>
      </c>
      <c r="C1000" t="s">
        <v>2648</v>
      </c>
      <c r="D1000" t="s">
        <v>2591</v>
      </c>
      <c r="E1000" t="s">
        <v>2288</v>
      </c>
      <c r="F1000" t="s">
        <v>2649</v>
      </c>
      <c r="G1000" t="s">
        <v>4143</v>
      </c>
      <c r="H1000" t="s">
        <v>2288</v>
      </c>
      <c r="I1000" t="s">
        <v>3969</v>
      </c>
    </row>
    <row r="1001" spans="1:9">
      <c r="A1001" s="93" t="s">
        <v>4162</v>
      </c>
      <c r="B1001" t="s">
        <v>1866</v>
      </c>
      <c r="C1001" t="s">
        <v>2650</v>
      </c>
      <c r="D1001" t="s">
        <v>2571</v>
      </c>
      <c r="E1001" t="s">
        <v>2651</v>
      </c>
      <c r="F1001" t="s">
        <v>2652</v>
      </c>
      <c r="G1001" t="s">
        <v>4143</v>
      </c>
      <c r="H1001" t="s">
        <v>2288</v>
      </c>
      <c r="I1001" t="s">
        <v>3969</v>
      </c>
    </row>
    <row r="1002" spans="1:9">
      <c r="A1002" s="93" t="s">
        <v>4162</v>
      </c>
      <c r="B1002" t="s">
        <v>1866</v>
      </c>
      <c r="C1002" t="s">
        <v>2653</v>
      </c>
      <c r="D1002" t="s">
        <v>2533</v>
      </c>
      <c r="E1002" t="s">
        <v>2288</v>
      </c>
      <c r="F1002" t="s">
        <v>2654</v>
      </c>
      <c r="G1002" t="s">
        <v>4143</v>
      </c>
      <c r="H1002" t="s">
        <v>2288</v>
      </c>
      <c r="I1002" t="s">
        <v>3969</v>
      </c>
    </row>
    <row r="1003" spans="1:9">
      <c r="A1003" s="93" t="s">
        <v>4162</v>
      </c>
      <c r="B1003" t="s">
        <v>1866</v>
      </c>
      <c r="C1003" t="s">
        <v>2655</v>
      </c>
      <c r="D1003" t="s">
        <v>2571</v>
      </c>
      <c r="E1003" t="s">
        <v>2288</v>
      </c>
      <c r="F1003" t="s">
        <v>2656</v>
      </c>
      <c r="G1003" t="s">
        <v>4143</v>
      </c>
      <c r="H1003" t="s">
        <v>2288</v>
      </c>
      <c r="I1003" t="s">
        <v>3969</v>
      </c>
    </row>
    <row r="1004" spans="1:9">
      <c r="A1004" s="93" t="s">
        <v>4162</v>
      </c>
      <c r="B1004" t="s">
        <v>1866</v>
      </c>
      <c r="C1004" t="s">
        <v>2657</v>
      </c>
      <c r="D1004" t="s">
        <v>2533</v>
      </c>
      <c r="E1004" t="s">
        <v>2288</v>
      </c>
      <c r="F1004" t="s">
        <v>2658</v>
      </c>
      <c r="G1004" t="s">
        <v>4143</v>
      </c>
      <c r="H1004" t="s">
        <v>2288</v>
      </c>
      <c r="I1004" t="s">
        <v>3969</v>
      </c>
    </row>
    <row r="1005" spans="1:9">
      <c r="A1005" s="93" t="s">
        <v>4162</v>
      </c>
      <c r="B1005" t="s">
        <v>1866</v>
      </c>
      <c r="C1005" t="s">
        <v>2659</v>
      </c>
      <c r="D1005" t="s">
        <v>2559</v>
      </c>
      <c r="E1005" t="s">
        <v>2288</v>
      </c>
      <c r="F1005" t="s">
        <v>2660</v>
      </c>
      <c r="G1005" t="s">
        <v>4143</v>
      </c>
      <c r="H1005" t="s">
        <v>2288</v>
      </c>
      <c r="I1005" t="s">
        <v>3969</v>
      </c>
    </row>
    <row r="1006" spans="1:9">
      <c r="A1006" s="93" t="s">
        <v>4162</v>
      </c>
      <c r="B1006" t="s">
        <v>1866</v>
      </c>
      <c r="C1006" t="s">
        <v>2661</v>
      </c>
      <c r="D1006" t="s">
        <v>2559</v>
      </c>
      <c r="E1006" t="s">
        <v>2135</v>
      </c>
      <c r="F1006" t="s">
        <v>2662</v>
      </c>
      <c r="G1006" t="s">
        <v>4163</v>
      </c>
      <c r="H1006" t="s">
        <v>2517</v>
      </c>
      <c r="I1006" t="s">
        <v>3969</v>
      </c>
    </row>
    <row r="1007" spans="1:9">
      <c r="A1007" s="93" t="s">
        <v>4162</v>
      </c>
      <c r="B1007" t="s">
        <v>1866</v>
      </c>
      <c r="C1007" t="s">
        <v>2663</v>
      </c>
      <c r="D1007" t="s">
        <v>2559</v>
      </c>
      <c r="E1007" t="s">
        <v>2288</v>
      </c>
      <c r="F1007" t="s">
        <v>2664</v>
      </c>
      <c r="G1007" t="s">
        <v>4143</v>
      </c>
      <c r="H1007" t="s">
        <v>2288</v>
      </c>
      <c r="I1007" t="s">
        <v>3969</v>
      </c>
    </row>
    <row r="1008" spans="1:9">
      <c r="A1008" s="93" t="s">
        <v>4162</v>
      </c>
      <c r="B1008" t="s">
        <v>1866</v>
      </c>
      <c r="C1008" t="s">
        <v>2665</v>
      </c>
      <c r="D1008" t="s">
        <v>2563</v>
      </c>
      <c r="E1008" t="s">
        <v>2288</v>
      </c>
      <c r="F1008" t="s">
        <v>2666</v>
      </c>
      <c r="G1008" t="s">
        <v>4143</v>
      </c>
      <c r="H1008" t="s">
        <v>2288</v>
      </c>
      <c r="I1008" t="s">
        <v>3969</v>
      </c>
    </row>
    <row r="1009" spans="1:9">
      <c r="A1009" s="93" t="s">
        <v>4162</v>
      </c>
      <c r="B1009" t="s">
        <v>1866</v>
      </c>
      <c r="C1009" t="s">
        <v>2667</v>
      </c>
      <c r="D1009" t="s">
        <v>2571</v>
      </c>
      <c r="E1009" t="s">
        <v>2668</v>
      </c>
      <c r="F1009" t="s">
        <v>2670</v>
      </c>
      <c r="G1009" t="s">
        <v>4143</v>
      </c>
      <c r="H1009" t="s">
        <v>2669</v>
      </c>
      <c r="I1009" t="s">
        <v>3969</v>
      </c>
    </row>
    <row r="1010" spans="1:9">
      <c r="A1010" s="93" t="s">
        <v>4162</v>
      </c>
      <c r="B1010" t="s">
        <v>1866</v>
      </c>
      <c r="C1010" t="s">
        <v>2671</v>
      </c>
      <c r="D1010" t="s">
        <v>2591</v>
      </c>
      <c r="E1010" t="s">
        <v>2288</v>
      </c>
      <c r="F1010" t="s">
        <v>2672</v>
      </c>
      <c r="G1010" t="s">
        <v>4143</v>
      </c>
      <c r="H1010" t="s">
        <v>2288</v>
      </c>
      <c r="I1010" t="s">
        <v>3969</v>
      </c>
    </row>
    <row r="1011" spans="1:9">
      <c r="A1011" s="93" t="s">
        <v>4162</v>
      </c>
      <c r="B1011" t="s">
        <v>1866</v>
      </c>
      <c r="C1011" t="s">
        <v>2673</v>
      </c>
      <c r="D1011" t="s">
        <v>2537</v>
      </c>
      <c r="E1011" t="s">
        <v>2338</v>
      </c>
      <c r="G1011" t="s">
        <v>4163</v>
      </c>
      <c r="H1011" t="s">
        <v>2339</v>
      </c>
      <c r="I1011" t="s">
        <v>3969</v>
      </c>
    </row>
    <row r="1012" spans="1:9">
      <c r="A1012" s="93" t="s">
        <v>4162</v>
      </c>
      <c r="B1012" t="s">
        <v>1866</v>
      </c>
      <c r="C1012" t="s">
        <v>2674</v>
      </c>
      <c r="D1012" t="s">
        <v>2533</v>
      </c>
      <c r="E1012" t="s">
        <v>1201</v>
      </c>
      <c r="F1012" t="s">
        <v>2675</v>
      </c>
      <c r="G1012" t="s">
        <v>4143</v>
      </c>
      <c r="H1012" t="s">
        <v>1201</v>
      </c>
      <c r="I1012" t="s">
        <v>3969</v>
      </c>
    </row>
    <row r="1013" spans="1:9">
      <c r="A1013" s="93" t="s">
        <v>4162</v>
      </c>
      <c r="B1013" t="s">
        <v>1870</v>
      </c>
      <c r="C1013" t="s">
        <v>2546</v>
      </c>
      <c r="D1013" t="s">
        <v>2546</v>
      </c>
      <c r="E1013" t="s">
        <v>2135</v>
      </c>
      <c r="F1013" t="s">
        <v>2580</v>
      </c>
      <c r="G1013" t="s">
        <v>4163</v>
      </c>
      <c r="H1013" t="s">
        <v>2517</v>
      </c>
      <c r="I1013" t="s">
        <v>3973</v>
      </c>
    </row>
    <row r="1014" spans="1:9">
      <c r="A1014" s="93" t="s">
        <v>4162</v>
      </c>
      <c r="B1014" t="s">
        <v>1870</v>
      </c>
      <c r="C1014" t="s">
        <v>2677</v>
      </c>
      <c r="D1014" t="s">
        <v>2533</v>
      </c>
      <c r="E1014" t="s">
        <v>2288</v>
      </c>
      <c r="F1014" t="s">
        <v>2678</v>
      </c>
      <c r="G1014" t="s">
        <v>4143</v>
      </c>
      <c r="H1014" t="s">
        <v>2288</v>
      </c>
      <c r="I1014" t="s">
        <v>3973</v>
      </c>
    </row>
    <row r="1015" spans="1:9">
      <c r="A1015" s="93" t="s">
        <v>4162</v>
      </c>
      <c r="B1015" t="s">
        <v>1870</v>
      </c>
      <c r="C1015" t="s">
        <v>2679</v>
      </c>
      <c r="D1015" t="s">
        <v>2537</v>
      </c>
      <c r="E1015" t="s">
        <v>2288</v>
      </c>
      <c r="F1015" t="s">
        <v>2680</v>
      </c>
      <c r="G1015" t="s">
        <v>4143</v>
      </c>
      <c r="H1015" t="s">
        <v>2288</v>
      </c>
      <c r="I1015" t="s">
        <v>3973</v>
      </c>
    </row>
    <row r="1016" spans="1:9">
      <c r="A1016" s="93" t="s">
        <v>4162</v>
      </c>
      <c r="B1016" t="s">
        <v>1870</v>
      </c>
      <c r="C1016" t="s">
        <v>2681</v>
      </c>
      <c r="D1016" t="s">
        <v>2563</v>
      </c>
      <c r="E1016" t="s">
        <v>108</v>
      </c>
      <c r="F1016" t="s">
        <v>2682</v>
      </c>
      <c r="G1016" t="s">
        <v>4143</v>
      </c>
      <c r="H1016" t="s">
        <v>108</v>
      </c>
      <c r="I1016" t="s">
        <v>3973</v>
      </c>
    </row>
    <row r="1017" spans="1:9">
      <c r="A1017" s="93" t="s">
        <v>4162</v>
      </c>
      <c r="B1017" t="s">
        <v>1870</v>
      </c>
      <c r="C1017" t="s">
        <v>2683</v>
      </c>
      <c r="D1017" t="s">
        <v>2537</v>
      </c>
      <c r="E1017" t="s">
        <v>2684</v>
      </c>
      <c r="F1017" t="s">
        <v>2686</v>
      </c>
      <c r="G1017" t="s">
        <v>4163</v>
      </c>
      <c r="H1017" t="s">
        <v>2685</v>
      </c>
      <c r="I1017" t="s">
        <v>3973</v>
      </c>
    </row>
    <row r="1018" spans="1:9">
      <c r="A1018" s="93" t="s">
        <v>4162</v>
      </c>
      <c r="B1018" t="s">
        <v>1870</v>
      </c>
      <c r="C1018" t="s">
        <v>2687</v>
      </c>
      <c r="D1018" t="s">
        <v>2554</v>
      </c>
      <c r="E1018" t="s">
        <v>2288</v>
      </c>
      <c r="F1018" t="s">
        <v>2688</v>
      </c>
      <c r="G1018" t="s">
        <v>4143</v>
      </c>
      <c r="H1018" t="s">
        <v>2288</v>
      </c>
      <c r="I1018" t="s">
        <v>3973</v>
      </c>
    </row>
    <row r="1019" spans="1:9">
      <c r="A1019" s="93" t="s">
        <v>4162</v>
      </c>
      <c r="B1019" t="s">
        <v>1870</v>
      </c>
      <c r="C1019" t="s">
        <v>2689</v>
      </c>
      <c r="D1019" t="s">
        <v>2554</v>
      </c>
      <c r="E1019" t="s">
        <v>2288</v>
      </c>
      <c r="F1019" t="s">
        <v>2690</v>
      </c>
      <c r="G1019" t="s">
        <v>4143</v>
      </c>
      <c r="H1019" t="s">
        <v>2288</v>
      </c>
      <c r="I1019" t="s">
        <v>3973</v>
      </c>
    </row>
    <row r="1020" spans="1:9">
      <c r="A1020" s="93" t="s">
        <v>4162</v>
      </c>
      <c r="B1020" t="s">
        <v>1870</v>
      </c>
      <c r="C1020" t="s">
        <v>2691</v>
      </c>
      <c r="D1020" t="s">
        <v>2533</v>
      </c>
      <c r="E1020" t="s">
        <v>2135</v>
      </c>
      <c r="F1020" t="s">
        <v>2692</v>
      </c>
      <c r="G1020" t="s">
        <v>4163</v>
      </c>
      <c r="H1020" t="s">
        <v>2517</v>
      </c>
      <c r="I1020" t="s">
        <v>3973</v>
      </c>
    </row>
    <row r="1021" spans="1:9">
      <c r="A1021" s="93" t="s">
        <v>4162</v>
      </c>
      <c r="B1021" t="s">
        <v>1870</v>
      </c>
      <c r="C1021" t="s">
        <v>2693</v>
      </c>
      <c r="D1021" t="s">
        <v>2533</v>
      </c>
      <c r="E1021" t="s">
        <v>2288</v>
      </c>
      <c r="F1021" t="s">
        <v>2694</v>
      </c>
      <c r="G1021" t="s">
        <v>4143</v>
      </c>
      <c r="H1021" t="s">
        <v>2288</v>
      </c>
      <c r="I1021" t="s">
        <v>3973</v>
      </c>
    </row>
    <row r="1022" spans="1:9">
      <c r="A1022" s="93" t="s">
        <v>4162</v>
      </c>
      <c r="B1022" t="s">
        <v>1870</v>
      </c>
      <c r="C1022" t="s">
        <v>2695</v>
      </c>
      <c r="D1022" t="s">
        <v>2591</v>
      </c>
      <c r="E1022" t="s">
        <v>2288</v>
      </c>
      <c r="F1022" t="s">
        <v>2696</v>
      </c>
      <c r="G1022" t="s">
        <v>4143</v>
      </c>
      <c r="H1022" t="s">
        <v>2288</v>
      </c>
      <c r="I1022" t="s">
        <v>3973</v>
      </c>
    </row>
    <row r="1023" spans="1:9">
      <c r="A1023" s="93" t="s">
        <v>4162</v>
      </c>
      <c r="B1023" t="s">
        <v>1870</v>
      </c>
      <c r="C1023" t="s">
        <v>2697</v>
      </c>
      <c r="D1023" t="s">
        <v>2582</v>
      </c>
      <c r="E1023" t="s">
        <v>2367</v>
      </c>
      <c r="F1023" t="s">
        <v>2698</v>
      </c>
      <c r="G1023" t="s">
        <v>4143</v>
      </c>
      <c r="H1023" t="s">
        <v>2193</v>
      </c>
      <c r="I1023" t="s">
        <v>3973</v>
      </c>
    </row>
    <row r="1024" spans="1:9">
      <c r="A1024" s="93" t="s">
        <v>4162</v>
      </c>
      <c r="B1024" t="s">
        <v>1870</v>
      </c>
      <c r="C1024" t="s">
        <v>2699</v>
      </c>
      <c r="D1024" t="s">
        <v>2571</v>
      </c>
      <c r="E1024" t="s">
        <v>2288</v>
      </c>
      <c r="F1024" t="s">
        <v>2700</v>
      </c>
      <c r="G1024" t="s">
        <v>4143</v>
      </c>
      <c r="H1024" t="s">
        <v>2288</v>
      </c>
      <c r="I1024" t="s">
        <v>3973</v>
      </c>
    </row>
    <row r="1025" spans="1:9">
      <c r="A1025" s="93" t="s">
        <v>4162</v>
      </c>
      <c r="B1025" t="s">
        <v>1870</v>
      </c>
      <c r="C1025" t="s">
        <v>2701</v>
      </c>
      <c r="D1025" t="s">
        <v>2559</v>
      </c>
      <c r="E1025" t="s">
        <v>2193</v>
      </c>
      <c r="F1025" t="s">
        <v>2702</v>
      </c>
      <c r="G1025" t="s">
        <v>4143</v>
      </c>
      <c r="H1025" t="s">
        <v>2193</v>
      </c>
      <c r="I1025" t="s">
        <v>3973</v>
      </c>
    </row>
    <row r="1026" spans="1:9">
      <c r="A1026" s="93" t="s">
        <v>4162</v>
      </c>
      <c r="B1026" t="s">
        <v>1870</v>
      </c>
      <c r="C1026" t="s">
        <v>2703</v>
      </c>
      <c r="D1026" t="s">
        <v>2554</v>
      </c>
      <c r="E1026" t="s">
        <v>2193</v>
      </c>
      <c r="F1026" t="s">
        <v>2704</v>
      </c>
      <c r="G1026" t="s">
        <v>4143</v>
      </c>
      <c r="H1026" t="s">
        <v>2193</v>
      </c>
      <c r="I1026" t="s">
        <v>3973</v>
      </c>
    </row>
    <row r="1027" spans="1:9">
      <c r="A1027" s="93" t="s">
        <v>4162</v>
      </c>
      <c r="B1027" t="s">
        <v>1870</v>
      </c>
      <c r="C1027" t="s">
        <v>2705</v>
      </c>
      <c r="D1027" t="s">
        <v>2554</v>
      </c>
      <c r="E1027" t="s">
        <v>2338</v>
      </c>
      <c r="G1027" t="s">
        <v>4163</v>
      </c>
      <c r="H1027" t="s">
        <v>2339</v>
      </c>
      <c r="I1027" t="s">
        <v>3973</v>
      </c>
    </row>
    <row r="1028" spans="1:9">
      <c r="A1028" s="93" t="s">
        <v>4162</v>
      </c>
      <c r="B1028" t="s">
        <v>1870</v>
      </c>
      <c r="C1028" t="s">
        <v>2706</v>
      </c>
      <c r="D1028" t="s">
        <v>2591</v>
      </c>
      <c r="E1028" t="s">
        <v>108</v>
      </c>
      <c r="F1028" t="s">
        <v>2707</v>
      </c>
      <c r="G1028" t="s">
        <v>4143</v>
      </c>
      <c r="H1028" t="s">
        <v>108</v>
      </c>
      <c r="I1028" t="s">
        <v>3973</v>
      </c>
    </row>
    <row r="1029" spans="1:9">
      <c r="A1029" s="93" t="s">
        <v>4162</v>
      </c>
      <c r="B1029" t="s">
        <v>1872</v>
      </c>
      <c r="C1029" t="s">
        <v>2546</v>
      </c>
      <c r="D1029" t="s">
        <v>2546</v>
      </c>
      <c r="E1029" t="s">
        <v>2135</v>
      </c>
      <c r="F1029" t="s">
        <v>2580</v>
      </c>
      <c r="G1029" t="s">
        <v>4163</v>
      </c>
      <c r="H1029" t="s">
        <v>2517</v>
      </c>
      <c r="I1029" t="s">
        <v>3977</v>
      </c>
    </row>
    <row r="1030" spans="1:9">
      <c r="A1030" s="93" t="s">
        <v>4162</v>
      </c>
      <c r="B1030" t="s">
        <v>1872</v>
      </c>
      <c r="C1030" t="s">
        <v>2709</v>
      </c>
      <c r="D1030" t="s">
        <v>2582</v>
      </c>
      <c r="E1030" t="s">
        <v>2710</v>
      </c>
      <c r="G1030" t="s">
        <v>4143</v>
      </c>
      <c r="H1030" t="s">
        <v>2669</v>
      </c>
      <c r="I1030" t="s">
        <v>3977</v>
      </c>
    </row>
    <row r="1031" spans="1:9">
      <c r="A1031" s="93" t="s">
        <v>4162</v>
      </c>
      <c r="B1031" t="s">
        <v>1872</v>
      </c>
      <c r="C1031" t="s">
        <v>2711</v>
      </c>
      <c r="D1031" t="s">
        <v>2579</v>
      </c>
      <c r="E1031" t="s">
        <v>2288</v>
      </c>
      <c r="F1031" t="s">
        <v>2712</v>
      </c>
      <c r="G1031" t="s">
        <v>4143</v>
      </c>
      <c r="H1031" t="s">
        <v>2288</v>
      </c>
      <c r="I1031" t="s">
        <v>3977</v>
      </c>
    </row>
    <row r="1032" spans="1:9">
      <c r="A1032" s="93" t="s">
        <v>4162</v>
      </c>
      <c r="B1032" t="s">
        <v>1872</v>
      </c>
      <c r="C1032" t="s">
        <v>2713</v>
      </c>
      <c r="D1032" t="s">
        <v>2591</v>
      </c>
      <c r="E1032" t="s">
        <v>2288</v>
      </c>
      <c r="F1032" t="s">
        <v>2714</v>
      </c>
      <c r="G1032" t="s">
        <v>4143</v>
      </c>
      <c r="H1032" t="s">
        <v>2288</v>
      </c>
      <c r="I1032" t="s">
        <v>3977</v>
      </c>
    </row>
    <row r="1033" spans="1:9">
      <c r="A1033" s="93" t="s">
        <v>4162</v>
      </c>
      <c r="B1033" t="s">
        <v>1872</v>
      </c>
      <c r="C1033" t="s">
        <v>2715</v>
      </c>
      <c r="D1033" t="s">
        <v>2571</v>
      </c>
      <c r="E1033" t="s">
        <v>2288</v>
      </c>
      <c r="F1033" t="s">
        <v>2716</v>
      </c>
      <c r="G1033" t="s">
        <v>4143</v>
      </c>
      <c r="H1033" t="s">
        <v>2288</v>
      </c>
      <c r="I1033" t="s">
        <v>3977</v>
      </c>
    </row>
    <row r="1034" spans="1:9">
      <c r="A1034" s="93" t="s">
        <v>4162</v>
      </c>
      <c r="B1034" t="s">
        <v>1872</v>
      </c>
      <c r="C1034" t="s">
        <v>2717</v>
      </c>
      <c r="D1034" t="s">
        <v>2559</v>
      </c>
      <c r="E1034" t="s">
        <v>2288</v>
      </c>
      <c r="F1034" t="s">
        <v>2718</v>
      </c>
      <c r="G1034" t="s">
        <v>4143</v>
      </c>
      <c r="H1034" t="s">
        <v>2288</v>
      </c>
      <c r="I1034" t="s">
        <v>3977</v>
      </c>
    </row>
    <row r="1035" spans="1:9">
      <c r="A1035" s="93" t="s">
        <v>4162</v>
      </c>
      <c r="B1035" t="s">
        <v>1872</v>
      </c>
      <c r="C1035" t="s">
        <v>2719</v>
      </c>
      <c r="D1035" t="s">
        <v>2559</v>
      </c>
      <c r="E1035" t="s">
        <v>108</v>
      </c>
      <c r="F1035" t="s">
        <v>2720</v>
      </c>
      <c r="G1035" t="s">
        <v>4143</v>
      </c>
      <c r="H1035" t="s">
        <v>108</v>
      </c>
      <c r="I1035" t="s">
        <v>3977</v>
      </c>
    </row>
    <row r="1036" spans="1:9">
      <c r="A1036" s="93" t="s">
        <v>4162</v>
      </c>
      <c r="B1036" t="s">
        <v>1872</v>
      </c>
      <c r="C1036" t="s">
        <v>2721</v>
      </c>
      <c r="D1036" t="s">
        <v>2591</v>
      </c>
      <c r="E1036" t="s">
        <v>2288</v>
      </c>
      <c r="F1036" t="s">
        <v>2716</v>
      </c>
      <c r="G1036" t="s">
        <v>4143</v>
      </c>
      <c r="H1036" t="s">
        <v>2288</v>
      </c>
      <c r="I1036" t="s">
        <v>3977</v>
      </c>
    </row>
    <row r="1037" spans="1:9">
      <c r="A1037" s="93" t="s">
        <v>4162</v>
      </c>
      <c r="B1037" t="s">
        <v>1872</v>
      </c>
      <c r="C1037" t="s">
        <v>2722</v>
      </c>
      <c r="D1037" t="s">
        <v>2533</v>
      </c>
      <c r="E1037" t="s">
        <v>2723</v>
      </c>
      <c r="F1037" t="s">
        <v>2724</v>
      </c>
      <c r="G1037" t="s">
        <v>4143</v>
      </c>
      <c r="H1037" t="s">
        <v>133</v>
      </c>
      <c r="I1037" t="s">
        <v>3977</v>
      </c>
    </row>
    <row r="1038" spans="1:9">
      <c r="A1038" s="93" t="s">
        <v>4162</v>
      </c>
      <c r="B1038" t="s">
        <v>1872</v>
      </c>
      <c r="C1038" t="s">
        <v>2725</v>
      </c>
      <c r="D1038" t="s">
        <v>2582</v>
      </c>
      <c r="E1038" t="s">
        <v>2193</v>
      </c>
      <c r="G1038" t="s">
        <v>4143</v>
      </c>
      <c r="H1038" t="s">
        <v>2193</v>
      </c>
      <c r="I1038" t="s">
        <v>3977</v>
      </c>
    </row>
    <row r="1039" spans="1:9">
      <c r="A1039" s="93" t="s">
        <v>4162</v>
      </c>
      <c r="B1039" t="s">
        <v>1872</v>
      </c>
      <c r="C1039" t="s">
        <v>2726</v>
      </c>
      <c r="D1039" t="s">
        <v>2591</v>
      </c>
      <c r="E1039" t="s">
        <v>108</v>
      </c>
      <c r="F1039" t="s">
        <v>2727</v>
      </c>
      <c r="G1039" t="s">
        <v>4143</v>
      </c>
      <c r="H1039" t="s">
        <v>108</v>
      </c>
      <c r="I1039" t="s">
        <v>3977</v>
      </c>
    </row>
    <row r="1040" spans="1:9">
      <c r="A1040" s="93" t="s">
        <v>4162</v>
      </c>
      <c r="B1040" t="s">
        <v>1872</v>
      </c>
      <c r="C1040" t="s">
        <v>2728</v>
      </c>
      <c r="D1040" t="s">
        <v>2545</v>
      </c>
      <c r="E1040" t="s">
        <v>2288</v>
      </c>
      <c r="F1040" t="s">
        <v>2729</v>
      </c>
      <c r="G1040" t="s">
        <v>4143</v>
      </c>
      <c r="H1040" t="s">
        <v>2288</v>
      </c>
      <c r="I1040" t="s">
        <v>3977</v>
      </c>
    </row>
    <row r="1041" spans="1:9">
      <c r="A1041" s="93" t="s">
        <v>4162</v>
      </c>
      <c r="B1041" t="s">
        <v>1872</v>
      </c>
      <c r="C1041" t="s">
        <v>2730</v>
      </c>
      <c r="D1041" t="s">
        <v>2545</v>
      </c>
      <c r="E1041" t="s">
        <v>2731</v>
      </c>
      <c r="F1041" t="s">
        <v>2732</v>
      </c>
      <c r="G1041" t="s">
        <v>4143</v>
      </c>
      <c r="H1041" t="s">
        <v>108</v>
      </c>
      <c r="I1041" t="s">
        <v>3977</v>
      </c>
    </row>
    <row r="1042" spans="1:9">
      <c r="A1042" s="93" t="s">
        <v>4162</v>
      </c>
      <c r="B1042" t="s">
        <v>1872</v>
      </c>
      <c r="C1042" t="s">
        <v>2733</v>
      </c>
      <c r="D1042" t="s">
        <v>2591</v>
      </c>
      <c r="E1042" t="s">
        <v>2288</v>
      </c>
      <c r="F1042" t="s">
        <v>2734</v>
      </c>
      <c r="G1042" t="s">
        <v>4143</v>
      </c>
      <c r="H1042" t="s">
        <v>2288</v>
      </c>
      <c r="I1042" t="s">
        <v>3977</v>
      </c>
    </row>
    <row r="1043" spans="1:9">
      <c r="A1043" s="93" t="s">
        <v>4162</v>
      </c>
      <c r="B1043" t="s">
        <v>1873</v>
      </c>
      <c r="C1043" t="s">
        <v>2546</v>
      </c>
      <c r="D1043" t="s">
        <v>2546</v>
      </c>
      <c r="E1043" t="s">
        <v>2135</v>
      </c>
      <c r="F1043" t="s">
        <v>2580</v>
      </c>
      <c r="G1043" t="s">
        <v>4163</v>
      </c>
      <c r="H1043" t="s">
        <v>2517</v>
      </c>
      <c r="I1043" t="s">
        <v>3981</v>
      </c>
    </row>
    <row r="1044" spans="1:9">
      <c r="A1044" s="93" t="s">
        <v>4162</v>
      </c>
      <c r="B1044" t="s">
        <v>1873</v>
      </c>
      <c r="C1044" t="s">
        <v>2736</v>
      </c>
      <c r="D1044" t="s">
        <v>2579</v>
      </c>
      <c r="E1044" t="s">
        <v>2737</v>
      </c>
      <c r="F1044" t="s">
        <v>2739</v>
      </c>
      <c r="G1044" t="s">
        <v>4163</v>
      </c>
      <c r="H1044" t="s">
        <v>2738</v>
      </c>
      <c r="I1044" t="s">
        <v>3981</v>
      </c>
    </row>
    <row r="1045" spans="1:9">
      <c r="A1045" s="93" t="s">
        <v>4162</v>
      </c>
      <c r="B1045" t="s">
        <v>1873</v>
      </c>
      <c r="C1045" t="s">
        <v>2740</v>
      </c>
      <c r="D1045" t="s">
        <v>2559</v>
      </c>
      <c r="E1045" t="s">
        <v>2741</v>
      </c>
      <c r="F1045" t="s">
        <v>2742</v>
      </c>
      <c r="G1045" t="s">
        <v>4143</v>
      </c>
      <c r="H1045" t="s">
        <v>108</v>
      </c>
      <c r="I1045" t="s">
        <v>3981</v>
      </c>
    </row>
    <row r="1046" spans="1:9">
      <c r="A1046" s="93" t="s">
        <v>4162</v>
      </c>
      <c r="B1046" t="s">
        <v>1873</v>
      </c>
      <c r="C1046" t="s">
        <v>2743</v>
      </c>
      <c r="D1046" t="s">
        <v>2571</v>
      </c>
      <c r="E1046" t="s">
        <v>2744</v>
      </c>
      <c r="F1046" t="s">
        <v>2745</v>
      </c>
      <c r="G1046" t="s">
        <v>4143</v>
      </c>
      <c r="H1046" t="s">
        <v>2288</v>
      </c>
      <c r="I1046" t="s">
        <v>3981</v>
      </c>
    </row>
    <row r="1047" spans="1:9">
      <c r="A1047" s="93" t="s">
        <v>4162</v>
      </c>
      <c r="B1047" t="s">
        <v>1873</v>
      </c>
      <c r="C1047" t="s">
        <v>2746</v>
      </c>
      <c r="D1047" t="s">
        <v>2571</v>
      </c>
      <c r="E1047" t="s">
        <v>2744</v>
      </c>
      <c r="F1047" t="s">
        <v>2745</v>
      </c>
      <c r="G1047" t="s">
        <v>4143</v>
      </c>
      <c r="H1047" t="s">
        <v>2288</v>
      </c>
      <c r="I1047" t="s">
        <v>3981</v>
      </c>
    </row>
    <row r="1048" spans="1:9">
      <c r="A1048" s="93" t="s">
        <v>4162</v>
      </c>
      <c r="B1048" t="s">
        <v>1873</v>
      </c>
      <c r="C1048" t="s">
        <v>2747</v>
      </c>
      <c r="D1048" t="s">
        <v>2533</v>
      </c>
      <c r="E1048" t="s">
        <v>2288</v>
      </c>
      <c r="F1048" t="s">
        <v>2748</v>
      </c>
      <c r="G1048" t="s">
        <v>4143</v>
      </c>
      <c r="H1048" t="s">
        <v>2288</v>
      </c>
      <c r="I1048" t="s">
        <v>3981</v>
      </c>
    </row>
    <row r="1049" spans="1:9">
      <c r="A1049" s="93" t="s">
        <v>4162</v>
      </c>
      <c r="B1049" t="s">
        <v>1873</v>
      </c>
      <c r="C1049" t="s">
        <v>2749</v>
      </c>
      <c r="D1049" t="s">
        <v>2579</v>
      </c>
      <c r="E1049" t="s">
        <v>2288</v>
      </c>
      <c r="F1049" t="s">
        <v>2750</v>
      </c>
      <c r="G1049" t="s">
        <v>4143</v>
      </c>
      <c r="H1049" t="s">
        <v>2288</v>
      </c>
      <c r="I1049" t="s">
        <v>3981</v>
      </c>
    </row>
    <row r="1050" spans="1:9">
      <c r="A1050" s="93" t="s">
        <v>4162</v>
      </c>
      <c r="B1050" t="s">
        <v>1873</v>
      </c>
      <c r="C1050" t="s">
        <v>2751</v>
      </c>
      <c r="D1050" t="s">
        <v>2571</v>
      </c>
      <c r="E1050" t="s">
        <v>2288</v>
      </c>
      <c r="F1050" t="s">
        <v>2752</v>
      </c>
      <c r="G1050" t="s">
        <v>4143</v>
      </c>
      <c r="H1050" t="s">
        <v>2288</v>
      </c>
      <c r="I1050" t="s">
        <v>3981</v>
      </c>
    </row>
    <row r="1051" spans="1:9">
      <c r="A1051" s="93" t="s">
        <v>4162</v>
      </c>
      <c r="B1051" t="s">
        <v>1873</v>
      </c>
      <c r="C1051" t="s">
        <v>2753</v>
      </c>
      <c r="D1051" t="s">
        <v>2537</v>
      </c>
      <c r="E1051" t="s">
        <v>2288</v>
      </c>
      <c r="F1051" t="s">
        <v>2754</v>
      </c>
      <c r="G1051" t="s">
        <v>4143</v>
      </c>
      <c r="H1051" t="s">
        <v>2288</v>
      </c>
      <c r="I1051" t="s">
        <v>3981</v>
      </c>
    </row>
    <row r="1052" spans="1:9">
      <c r="A1052" s="93" t="s">
        <v>4162</v>
      </c>
      <c r="B1052" t="s">
        <v>1873</v>
      </c>
      <c r="C1052" t="s">
        <v>2755</v>
      </c>
      <c r="D1052" t="s">
        <v>2579</v>
      </c>
      <c r="E1052" t="s">
        <v>2288</v>
      </c>
      <c r="F1052" t="s">
        <v>2756</v>
      </c>
      <c r="G1052" t="s">
        <v>4143</v>
      </c>
      <c r="H1052" t="s">
        <v>2288</v>
      </c>
      <c r="I1052" t="s">
        <v>3981</v>
      </c>
    </row>
    <row r="1053" spans="1:9">
      <c r="A1053" s="93" t="s">
        <v>4162</v>
      </c>
      <c r="B1053" t="s">
        <v>1873</v>
      </c>
      <c r="C1053" t="s">
        <v>2757</v>
      </c>
      <c r="D1053" t="s">
        <v>2619</v>
      </c>
      <c r="E1053" t="s">
        <v>2288</v>
      </c>
      <c r="F1053" t="s">
        <v>2758</v>
      </c>
      <c r="G1053" t="s">
        <v>4143</v>
      </c>
      <c r="H1053" t="s">
        <v>2288</v>
      </c>
      <c r="I1053" t="s">
        <v>3981</v>
      </c>
    </row>
    <row r="1054" spans="1:9">
      <c r="A1054" s="93" t="s">
        <v>4162</v>
      </c>
      <c r="B1054" t="s">
        <v>1873</v>
      </c>
      <c r="C1054" t="s">
        <v>2759</v>
      </c>
      <c r="D1054" t="s">
        <v>2537</v>
      </c>
      <c r="E1054" t="s">
        <v>2288</v>
      </c>
      <c r="F1054" t="s">
        <v>2760</v>
      </c>
      <c r="G1054" t="s">
        <v>4143</v>
      </c>
      <c r="H1054" t="s">
        <v>2288</v>
      </c>
      <c r="I1054" t="s">
        <v>3981</v>
      </c>
    </row>
    <row r="1055" spans="1:9">
      <c r="A1055" s="93" t="s">
        <v>4162</v>
      </c>
      <c r="B1055" t="s">
        <v>1873</v>
      </c>
      <c r="C1055" t="s">
        <v>2761</v>
      </c>
      <c r="D1055" t="s">
        <v>2582</v>
      </c>
      <c r="E1055" t="s">
        <v>2762</v>
      </c>
      <c r="F1055" t="s">
        <v>2763</v>
      </c>
      <c r="G1055" t="s">
        <v>4143</v>
      </c>
      <c r="H1055" t="s">
        <v>108</v>
      </c>
      <c r="I1055" t="s">
        <v>3981</v>
      </c>
    </row>
    <row r="1056" spans="1:9">
      <c r="A1056" s="93" t="s">
        <v>4162</v>
      </c>
      <c r="B1056" t="s">
        <v>1873</v>
      </c>
      <c r="C1056" t="s">
        <v>2764</v>
      </c>
      <c r="D1056" t="s">
        <v>2582</v>
      </c>
      <c r="E1056" t="s">
        <v>1201</v>
      </c>
      <c r="G1056" t="s">
        <v>4143</v>
      </c>
      <c r="H1056" t="s">
        <v>1201</v>
      </c>
      <c r="I1056" t="s">
        <v>3981</v>
      </c>
    </row>
    <row r="1057" spans="1:9">
      <c r="A1057" s="93" t="s">
        <v>4162</v>
      </c>
      <c r="B1057" t="s">
        <v>1873</v>
      </c>
      <c r="C1057" t="s">
        <v>2765</v>
      </c>
      <c r="D1057" t="s">
        <v>2563</v>
      </c>
      <c r="E1057" t="s">
        <v>2288</v>
      </c>
      <c r="F1057" t="s">
        <v>2712</v>
      </c>
      <c r="G1057" t="s">
        <v>4143</v>
      </c>
      <c r="H1057" t="s">
        <v>2288</v>
      </c>
      <c r="I1057" t="s">
        <v>3981</v>
      </c>
    </row>
    <row r="1058" spans="1:9">
      <c r="A1058" s="93" t="s">
        <v>4162</v>
      </c>
      <c r="B1058" t="s">
        <v>1874</v>
      </c>
      <c r="C1058" t="s">
        <v>2308</v>
      </c>
      <c r="D1058" t="s">
        <v>2122</v>
      </c>
      <c r="E1058" t="s">
        <v>2309</v>
      </c>
      <c r="F1058" t="s">
        <v>2312</v>
      </c>
      <c r="G1058" t="s">
        <v>4163</v>
      </c>
      <c r="H1058" t="s">
        <v>2311</v>
      </c>
      <c r="I1058" t="s">
        <v>3984</v>
      </c>
    </row>
    <row r="1059" spans="1:9">
      <c r="A1059" s="93" t="s">
        <v>4162</v>
      </c>
      <c r="B1059" t="s">
        <v>1874</v>
      </c>
      <c r="C1059" t="s">
        <v>2352</v>
      </c>
      <c r="E1059" t="s">
        <v>1201</v>
      </c>
      <c r="G1059" t="s">
        <v>4143</v>
      </c>
      <c r="H1059" t="s">
        <v>1201</v>
      </c>
      <c r="I1059" t="s">
        <v>3984</v>
      </c>
    </row>
    <row r="1060" spans="1:9">
      <c r="A1060" s="93" t="s">
        <v>4162</v>
      </c>
      <c r="B1060" t="s">
        <v>1874</v>
      </c>
      <c r="C1060" t="s">
        <v>2118</v>
      </c>
      <c r="E1060" t="s">
        <v>2119</v>
      </c>
      <c r="G1060" t="s">
        <v>4143</v>
      </c>
      <c r="H1060" t="s">
        <v>1201</v>
      </c>
      <c r="I1060" t="s">
        <v>3984</v>
      </c>
    </row>
    <row r="1061" spans="1:9">
      <c r="A1061" s="93" t="s">
        <v>4162</v>
      </c>
      <c r="B1061" t="s">
        <v>1874</v>
      </c>
      <c r="C1061" t="s">
        <v>2313</v>
      </c>
      <c r="D1061" t="s">
        <v>2314</v>
      </c>
      <c r="E1061" t="s">
        <v>2309</v>
      </c>
      <c r="G1061" t="s">
        <v>4163</v>
      </c>
      <c r="H1061" t="s">
        <v>2311</v>
      </c>
      <c r="I1061" t="s">
        <v>3984</v>
      </c>
    </row>
    <row r="1062" spans="1:9">
      <c r="A1062" s="93" t="s">
        <v>4162</v>
      </c>
      <c r="B1062" t="s">
        <v>1874</v>
      </c>
      <c r="C1062" t="s">
        <v>2315</v>
      </c>
      <c r="D1062" t="s">
        <v>2314</v>
      </c>
      <c r="E1062" t="s">
        <v>2309</v>
      </c>
      <c r="G1062" t="s">
        <v>4163</v>
      </c>
      <c r="H1062" t="s">
        <v>2311</v>
      </c>
      <c r="I1062" t="s">
        <v>3984</v>
      </c>
    </row>
    <row r="1063" spans="1:9">
      <c r="A1063" s="93" t="s">
        <v>4162</v>
      </c>
      <c r="B1063" t="s">
        <v>1874</v>
      </c>
      <c r="C1063" t="s">
        <v>2316</v>
      </c>
      <c r="D1063" t="s">
        <v>2124</v>
      </c>
      <c r="E1063" t="s">
        <v>2309</v>
      </c>
      <c r="G1063" t="s">
        <v>4163</v>
      </c>
      <c r="H1063" t="s">
        <v>2311</v>
      </c>
      <c r="I1063" t="s">
        <v>3984</v>
      </c>
    </row>
    <row r="1064" spans="1:9">
      <c r="A1064" s="93" t="s">
        <v>4162</v>
      </c>
      <c r="B1064" t="s">
        <v>1875</v>
      </c>
      <c r="C1064" t="s">
        <v>2134</v>
      </c>
      <c r="E1064" t="s">
        <v>2135</v>
      </c>
      <c r="F1064" t="s">
        <v>2137</v>
      </c>
      <c r="G1064" t="s">
        <v>4163</v>
      </c>
      <c r="H1064" t="s">
        <v>2318</v>
      </c>
      <c r="I1064" t="s">
        <v>3988</v>
      </c>
    </row>
    <row r="1065" spans="1:9">
      <c r="A1065" s="93" t="s">
        <v>4162</v>
      </c>
      <c r="B1065" t="s">
        <v>1882</v>
      </c>
      <c r="C1065" t="s">
        <v>2169</v>
      </c>
      <c r="D1065" t="s">
        <v>2129</v>
      </c>
      <c r="E1065" t="s">
        <v>2170</v>
      </c>
      <c r="G1065" t="s">
        <v>4163</v>
      </c>
      <c r="H1065" t="s">
        <v>2318</v>
      </c>
      <c r="I1065" t="s">
        <v>4000</v>
      </c>
    </row>
    <row r="1066" spans="1:9">
      <c r="A1066" s="93" t="s">
        <v>4162</v>
      </c>
      <c r="B1066" t="s">
        <v>1882</v>
      </c>
      <c r="C1066" t="s">
        <v>2171</v>
      </c>
      <c r="D1066" t="s">
        <v>2129</v>
      </c>
      <c r="E1066" t="s">
        <v>2135</v>
      </c>
      <c r="G1066" t="s">
        <v>4163</v>
      </c>
      <c r="H1066" t="s">
        <v>2318</v>
      </c>
      <c r="I1066" t="s">
        <v>4000</v>
      </c>
    </row>
    <row r="1067" spans="1:9">
      <c r="A1067" s="93" t="s">
        <v>4162</v>
      </c>
      <c r="B1067" t="s">
        <v>1882</v>
      </c>
      <c r="C1067" t="s">
        <v>2172</v>
      </c>
      <c r="D1067" t="s">
        <v>2129</v>
      </c>
      <c r="E1067" t="s">
        <v>2135</v>
      </c>
      <c r="G1067" t="s">
        <v>4163</v>
      </c>
      <c r="H1067" t="s">
        <v>2318</v>
      </c>
      <c r="I1067" t="s">
        <v>4000</v>
      </c>
    </row>
    <row r="1068" spans="1:9">
      <c r="A1068" s="93" t="s">
        <v>4162</v>
      </c>
      <c r="B1068" t="s">
        <v>1882</v>
      </c>
      <c r="C1068" t="s">
        <v>2173</v>
      </c>
      <c r="D1068" t="s">
        <v>2174</v>
      </c>
      <c r="E1068" t="s">
        <v>2135</v>
      </c>
      <c r="G1068" t="s">
        <v>4163</v>
      </c>
      <c r="H1068" t="s">
        <v>2318</v>
      </c>
      <c r="I1068" t="s">
        <v>4000</v>
      </c>
    </row>
    <row r="1069" spans="1:9">
      <c r="A1069" s="93" t="s">
        <v>4162</v>
      </c>
      <c r="B1069" t="s">
        <v>1882</v>
      </c>
      <c r="C1069" t="s">
        <v>2175</v>
      </c>
      <c r="E1069" t="s">
        <v>2135</v>
      </c>
      <c r="G1069" t="s">
        <v>4163</v>
      </c>
      <c r="H1069" t="s">
        <v>2318</v>
      </c>
      <c r="I1069" t="s">
        <v>4000</v>
      </c>
    </row>
    <row r="1070" spans="1:9">
      <c r="A1070" s="93" t="s">
        <v>4162</v>
      </c>
      <c r="B1070" t="s">
        <v>1882</v>
      </c>
      <c r="C1070" t="s">
        <v>2176</v>
      </c>
      <c r="E1070" t="s">
        <v>2135</v>
      </c>
      <c r="G1070" t="s">
        <v>4163</v>
      </c>
      <c r="H1070" t="s">
        <v>2318</v>
      </c>
      <c r="I1070" t="s">
        <v>4000</v>
      </c>
    </row>
    <row r="1071" spans="1:9">
      <c r="A1071" s="93" t="s">
        <v>4162</v>
      </c>
      <c r="B1071" t="s">
        <v>1882</v>
      </c>
      <c r="C1071" t="s">
        <v>2177</v>
      </c>
      <c r="E1071" t="s">
        <v>2135</v>
      </c>
      <c r="G1071" t="s">
        <v>4163</v>
      </c>
      <c r="H1071" t="s">
        <v>2318</v>
      </c>
      <c r="I1071" t="s">
        <v>4000</v>
      </c>
    </row>
    <row r="1072" spans="1:9">
      <c r="A1072" s="93" t="s">
        <v>4162</v>
      </c>
      <c r="B1072" t="s">
        <v>1884</v>
      </c>
      <c r="C1072" t="s">
        <v>2188</v>
      </c>
      <c r="E1072" t="s">
        <v>2189</v>
      </c>
      <c r="G1072" t="s">
        <v>4143</v>
      </c>
      <c r="H1072" t="s">
        <v>2400</v>
      </c>
      <c r="I1072" t="s">
        <v>4002</v>
      </c>
    </row>
    <row r="1073" spans="1:9">
      <c r="A1073" s="93" t="s">
        <v>4162</v>
      </c>
      <c r="B1073" t="s">
        <v>1884</v>
      </c>
      <c r="C1073" t="s">
        <v>2190</v>
      </c>
      <c r="E1073" t="s">
        <v>2135</v>
      </c>
      <c r="G1073" t="s">
        <v>4163</v>
      </c>
      <c r="H1073" t="s">
        <v>2318</v>
      </c>
      <c r="I1073" t="s">
        <v>4002</v>
      </c>
    </row>
    <row r="1074" spans="1:9">
      <c r="A1074" s="93" t="s">
        <v>4162</v>
      </c>
      <c r="B1074" t="s">
        <v>1884</v>
      </c>
      <c r="C1074" t="s">
        <v>2191</v>
      </c>
      <c r="E1074" t="s">
        <v>2135</v>
      </c>
      <c r="G1074" t="s">
        <v>4163</v>
      </c>
      <c r="H1074" t="s">
        <v>2318</v>
      </c>
      <c r="I1074" t="s">
        <v>4002</v>
      </c>
    </row>
    <row r="1075" spans="1:9">
      <c r="A1075" s="93" t="s">
        <v>4162</v>
      </c>
      <c r="B1075" t="s">
        <v>1889</v>
      </c>
      <c r="C1075" t="s">
        <v>2206</v>
      </c>
      <c r="E1075" t="s">
        <v>2135</v>
      </c>
      <c r="G1075" t="s">
        <v>4163</v>
      </c>
      <c r="H1075" t="s">
        <v>2318</v>
      </c>
      <c r="I1075" t="s">
        <v>4004</v>
      </c>
    </row>
    <row r="1076" spans="1:9">
      <c r="A1076" s="93" t="s">
        <v>4162</v>
      </c>
      <c r="B1076" t="s">
        <v>1893</v>
      </c>
      <c r="C1076" t="s">
        <v>2328</v>
      </c>
      <c r="D1076" t="s">
        <v>2217</v>
      </c>
      <c r="E1076" t="s">
        <v>2309</v>
      </c>
      <c r="F1076" t="s">
        <v>2329</v>
      </c>
      <c r="G1076" t="s">
        <v>4163</v>
      </c>
      <c r="H1076" t="s">
        <v>2311</v>
      </c>
      <c r="I1076" t="s">
        <v>4012</v>
      </c>
    </row>
    <row r="1077" spans="1:9">
      <c r="A1077" s="93" t="s">
        <v>4162</v>
      </c>
      <c r="B1077" t="s">
        <v>1893</v>
      </c>
      <c r="C1077" t="s">
        <v>2330</v>
      </c>
      <c r="D1077" t="s">
        <v>2331</v>
      </c>
      <c r="E1077" t="s">
        <v>2309</v>
      </c>
      <c r="F1077" t="s">
        <v>2332</v>
      </c>
      <c r="G1077" t="s">
        <v>4163</v>
      </c>
      <c r="H1077" t="s">
        <v>2311</v>
      </c>
      <c r="I1077" t="s">
        <v>4012</v>
      </c>
    </row>
    <row r="1078" spans="1:9">
      <c r="A1078" s="93" t="s">
        <v>4162</v>
      </c>
      <c r="B1078" t="s">
        <v>1893</v>
      </c>
      <c r="C1078" t="s">
        <v>2228</v>
      </c>
      <c r="E1078" t="s">
        <v>2135</v>
      </c>
      <c r="G1078" t="s">
        <v>4163</v>
      </c>
      <c r="H1078" t="s">
        <v>2318</v>
      </c>
      <c r="I1078" t="s">
        <v>4012</v>
      </c>
    </row>
    <row r="1079" spans="1:9">
      <c r="A1079" s="93" t="s">
        <v>4162</v>
      </c>
      <c r="B1079" t="s">
        <v>1896</v>
      </c>
      <c r="C1079" t="s">
        <v>2242</v>
      </c>
      <c r="D1079" t="s">
        <v>2220</v>
      </c>
      <c r="E1079" t="s">
        <v>2243</v>
      </c>
      <c r="F1079" t="s">
        <v>2244</v>
      </c>
      <c r="G1079" t="s">
        <v>4143</v>
      </c>
      <c r="H1079" t="s">
        <v>2773</v>
      </c>
      <c r="I1079" t="s">
        <v>4016</v>
      </c>
    </row>
    <row r="1080" spans="1:9">
      <c r="A1080" s="93" t="s">
        <v>4162</v>
      </c>
      <c r="B1080" t="s">
        <v>1896</v>
      </c>
      <c r="C1080" t="s">
        <v>2335</v>
      </c>
      <c r="E1080" t="s">
        <v>2309</v>
      </c>
      <c r="F1080" t="s">
        <v>2336</v>
      </c>
      <c r="G1080" t="s">
        <v>4163</v>
      </c>
      <c r="H1080" t="s">
        <v>2311</v>
      </c>
      <c r="I1080" t="s">
        <v>4016</v>
      </c>
    </row>
    <row r="1081" spans="1:9">
      <c r="A1081" s="93" t="s">
        <v>4162</v>
      </c>
      <c r="B1081" t="s">
        <v>1896</v>
      </c>
      <c r="C1081" t="s">
        <v>2337</v>
      </c>
      <c r="D1081" t="s">
        <v>2248</v>
      </c>
      <c r="E1081" t="s">
        <v>2338</v>
      </c>
      <c r="G1081" t="s">
        <v>4163</v>
      </c>
      <c r="H1081" t="s">
        <v>2339</v>
      </c>
      <c r="I1081" t="s">
        <v>4016</v>
      </c>
    </row>
    <row r="1082" spans="1:9">
      <c r="A1082" s="93" t="s">
        <v>4162</v>
      </c>
      <c r="B1082" t="s">
        <v>1898</v>
      </c>
      <c r="C1082" t="s">
        <v>2258</v>
      </c>
      <c r="D1082" t="s">
        <v>2259</v>
      </c>
      <c r="E1082" t="s">
        <v>2260</v>
      </c>
      <c r="F1082" t="s">
        <v>2261</v>
      </c>
      <c r="G1082" t="s">
        <v>4143</v>
      </c>
      <c r="H1082" t="s">
        <v>2775</v>
      </c>
      <c r="I1082" t="s">
        <v>4020</v>
      </c>
    </row>
    <row r="1083" spans="1:9">
      <c r="A1083" s="93" t="s">
        <v>4162</v>
      </c>
      <c r="B1083" t="s">
        <v>1902</v>
      </c>
      <c r="C1083" t="s">
        <v>2342</v>
      </c>
      <c r="E1083" t="s">
        <v>2309</v>
      </c>
      <c r="F1083" t="s">
        <v>2343</v>
      </c>
      <c r="G1083" t="s">
        <v>4163</v>
      </c>
      <c r="H1083" t="s">
        <v>2311</v>
      </c>
      <c r="I1083" t="s">
        <v>4024</v>
      </c>
    </row>
    <row r="1084" spans="1:9">
      <c r="A1084" s="93" t="s">
        <v>4162</v>
      </c>
      <c r="B1084" t="s">
        <v>1902</v>
      </c>
      <c r="C1084" t="s">
        <v>2344</v>
      </c>
      <c r="D1084" t="s">
        <v>2273</v>
      </c>
      <c r="E1084" t="s">
        <v>2309</v>
      </c>
      <c r="F1084" t="s">
        <v>2345</v>
      </c>
      <c r="G1084" t="s">
        <v>4163</v>
      </c>
      <c r="H1084" t="s">
        <v>2311</v>
      </c>
      <c r="I1084" t="s">
        <v>4024</v>
      </c>
    </row>
    <row r="1085" spans="1:9">
      <c r="A1085" s="93" t="s">
        <v>4162</v>
      </c>
      <c r="B1085" t="s">
        <v>1902</v>
      </c>
      <c r="C1085" t="s">
        <v>2285</v>
      </c>
      <c r="E1085" t="s">
        <v>2135</v>
      </c>
      <c r="G1085" t="s">
        <v>4163</v>
      </c>
      <c r="H1085" t="s">
        <v>2318</v>
      </c>
      <c r="I1085" t="s">
        <v>4024</v>
      </c>
    </row>
    <row r="1086" spans="1:9">
      <c r="A1086" s="93" t="s">
        <v>4162</v>
      </c>
      <c r="B1086" t="s">
        <v>3926</v>
      </c>
      <c r="C1086" t="s">
        <v>2291</v>
      </c>
      <c r="E1086" t="s">
        <v>2135</v>
      </c>
      <c r="F1086" t="s">
        <v>2292</v>
      </c>
      <c r="G1086" t="s">
        <v>4163</v>
      </c>
      <c r="H1086" t="s">
        <v>2318</v>
      </c>
    </row>
    <row r="1087" spans="1:9">
      <c r="A1087" s="93" t="s">
        <v>4164</v>
      </c>
      <c r="B1087" t="s">
        <v>1860</v>
      </c>
      <c r="C1087" t="s">
        <v>2532</v>
      </c>
      <c r="D1087" t="s">
        <v>2533</v>
      </c>
      <c r="E1087" t="s">
        <v>1559</v>
      </c>
      <c r="F1087" t="s">
        <v>2535</v>
      </c>
      <c r="G1087" t="s">
        <v>4143</v>
      </c>
      <c r="H1087" t="s">
        <v>108</v>
      </c>
      <c r="I1087" t="s">
        <v>3953</v>
      </c>
    </row>
    <row r="1088" spans="1:9">
      <c r="A1088" s="93" t="s">
        <v>4164</v>
      </c>
      <c r="B1088" t="s">
        <v>1860</v>
      </c>
      <c r="C1088" t="s">
        <v>2536</v>
      </c>
      <c r="D1088" t="s">
        <v>2537</v>
      </c>
      <c r="E1088" t="s">
        <v>2538</v>
      </c>
      <c r="F1088" t="s">
        <v>2539</v>
      </c>
      <c r="G1088" t="s">
        <v>4143</v>
      </c>
      <c r="H1088" t="s">
        <v>108</v>
      </c>
      <c r="I1088" t="s">
        <v>3953</v>
      </c>
    </row>
    <row r="1089" spans="1:9">
      <c r="A1089" s="93" t="s">
        <v>4164</v>
      </c>
      <c r="B1089" t="s">
        <v>1860</v>
      </c>
      <c r="C1089" t="s">
        <v>2540</v>
      </c>
      <c r="D1089" t="s">
        <v>2537</v>
      </c>
      <c r="E1089" t="s">
        <v>2193</v>
      </c>
      <c r="F1089" t="s">
        <v>2541</v>
      </c>
      <c r="G1089" t="s">
        <v>4143</v>
      </c>
      <c r="H1089" t="s">
        <v>2193</v>
      </c>
      <c r="I1089" t="s">
        <v>3953</v>
      </c>
    </row>
    <row r="1090" spans="1:9">
      <c r="A1090" s="93" t="s">
        <v>4164</v>
      </c>
      <c r="B1090" t="s">
        <v>1860</v>
      </c>
      <c r="C1090" t="s">
        <v>2542</v>
      </c>
      <c r="D1090" t="s">
        <v>2533</v>
      </c>
      <c r="E1090" t="s">
        <v>108</v>
      </c>
      <c r="F1090" t="s">
        <v>2543</v>
      </c>
      <c r="G1090" t="s">
        <v>4143</v>
      </c>
      <c r="H1090" t="s">
        <v>108</v>
      </c>
      <c r="I1090" t="s">
        <v>3953</v>
      </c>
    </row>
    <row r="1091" spans="1:9">
      <c r="A1091" s="93" t="s">
        <v>4164</v>
      </c>
      <c r="B1091" t="s">
        <v>1860</v>
      </c>
      <c r="C1091" t="s">
        <v>2544</v>
      </c>
      <c r="D1091" t="s">
        <v>2545</v>
      </c>
      <c r="E1091" t="s">
        <v>2193</v>
      </c>
      <c r="F1091" t="s">
        <v>2541</v>
      </c>
      <c r="G1091" t="s">
        <v>4143</v>
      </c>
      <c r="H1091" t="s">
        <v>2193</v>
      </c>
      <c r="I1091" t="s">
        <v>3953</v>
      </c>
    </row>
    <row r="1092" spans="1:9">
      <c r="A1092" s="93" t="s">
        <v>4164</v>
      </c>
      <c r="B1092" t="s">
        <v>1860</v>
      </c>
      <c r="C1092" t="s">
        <v>2546</v>
      </c>
      <c r="D1092" t="s">
        <v>2546</v>
      </c>
      <c r="E1092" t="s">
        <v>2135</v>
      </c>
      <c r="F1092" t="s">
        <v>2547</v>
      </c>
      <c r="G1092" t="s">
        <v>4165</v>
      </c>
      <c r="H1092" t="s">
        <v>2136</v>
      </c>
      <c r="I1092" t="s">
        <v>3953</v>
      </c>
    </row>
    <row r="1093" spans="1:9">
      <c r="A1093" s="93" t="s">
        <v>4164</v>
      </c>
      <c r="B1093" t="s">
        <v>1861</v>
      </c>
      <c r="C1093" t="s">
        <v>2549</v>
      </c>
      <c r="D1093" t="s">
        <v>2537</v>
      </c>
      <c r="E1093" t="s">
        <v>2288</v>
      </c>
      <c r="F1093" t="s">
        <v>2550</v>
      </c>
      <c r="G1093" t="s">
        <v>4143</v>
      </c>
      <c r="H1093" t="s">
        <v>2288</v>
      </c>
      <c r="I1093" t="s">
        <v>3957</v>
      </c>
    </row>
    <row r="1094" spans="1:9">
      <c r="A1094" s="93" t="s">
        <v>4164</v>
      </c>
      <c r="B1094" t="s">
        <v>1861</v>
      </c>
      <c r="C1094" t="s">
        <v>2551</v>
      </c>
      <c r="D1094" t="s">
        <v>2537</v>
      </c>
      <c r="E1094" t="s">
        <v>2135</v>
      </c>
      <c r="F1094" t="s">
        <v>2552</v>
      </c>
      <c r="G1094" t="s">
        <v>4165</v>
      </c>
      <c r="H1094" t="s">
        <v>2136</v>
      </c>
      <c r="I1094" t="s">
        <v>3957</v>
      </c>
    </row>
    <row r="1095" spans="1:9">
      <c r="A1095" s="93" t="s">
        <v>4164</v>
      </c>
      <c r="B1095" t="s">
        <v>1861</v>
      </c>
      <c r="C1095" t="s">
        <v>2553</v>
      </c>
      <c r="D1095" t="s">
        <v>2554</v>
      </c>
      <c r="E1095" t="s">
        <v>2135</v>
      </c>
      <c r="F1095" t="s">
        <v>2555</v>
      </c>
      <c r="G1095" t="s">
        <v>4165</v>
      </c>
      <c r="H1095" t="s">
        <v>2136</v>
      </c>
      <c r="I1095" t="s">
        <v>3957</v>
      </c>
    </row>
    <row r="1096" spans="1:9">
      <c r="A1096" s="93" t="s">
        <v>4164</v>
      </c>
      <c r="B1096" t="s">
        <v>1861</v>
      </c>
      <c r="C1096" t="s">
        <v>2556</v>
      </c>
      <c r="D1096" t="s">
        <v>2533</v>
      </c>
      <c r="E1096" t="s">
        <v>2288</v>
      </c>
      <c r="F1096" t="s">
        <v>2557</v>
      </c>
      <c r="G1096" t="s">
        <v>4143</v>
      </c>
      <c r="H1096" t="s">
        <v>2288</v>
      </c>
      <c r="I1096" t="s">
        <v>3957</v>
      </c>
    </row>
    <row r="1097" spans="1:9">
      <c r="A1097" s="93" t="s">
        <v>4164</v>
      </c>
      <c r="B1097" t="s">
        <v>1861</v>
      </c>
      <c r="C1097" t="s">
        <v>2558</v>
      </c>
      <c r="D1097" t="s">
        <v>2559</v>
      </c>
      <c r="E1097" t="s">
        <v>2560</v>
      </c>
      <c r="F1097" t="s">
        <v>2561</v>
      </c>
      <c r="G1097" t="s">
        <v>4143</v>
      </c>
      <c r="H1097" t="s">
        <v>2288</v>
      </c>
      <c r="I1097" t="s">
        <v>3957</v>
      </c>
    </row>
    <row r="1098" spans="1:9">
      <c r="A1098" s="93" t="s">
        <v>4164</v>
      </c>
      <c r="B1098" t="s">
        <v>1861</v>
      </c>
      <c r="C1098" t="s">
        <v>2562</v>
      </c>
      <c r="D1098" t="s">
        <v>2563</v>
      </c>
      <c r="E1098" t="s">
        <v>2564</v>
      </c>
      <c r="F1098" t="s">
        <v>2565</v>
      </c>
      <c r="G1098" t="s">
        <v>4143</v>
      </c>
      <c r="H1098" t="s">
        <v>1201</v>
      </c>
      <c r="I1098" t="s">
        <v>3957</v>
      </c>
    </row>
    <row r="1099" spans="1:9">
      <c r="A1099" s="93" t="s">
        <v>4164</v>
      </c>
      <c r="B1099" t="s">
        <v>1861</v>
      </c>
      <c r="C1099" t="s">
        <v>2566</v>
      </c>
      <c r="D1099" t="s">
        <v>2545</v>
      </c>
      <c r="E1099" t="s">
        <v>2567</v>
      </c>
      <c r="F1099" t="s">
        <v>2569</v>
      </c>
      <c r="G1099" t="s">
        <v>4165</v>
      </c>
      <c r="H1099" t="s">
        <v>108</v>
      </c>
      <c r="I1099" t="s">
        <v>3957</v>
      </c>
    </row>
    <row r="1100" spans="1:9">
      <c r="A1100" s="93" t="s">
        <v>4164</v>
      </c>
      <c r="B1100" t="s">
        <v>1861</v>
      </c>
      <c r="C1100" t="s">
        <v>2570</v>
      </c>
      <c r="D1100" t="s">
        <v>2571</v>
      </c>
      <c r="E1100" t="s">
        <v>2135</v>
      </c>
      <c r="G1100" t="s">
        <v>4165</v>
      </c>
      <c r="H1100" t="s">
        <v>2136</v>
      </c>
      <c r="I1100" t="s">
        <v>3957</v>
      </c>
    </row>
    <row r="1101" spans="1:9">
      <c r="A1101" s="93" t="s">
        <v>4164</v>
      </c>
      <c r="B1101" t="s">
        <v>1861</v>
      </c>
      <c r="C1101" t="s">
        <v>2575</v>
      </c>
      <c r="D1101" t="s">
        <v>2533</v>
      </c>
      <c r="E1101" t="s">
        <v>2135</v>
      </c>
      <c r="G1101" t="s">
        <v>4165</v>
      </c>
      <c r="H1101" t="s">
        <v>2136</v>
      </c>
      <c r="I1101" t="s">
        <v>3957</v>
      </c>
    </row>
    <row r="1102" spans="1:9">
      <c r="A1102" s="93" t="s">
        <v>4164</v>
      </c>
      <c r="B1102" t="s">
        <v>1861</v>
      </c>
      <c r="C1102" t="s">
        <v>2576</v>
      </c>
      <c r="D1102" t="s">
        <v>2571</v>
      </c>
      <c r="E1102" t="s">
        <v>108</v>
      </c>
      <c r="F1102" t="s">
        <v>2577</v>
      </c>
      <c r="G1102" t="s">
        <v>4143</v>
      </c>
      <c r="H1102" t="s">
        <v>108</v>
      </c>
      <c r="I1102" t="s">
        <v>3957</v>
      </c>
    </row>
    <row r="1103" spans="1:9">
      <c r="A1103" s="93" t="s">
        <v>4164</v>
      </c>
      <c r="B1103" t="s">
        <v>1861</v>
      </c>
      <c r="C1103" t="s">
        <v>2578</v>
      </c>
      <c r="D1103" t="s">
        <v>2579</v>
      </c>
      <c r="E1103" t="s">
        <v>2564</v>
      </c>
      <c r="F1103" t="s">
        <v>2565</v>
      </c>
      <c r="G1103" t="s">
        <v>4143</v>
      </c>
      <c r="H1103" t="s">
        <v>1201</v>
      </c>
      <c r="I1103" t="s">
        <v>3957</v>
      </c>
    </row>
    <row r="1104" spans="1:9">
      <c r="A1104" s="93" t="s">
        <v>4164</v>
      </c>
      <c r="B1104" t="s">
        <v>1861</v>
      </c>
      <c r="C1104" t="s">
        <v>2546</v>
      </c>
      <c r="D1104" t="s">
        <v>2546</v>
      </c>
      <c r="E1104" t="s">
        <v>2135</v>
      </c>
      <c r="F1104" t="s">
        <v>2580</v>
      </c>
      <c r="G1104" t="s">
        <v>4165</v>
      </c>
      <c r="H1104" t="s">
        <v>2136</v>
      </c>
      <c r="I1104" t="s">
        <v>3957</v>
      </c>
    </row>
    <row r="1105" spans="1:9">
      <c r="A1105" s="93" t="s">
        <v>4164</v>
      </c>
      <c r="B1105" t="s">
        <v>1861</v>
      </c>
      <c r="C1105" t="s">
        <v>2581</v>
      </c>
      <c r="D1105" t="s">
        <v>2582</v>
      </c>
      <c r="E1105" t="s">
        <v>2135</v>
      </c>
      <c r="F1105" t="s">
        <v>2583</v>
      </c>
      <c r="G1105" t="s">
        <v>4165</v>
      </c>
      <c r="H1105" t="s">
        <v>2136</v>
      </c>
      <c r="I1105" t="s">
        <v>3957</v>
      </c>
    </row>
    <row r="1106" spans="1:9">
      <c r="A1106" s="93" t="s">
        <v>4164</v>
      </c>
      <c r="B1106" t="s">
        <v>1861</v>
      </c>
      <c r="C1106" t="s">
        <v>2584</v>
      </c>
      <c r="D1106" t="s">
        <v>2545</v>
      </c>
      <c r="E1106" t="s">
        <v>2585</v>
      </c>
      <c r="F1106" t="s">
        <v>2586</v>
      </c>
      <c r="G1106" t="s">
        <v>4143</v>
      </c>
      <c r="H1106" t="s">
        <v>2119</v>
      </c>
      <c r="I1106" t="s">
        <v>3957</v>
      </c>
    </row>
    <row r="1107" spans="1:9">
      <c r="A1107" s="93" t="s">
        <v>4164</v>
      </c>
      <c r="B1107" t="s">
        <v>1861</v>
      </c>
      <c r="C1107" t="s">
        <v>2587</v>
      </c>
      <c r="D1107" t="s">
        <v>2554</v>
      </c>
      <c r="E1107" t="s">
        <v>2288</v>
      </c>
      <c r="F1107" t="s">
        <v>2588</v>
      </c>
      <c r="G1107" t="s">
        <v>4143</v>
      </c>
      <c r="H1107" t="s">
        <v>2288</v>
      </c>
      <c r="I1107" t="s">
        <v>3957</v>
      </c>
    </row>
    <row r="1108" spans="1:9">
      <c r="A1108" s="93" t="s">
        <v>4164</v>
      </c>
      <c r="B1108" t="s">
        <v>1862</v>
      </c>
      <c r="C1108" t="s">
        <v>2546</v>
      </c>
      <c r="D1108" t="s">
        <v>2546</v>
      </c>
      <c r="E1108" t="s">
        <v>2135</v>
      </c>
      <c r="F1108" t="s">
        <v>2547</v>
      </c>
      <c r="G1108" t="s">
        <v>4165</v>
      </c>
      <c r="H1108" t="s">
        <v>2136</v>
      </c>
      <c r="I1108" t="s">
        <v>3961</v>
      </c>
    </row>
    <row r="1109" spans="1:9">
      <c r="A1109" s="93" t="s">
        <v>4164</v>
      </c>
      <c r="B1109" t="s">
        <v>1862</v>
      </c>
      <c r="C1109" t="s">
        <v>2590</v>
      </c>
      <c r="D1109" t="s">
        <v>2591</v>
      </c>
      <c r="E1109" t="s">
        <v>2592</v>
      </c>
      <c r="F1109" t="s">
        <v>2593</v>
      </c>
      <c r="G1109" t="s">
        <v>4143</v>
      </c>
      <c r="H1109" t="s">
        <v>2288</v>
      </c>
      <c r="I1109" t="s">
        <v>3961</v>
      </c>
    </row>
    <row r="1110" spans="1:9">
      <c r="A1110" s="93" t="s">
        <v>4164</v>
      </c>
      <c r="B1110" t="s">
        <v>1862</v>
      </c>
      <c r="C1110" t="s">
        <v>2594</v>
      </c>
      <c r="D1110" t="s">
        <v>2533</v>
      </c>
      <c r="E1110" t="s">
        <v>2288</v>
      </c>
      <c r="F1110" t="s">
        <v>2595</v>
      </c>
      <c r="G1110" t="s">
        <v>4143</v>
      </c>
      <c r="H1110" t="s">
        <v>2288</v>
      </c>
      <c r="I1110" t="s">
        <v>3961</v>
      </c>
    </row>
    <row r="1111" spans="1:9">
      <c r="A1111" s="93" t="s">
        <v>4164</v>
      </c>
      <c r="B1111" t="s">
        <v>1862</v>
      </c>
      <c r="C1111" t="s">
        <v>2596</v>
      </c>
      <c r="D1111" t="s">
        <v>2582</v>
      </c>
      <c r="E1111" t="s">
        <v>108</v>
      </c>
      <c r="G1111" t="s">
        <v>4143</v>
      </c>
      <c r="H1111" t="s">
        <v>108</v>
      </c>
      <c r="I1111" t="s">
        <v>3961</v>
      </c>
    </row>
    <row r="1112" spans="1:9">
      <c r="A1112" s="93" t="s">
        <v>4164</v>
      </c>
      <c r="B1112" t="s">
        <v>1862</v>
      </c>
      <c r="C1112" t="s">
        <v>2597</v>
      </c>
      <c r="D1112" t="s">
        <v>2537</v>
      </c>
      <c r="E1112" t="s">
        <v>108</v>
      </c>
      <c r="F1112" t="s">
        <v>2598</v>
      </c>
      <c r="G1112" t="s">
        <v>4143</v>
      </c>
      <c r="H1112" t="s">
        <v>108</v>
      </c>
      <c r="I1112" t="s">
        <v>3961</v>
      </c>
    </row>
    <row r="1113" spans="1:9">
      <c r="A1113" s="93" t="s">
        <v>4164</v>
      </c>
      <c r="B1113" t="s">
        <v>1862</v>
      </c>
      <c r="C1113" t="s">
        <v>2599</v>
      </c>
      <c r="D1113" t="s">
        <v>2559</v>
      </c>
      <c r="E1113" t="s">
        <v>2288</v>
      </c>
      <c r="F1113" t="s">
        <v>2600</v>
      </c>
      <c r="G1113" t="s">
        <v>4143</v>
      </c>
      <c r="H1113" t="s">
        <v>2288</v>
      </c>
      <c r="I1113" t="s">
        <v>3961</v>
      </c>
    </row>
    <row r="1114" spans="1:9">
      <c r="A1114" s="93" t="s">
        <v>4164</v>
      </c>
      <c r="B1114" t="s">
        <v>1862</v>
      </c>
      <c r="C1114" t="s">
        <v>2601</v>
      </c>
      <c r="D1114" t="s">
        <v>2533</v>
      </c>
      <c r="E1114" t="s">
        <v>2288</v>
      </c>
      <c r="F1114" t="s">
        <v>2602</v>
      </c>
      <c r="G1114" t="s">
        <v>4143</v>
      </c>
      <c r="H1114" t="s">
        <v>2288</v>
      </c>
      <c r="I1114" t="s">
        <v>3961</v>
      </c>
    </row>
    <row r="1115" spans="1:9">
      <c r="A1115" s="93" t="s">
        <v>4164</v>
      </c>
      <c r="B1115" t="s">
        <v>1862</v>
      </c>
      <c r="C1115" t="s">
        <v>2603</v>
      </c>
      <c r="D1115" t="s">
        <v>2559</v>
      </c>
      <c r="E1115" t="s">
        <v>2604</v>
      </c>
      <c r="F1115" t="s">
        <v>2606</v>
      </c>
      <c r="G1115" t="s">
        <v>4143</v>
      </c>
      <c r="H1115" t="s">
        <v>2193</v>
      </c>
      <c r="I1115" t="s">
        <v>3961</v>
      </c>
    </row>
    <row r="1116" spans="1:9">
      <c r="A1116" s="93" t="s">
        <v>4164</v>
      </c>
      <c r="B1116" t="s">
        <v>1862</v>
      </c>
      <c r="C1116" t="s">
        <v>2607</v>
      </c>
      <c r="D1116" t="s">
        <v>2563</v>
      </c>
      <c r="E1116" t="s">
        <v>2608</v>
      </c>
      <c r="F1116" t="s">
        <v>2609</v>
      </c>
      <c r="G1116" t="s">
        <v>4143</v>
      </c>
      <c r="H1116" t="s">
        <v>2288</v>
      </c>
      <c r="I1116" t="s">
        <v>3961</v>
      </c>
    </row>
    <row r="1117" spans="1:9">
      <c r="A1117" s="93" t="s">
        <v>4164</v>
      </c>
      <c r="B1117" t="s">
        <v>1862</v>
      </c>
      <c r="C1117" t="s">
        <v>2610</v>
      </c>
      <c r="D1117" t="s">
        <v>2545</v>
      </c>
      <c r="E1117" t="s">
        <v>108</v>
      </c>
      <c r="G1117" t="s">
        <v>4143</v>
      </c>
      <c r="H1117" t="s">
        <v>108</v>
      </c>
      <c r="I1117" t="s">
        <v>3961</v>
      </c>
    </row>
    <row r="1118" spans="1:9">
      <c r="A1118" s="93" t="s">
        <v>4164</v>
      </c>
      <c r="B1118" t="s">
        <v>1862</v>
      </c>
      <c r="C1118" t="s">
        <v>2611</v>
      </c>
      <c r="D1118" t="s">
        <v>2545</v>
      </c>
      <c r="E1118" t="s">
        <v>2288</v>
      </c>
      <c r="F1118" t="s">
        <v>2612</v>
      </c>
      <c r="G1118" t="s">
        <v>4143</v>
      </c>
      <c r="H1118" t="s">
        <v>2288</v>
      </c>
      <c r="I1118" t="s">
        <v>3961</v>
      </c>
    </row>
    <row r="1119" spans="1:9">
      <c r="A1119" s="93" t="s">
        <v>4164</v>
      </c>
      <c r="B1119" t="s">
        <v>1864</v>
      </c>
      <c r="C1119" t="s">
        <v>2546</v>
      </c>
      <c r="D1119" t="s">
        <v>2546</v>
      </c>
      <c r="E1119" t="s">
        <v>2135</v>
      </c>
      <c r="F1119" t="s">
        <v>2614</v>
      </c>
      <c r="G1119" t="s">
        <v>4165</v>
      </c>
      <c r="H1119" t="s">
        <v>2136</v>
      </c>
      <c r="I1119" t="s">
        <v>3965</v>
      </c>
    </row>
    <row r="1120" spans="1:9">
      <c r="A1120" s="93" t="s">
        <v>4164</v>
      </c>
      <c r="B1120" t="s">
        <v>1864</v>
      </c>
      <c r="C1120" t="s">
        <v>2615</v>
      </c>
      <c r="D1120" t="s">
        <v>2537</v>
      </c>
      <c r="E1120" t="s">
        <v>2616</v>
      </c>
      <c r="F1120" t="s">
        <v>2617</v>
      </c>
      <c r="G1120" t="s">
        <v>4143</v>
      </c>
      <c r="H1120" t="s">
        <v>2288</v>
      </c>
      <c r="I1120" t="s">
        <v>3965</v>
      </c>
    </row>
    <row r="1121" spans="1:9">
      <c r="A1121" s="93" t="s">
        <v>4164</v>
      </c>
      <c r="B1121" t="s">
        <v>1864</v>
      </c>
      <c r="C1121" t="s">
        <v>2618</v>
      </c>
      <c r="D1121" t="s">
        <v>2619</v>
      </c>
      <c r="E1121" t="s">
        <v>2135</v>
      </c>
      <c r="G1121" t="s">
        <v>4165</v>
      </c>
      <c r="H1121" t="s">
        <v>2136</v>
      </c>
      <c r="I1121" t="s">
        <v>3965</v>
      </c>
    </row>
    <row r="1122" spans="1:9">
      <c r="A1122" s="93" t="s">
        <v>4164</v>
      </c>
      <c r="B1122" t="s">
        <v>1864</v>
      </c>
      <c r="C1122" t="s">
        <v>2620</v>
      </c>
      <c r="D1122" t="s">
        <v>2554</v>
      </c>
      <c r="E1122" t="s">
        <v>2288</v>
      </c>
      <c r="F1122" t="s">
        <v>2621</v>
      </c>
      <c r="G1122" t="s">
        <v>4143</v>
      </c>
      <c r="H1122" t="s">
        <v>2288</v>
      </c>
      <c r="I1122" t="s">
        <v>3965</v>
      </c>
    </row>
    <row r="1123" spans="1:9">
      <c r="A1123" s="93" t="s">
        <v>4164</v>
      </c>
      <c r="B1123" t="s">
        <v>1864</v>
      </c>
      <c r="C1123" t="s">
        <v>2622</v>
      </c>
      <c r="D1123" t="s">
        <v>2582</v>
      </c>
      <c r="E1123" t="s">
        <v>2135</v>
      </c>
      <c r="G1123" t="s">
        <v>4165</v>
      </c>
      <c r="H1123" t="s">
        <v>2136</v>
      </c>
      <c r="I1123" t="s">
        <v>3965</v>
      </c>
    </row>
    <row r="1124" spans="1:9">
      <c r="A1124" s="93" t="s">
        <v>4164</v>
      </c>
      <c r="B1124" t="s">
        <v>1864</v>
      </c>
      <c r="C1124" t="s">
        <v>2623</v>
      </c>
      <c r="D1124" t="s">
        <v>2533</v>
      </c>
      <c r="E1124" t="s">
        <v>2288</v>
      </c>
      <c r="F1124" t="s">
        <v>2624</v>
      </c>
      <c r="G1124" t="s">
        <v>4143</v>
      </c>
      <c r="H1124" t="s">
        <v>2288</v>
      </c>
      <c r="I1124" t="s">
        <v>3965</v>
      </c>
    </row>
    <row r="1125" spans="1:9">
      <c r="A1125" s="93" t="s">
        <v>4164</v>
      </c>
      <c r="B1125" t="s">
        <v>1864</v>
      </c>
      <c r="C1125" t="s">
        <v>2625</v>
      </c>
      <c r="D1125" t="s">
        <v>2533</v>
      </c>
      <c r="E1125" t="s">
        <v>2288</v>
      </c>
      <c r="G1125" t="s">
        <v>4143</v>
      </c>
      <c r="H1125" t="s">
        <v>2288</v>
      </c>
      <c r="I1125" t="s">
        <v>3965</v>
      </c>
    </row>
    <row r="1126" spans="1:9">
      <c r="A1126" s="93" t="s">
        <v>4164</v>
      </c>
      <c r="B1126" t="s">
        <v>1864</v>
      </c>
      <c r="C1126" t="s">
        <v>2626</v>
      </c>
      <c r="D1126" t="s">
        <v>2579</v>
      </c>
      <c r="E1126" t="s">
        <v>1201</v>
      </c>
      <c r="F1126" t="s">
        <v>2627</v>
      </c>
      <c r="G1126" t="s">
        <v>4143</v>
      </c>
      <c r="H1126" t="s">
        <v>1201</v>
      </c>
      <c r="I1126" t="s">
        <v>3965</v>
      </c>
    </row>
    <row r="1127" spans="1:9">
      <c r="A1127" s="93" t="s">
        <v>4164</v>
      </c>
      <c r="B1127" t="s">
        <v>1864</v>
      </c>
      <c r="C1127" t="s">
        <v>2628</v>
      </c>
      <c r="D1127" t="s">
        <v>2533</v>
      </c>
      <c r="E1127" t="s">
        <v>2629</v>
      </c>
      <c r="F1127" t="s">
        <v>2630</v>
      </c>
      <c r="G1127" t="s">
        <v>4143</v>
      </c>
      <c r="H1127" t="s">
        <v>2783</v>
      </c>
      <c r="I1127" t="s">
        <v>3965</v>
      </c>
    </row>
    <row r="1128" spans="1:9">
      <c r="A1128" s="93" t="s">
        <v>4164</v>
      </c>
      <c r="B1128" t="s">
        <v>1864</v>
      </c>
      <c r="C1128" t="s">
        <v>2631</v>
      </c>
      <c r="D1128" t="s">
        <v>2537</v>
      </c>
      <c r="E1128" t="s">
        <v>2135</v>
      </c>
      <c r="F1128" t="s">
        <v>2632</v>
      </c>
      <c r="G1128" t="s">
        <v>4165</v>
      </c>
      <c r="H1128" t="s">
        <v>2136</v>
      </c>
      <c r="I1128" t="s">
        <v>3965</v>
      </c>
    </row>
    <row r="1129" spans="1:9">
      <c r="A1129" s="93" t="s">
        <v>4164</v>
      </c>
      <c r="B1129" t="s">
        <v>1864</v>
      </c>
      <c r="C1129" t="s">
        <v>2633</v>
      </c>
      <c r="D1129" t="s">
        <v>2571</v>
      </c>
      <c r="E1129" t="s">
        <v>2135</v>
      </c>
      <c r="F1129" t="s">
        <v>2632</v>
      </c>
      <c r="G1129" t="s">
        <v>4165</v>
      </c>
      <c r="H1129" t="s">
        <v>2136</v>
      </c>
      <c r="I1129" t="s">
        <v>3965</v>
      </c>
    </row>
    <row r="1130" spans="1:9">
      <c r="A1130" s="93" t="s">
        <v>4164</v>
      </c>
      <c r="B1130" t="s">
        <v>1864</v>
      </c>
      <c r="C1130" t="s">
        <v>2634</v>
      </c>
      <c r="D1130" t="s">
        <v>2563</v>
      </c>
      <c r="E1130" t="s">
        <v>2288</v>
      </c>
      <c r="F1130" t="s">
        <v>2635</v>
      </c>
      <c r="G1130" t="s">
        <v>4143</v>
      </c>
      <c r="H1130" t="s">
        <v>2288</v>
      </c>
      <c r="I1130" t="s">
        <v>3965</v>
      </c>
    </row>
    <row r="1131" spans="1:9">
      <c r="A1131" s="93" t="s">
        <v>4164</v>
      </c>
      <c r="B1131" t="s">
        <v>1864</v>
      </c>
      <c r="C1131" t="s">
        <v>2636</v>
      </c>
      <c r="D1131" t="s">
        <v>2582</v>
      </c>
      <c r="E1131" t="s">
        <v>2135</v>
      </c>
      <c r="G1131" t="s">
        <v>4165</v>
      </c>
      <c r="H1131" t="s">
        <v>2136</v>
      </c>
      <c r="I1131" t="s">
        <v>3965</v>
      </c>
    </row>
    <row r="1132" spans="1:9">
      <c r="A1132" s="93" t="s">
        <v>4164</v>
      </c>
      <c r="B1132" t="s">
        <v>1866</v>
      </c>
      <c r="C1132" t="s">
        <v>2546</v>
      </c>
      <c r="D1132" t="s">
        <v>2546</v>
      </c>
      <c r="E1132" t="s">
        <v>2135</v>
      </c>
      <c r="F1132" t="s">
        <v>2580</v>
      </c>
      <c r="G1132" t="s">
        <v>4165</v>
      </c>
      <c r="H1132" t="s">
        <v>2136</v>
      </c>
      <c r="I1132" t="s">
        <v>3969</v>
      </c>
    </row>
    <row r="1133" spans="1:9">
      <c r="A1133" s="93" t="s">
        <v>4164</v>
      </c>
      <c r="B1133" t="s">
        <v>1866</v>
      </c>
      <c r="C1133" t="s">
        <v>2643</v>
      </c>
      <c r="D1133" t="s">
        <v>2579</v>
      </c>
      <c r="E1133" t="s">
        <v>2288</v>
      </c>
      <c r="F1133" t="s">
        <v>2644</v>
      </c>
      <c r="G1133" t="s">
        <v>4143</v>
      </c>
      <c r="H1133" t="s">
        <v>2288</v>
      </c>
      <c r="I1133" t="s">
        <v>3969</v>
      </c>
    </row>
    <row r="1134" spans="1:9">
      <c r="A1134" s="93" t="s">
        <v>4164</v>
      </c>
      <c r="B1134" t="s">
        <v>1866</v>
      </c>
      <c r="C1134" t="s">
        <v>2645</v>
      </c>
      <c r="D1134" t="s">
        <v>2537</v>
      </c>
      <c r="E1134" t="s">
        <v>2288</v>
      </c>
      <c r="F1134" t="s">
        <v>2646</v>
      </c>
      <c r="G1134" t="s">
        <v>4143</v>
      </c>
      <c r="H1134" t="s">
        <v>2288</v>
      </c>
      <c r="I1134" t="s">
        <v>3969</v>
      </c>
    </row>
    <row r="1135" spans="1:9">
      <c r="A1135" s="93" t="s">
        <v>4164</v>
      </c>
      <c r="B1135" t="s">
        <v>1866</v>
      </c>
      <c r="C1135" t="s">
        <v>2647</v>
      </c>
      <c r="D1135" t="s">
        <v>2591</v>
      </c>
      <c r="E1135" t="s">
        <v>2135</v>
      </c>
      <c r="G1135" t="s">
        <v>4165</v>
      </c>
      <c r="H1135" t="s">
        <v>2136</v>
      </c>
      <c r="I1135" t="s">
        <v>3969</v>
      </c>
    </row>
    <row r="1136" spans="1:9">
      <c r="A1136" s="93" t="s">
        <v>4164</v>
      </c>
      <c r="B1136" t="s">
        <v>1866</v>
      </c>
      <c r="C1136" t="s">
        <v>2648</v>
      </c>
      <c r="D1136" t="s">
        <v>2591</v>
      </c>
      <c r="E1136" t="s">
        <v>2288</v>
      </c>
      <c r="F1136" t="s">
        <v>2649</v>
      </c>
      <c r="G1136" t="s">
        <v>4143</v>
      </c>
      <c r="H1136" t="s">
        <v>2288</v>
      </c>
      <c r="I1136" t="s">
        <v>3969</v>
      </c>
    </row>
    <row r="1137" spans="1:9">
      <c r="A1137" s="93" t="s">
        <v>4164</v>
      </c>
      <c r="B1137" t="s">
        <v>1866</v>
      </c>
      <c r="C1137" t="s">
        <v>2650</v>
      </c>
      <c r="D1137" t="s">
        <v>2571</v>
      </c>
      <c r="E1137" t="s">
        <v>2651</v>
      </c>
      <c r="F1137" t="s">
        <v>2652</v>
      </c>
      <c r="G1137" t="s">
        <v>4143</v>
      </c>
      <c r="H1137" t="s">
        <v>2288</v>
      </c>
      <c r="I1137" t="s">
        <v>3969</v>
      </c>
    </row>
    <row r="1138" spans="1:9">
      <c r="A1138" s="93" t="s">
        <v>4164</v>
      </c>
      <c r="B1138" t="s">
        <v>1866</v>
      </c>
      <c r="C1138" t="s">
        <v>2653</v>
      </c>
      <c r="D1138" t="s">
        <v>2533</v>
      </c>
      <c r="E1138" t="s">
        <v>2288</v>
      </c>
      <c r="F1138" t="s">
        <v>2654</v>
      </c>
      <c r="G1138" t="s">
        <v>4143</v>
      </c>
      <c r="H1138" t="s">
        <v>2288</v>
      </c>
      <c r="I1138" t="s">
        <v>3969</v>
      </c>
    </row>
    <row r="1139" spans="1:9">
      <c r="A1139" s="93" t="s">
        <v>4164</v>
      </c>
      <c r="B1139" t="s">
        <v>1866</v>
      </c>
      <c r="C1139" t="s">
        <v>2655</v>
      </c>
      <c r="D1139" t="s">
        <v>2571</v>
      </c>
      <c r="E1139" t="s">
        <v>2288</v>
      </c>
      <c r="F1139" t="s">
        <v>2656</v>
      </c>
      <c r="G1139" t="s">
        <v>4143</v>
      </c>
      <c r="H1139" t="s">
        <v>2288</v>
      </c>
      <c r="I1139" t="s">
        <v>3969</v>
      </c>
    </row>
    <row r="1140" spans="1:9">
      <c r="A1140" s="93" t="s">
        <v>4164</v>
      </c>
      <c r="B1140" t="s">
        <v>1866</v>
      </c>
      <c r="C1140" t="s">
        <v>2657</v>
      </c>
      <c r="D1140" t="s">
        <v>2533</v>
      </c>
      <c r="E1140" t="s">
        <v>2288</v>
      </c>
      <c r="F1140" t="s">
        <v>2658</v>
      </c>
      <c r="G1140" t="s">
        <v>4143</v>
      </c>
      <c r="H1140" t="s">
        <v>2288</v>
      </c>
      <c r="I1140" t="s">
        <v>3969</v>
      </c>
    </row>
    <row r="1141" spans="1:9">
      <c r="A1141" s="93" t="s">
        <v>4164</v>
      </c>
      <c r="B1141" t="s">
        <v>1866</v>
      </c>
      <c r="C1141" t="s">
        <v>2659</v>
      </c>
      <c r="D1141" t="s">
        <v>2559</v>
      </c>
      <c r="E1141" t="s">
        <v>2288</v>
      </c>
      <c r="F1141" t="s">
        <v>2660</v>
      </c>
      <c r="G1141" t="s">
        <v>4143</v>
      </c>
      <c r="H1141" t="s">
        <v>2288</v>
      </c>
      <c r="I1141" t="s">
        <v>3969</v>
      </c>
    </row>
    <row r="1142" spans="1:9">
      <c r="A1142" s="93" t="s">
        <v>4164</v>
      </c>
      <c r="B1142" t="s">
        <v>1866</v>
      </c>
      <c r="C1142" t="s">
        <v>2661</v>
      </c>
      <c r="D1142" t="s">
        <v>2559</v>
      </c>
      <c r="E1142" t="s">
        <v>2135</v>
      </c>
      <c r="F1142" t="s">
        <v>2662</v>
      </c>
      <c r="G1142" t="s">
        <v>4165</v>
      </c>
      <c r="H1142" t="s">
        <v>2136</v>
      </c>
      <c r="I1142" t="s">
        <v>3969</v>
      </c>
    </row>
    <row r="1143" spans="1:9">
      <c r="A1143" s="93" t="s">
        <v>4164</v>
      </c>
      <c r="B1143" t="s">
        <v>1866</v>
      </c>
      <c r="C1143" t="s">
        <v>2663</v>
      </c>
      <c r="D1143" t="s">
        <v>2559</v>
      </c>
      <c r="E1143" t="s">
        <v>2288</v>
      </c>
      <c r="F1143" t="s">
        <v>2664</v>
      </c>
      <c r="G1143" t="s">
        <v>4143</v>
      </c>
      <c r="H1143" t="s">
        <v>2288</v>
      </c>
      <c r="I1143" t="s">
        <v>3969</v>
      </c>
    </row>
    <row r="1144" spans="1:9">
      <c r="A1144" s="93" t="s">
        <v>4164</v>
      </c>
      <c r="B1144" t="s">
        <v>1866</v>
      </c>
      <c r="C1144" t="s">
        <v>2665</v>
      </c>
      <c r="D1144" t="s">
        <v>2563</v>
      </c>
      <c r="E1144" t="s">
        <v>2288</v>
      </c>
      <c r="F1144" t="s">
        <v>2666</v>
      </c>
      <c r="G1144" t="s">
        <v>4143</v>
      </c>
      <c r="H1144" t="s">
        <v>2288</v>
      </c>
      <c r="I1144" t="s">
        <v>3969</v>
      </c>
    </row>
    <row r="1145" spans="1:9">
      <c r="A1145" s="93" t="s">
        <v>4164</v>
      </c>
      <c r="B1145" t="s">
        <v>1866</v>
      </c>
      <c r="C1145" t="s">
        <v>2667</v>
      </c>
      <c r="D1145" t="s">
        <v>2571</v>
      </c>
      <c r="E1145" t="s">
        <v>2668</v>
      </c>
      <c r="F1145" t="s">
        <v>2670</v>
      </c>
      <c r="G1145" t="s">
        <v>4143</v>
      </c>
      <c r="H1145" t="s">
        <v>2669</v>
      </c>
      <c r="I1145" t="s">
        <v>3969</v>
      </c>
    </row>
    <row r="1146" spans="1:9">
      <c r="A1146" s="93" t="s">
        <v>4164</v>
      </c>
      <c r="B1146" t="s">
        <v>1866</v>
      </c>
      <c r="C1146" t="s">
        <v>2671</v>
      </c>
      <c r="D1146" t="s">
        <v>2591</v>
      </c>
      <c r="E1146" t="s">
        <v>2288</v>
      </c>
      <c r="F1146" t="s">
        <v>2672</v>
      </c>
      <c r="G1146" t="s">
        <v>4143</v>
      </c>
      <c r="H1146" t="s">
        <v>2288</v>
      </c>
      <c r="I1146" t="s">
        <v>3969</v>
      </c>
    </row>
    <row r="1147" spans="1:9">
      <c r="A1147" s="93" t="s">
        <v>4164</v>
      </c>
      <c r="B1147" t="s">
        <v>1866</v>
      </c>
      <c r="C1147" t="s">
        <v>2674</v>
      </c>
      <c r="D1147" t="s">
        <v>2533</v>
      </c>
      <c r="E1147" t="s">
        <v>1201</v>
      </c>
      <c r="F1147" t="s">
        <v>2675</v>
      </c>
      <c r="G1147" t="s">
        <v>4143</v>
      </c>
      <c r="H1147" t="s">
        <v>1201</v>
      </c>
      <c r="I1147" t="s">
        <v>3969</v>
      </c>
    </row>
    <row r="1148" spans="1:9">
      <c r="A1148" s="93" t="s">
        <v>4164</v>
      </c>
      <c r="B1148" t="s">
        <v>1870</v>
      </c>
      <c r="C1148" t="s">
        <v>2546</v>
      </c>
      <c r="D1148" t="s">
        <v>2546</v>
      </c>
      <c r="E1148" t="s">
        <v>2135</v>
      </c>
      <c r="F1148" t="s">
        <v>2580</v>
      </c>
      <c r="G1148" t="s">
        <v>4165</v>
      </c>
      <c r="H1148" t="s">
        <v>2136</v>
      </c>
      <c r="I1148" t="s">
        <v>3973</v>
      </c>
    </row>
    <row r="1149" spans="1:9">
      <c r="A1149" s="93" t="s">
        <v>4164</v>
      </c>
      <c r="B1149" t="s">
        <v>1870</v>
      </c>
      <c r="C1149" t="s">
        <v>2677</v>
      </c>
      <c r="D1149" t="s">
        <v>2533</v>
      </c>
      <c r="E1149" t="s">
        <v>2288</v>
      </c>
      <c r="F1149" t="s">
        <v>2678</v>
      </c>
      <c r="G1149" t="s">
        <v>4143</v>
      </c>
      <c r="H1149" t="s">
        <v>2288</v>
      </c>
      <c r="I1149" t="s">
        <v>3973</v>
      </c>
    </row>
    <row r="1150" spans="1:9">
      <c r="A1150" s="93" t="s">
        <v>4164</v>
      </c>
      <c r="B1150" t="s">
        <v>1870</v>
      </c>
      <c r="C1150" t="s">
        <v>2679</v>
      </c>
      <c r="D1150" t="s">
        <v>2537</v>
      </c>
      <c r="E1150" t="s">
        <v>2288</v>
      </c>
      <c r="F1150" t="s">
        <v>2680</v>
      </c>
      <c r="G1150" t="s">
        <v>4143</v>
      </c>
      <c r="H1150" t="s">
        <v>2288</v>
      </c>
      <c r="I1150" t="s">
        <v>3973</v>
      </c>
    </row>
    <row r="1151" spans="1:9">
      <c r="A1151" s="93" t="s">
        <v>4164</v>
      </c>
      <c r="B1151" t="s">
        <v>1870</v>
      </c>
      <c r="C1151" t="s">
        <v>2681</v>
      </c>
      <c r="D1151" t="s">
        <v>2563</v>
      </c>
      <c r="E1151" t="s">
        <v>108</v>
      </c>
      <c r="F1151" t="s">
        <v>2682</v>
      </c>
      <c r="G1151" t="s">
        <v>4143</v>
      </c>
      <c r="H1151" t="s">
        <v>108</v>
      </c>
      <c r="I1151" t="s">
        <v>3973</v>
      </c>
    </row>
    <row r="1152" spans="1:9">
      <c r="A1152" s="93" t="s">
        <v>4164</v>
      </c>
      <c r="B1152" t="s">
        <v>1870</v>
      </c>
      <c r="C1152" t="s">
        <v>2683</v>
      </c>
      <c r="D1152" t="s">
        <v>2537</v>
      </c>
      <c r="E1152" t="s">
        <v>2684</v>
      </c>
      <c r="F1152" t="s">
        <v>2686</v>
      </c>
      <c r="G1152" t="s">
        <v>4165</v>
      </c>
      <c r="H1152" t="s">
        <v>2786</v>
      </c>
      <c r="I1152" t="s">
        <v>3973</v>
      </c>
    </row>
    <row r="1153" spans="1:9">
      <c r="A1153" s="93" t="s">
        <v>4164</v>
      </c>
      <c r="B1153" t="s">
        <v>1870</v>
      </c>
      <c r="C1153" t="s">
        <v>2687</v>
      </c>
      <c r="D1153" t="s">
        <v>2554</v>
      </c>
      <c r="E1153" t="s">
        <v>2288</v>
      </c>
      <c r="F1153" t="s">
        <v>2688</v>
      </c>
      <c r="G1153" t="s">
        <v>4143</v>
      </c>
      <c r="H1153" t="s">
        <v>2288</v>
      </c>
      <c r="I1153" t="s">
        <v>3973</v>
      </c>
    </row>
    <row r="1154" spans="1:9">
      <c r="A1154" s="93" t="s">
        <v>4164</v>
      </c>
      <c r="B1154" t="s">
        <v>1870</v>
      </c>
      <c r="C1154" t="s">
        <v>2689</v>
      </c>
      <c r="D1154" t="s">
        <v>2554</v>
      </c>
      <c r="E1154" t="s">
        <v>2288</v>
      </c>
      <c r="F1154" t="s">
        <v>2690</v>
      </c>
      <c r="G1154" t="s">
        <v>4143</v>
      </c>
      <c r="H1154" t="s">
        <v>2288</v>
      </c>
      <c r="I1154" t="s">
        <v>3973</v>
      </c>
    </row>
    <row r="1155" spans="1:9">
      <c r="A1155" s="93" t="s">
        <v>4164</v>
      </c>
      <c r="B1155" t="s">
        <v>1870</v>
      </c>
      <c r="C1155" t="s">
        <v>2691</v>
      </c>
      <c r="D1155" t="s">
        <v>2533</v>
      </c>
      <c r="E1155" t="s">
        <v>2135</v>
      </c>
      <c r="F1155" t="s">
        <v>2692</v>
      </c>
      <c r="G1155" t="s">
        <v>4165</v>
      </c>
      <c r="H1155" t="s">
        <v>2136</v>
      </c>
      <c r="I1155" t="s">
        <v>3973</v>
      </c>
    </row>
    <row r="1156" spans="1:9">
      <c r="A1156" s="93" t="s">
        <v>4164</v>
      </c>
      <c r="B1156" t="s">
        <v>1870</v>
      </c>
      <c r="C1156" t="s">
        <v>2693</v>
      </c>
      <c r="D1156" t="s">
        <v>2533</v>
      </c>
      <c r="E1156" t="s">
        <v>2288</v>
      </c>
      <c r="F1156" t="s">
        <v>2694</v>
      </c>
      <c r="G1156" t="s">
        <v>4143</v>
      </c>
      <c r="H1156" t="s">
        <v>2288</v>
      </c>
      <c r="I1156" t="s">
        <v>3973</v>
      </c>
    </row>
    <row r="1157" spans="1:9">
      <c r="A1157" s="93" t="s">
        <v>4164</v>
      </c>
      <c r="B1157" t="s">
        <v>1870</v>
      </c>
      <c r="C1157" t="s">
        <v>2695</v>
      </c>
      <c r="D1157" t="s">
        <v>2591</v>
      </c>
      <c r="E1157" t="s">
        <v>2288</v>
      </c>
      <c r="F1157" t="s">
        <v>2696</v>
      </c>
      <c r="G1157" t="s">
        <v>4143</v>
      </c>
      <c r="H1157" t="s">
        <v>2288</v>
      </c>
      <c r="I1157" t="s">
        <v>3973</v>
      </c>
    </row>
    <row r="1158" spans="1:9">
      <c r="A1158" s="93" t="s">
        <v>4164</v>
      </c>
      <c r="B1158" t="s">
        <v>1870</v>
      </c>
      <c r="C1158" t="s">
        <v>2697</v>
      </c>
      <c r="D1158" t="s">
        <v>2582</v>
      </c>
      <c r="E1158" t="s">
        <v>2367</v>
      </c>
      <c r="F1158" t="s">
        <v>2698</v>
      </c>
      <c r="G1158" t="s">
        <v>4143</v>
      </c>
      <c r="H1158" t="s">
        <v>2193</v>
      </c>
      <c r="I1158" t="s">
        <v>3973</v>
      </c>
    </row>
    <row r="1159" spans="1:9">
      <c r="A1159" s="93" t="s">
        <v>4164</v>
      </c>
      <c r="B1159" t="s">
        <v>1870</v>
      </c>
      <c r="C1159" t="s">
        <v>2699</v>
      </c>
      <c r="D1159" t="s">
        <v>2571</v>
      </c>
      <c r="E1159" t="s">
        <v>2288</v>
      </c>
      <c r="F1159" t="s">
        <v>2700</v>
      </c>
      <c r="G1159" t="s">
        <v>4143</v>
      </c>
      <c r="H1159" t="s">
        <v>2288</v>
      </c>
      <c r="I1159" t="s">
        <v>3973</v>
      </c>
    </row>
    <row r="1160" spans="1:9">
      <c r="A1160" s="93" t="s">
        <v>4164</v>
      </c>
      <c r="B1160" t="s">
        <v>1870</v>
      </c>
      <c r="C1160" t="s">
        <v>2701</v>
      </c>
      <c r="D1160" t="s">
        <v>2559</v>
      </c>
      <c r="E1160" t="s">
        <v>2193</v>
      </c>
      <c r="F1160" t="s">
        <v>2702</v>
      </c>
      <c r="G1160" t="s">
        <v>4143</v>
      </c>
      <c r="H1160" t="s">
        <v>2193</v>
      </c>
      <c r="I1160" t="s">
        <v>3973</v>
      </c>
    </row>
    <row r="1161" spans="1:9">
      <c r="A1161" s="93" t="s">
        <v>4164</v>
      </c>
      <c r="B1161" t="s">
        <v>1870</v>
      </c>
      <c r="C1161" t="s">
        <v>2703</v>
      </c>
      <c r="D1161" t="s">
        <v>2554</v>
      </c>
      <c r="E1161" t="s">
        <v>2193</v>
      </c>
      <c r="F1161" t="s">
        <v>2704</v>
      </c>
      <c r="G1161" t="s">
        <v>4143</v>
      </c>
      <c r="H1161" t="s">
        <v>2193</v>
      </c>
      <c r="I1161" t="s">
        <v>3973</v>
      </c>
    </row>
    <row r="1162" spans="1:9">
      <c r="A1162" s="93" t="s">
        <v>4164</v>
      </c>
      <c r="B1162" t="s">
        <v>1870</v>
      </c>
      <c r="C1162" t="s">
        <v>2706</v>
      </c>
      <c r="D1162" t="s">
        <v>2591</v>
      </c>
      <c r="E1162" t="s">
        <v>108</v>
      </c>
      <c r="F1162" t="s">
        <v>2707</v>
      </c>
      <c r="G1162" t="s">
        <v>4143</v>
      </c>
      <c r="H1162" t="s">
        <v>108</v>
      </c>
      <c r="I1162" t="s">
        <v>3973</v>
      </c>
    </row>
    <row r="1163" spans="1:9">
      <c r="A1163" s="93" t="s">
        <v>4164</v>
      </c>
      <c r="B1163" t="s">
        <v>1872</v>
      </c>
      <c r="C1163" t="s">
        <v>2546</v>
      </c>
      <c r="D1163" t="s">
        <v>2546</v>
      </c>
      <c r="E1163" t="s">
        <v>2135</v>
      </c>
      <c r="F1163" t="s">
        <v>2580</v>
      </c>
      <c r="G1163" t="s">
        <v>4165</v>
      </c>
      <c r="H1163" t="s">
        <v>2136</v>
      </c>
      <c r="I1163" t="s">
        <v>3977</v>
      </c>
    </row>
    <row r="1164" spans="1:9">
      <c r="A1164" s="93" t="s">
        <v>4164</v>
      </c>
      <c r="B1164" t="s">
        <v>1872</v>
      </c>
      <c r="C1164" t="s">
        <v>2709</v>
      </c>
      <c r="D1164" t="s">
        <v>2582</v>
      </c>
      <c r="E1164" t="s">
        <v>2710</v>
      </c>
      <c r="G1164" t="s">
        <v>4143</v>
      </c>
      <c r="H1164" t="s">
        <v>2669</v>
      </c>
      <c r="I1164" t="s">
        <v>3977</v>
      </c>
    </row>
    <row r="1165" spans="1:9">
      <c r="A1165" s="93" t="s">
        <v>4164</v>
      </c>
      <c r="B1165" t="s">
        <v>1872</v>
      </c>
      <c r="C1165" t="s">
        <v>2711</v>
      </c>
      <c r="D1165" t="s">
        <v>2579</v>
      </c>
      <c r="E1165" t="s">
        <v>2288</v>
      </c>
      <c r="F1165" t="s">
        <v>2712</v>
      </c>
      <c r="G1165" t="s">
        <v>4143</v>
      </c>
      <c r="H1165" t="s">
        <v>2288</v>
      </c>
      <c r="I1165" t="s">
        <v>3977</v>
      </c>
    </row>
    <row r="1166" spans="1:9">
      <c r="A1166" s="93" t="s">
        <v>4164</v>
      </c>
      <c r="B1166" t="s">
        <v>1872</v>
      </c>
      <c r="C1166" t="s">
        <v>2788</v>
      </c>
      <c r="D1166" t="s">
        <v>2533</v>
      </c>
      <c r="E1166" t="s">
        <v>2789</v>
      </c>
      <c r="F1166" t="s">
        <v>2791</v>
      </c>
      <c r="G1166" t="s">
        <v>4143</v>
      </c>
      <c r="H1166" t="s">
        <v>2790</v>
      </c>
      <c r="I1166" t="s">
        <v>3977</v>
      </c>
    </row>
    <row r="1167" spans="1:9">
      <c r="A1167" s="93" t="s">
        <v>4164</v>
      </c>
      <c r="B1167" t="s">
        <v>1872</v>
      </c>
      <c r="C1167" t="s">
        <v>2713</v>
      </c>
      <c r="D1167" t="s">
        <v>2591</v>
      </c>
      <c r="E1167" t="s">
        <v>2288</v>
      </c>
      <c r="F1167" t="s">
        <v>2714</v>
      </c>
      <c r="G1167" t="s">
        <v>4143</v>
      </c>
      <c r="H1167" t="s">
        <v>2288</v>
      </c>
      <c r="I1167" t="s">
        <v>3977</v>
      </c>
    </row>
    <row r="1168" spans="1:9">
      <c r="A1168" s="93" t="s">
        <v>4164</v>
      </c>
      <c r="B1168" t="s">
        <v>1872</v>
      </c>
      <c r="C1168" t="s">
        <v>2715</v>
      </c>
      <c r="D1168" t="s">
        <v>2571</v>
      </c>
      <c r="E1168" t="s">
        <v>2288</v>
      </c>
      <c r="F1168" t="s">
        <v>2716</v>
      </c>
      <c r="G1168" t="s">
        <v>4143</v>
      </c>
      <c r="H1168" t="s">
        <v>2288</v>
      </c>
      <c r="I1168" t="s">
        <v>3977</v>
      </c>
    </row>
    <row r="1169" spans="1:9">
      <c r="A1169" s="93" t="s">
        <v>4164</v>
      </c>
      <c r="B1169" t="s">
        <v>1872</v>
      </c>
      <c r="C1169" t="s">
        <v>2792</v>
      </c>
      <c r="D1169" t="s">
        <v>2582</v>
      </c>
      <c r="E1169" t="s">
        <v>2793</v>
      </c>
      <c r="G1169" t="s">
        <v>4143</v>
      </c>
      <c r="H1169" t="s">
        <v>227</v>
      </c>
      <c r="I1169" t="s">
        <v>3977</v>
      </c>
    </row>
    <row r="1170" spans="1:9">
      <c r="A1170" s="93" t="s">
        <v>4164</v>
      </c>
      <c r="B1170" t="s">
        <v>1872</v>
      </c>
      <c r="C1170" t="s">
        <v>2717</v>
      </c>
      <c r="D1170" t="s">
        <v>2559</v>
      </c>
      <c r="E1170" t="s">
        <v>2288</v>
      </c>
      <c r="F1170" t="s">
        <v>2718</v>
      </c>
      <c r="G1170" t="s">
        <v>4143</v>
      </c>
      <c r="H1170" t="s">
        <v>2288</v>
      </c>
      <c r="I1170" t="s">
        <v>3977</v>
      </c>
    </row>
    <row r="1171" spans="1:9">
      <c r="A1171" s="93" t="s">
        <v>4164</v>
      </c>
      <c r="B1171" t="s">
        <v>1872</v>
      </c>
      <c r="C1171" t="s">
        <v>2719</v>
      </c>
      <c r="D1171" t="s">
        <v>2559</v>
      </c>
      <c r="E1171" t="s">
        <v>108</v>
      </c>
      <c r="F1171" t="s">
        <v>2720</v>
      </c>
      <c r="G1171" t="s">
        <v>4143</v>
      </c>
      <c r="H1171" t="s">
        <v>108</v>
      </c>
      <c r="I1171" t="s">
        <v>3977</v>
      </c>
    </row>
    <row r="1172" spans="1:9">
      <c r="A1172" s="93" t="s">
        <v>4164</v>
      </c>
      <c r="B1172" t="s">
        <v>1872</v>
      </c>
      <c r="C1172" t="s">
        <v>2721</v>
      </c>
      <c r="D1172" t="s">
        <v>2591</v>
      </c>
      <c r="E1172" t="s">
        <v>2288</v>
      </c>
      <c r="F1172" t="s">
        <v>2716</v>
      </c>
      <c r="G1172" t="s">
        <v>4143</v>
      </c>
      <c r="H1172" t="s">
        <v>2288</v>
      </c>
      <c r="I1172" t="s">
        <v>3977</v>
      </c>
    </row>
    <row r="1173" spans="1:9">
      <c r="A1173" s="93" t="s">
        <v>4164</v>
      </c>
      <c r="B1173" t="s">
        <v>1872</v>
      </c>
      <c r="C1173" t="s">
        <v>2725</v>
      </c>
      <c r="D1173" t="s">
        <v>2582</v>
      </c>
      <c r="E1173" t="s">
        <v>2193</v>
      </c>
      <c r="G1173" t="s">
        <v>4143</v>
      </c>
      <c r="H1173" t="s">
        <v>2193</v>
      </c>
      <c r="I1173" t="s">
        <v>3977</v>
      </c>
    </row>
    <row r="1174" spans="1:9">
      <c r="A1174" s="93" t="s">
        <v>4164</v>
      </c>
      <c r="B1174" t="s">
        <v>1872</v>
      </c>
      <c r="C1174" t="s">
        <v>2726</v>
      </c>
      <c r="D1174" t="s">
        <v>2591</v>
      </c>
      <c r="E1174" t="s">
        <v>108</v>
      </c>
      <c r="F1174" t="s">
        <v>2727</v>
      </c>
      <c r="G1174" t="s">
        <v>4143</v>
      </c>
      <c r="H1174" t="s">
        <v>108</v>
      </c>
      <c r="I1174" t="s">
        <v>3977</v>
      </c>
    </row>
    <row r="1175" spans="1:9">
      <c r="A1175" s="93" t="s">
        <v>4164</v>
      </c>
      <c r="B1175" t="s">
        <v>1872</v>
      </c>
      <c r="C1175" t="s">
        <v>2728</v>
      </c>
      <c r="D1175" t="s">
        <v>2545</v>
      </c>
      <c r="E1175" t="s">
        <v>2288</v>
      </c>
      <c r="F1175" t="s">
        <v>2729</v>
      </c>
      <c r="G1175" t="s">
        <v>4143</v>
      </c>
      <c r="H1175" t="s">
        <v>2288</v>
      </c>
      <c r="I1175" t="s">
        <v>3977</v>
      </c>
    </row>
    <row r="1176" spans="1:9">
      <c r="A1176" s="93" t="s">
        <v>4164</v>
      </c>
      <c r="B1176" t="s">
        <v>1872</v>
      </c>
      <c r="C1176" t="s">
        <v>2730</v>
      </c>
      <c r="D1176" t="s">
        <v>2545</v>
      </c>
      <c r="E1176" t="s">
        <v>2731</v>
      </c>
      <c r="F1176" t="s">
        <v>2732</v>
      </c>
      <c r="G1176" t="s">
        <v>4143</v>
      </c>
      <c r="H1176" t="s">
        <v>108</v>
      </c>
      <c r="I1176" t="s">
        <v>3977</v>
      </c>
    </row>
    <row r="1177" spans="1:9">
      <c r="A1177" s="93" t="s">
        <v>4164</v>
      </c>
      <c r="B1177" t="s">
        <v>1872</v>
      </c>
      <c r="C1177" t="s">
        <v>2733</v>
      </c>
      <c r="D1177" t="s">
        <v>2591</v>
      </c>
      <c r="E1177" t="s">
        <v>2288</v>
      </c>
      <c r="F1177" t="s">
        <v>2734</v>
      </c>
      <c r="G1177" t="s">
        <v>4143</v>
      </c>
      <c r="H1177" t="s">
        <v>2288</v>
      </c>
      <c r="I1177" t="s">
        <v>3977</v>
      </c>
    </row>
    <row r="1178" spans="1:9">
      <c r="A1178" s="93" t="s">
        <v>4164</v>
      </c>
      <c r="B1178" t="s">
        <v>1873</v>
      </c>
      <c r="C1178" t="s">
        <v>2546</v>
      </c>
      <c r="D1178" t="s">
        <v>2546</v>
      </c>
      <c r="E1178" t="s">
        <v>2135</v>
      </c>
      <c r="F1178" t="s">
        <v>2580</v>
      </c>
      <c r="G1178" t="s">
        <v>4165</v>
      </c>
      <c r="H1178" t="s">
        <v>2136</v>
      </c>
      <c r="I1178" t="s">
        <v>3981</v>
      </c>
    </row>
    <row r="1179" spans="1:9">
      <c r="A1179" s="93" t="s">
        <v>4164</v>
      </c>
      <c r="B1179" t="s">
        <v>1873</v>
      </c>
      <c r="C1179" t="s">
        <v>2736</v>
      </c>
      <c r="D1179" t="s">
        <v>2579</v>
      </c>
      <c r="E1179" t="s">
        <v>2737</v>
      </c>
      <c r="F1179" t="s">
        <v>2739</v>
      </c>
      <c r="G1179" t="s">
        <v>4165</v>
      </c>
      <c r="H1179" t="s">
        <v>2288</v>
      </c>
      <c r="I1179" t="s">
        <v>3981</v>
      </c>
    </row>
    <row r="1180" spans="1:9">
      <c r="A1180" s="93" t="s">
        <v>4164</v>
      </c>
      <c r="B1180" t="s">
        <v>1873</v>
      </c>
      <c r="C1180" t="s">
        <v>2740</v>
      </c>
      <c r="D1180" t="s">
        <v>2559</v>
      </c>
      <c r="E1180" t="s">
        <v>2741</v>
      </c>
      <c r="F1180" t="s">
        <v>2742</v>
      </c>
      <c r="G1180" t="s">
        <v>4143</v>
      </c>
      <c r="H1180" t="s">
        <v>108</v>
      </c>
      <c r="I1180" t="s">
        <v>3981</v>
      </c>
    </row>
    <row r="1181" spans="1:9">
      <c r="A1181" s="93" t="s">
        <v>4164</v>
      </c>
      <c r="B1181" t="s">
        <v>1873</v>
      </c>
      <c r="C1181" t="s">
        <v>2743</v>
      </c>
      <c r="D1181" t="s">
        <v>2571</v>
      </c>
      <c r="E1181" t="s">
        <v>2744</v>
      </c>
      <c r="F1181" t="s">
        <v>2745</v>
      </c>
      <c r="G1181" t="s">
        <v>4143</v>
      </c>
      <c r="H1181" t="s">
        <v>2288</v>
      </c>
      <c r="I1181" t="s">
        <v>3981</v>
      </c>
    </row>
    <row r="1182" spans="1:9">
      <c r="A1182" s="93" t="s">
        <v>4164</v>
      </c>
      <c r="B1182" t="s">
        <v>1873</v>
      </c>
      <c r="C1182" t="s">
        <v>2746</v>
      </c>
      <c r="D1182" t="s">
        <v>2571</v>
      </c>
      <c r="E1182" t="s">
        <v>2744</v>
      </c>
      <c r="F1182" t="s">
        <v>2745</v>
      </c>
      <c r="G1182" t="s">
        <v>4143</v>
      </c>
      <c r="H1182" t="s">
        <v>2288</v>
      </c>
      <c r="I1182" t="s">
        <v>3981</v>
      </c>
    </row>
    <row r="1183" spans="1:9">
      <c r="A1183" s="93" t="s">
        <v>4164</v>
      </c>
      <c r="B1183" t="s">
        <v>1873</v>
      </c>
      <c r="C1183" t="s">
        <v>2747</v>
      </c>
      <c r="D1183" t="s">
        <v>2533</v>
      </c>
      <c r="E1183" t="s">
        <v>2288</v>
      </c>
      <c r="F1183" t="s">
        <v>2748</v>
      </c>
      <c r="G1183" t="s">
        <v>4143</v>
      </c>
      <c r="H1183" t="s">
        <v>2288</v>
      </c>
      <c r="I1183" t="s">
        <v>3981</v>
      </c>
    </row>
    <row r="1184" spans="1:9">
      <c r="A1184" s="93" t="s">
        <v>4164</v>
      </c>
      <c r="B1184" t="s">
        <v>1873</v>
      </c>
      <c r="C1184" t="s">
        <v>2749</v>
      </c>
      <c r="D1184" t="s">
        <v>2579</v>
      </c>
      <c r="E1184" t="s">
        <v>2288</v>
      </c>
      <c r="F1184" t="s">
        <v>2750</v>
      </c>
      <c r="G1184" t="s">
        <v>4143</v>
      </c>
      <c r="H1184" t="s">
        <v>2288</v>
      </c>
      <c r="I1184" t="s">
        <v>3981</v>
      </c>
    </row>
    <row r="1185" spans="1:9">
      <c r="A1185" s="93" t="s">
        <v>4164</v>
      </c>
      <c r="B1185" t="s">
        <v>1873</v>
      </c>
      <c r="C1185" t="s">
        <v>2751</v>
      </c>
      <c r="D1185" t="s">
        <v>2571</v>
      </c>
      <c r="E1185" t="s">
        <v>2288</v>
      </c>
      <c r="F1185" t="s">
        <v>2752</v>
      </c>
      <c r="G1185" t="s">
        <v>4143</v>
      </c>
      <c r="H1185" t="s">
        <v>2288</v>
      </c>
      <c r="I1185" t="s">
        <v>3981</v>
      </c>
    </row>
    <row r="1186" spans="1:9">
      <c r="A1186" s="93" t="s">
        <v>4164</v>
      </c>
      <c r="B1186" t="s">
        <v>1873</v>
      </c>
      <c r="C1186" t="s">
        <v>2753</v>
      </c>
      <c r="D1186" t="s">
        <v>2537</v>
      </c>
      <c r="E1186" t="s">
        <v>2288</v>
      </c>
      <c r="F1186" t="s">
        <v>2754</v>
      </c>
      <c r="G1186" t="s">
        <v>4143</v>
      </c>
      <c r="H1186" t="s">
        <v>2288</v>
      </c>
      <c r="I1186" t="s">
        <v>3981</v>
      </c>
    </row>
    <row r="1187" spans="1:9">
      <c r="A1187" s="93" t="s">
        <v>4164</v>
      </c>
      <c r="B1187" t="s">
        <v>1873</v>
      </c>
      <c r="C1187" t="s">
        <v>2755</v>
      </c>
      <c r="D1187" t="s">
        <v>2579</v>
      </c>
      <c r="E1187" t="s">
        <v>2288</v>
      </c>
      <c r="F1187" t="s">
        <v>2756</v>
      </c>
      <c r="G1187" t="s">
        <v>4143</v>
      </c>
      <c r="H1187" t="s">
        <v>2288</v>
      </c>
      <c r="I1187" t="s">
        <v>3981</v>
      </c>
    </row>
    <row r="1188" spans="1:9">
      <c r="A1188" s="93" t="s">
        <v>4164</v>
      </c>
      <c r="B1188" t="s">
        <v>1873</v>
      </c>
      <c r="C1188" t="s">
        <v>2757</v>
      </c>
      <c r="D1188" t="s">
        <v>2619</v>
      </c>
      <c r="E1188" t="s">
        <v>2288</v>
      </c>
      <c r="F1188" t="s">
        <v>2758</v>
      </c>
      <c r="G1188" t="s">
        <v>4143</v>
      </c>
      <c r="H1188" t="s">
        <v>2288</v>
      </c>
      <c r="I1188" t="s">
        <v>3981</v>
      </c>
    </row>
    <row r="1189" spans="1:9">
      <c r="A1189" s="93" t="s">
        <v>4164</v>
      </c>
      <c r="B1189" t="s">
        <v>1873</v>
      </c>
      <c r="C1189" t="s">
        <v>2759</v>
      </c>
      <c r="D1189" t="s">
        <v>2537</v>
      </c>
      <c r="E1189" t="s">
        <v>2288</v>
      </c>
      <c r="F1189" t="s">
        <v>2760</v>
      </c>
      <c r="G1189" t="s">
        <v>4143</v>
      </c>
      <c r="H1189" t="s">
        <v>2288</v>
      </c>
      <c r="I1189" t="s">
        <v>3981</v>
      </c>
    </row>
    <row r="1190" spans="1:9">
      <c r="A1190" s="93" t="s">
        <v>4164</v>
      </c>
      <c r="B1190" t="s">
        <v>1873</v>
      </c>
      <c r="C1190" t="s">
        <v>2761</v>
      </c>
      <c r="D1190" t="s">
        <v>2582</v>
      </c>
      <c r="E1190" t="s">
        <v>2762</v>
      </c>
      <c r="F1190" t="s">
        <v>2763</v>
      </c>
      <c r="G1190" t="s">
        <v>4143</v>
      </c>
      <c r="H1190" t="s">
        <v>108</v>
      </c>
      <c r="I1190" t="s">
        <v>3981</v>
      </c>
    </row>
    <row r="1191" spans="1:9">
      <c r="A1191" s="93" t="s">
        <v>4164</v>
      </c>
      <c r="B1191" t="s">
        <v>1873</v>
      </c>
      <c r="C1191" t="s">
        <v>2764</v>
      </c>
      <c r="D1191" t="s">
        <v>2582</v>
      </c>
      <c r="E1191" t="s">
        <v>1201</v>
      </c>
      <c r="G1191" t="s">
        <v>4143</v>
      </c>
      <c r="H1191" t="s">
        <v>1201</v>
      </c>
      <c r="I1191" t="s">
        <v>3981</v>
      </c>
    </row>
    <row r="1192" spans="1:9">
      <c r="A1192" s="93" t="s">
        <v>4164</v>
      </c>
      <c r="B1192" t="s">
        <v>1873</v>
      </c>
      <c r="C1192" t="s">
        <v>2765</v>
      </c>
      <c r="D1192" t="s">
        <v>2563</v>
      </c>
      <c r="E1192" t="s">
        <v>2288</v>
      </c>
      <c r="F1192" t="s">
        <v>2712</v>
      </c>
      <c r="G1192" t="s">
        <v>4143</v>
      </c>
      <c r="H1192" t="s">
        <v>2288</v>
      </c>
      <c r="I1192" t="s">
        <v>3981</v>
      </c>
    </row>
    <row r="1193" spans="1:9">
      <c r="A1193" s="93" t="s">
        <v>4164</v>
      </c>
      <c r="B1193" t="s">
        <v>1874</v>
      </c>
      <c r="C1193" t="s">
        <v>2114</v>
      </c>
      <c r="D1193" t="s">
        <v>2115</v>
      </c>
      <c r="E1193" t="s">
        <v>1559</v>
      </c>
      <c r="F1193" t="s">
        <v>2117</v>
      </c>
      <c r="G1193" t="s">
        <v>4143</v>
      </c>
      <c r="H1193" t="s">
        <v>1559</v>
      </c>
      <c r="I1193" t="s">
        <v>3984</v>
      </c>
    </row>
    <row r="1194" spans="1:9">
      <c r="A1194" s="93" t="s">
        <v>4164</v>
      </c>
      <c r="B1194" t="s">
        <v>1874</v>
      </c>
      <c r="C1194" t="s">
        <v>2352</v>
      </c>
      <c r="E1194" t="s">
        <v>1201</v>
      </c>
      <c r="G1194" t="s">
        <v>4143</v>
      </c>
      <c r="H1194" t="s">
        <v>1201</v>
      </c>
      <c r="I1194" t="s">
        <v>3984</v>
      </c>
    </row>
    <row r="1195" spans="1:9">
      <c r="A1195" s="93" t="s">
        <v>4164</v>
      </c>
      <c r="B1195" t="s">
        <v>1874</v>
      </c>
      <c r="C1195" t="s">
        <v>2118</v>
      </c>
      <c r="E1195" t="s">
        <v>2119</v>
      </c>
      <c r="G1195" t="s">
        <v>4143</v>
      </c>
      <c r="H1195" t="s">
        <v>2353</v>
      </c>
      <c r="I1195" t="s">
        <v>3984</v>
      </c>
    </row>
    <row r="1196" spans="1:9">
      <c r="A1196" s="93" t="s">
        <v>4164</v>
      </c>
      <c r="B1196" t="s">
        <v>1874</v>
      </c>
      <c r="C1196" t="s">
        <v>2121</v>
      </c>
      <c r="D1196" t="s">
        <v>2122</v>
      </c>
      <c r="E1196" t="s">
        <v>108</v>
      </c>
      <c r="G1196" t="s">
        <v>4143</v>
      </c>
      <c r="H1196" t="s">
        <v>108</v>
      </c>
      <c r="I1196" t="s">
        <v>3984</v>
      </c>
    </row>
    <row r="1197" spans="1:9">
      <c r="A1197" s="93" t="s">
        <v>4164</v>
      </c>
      <c r="B1197" t="s">
        <v>1874</v>
      </c>
      <c r="C1197" t="s">
        <v>2123</v>
      </c>
      <c r="D1197" t="s">
        <v>2124</v>
      </c>
      <c r="E1197" t="s">
        <v>108</v>
      </c>
      <c r="F1197" t="s">
        <v>2125</v>
      </c>
      <c r="G1197" t="s">
        <v>4143</v>
      </c>
      <c r="H1197" t="s">
        <v>108</v>
      </c>
      <c r="I1197" t="s">
        <v>3984</v>
      </c>
    </row>
    <row r="1198" spans="1:9">
      <c r="A1198" s="93" t="s">
        <v>4164</v>
      </c>
      <c r="B1198" t="s">
        <v>1874</v>
      </c>
      <c r="C1198" t="s">
        <v>2126</v>
      </c>
      <c r="E1198" t="s">
        <v>108</v>
      </c>
      <c r="G1198" t="s">
        <v>4143</v>
      </c>
      <c r="H1198" t="s">
        <v>108</v>
      </c>
      <c r="I1198" t="s">
        <v>3984</v>
      </c>
    </row>
    <row r="1199" spans="1:9">
      <c r="A1199" s="93" t="s">
        <v>4164</v>
      </c>
      <c r="B1199" t="s">
        <v>1875</v>
      </c>
      <c r="C1199" t="s">
        <v>2128</v>
      </c>
      <c r="D1199" t="s">
        <v>2129</v>
      </c>
      <c r="E1199" t="s">
        <v>108</v>
      </c>
      <c r="G1199" t="s">
        <v>4143</v>
      </c>
      <c r="H1199" t="s">
        <v>108</v>
      </c>
      <c r="I1199" t="s">
        <v>3988</v>
      </c>
    </row>
    <row r="1200" spans="1:9">
      <c r="A1200" s="93" t="s">
        <v>4164</v>
      </c>
      <c r="B1200" t="s">
        <v>1875</v>
      </c>
      <c r="C1200" t="s">
        <v>2130</v>
      </c>
      <c r="D1200" t="s">
        <v>2131</v>
      </c>
      <c r="E1200" t="s">
        <v>108</v>
      </c>
      <c r="F1200" t="s">
        <v>2132</v>
      </c>
      <c r="G1200" t="s">
        <v>4143</v>
      </c>
      <c r="H1200" t="s">
        <v>108</v>
      </c>
      <c r="I1200" t="s">
        <v>3988</v>
      </c>
    </row>
    <row r="1201" spans="1:9">
      <c r="A1201" s="93" t="s">
        <v>4164</v>
      </c>
      <c r="B1201" t="s">
        <v>1875</v>
      </c>
      <c r="C1201" t="s">
        <v>2133</v>
      </c>
      <c r="D1201" t="s">
        <v>2131</v>
      </c>
      <c r="E1201" t="s">
        <v>108</v>
      </c>
      <c r="G1201" t="s">
        <v>4143</v>
      </c>
      <c r="H1201" t="s">
        <v>108</v>
      </c>
      <c r="I1201" t="s">
        <v>3988</v>
      </c>
    </row>
    <row r="1202" spans="1:9">
      <c r="A1202" s="93" t="s">
        <v>4164</v>
      </c>
      <c r="B1202" t="s">
        <v>1875</v>
      </c>
      <c r="C1202" t="s">
        <v>2134</v>
      </c>
      <c r="E1202" t="s">
        <v>2135</v>
      </c>
      <c r="F1202" t="s">
        <v>2137</v>
      </c>
      <c r="G1202" t="s">
        <v>4165</v>
      </c>
      <c r="H1202" t="s">
        <v>2355</v>
      </c>
      <c r="I1202" t="s">
        <v>3988</v>
      </c>
    </row>
    <row r="1203" spans="1:9">
      <c r="A1203" s="93" t="s">
        <v>4164</v>
      </c>
      <c r="B1203" t="s">
        <v>1875</v>
      </c>
      <c r="C1203" t="s">
        <v>2138</v>
      </c>
      <c r="D1203" t="s">
        <v>2139</v>
      </c>
      <c r="E1203" t="s">
        <v>108</v>
      </c>
      <c r="F1203" t="s">
        <v>2140</v>
      </c>
      <c r="G1203" t="s">
        <v>4143</v>
      </c>
      <c r="H1203" t="s">
        <v>108</v>
      </c>
      <c r="I1203" t="s">
        <v>3988</v>
      </c>
    </row>
    <row r="1204" spans="1:9">
      <c r="A1204" s="93" t="s">
        <v>4164</v>
      </c>
      <c r="B1204" t="s">
        <v>3697</v>
      </c>
      <c r="C1204" t="s">
        <v>2142</v>
      </c>
      <c r="D1204" t="s">
        <v>2143</v>
      </c>
      <c r="E1204" t="s">
        <v>108</v>
      </c>
      <c r="G1204" t="s">
        <v>4143</v>
      </c>
      <c r="H1204" t="s">
        <v>108</v>
      </c>
      <c r="I1204" t="s">
        <v>3992</v>
      </c>
    </row>
    <row r="1205" spans="1:9">
      <c r="A1205" s="93" t="s">
        <v>4164</v>
      </c>
      <c r="B1205" t="s">
        <v>3697</v>
      </c>
      <c r="C1205" t="s">
        <v>2144</v>
      </c>
      <c r="D1205" t="s">
        <v>2143</v>
      </c>
      <c r="E1205" t="s">
        <v>2145</v>
      </c>
      <c r="G1205" t="s">
        <v>4143</v>
      </c>
      <c r="H1205" t="s">
        <v>108</v>
      </c>
      <c r="I1205" t="s">
        <v>3992</v>
      </c>
    </row>
    <row r="1206" spans="1:9">
      <c r="A1206" s="93" t="s">
        <v>4164</v>
      </c>
      <c r="B1206" t="s">
        <v>3697</v>
      </c>
      <c r="C1206" t="s">
        <v>2146</v>
      </c>
      <c r="D1206" t="s">
        <v>2143</v>
      </c>
      <c r="E1206" t="s">
        <v>2147</v>
      </c>
      <c r="F1206" t="s">
        <v>2148</v>
      </c>
      <c r="G1206" t="s">
        <v>4143</v>
      </c>
      <c r="H1206" t="s">
        <v>108</v>
      </c>
      <c r="I1206" t="s">
        <v>3992</v>
      </c>
    </row>
    <row r="1207" spans="1:9">
      <c r="A1207" s="93" t="s">
        <v>4164</v>
      </c>
      <c r="B1207" t="s">
        <v>3697</v>
      </c>
      <c r="C1207" t="s">
        <v>2149</v>
      </c>
      <c r="D1207" t="s">
        <v>2143</v>
      </c>
      <c r="E1207" t="s">
        <v>108</v>
      </c>
      <c r="G1207" t="s">
        <v>4143</v>
      </c>
      <c r="H1207" t="s">
        <v>108</v>
      </c>
      <c r="I1207" t="s">
        <v>3992</v>
      </c>
    </row>
    <row r="1208" spans="1:9">
      <c r="A1208" s="93" t="s">
        <v>4164</v>
      </c>
      <c r="B1208" t="s">
        <v>1881</v>
      </c>
      <c r="C1208" t="s">
        <v>2151</v>
      </c>
      <c r="D1208" t="s">
        <v>2152</v>
      </c>
      <c r="E1208" t="s">
        <v>2153</v>
      </c>
      <c r="G1208" t="s">
        <v>4143</v>
      </c>
      <c r="H1208" t="s">
        <v>108</v>
      </c>
      <c r="I1208" t="s">
        <v>3996</v>
      </c>
    </row>
    <row r="1209" spans="1:9">
      <c r="A1209" s="93" t="s">
        <v>4164</v>
      </c>
      <c r="B1209" t="s">
        <v>1881</v>
      </c>
      <c r="C1209" t="s">
        <v>2358</v>
      </c>
      <c r="E1209" t="s">
        <v>543</v>
      </c>
      <c r="F1209" t="s">
        <v>2359</v>
      </c>
      <c r="G1209" t="s">
        <v>4143</v>
      </c>
      <c r="H1209" t="s">
        <v>543</v>
      </c>
      <c r="I1209" t="s">
        <v>3996</v>
      </c>
    </row>
    <row r="1210" spans="1:9">
      <c r="A1210" s="93" t="s">
        <v>4164</v>
      </c>
      <c r="B1210" t="s">
        <v>1881</v>
      </c>
      <c r="C1210" t="s">
        <v>2360</v>
      </c>
      <c r="D1210" t="s">
        <v>2155</v>
      </c>
      <c r="E1210" t="s">
        <v>543</v>
      </c>
      <c r="F1210" t="s">
        <v>2361</v>
      </c>
      <c r="G1210" t="s">
        <v>4143</v>
      </c>
      <c r="H1210" t="s">
        <v>543</v>
      </c>
      <c r="I1210" t="s">
        <v>3996</v>
      </c>
    </row>
    <row r="1211" spans="1:9">
      <c r="A1211" s="93" t="s">
        <v>4164</v>
      </c>
      <c r="B1211" t="s">
        <v>1881</v>
      </c>
      <c r="C1211" t="s">
        <v>2154</v>
      </c>
      <c r="D1211" t="s">
        <v>2155</v>
      </c>
      <c r="E1211" t="s">
        <v>108</v>
      </c>
      <c r="G1211" t="s">
        <v>4143</v>
      </c>
      <c r="H1211" t="s">
        <v>108</v>
      </c>
      <c r="I1211" t="s">
        <v>3996</v>
      </c>
    </row>
    <row r="1212" spans="1:9">
      <c r="A1212" s="93" t="s">
        <v>4164</v>
      </c>
      <c r="B1212" t="s">
        <v>1881</v>
      </c>
      <c r="C1212" t="s">
        <v>2156</v>
      </c>
      <c r="D1212" t="s">
        <v>2152</v>
      </c>
      <c r="E1212" t="s">
        <v>2157</v>
      </c>
      <c r="G1212" t="s">
        <v>4143</v>
      </c>
      <c r="H1212" t="s">
        <v>108</v>
      </c>
      <c r="I1212" t="s">
        <v>3996</v>
      </c>
    </row>
    <row r="1213" spans="1:9">
      <c r="A1213" s="93" t="s">
        <v>4164</v>
      </c>
      <c r="B1213" t="s">
        <v>1881</v>
      </c>
      <c r="C1213" t="s">
        <v>2158</v>
      </c>
      <c r="D1213" t="s">
        <v>2155</v>
      </c>
      <c r="E1213" t="s">
        <v>2159</v>
      </c>
      <c r="F1213" t="s">
        <v>2160</v>
      </c>
      <c r="G1213" t="s">
        <v>4143</v>
      </c>
      <c r="H1213" t="s">
        <v>1559</v>
      </c>
      <c r="I1213" t="s">
        <v>3996</v>
      </c>
    </row>
    <row r="1214" spans="1:9">
      <c r="A1214" s="93" t="s">
        <v>4164</v>
      </c>
      <c r="B1214" t="s">
        <v>1881</v>
      </c>
      <c r="C1214" t="s">
        <v>2161</v>
      </c>
      <c r="D1214" t="s">
        <v>2162</v>
      </c>
      <c r="E1214" t="s">
        <v>108</v>
      </c>
      <c r="F1214" t="s">
        <v>2163</v>
      </c>
      <c r="G1214" t="s">
        <v>4143</v>
      </c>
      <c r="H1214" t="s">
        <v>108</v>
      </c>
      <c r="I1214" t="s">
        <v>3996</v>
      </c>
    </row>
    <row r="1215" spans="1:9">
      <c r="A1215" s="93" t="s">
        <v>4164</v>
      </c>
      <c r="B1215" t="s">
        <v>1881</v>
      </c>
      <c r="C1215" t="s">
        <v>2164</v>
      </c>
      <c r="D1215" t="s">
        <v>2162</v>
      </c>
      <c r="E1215" t="s">
        <v>108</v>
      </c>
      <c r="G1215" t="s">
        <v>4143</v>
      </c>
      <c r="H1215" t="s">
        <v>108</v>
      </c>
      <c r="I1215" t="s">
        <v>3996</v>
      </c>
    </row>
    <row r="1216" spans="1:9">
      <c r="A1216" s="93" t="s">
        <v>4164</v>
      </c>
      <c r="B1216" t="s">
        <v>1882</v>
      </c>
      <c r="C1216" t="s">
        <v>2166</v>
      </c>
      <c r="D1216" t="s">
        <v>2167</v>
      </c>
      <c r="E1216" t="s">
        <v>108</v>
      </c>
      <c r="F1216" t="s">
        <v>2168</v>
      </c>
      <c r="G1216" t="s">
        <v>4143</v>
      </c>
      <c r="H1216" t="s">
        <v>108</v>
      </c>
      <c r="I1216" t="s">
        <v>4000</v>
      </c>
    </row>
    <row r="1217" spans="1:9">
      <c r="A1217" s="93" t="s">
        <v>4164</v>
      </c>
      <c r="B1217" t="s">
        <v>1882</v>
      </c>
      <c r="C1217" t="s">
        <v>2169</v>
      </c>
      <c r="D1217" t="s">
        <v>2129</v>
      </c>
      <c r="E1217" t="s">
        <v>2170</v>
      </c>
      <c r="G1217" t="s">
        <v>4165</v>
      </c>
      <c r="H1217" t="s">
        <v>2355</v>
      </c>
      <c r="I1217" t="s">
        <v>4000</v>
      </c>
    </row>
    <row r="1218" spans="1:9">
      <c r="A1218" s="93" t="s">
        <v>4164</v>
      </c>
      <c r="B1218" t="s">
        <v>1882</v>
      </c>
      <c r="C1218" t="s">
        <v>2171</v>
      </c>
      <c r="D1218" t="s">
        <v>2129</v>
      </c>
      <c r="E1218" t="s">
        <v>2135</v>
      </c>
      <c r="G1218" t="s">
        <v>4165</v>
      </c>
      <c r="H1218" t="s">
        <v>2355</v>
      </c>
      <c r="I1218" t="s">
        <v>4000</v>
      </c>
    </row>
    <row r="1219" spans="1:9">
      <c r="A1219" s="93" t="s">
        <v>4164</v>
      </c>
      <c r="B1219" t="s">
        <v>1882</v>
      </c>
      <c r="C1219" t="s">
        <v>2172</v>
      </c>
      <c r="D1219" t="s">
        <v>2129</v>
      </c>
      <c r="E1219" t="s">
        <v>2135</v>
      </c>
      <c r="G1219" t="s">
        <v>4165</v>
      </c>
      <c r="H1219" t="s">
        <v>2355</v>
      </c>
      <c r="I1219" t="s">
        <v>4000</v>
      </c>
    </row>
    <row r="1220" spans="1:9">
      <c r="A1220" s="93" t="s">
        <v>4164</v>
      </c>
      <c r="B1220" t="s">
        <v>1882</v>
      </c>
      <c r="C1220" t="s">
        <v>2173</v>
      </c>
      <c r="D1220" t="s">
        <v>2174</v>
      </c>
      <c r="E1220" t="s">
        <v>2135</v>
      </c>
      <c r="G1220" t="s">
        <v>4165</v>
      </c>
      <c r="H1220" t="s">
        <v>2355</v>
      </c>
      <c r="I1220" t="s">
        <v>4000</v>
      </c>
    </row>
    <row r="1221" spans="1:9">
      <c r="A1221" s="93" t="s">
        <v>4164</v>
      </c>
      <c r="B1221" t="s">
        <v>1882</v>
      </c>
      <c r="C1221" t="s">
        <v>2175</v>
      </c>
      <c r="E1221" t="s">
        <v>2135</v>
      </c>
      <c r="G1221" t="s">
        <v>4165</v>
      </c>
      <c r="H1221" t="s">
        <v>2355</v>
      </c>
      <c r="I1221" t="s">
        <v>4000</v>
      </c>
    </row>
    <row r="1222" spans="1:9">
      <c r="A1222" s="93" t="s">
        <v>4164</v>
      </c>
      <c r="B1222" t="s">
        <v>1882</v>
      </c>
      <c r="C1222" t="s">
        <v>2176</v>
      </c>
      <c r="E1222" t="s">
        <v>2135</v>
      </c>
      <c r="G1222" t="s">
        <v>4165</v>
      </c>
      <c r="H1222" t="s">
        <v>2355</v>
      </c>
      <c r="I1222" t="s">
        <v>4000</v>
      </c>
    </row>
    <row r="1223" spans="1:9">
      <c r="A1223" s="93" t="s">
        <v>4164</v>
      </c>
      <c r="B1223" t="s">
        <v>1882</v>
      </c>
      <c r="C1223" t="s">
        <v>2177</v>
      </c>
      <c r="E1223" t="s">
        <v>2135</v>
      </c>
      <c r="G1223" t="s">
        <v>4165</v>
      </c>
      <c r="H1223" t="s">
        <v>2355</v>
      </c>
      <c r="I1223" t="s">
        <v>4000</v>
      </c>
    </row>
    <row r="1224" spans="1:9">
      <c r="A1224" s="93" t="s">
        <v>4164</v>
      </c>
      <c r="B1224" t="s">
        <v>1884</v>
      </c>
      <c r="C1224" t="s">
        <v>2179</v>
      </c>
      <c r="D1224" t="s">
        <v>2180</v>
      </c>
      <c r="E1224" t="s">
        <v>108</v>
      </c>
      <c r="G1224" t="s">
        <v>4143</v>
      </c>
      <c r="H1224" t="s">
        <v>108</v>
      </c>
      <c r="I1224" t="s">
        <v>4002</v>
      </c>
    </row>
    <row r="1225" spans="1:9">
      <c r="A1225" s="93" t="s">
        <v>4164</v>
      </c>
      <c r="B1225" t="s">
        <v>1884</v>
      </c>
      <c r="C1225" t="s">
        <v>2181</v>
      </c>
      <c r="D1225" t="s">
        <v>2182</v>
      </c>
      <c r="E1225" t="s">
        <v>108</v>
      </c>
      <c r="G1225" t="s">
        <v>4143</v>
      </c>
      <c r="H1225" t="s">
        <v>108</v>
      </c>
      <c r="I1225" t="s">
        <v>4002</v>
      </c>
    </row>
    <row r="1226" spans="1:9">
      <c r="A1226" s="93" t="s">
        <v>4164</v>
      </c>
      <c r="B1226" t="s">
        <v>1884</v>
      </c>
      <c r="C1226" t="s">
        <v>2183</v>
      </c>
      <c r="D1226" t="s">
        <v>2182</v>
      </c>
      <c r="E1226" t="s">
        <v>2184</v>
      </c>
      <c r="F1226" t="s">
        <v>2185</v>
      </c>
      <c r="G1226" t="s">
        <v>4143</v>
      </c>
      <c r="H1226" t="s">
        <v>108</v>
      </c>
      <c r="I1226" t="s">
        <v>4002</v>
      </c>
    </row>
    <row r="1227" spans="1:9">
      <c r="A1227" s="93" t="s">
        <v>4164</v>
      </c>
      <c r="B1227" t="s">
        <v>1884</v>
      </c>
      <c r="C1227" t="s">
        <v>2186</v>
      </c>
      <c r="D1227" t="s">
        <v>2187</v>
      </c>
      <c r="E1227" t="s">
        <v>108</v>
      </c>
      <c r="G1227" t="s">
        <v>4143</v>
      </c>
      <c r="H1227" t="s">
        <v>108</v>
      </c>
      <c r="I1227" t="s">
        <v>4002</v>
      </c>
    </row>
    <row r="1228" spans="1:9">
      <c r="A1228" s="93" t="s">
        <v>4164</v>
      </c>
      <c r="B1228" t="s">
        <v>1884</v>
      </c>
      <c r="C1228" t="s">
        <v>2188</v>
      </c>
      <c r="E1228" t="s">
        <v>2189</v>
      </c>
      <c r="G1228" t="s">
        <v>4143</v>
      </c>
      <c r="H1228" t="s">
        <v>108</v>
      </c>
      <c r="I1228" t="s">
        <v>4002</v>
      </c>
    </row>
    <row r="1229" spans="1:9">
      <c r="A1229" s="93" t="s">
        <v>4164</v>
      </c>
      <c r="B1229" t="s">
        <v>1884</v>
      </c>
      <c r="C1229" t="s">
        <v>2190</v>
      </c>
      <c r="E1229" t="s">
        <v>2135</v>
      </c>
      <c r="G1229" t="s">
        <v>4165</v>
      </c>
      <c r="H1229" t="s">
        <v>2355</v>
      </c>
      <c r="I1229" t="s">
        <v>4002</v>
      </c>
    </row>
    <row r="1230" spans="1:9">
      <c r="A1230" s="93" t="s">
        <v>4164</v>
      </c>
      <c r="B1230" t="s">
        <v>1884</v>
      </c>
      <c r="C1230" t="s">
        <v>2191</v>
      </c>
      <c r="E1230" t="s">
        <v>2135</v>
      </c>
      <c r="G1230" t="s">
        <v>4165</v>
      </c>
      <c r="H1230" t="s">
        <v>2355</v>
      </c>
      <c r="I1230" t="s">
        <v>4002</v>
      </c>
    </row>
    <row r="1231" spans="1:9">
      <c r="A1231" s="93" t="s">
        <v>4164</v>
      </c>
      <c r="B1231" t="s">
        <v>1884</v>
      </c>
      <c r="C1231" t="s">
        <v>2192</v>
      </c>
      <c r="D1231" t="s">
        <v>2182</v>
      </c>
      <c r="E1231" t="s">
        <v>2193</v>
      </c>
      <c r="G1231" t="s">
        <v>4143</v>
      </c>
      <c r="H1231" t="s">
        <v>2193</v>
      </c>
      <c r="I1231" t="s">
        <v>4002</v>
      </c>
    </row>
    <row r="1232" spans="1:9">
      <c r="A1232" s="93" t="s">
        <v>4164</v>
      </c>
      <c r="B1232" t="s">
        <v>1884</v>
      </c>
      <c r="C1232" t="s">
        <v>2194</v>
      </c>
      <c r="D1232" t="s">
        <v>2187</v>
      </c>
      <c r="E1232" t="s">
        <v>108</v>
      </c>
      <c r="G1232" t="s">
        <v>4143</v>
      </c>
      <c r="H1232" t="s">
        <v>108</v>
      </c>
      <c r="I1232" t="s">
        <v>4002</v>
      </c>
    </row>
    <row r="1233" spans="1:9">
      <c r="A1233" s="93" t="s">
        <v>4164</v>
      </c>
      <c r="B1233" t="s">
        <v>1884</v>
      </c>
      <c r="C1233" t="s">
        <v>2364</v>
      </c>
      <c r="E1233" t="s">
        <v>543</v>
      </c>
      <c r="F1233" t="s">
        <v>2365</v>
      </c>
      <c r="G1233" t="s">
        <v>4143</v>
      </c>
      <c r="H1233" t="s">
        <v>543</v>
      </c>
      <c r="I1233" t="s">
        <v>4002</v>
      </c>
    </row>
    <row r="1234" spans="1:9">
      <c r="A1234" s="93" t="s">
        <v>4164</v>
      </c>
      <c r="B1234" t="s">
        <v>1889</v>
      </c>
      <c r="C1234" t="s">
        <v>2196</v>
      </c>
      <c r="E1234" t="s">
        <v>2193</v>
      </c>
      <c r="G1234" t="s">
        <v>4143</v>
      </c>
      <c r="H1234" t="s">
        <v>2193</v>
      </c>
      <c r="I1234" t="s">
        <v>4004</v>
      </c>
    </row>
    <row r="1235" spans="1:9">
      <c r="A1235" s="93" t="s">
        <v>4164</v>
      </c>
      <c r="B1235" t="s">
        <v>1889</v>
      </c>
      <c r="C1235" t="s">
        <v>2197</v>
      </c>
      <c r="E1235" t="s">
        <v>2193</v>
      </c>
      <c r="G1235" t="s">
        <v>4143</v>
      </c>
      <c r="H1235" t="s">
        <v>2193</v>
      </c>
      <c r="I1235" t="s">
        <v>4004</v>
      </c>
    </row>
    <row r="1236" spans="1:9">
      <c r="A1236" s="93" t="s">
        <v>4164</v>
      </c>
      <c r="B1236" t="s">
        <v>1889</v>
      </c>
      <c r="C1236" t="s">
        <v>2198</v>
      </c>
      <c r="E1236" t="s">
        <v>2199</v>
      </c>
      <c r="G1236" t="s">
        <v>4143</v>
      </c>
      <c r="H1236" t="s">
        <v>2367</v>
      </c>
      <c r="I1236" t="s">
        <v>4004</v>
      </c>
    </row>
    <row r="1237" spans="1:9">
      <c r="A1237" s="93" t="s">
        <v>4164</v>
      </c>
      <c r="B1237" t="s">
        <v>1889</v>
      </c>
      <c r="C1237" t="s">
        <v>2200</v>
      </c>
      <c r="D1237" t="s">
        <v>2182</v>
      </c>
      <c r="E1237" t="s">
        <v>108</v>
      </c>
      <c r="G1237" t="s">
        <v>4143</v>
      </c>
      <c r="H1237" t="s">
        <v>108</v>
      </c>
      <c r="I1237" t="s">
        <v>4004</v>
      </c>
    </row>
    <row r="1238" spans="1:9">
      <c r="A1238" s="93" t="s">
        <v>4164</v>
      </c>
      <c r="B1238" t="s">
        <v>1889</v>
      </c>
      <c r="C1238" t="s">
        <v>2201</v>
      </c>
      <c r="D1238" t="s">
        <v>2182</v>
      </c>
      <c r="E1238" t="s">
        <v>108</v>
      </c>
      <c r="G1238" t="s">
        <v>4143</v>
      </c>
      <c r="H1238" t="s">
        <v>108</v>
      </c>
      <c r="I1238" t="s">
        <v>4004</v>
      </c>
    </row>
    <row r="1239" spans="1:9">
      <c r="A1239" s="93" t="s">
        <v>4164</v>
      </c>
      <c r="B1239" t="s">
        <v>1889</v>
      </c>
      <c r="C1239" t="s">
        <v>2202</v>
      </c>
      <c r="D1239" t="s">
        <v>2174</v>
      </c>
      <c r="E1239" t="s">
        <v>108</v>
      </c>
      <c r="G1239" t="s">
        <v>4143</v>
      </c>
      <c r="H1239" t="s">
        <v>108</v>
      </c>
      <c r="I1239" t="s">
        <v>4004</v>
      </c>
    </row>
    <row r="1240" spans="1:9">
      <c r="A1240" s="93" t="s">
        <v>4164</v>
      </c>
      <c r="B1240" t="s">
        <v>1889</v>
      </c>
      <c r="C1240" t="s">
        <v>2203</v>
      </c>
      <c r="D1240" t="s">
        <v>2204</v>
      </c>
      <c r="E1240" t="s">
        <v>2193</v>
      </c>
      <c r="G1240" t="s">
        <v>4143</v>
      </c>
      <c r="H1240" t="s">
        <v>2193</v>
      </c>
      <c r="I1240" t="s">
        <v>4004</v>
      </c>
    </row>
    <row r="1241" spans="1:9">
      <c r="A1241" s="93" t="s">
        <v>4164</v>
      </c>
      <c r="B1241" t="s">
        <v>1889</v>
      </c>
      <c r="C1241" t="s">
        <v>2205</v>
      </c>
      <c r="D1241" t="s">
        <v>2204</v>
      </c>
      <c r="E1241" t="s">
        <v>2193</v>
      </c>
      <c r="G1241" t="s">
        <v>4143</v>
      </c>
      <c r="H1241" t="s">
        <v>2193</v>
      </c>
      <c r="I1241" t="s">
        <v>4004</v>
      </c>
    </row>
    <row r="1242" spans="1:9">
      <c r="A1242" s="93" t="s">
        <v>4164</v>
      </c>
      <c r="B1242" t="s">
        <v>1889</v>
      </c>
      <c r="C1242" t="s">
        <v>2206</v>
      </c>
      <c r="E1242" t="s">
        <v>2135</v>
      </c>
      <c r="G1242" t="s">
        <v>4165</v>
      </c>
      <c r="H1242" t="s">
        <v>2355</v>
      </c>
      <c r="I1242" t="s">
        <v>4004</v>
      </c>
    </row>
    <row r="1243" spans="1:9">
      <c r="A1243" s="93" t="s">
        <v>4164</v>
      </c>
      <c r="B1243" t="s">
        <v>1889</v>
      </c>
      <c r="C1243" t="s">
        <v>2207</v>
      </c>
      <c r="D1243" t="s">
        <v>2204</v>
      </c>
      <c r="E1243" t="s">
        <v>108</v>
      </c>
      <c r="F1243" t="s">
        <v>2208</v>
      </c>
      <c r="G1243" t="s">
        <v>4143</v>
      </c>
      <c r="H1243" t="s">
        <v>108</v>
      </c>
      <c r="I1243" t="s">
        <v>4004</v>
      </c>
    </row>
    <row r="1244" spans="1:9">
      <c r="A1244" s="93" t="s">
        <v>4164</v>
      </c>
      <c r="B1244" t="s">
        <v>1891</v>
      </c>
      <c r="C1244" t="s">
        <v>2210</v>
      </c>
      <c r="D1244" t="s">
        <v>2211</v>
      </c>
      <c r="E1244" t="s">
        <v>108</v>
      </c>
      <c r="G1244" t="s">
        <v>4143</v>
      </c>
      <c r="H1244" t="s">
        <v>108</v>
      </c>
      <c r="I1244" t="s">
        <v>4008</v>
      </c>
    </row>
    <row r="1245" spans="1:9">
      <c r="A1245" s="93" t="s">
        <v>4164</v>
      </c>
      <c r="B1245" t="s">
        <v>1891</v>
      </c>
      <c r="C1245" t="s">
        <v>2212</v>
      </c>
      <c r="D1245" t="s">
        <v>2213</v>
      </c>
      <c r="E1245" t="s">
        <v>108</v>
      </c>
      <c r="G1245" t="s">
        <v>4143</v>
      </c>
      <c r="H1245" t="s">
        <v>108</v>
      </c>
      <c r="I1245" t="s">
        <v>4008</v>
      </c>
    </row>
    <row r="1246" spans="1:9">
      <c r="A1246" s="93" t="s">
        <v>4164</v>
      </c>
      <c r="B1246" t="s">
        <v>1891</v>
      </c>
      <c r="C1246" t="s">
        <v>2214</v>
      </c>
      <c r="D1246" t="s">
        <v>2213</v>
      </c>
      <c r="E1246" t="s">
        <v>108</v>
      </c>
      <c r="G1246" t="s">
        <v>4143</v>
      </c>
      <c r="H1246" t="s">
        <v>108</v>
      </c>
      <c r="I1246" t="s">
        <v>4008</v>
      </c>
    </row>
    <row r="1247" spans="1:9">
      <c r="A1247" s="93" t="s">
        <v>4164</v>
      </c>
      <c r="B1247" t="s">
        <v>1893</v>
      </c>
      <c r="C1247" t="s">
        <v>2370</v>
      </c>
      <c r="D1247" t="s">
        <v>2223</v>
      </c>
      <c r="E1247" t="s">
        <v>543</v>
      </c>
      <c r="F1247" t="s">
        <v>2371</v>
      </c>
      <c r="G1247" t="s">
        <v>4143</v>
      </c>
      <c r="H1247" t="s">
        <v>543</v>
      </c>
      <c r="I1247" t="s">
        <v>4012</v>
      </c>
    </row>
    <row r="1248" spans="1:9">
      <c r="A1248" s="93" t="s">
        <v>4164</v>
      </c>
      <c r="B1248" t="s">
        <v>1893</v>
      </c>
      <c r="C1248" t="s">
        <v>2372</v>
      </c>
      <c r="D1248" t="s">
        <v>2220</v>
      </c>
      <c r="E1248" t="s">
        <v>2373</v>
      </c>
      <c r="F1248" t="s">
        <v>2374</v>
      </c>
      <c r="G1248" t="s">
        <v>4143</v>
      </c>
      <c r="H1248" t="s">
        <v>543</v>
      </c>
      <c r="I1248" t="s">
        <v>4012</v>
      </c>
    </row>
    <row r="1249" spans="1:9">
      <c r="A1249" s="93" t="s">
        <v>4164</v>
      </c>
      <c r="B1249" t="s">
        <v>1893</v>
      </c>
      <c r="C1249" t="s">
        <v>2216</v>
      </c>
      <c r="D1249" t="s">
        <v>2217</v>
      </c>
      <c r="E1249" t="s">
        <v>2193</v>
      </c>
      <c r="F1249" t="s">
        <v>2218</v>
      </c>
      <c r="G1249" t="s">
        <v>4143</v>
      </c>
      <c r="H1249" t="s">
        <v>2193</v>
      </c>
      <c r="I1249" t="s">
        <v>4012</v>
      </c>
    </row>
    <row r="1250" spans="1:9">
      <c r="A1250" s="93" t="s">
        <v>4164</v>
      </c>
      <c r="B1250" t="s">
        <v>1893</v>
      </c>
      <c r="C1250" t="s">
        <v>2219</v>
      </c>
      <c r="D1250" t="s">
        <v>2220</v>
      </c>
      <c r="E1250" t="s">
        <v>108</v>
      </c>
      <c r="F1250" t="s">
        <v>2221</v>
      </c>
      <c r="G1250" t="s">
        <v>4143</v>
      </c>
      <c r="H1250" t="s">
        <v>108</v>
      </c>
      <c r="I1250" t="s">
        <v>4012</v>
      </c>
    </row>
    <row r="1251" spans="1:9">
      <c r="A1251" s="93" t="s">
        <v>4164</v>
      </c>
      <c r="B1251" t="s">
        <v>1893</v>
      </c>
      <c r="C1251" t="s">
        <v>2222</v>
      </c>
      <c r="D1251" t="s">
        <v>2223</v>
      </c>
      <c r="E1251" t="s">
        <v>108</v>
      </c>
      <c r="F1251" t="s">
        <v>2224</v>
      </c>
      <c r="G1251" t="s">
        <v>4143</v>
      </c>
      <c r="H1251" t="s">
        <v>108</v>
      </c>
      <c r="I1251" t="s">
        <v>4012</v>
      </c>
    </row>
    <row r="1252" spans="1:9">
      <c r="A1252" s="93" t="s">
        <v>4164</v>
      </c>
      <c r="B1252" t="s">
        <v>1893</v>
      </c>
      <c r="C1252" t="s">
        <v>2225</v>
      </c>
      <c r="D1252" t="s">
        <v>2226</v>
      </c>
      <c r="E1252" t="s">
        <v>108</v>
      </c>
      <c r="F1252" t="s">
        <v>2227</v>
      </c>
      <c r="G1252" t="s">
        <v>4143</v>
      </c>
      <c r="H1252" t="s">
        <v>108</v>
      </c>
      <c r="I1252" t="s">
        <v>4012</v>
      </c>
    </row>
    <row r="1253" spans="1:9">
      <c r="A1253" s="93" t="s">
        <v>4164</v>
      </c>
      <c r="B1253" t="s">
        <v>1893</v>
      </c>
      <c r="C1253" t="s">
        <v>2228</v>
      </c>
      <c r="E1253" t="s">
        <v>2135</v>
      </c>
      <c r="G1253" t="s">
        <v>4165</v>
      </c>
      <c r="H1253" t="s">
        <v>2355</v>
      </c>
      <c r="I1253" t="s">
        <v>4012</v>
      </c>
    </row>
    <row r="1254" spans="1:9">
      <c r="A1254" s="93" t="s">
        <v>4164</v>
      </c>
      <c r="B1254" t="s">
        <v>1896</v>
      </c>
      <c r="C1254" t="s">
        <v>2376</v>
      </c>
      <c r="D1254" t="s">
        <v>2237</v>
      </c>
      <c r="E1254" t="s">
        <v>543</v>
      </c>
      <c r="G1254" t="s">
        <v>4143</v>
      </c>
      <c r="H1254" t="s">
        <v>543</v>
      </c>
      <c r="I1254" t="s">
        <v>4016</v>
      </c>
    </row>
    <row r="1255" spans="1:9">
      <c r="A1255" s="93" t="s">
        <v>4164</v>
      </c>
      <c r="B1255" t="s">
        <v>1896</v>
      </c>
      <c r="C1255" t="s">
        <v>2230</v>
      </c>
      <c r="D1255" t="s">
        <v>2220</v>
      </c>
      <c r="E1255" t="s">
        <v>108</v>
      </c>
      <c r="F1255" t="s">
        <v>2231</v>
      </c>
      <c r="G1255" t="s">
        <v>4143</v>
      </c>
      <c r="H1255" t="s">
        <v>108</v>
      </c>
      <c r="I1255" t="s">
        <v>4016</v>
      </c>
    </row>
    <row r="1256" spans="1:9">
      <c r="A1256" s="93" t="s">
        <v>4164</v>
      </c>
      <c r="B1256" t="s">
        <v>1896</v>
      </c>
      <c r="C1256" t="s">
        <v>2232</v>
      </c>
      <c r="D1256" t="s">
        <v>2220</v>
      </c>
      <c r="E1256" t="s">
        <v>108</v>
      </c>
      <c r="G1256" t="s">
        <v>4143</v>
      </c>
      <c r="H1256" t="s">
        <v>108</v>
      </c>
      <c r="I1256" t="s">
        <v>4016</v>
      </c>
    </row>
    <row r="1257" spans="1:9">
      <c r="A1257" s="93" t="s">
        <v>4164</v>
      </c>
      <c r="B1257" t="s">
        <v>1896</v>
      </c>
      <c r="C1257" t="s">
        <v>2233</v>
      </c>
      <c r="D1257" t="s">
        <v>2234</v>
      </c>
      <c r="E1257" t="s">
        <v>108</v>
      </c>
      <c r="F1257" t="s">
        <v>2235</v>
      </c>
      <c r="G1257" t="s">
        <v>4143</v>
      </c>
      <c r="H1257" t="s">
        <v>108</v>
      </c>
      <c r="I1257" t="s">
        <v>4016</v>
      </c>
    </row>
    <row r="1258" spans="1:9">
      <c r="A1258" s="93" t="s">
        <v>4164</v>
      </c>
      <c r="B1258" t="s">
        <v>1896</v>
      </c>
      <c r="C1258" t="s">
        <v>2236</v>
      </c>
      <c r="D1258" t="s">
        <v>2237</v>
      </c>
      <c r="E1258" t="s">
        <v>108</v>
      </c>
      <c r="F1258" t="s">
        <v>2231</v>
      </c>
      <c r="G1258" t="s">
        <v>4143</v>
      </c>
      <c r="H1258" t="s">
        <v>108</v>
      </c>
      <c r="I1258" t="s">
        <v>4016</v>
      </c>
    </row>
    <row r="1259" spans="1:9">
      <c r="A1259" s="93" t="s">
        <v>4164</v>
      </c>
      <c r="B1259" t="s">
        <v>1896</v>
      </c>
      <c r="C1259" t="s">
        <v>2238</v>
      </c>
      <c r="D1259" t="s">
        <v>2237</v>
      </c>
      <c r="E1259" t="s">
        <v>108</v>
      </c>
      <c r="F1259" t="s">
        <v>2239</v>
      </c>
      <c r="G1259" t="s">
        <v>4143</v>
      </c>
      <c r="H1259" t="s">
        <v>108</v>
      </c>
      <c r="I1259" t="s">
        <v>4016</v>
      </c>
    </row>
    <row r="1260" spans="1:9">
      <c r="A1260" s="93" t="s">
        <v>4164</v>
      </c>
      <c r="B1260" t="s">
        <v>1896</v>
      </c>
      <c r="C1260" t="s">
        <v>2240</v>
      </c>
      <c r="D1260" t="s">
        <v>2241</v>
      </c>
      <c r="E1260" t="s">
        <v>2193</v>
      </c>
      <c r="G1260" t="s">
        <v>4143</v>
      </c>
      <c r="H1260" t="s">
        <v>2193</v>
      </c>
      <c r="I1260" t="s">
        <v>4016</v>
      </c>
    </row>
    <row r="1261" spans="1:9">
      <c r="A1261" s="93" t="s">
        <v>4164</v>
      </c>
      <c r="B1261" t="s">
        <v>1896</v>
      </c>
      <c r="C1261" t="s">
        <v>2242</v>
      </c>
      <c r="D1261" t="s">
        <v>2220</v>
      </c>
      <c r="E1261" t="s">
        <v>2243</v>
      </c>
      <c r="F1261" t="s">
        <v>2244</v>
      </c>
      <c r="G1261" t="s">
        <v>4143</v>
      </c>
      <c r="H1261" t="s">
        <v>2377</v>
      </c>
      <c r="I1261" t="s">
        <v>4016</v>
      </c>
    </row>
    <row r="1262" spans="1:9">
      <c r="A1262" s="93" t="s">
        <v>4164</v>
      </c>
      <c r="B1262" t="s">
        <v>1896</v>
      </c>
      <c r="C1262" t="s">
        <v>2245</v>
      </c>
      <c r="D1262" t="s">
        <v>2241</v>
      </c>
      <c r="E1262" t="s">
        <v>2246</v>
      </c>
      <c r="G1262" t="s">
        <v>4143</v>
      </c>
      <c r="H1262" t="s">
        <v>108</v>
      </c>
      <c r="I1262" t="s">
        <v>4016</v>
      </c>
    </row>
    <row r="1263" spans="1:9">
      <c r="A1263" s="93" t="s">
        <v>4164</v>
      </c>
      <c r="B1263" t="s">
        <v>1896</v>
      </c>
      <c r="C1263" t="s">
        <v>2378</v>
      </c>
      <c r="E1263" t="s">
        <v>543</v>
      </c>
      <c r="F1263" t="s">
        <v>2336</v>
      </c>
      <c r="G1263" t="s">
        <v>4143</v>
      </c>
      <c r="H1263" t="s">
        <v>543</v>
      </c>
      <c r="I1263" t="s">
        <v>4016</v>
      </c>
    </row>
    <row r="1264" spans="1:9">
      <c r="A1264" s="93" t="s">
        <v>4164</v>
      </c>
      <c r="B1264" t="s">
        <v>1896</v>
      </c>
      <c r="C1264" t="s">
        <v>2247</v>
      </c>
      <c r="D1264" t="s">
        <v>2248</v>
      </c>
      <c r="E1264" t="s">
        <v>108</v>
      </c>
      <c r="F1264" t="s">
        <v>2249</v>
      </c>
      <c r="G1264" t="s">
        <v>4143</v>
      </c>
      <c r="H1264" t="s">
        <v>108</v>
      </c>
      <c r="I1264" t="s">
        <v>4016</v>
      </c>
    </row>
    <row r="1265" spans="1:9">
      <c r="A1265" s="93" t="s">
        <v>4164</v>
      </c>
      <c r="B1265" t="s">
        <v>1896</v>
      </c>
      <c r="C1265" t="s">
        <v>2337</v>
      </c>
      <c r="D1265" t="s">
        <v>2248</v>
      </c>
      <c r="E1265" t="s">
        <v>2338</v>
      </c>
      <c r="G1265" t="s">
        <v>4165</v>
      </c>
      <c r="H1265" t="s">
        <v>2379</v>
      </c>
      <c r="I1265" t="s">
        <v>4016</v>
      </c>
    </row>
    <row r="1266" spans="1:9">
      <c r="A1266" s="93" t="s">
        <v>4164</v>
      </c>
      <c r="B1266" t="s">
        <v>1898</v>
      </c>
      <c r="C1266" t="s">
        <v>2381</v>
      </c>
      <c r="E1266" t="s">
        <v>543</v>
      </c>
      <c r="G1266" t="s">
        <v>4143</v>
      </c>
      <c r="H1266" t="s">
        <v>543</v>
      </c>
      <c r="I1266" t="s">
        <v>4020</v>
      </c>
    </row>
    <row r="1267" spans="1:9">
      <c r="A1267" s="93" t="s">
        <v>4164</v>
      </c>
      <c r="B1267" t="s">
        <v>1898</v>
      </c>
      <c r="C1267" t="s">
        <v>2251</v>
      </c>
      <c r="D1267" t="s">
        <v>2252</v>
      </c>
      <c r="E1267" t="s">
        <v>108</v>
      </c>
      <c r="G1267" t="s">
        <v>4143</v>
      </c>
      <c r="H1267" t="s">
        <v>108</v>
      </c>
      <c r="I1267" t="s">
        <v>4020</v>
      </c>
    </row>
    <row r="1268" spans="1:9">
      <c r="A1268" s="93" t="s">
        <v>4164</v>
      </c>
      <c r="B1268" t="s">
        <v>1898</v>
      </c>
      <c r="C1268" t="s">
        <v>2253</v>
      </c>
      <c r="D1268" t="s">
        <v>2252</v>
      </c>
      <c r="E1268" t="s">
        <v>2193</v>
      </c>
      <c r="F1268" t="s">
        <v>2254</v>
      </c>
      <c r="G1268" t="s">
        <v>4143</v>
      </c>
      <c r="H1268" t="s">
        <v>2193</v>
      </c>
      <c r="I1268" t="s">
        <v>4020</v>
      </c>
    </row>
    <row r="1269" spans="1:9">
      <c r="A1269" s="93" t="s">
        <v>4164</v>
      </c>
      <c r="B1269" t="s">
        <v>1898</v>
      </c>
      <c r="C1269" t="s">
        <v>2255</v>
      </c>
      <c r="D1269" t="s">
        <v>2256</v>
      </c>
      <c r="E1269" t="s">
        <v>2257</v>
      </c>
      <c r="G1269" t="s">
        <v>4143</v>
      </c>
      <c r="H1269" t="s">
        <v>108</v>
      </c>
      <c r="I1269" t="s">
        <v>4020</v>
      </c>
    </row>
    <row r="1270" spans="1:9">
      <c r="A1270" s="93" t="s">
        <v>4164</v>
      </c>
      <c r="B1270" t="s">
        <v>1898</v>
      </c>
      <c r="C1270" t="s">
        <v>2258</v>
      </c>
      <c r="D1270" t="s">
        <v>2259</v>
      </c>
      <c r="E1270" t="s">
        <v>2260</v>
      </c>
      <c r="F1270" t="s">
        <v>2261</v>
      </c>
      <c r="G1270" t="s">
        <v>4143</v>
      </c>
      <c r="H1270" t="s">
        <v>2382</v>
      </c>
      <c r="I1270" t="s">
        <v>4020</v>
      </c>
    </row>
    <row r="1271" spans="1:9">
      <c r="A1271" s="93" t="s">
        <v>4164</v>
      </c>
      <c r="B1271" t="s">
        <v>1898</v>
      </c>
      <c r="C1271" t="s">
        <v>2262</v>
      </c>
      <c r="D1271" t="s">
        <v>2259</v>
      </c>
      <c r="E1271" t="s">
        <v>2147</v>
      </c>
      <c r="F1271" t="s">
        <v>2263</v>
      </c>
      <c r="G1271" t="s">
        <v>4143</v>
      </c>
      <c r="H1271" t="s">
        <v>108</v>
      </c>
      <c r="I1271" t="s">
        <v>4020</v>
      </c>
    </row>
    <row r="1272" spans="1:9">
      <c r="A1272" s="93" t="s">
        <v>4164</v>
      </c>
      <c r="B1272" t="s">
        <v>1898</v>
      </c>
      <c r="C1272" t="s">
        <v>2264</v>
      </c>
      <c r="D1272" t="s">
        <v>2252</v>
      </c>
      <c r="E1272" t="s">
        <v>2265</v>
      </c>
      <c r="G1272" t="s">
        <v>4143</v>
      </c>
      <c r="H1272" t="s">
        <v>108</v>
      </c>
      <c r="I1272" t="s">
        <v>4020</v>
      </c>
    </row>
    <row r="1273" spans="1:9">
      <c r="A1273" s="93" t="s">
        <v>4164</v>
      </c>
      <c r="B1273" t="s">
        <v>1898</v>
      </c>
      <c r="C1273" t="s">
        <v>2266</v>
      </c>
      <c r="D1273" t="s">
        <v>2252</v>
      </c>
      <c r="E1273" t="s">
        <v>2267</v>
      </c>
      <c r="F1273" t="s">
        <v>2268</v>
      </c>
      <c r="G1273" t="s">
        <v>4143</v>
      </c>
      <c r="H1273" t="s">
        <v>108</v>
      </c>
      <c r="I1273" t="s">
        <v>4020</v>
      </c>
    </row>
    <row r="1274" spans="1:9">
      <c r="A1274" s="93" t="s">
        <v>4164</v>
      </c>
      <c r="B1274" t="s">
        <v>1898</v>
      </c>
      <c r="C1274" t="s">
        <v>2269</v>
      </c>
      <c r="D1274" t="s">
        <v>2252</v>
      </c>
      <c r="E1274" t="s">
        <v>2270</v>
      </c>
      <c r="G1274" t="s">
        <v>4143</v>
      </c>
      <c r="H1274" t="s">
        <v>108</v>
      </c>
      <c r="I1274" t="s">
        <v>4020</v>
      </c>
    </row>
    <row r="1275" spans="1:9">
      <c r="A1275" s="93" t="s">
        <v>4164</v>
      </c>
      <c r="B1275" t="s">
        <v>1902</v>
      </c>
      <c r="C1275" t="s">
        <v>2272</v>
      </c>
      <c r="D1275" t="s">
        <v>2273</v>
      </c>
      <c r="E1275" t="s">
        <v>2274</v>
      </c>
      <c r="F1275" t="s">
        <v>2275</v>
      </c>
      <c r="G1275" t="s">
        <v>4143</v>
      </c>
      <c r="H1275" t="s">
        <v>1559</v>
      </c>
      <c r="I1275" t="s">
        <v>4024</v>
      </c>
    </row>
    <row r="1276" spans="1:9">
      <c r="A1276" s="93" t="s">
        <v>4164</v>
      </c>
      <c r="B1276" t="s">
        <v>1902</v>
      </c>
      <c r="C1276" t="s">
        <v>2276</v>
      </c>
      <c r="D1276" t="s">
        <v>2248</v>
      </c>
      <c r="E1276" t="s">
        <v>2277</v>
      </c>
      <c r="F1276" t="s">
        <v>2278</v>
      </c>
      <c r="G1276" t="s">
        <v>4143</v>
      </c>
      <c r="H1276" t="s">
        <v>108</v>
      </c>
      <c r="I1276" t="s">
        <v>4024</v>
      </c>
    </row>
    <row r="1277" spans="1:9">
      <c r="A1277" s="93" t="s">
        <v>4164</v>
      </c>
      <c r="B1277" t="s">
        <v>1902</v>
      </c>
      <c r="C1277" t="s">
        <v>2279</v>
      </c>
      <c r="D1277" t="s">
        <v>2280</v>
      </c>
      <c r="E1277" t="s">
        <v>2281</v>
      </c>
      <c r="F1277" t="s">
        <v>2282</v>
      </c>
      <c r="G1277" t="s">
        <v>4143</v>
      </c>
      <c r="H1277" t="s">
        <v>108</v>
      </c>
      <c r="I1277" t="s">
        <v>4024</v>
      </c>
    </row>
    <row r="1278" spans="1:9">
      <c r="A1278" s="93" t="s">
        <v>4164</v>
      </c>
      <c r="B1278" t="s">
        <v>1902</v>
      </c>
      <c r="C1278" t="s">
        <v>2283</v>
      </c>
      <c r="D1278" t="s">
        <v>2273</v>
      </c>
      <c r="E1278" t="s">
        <v>108</v>
      </c>
      <c r="F1278" t="s">
        <v>2284</v>
      </c>
      <c r="G1278" t="s">
        <v>4143</v>
      </c>
      <c r="H1278" t="s">
        <v>108</v>
      </c>
      <c r="I1278" t="s">
        <v>4024</v>
      </c>
    </row>
    <row r="1279" spans="1:9">
      <c r="A1279" s="93" t="s">
        <v>4164</v>
      </c>
      <c r="B1279" t="s">
        <v>1902</v>
      </c>
      <c r="C1279" t="s">
        <v>2285</v>
      </c>
      <c r="E1279" t="s">
        <v>2135</v>
      </c>
      <c r="G1279" t="s">
        <v>4165</v>
      </c>
      <c r="H1279" t="s">
        <v>2355</v>
      </c>
      <c r="I1279" t="s">
        <v>4024</v>
      </c>
    </row>
    <row r="1280" spans="1:9">
      <c r="A1280" s="93" t="s">
        <v>4164</v>
      </c>
      <c r="B1280" t="s">
        <v>1902</v>
      </c>
      <c r="C1280" t="s">
        <v>2286</v>
      </c>
      <c r="E1280" t="s">
        <v>108</v>
      </c>
      <c r="G1280" t="s">
        <v>4143</v>
      </c>
      <c r="H1280" t="s">
        <v>108</v>
      </c>
      <c r="I1280" t="s">
        <v>4024</v>
      </c>
    </row>
    <row r="1281" spans="1:9">
      <c r="A1281" s="93" t="s">
        <v>4164</v>
      </c>
      <c r="B1281" t="s">
        <v>1902</v>
      </c>
      <c r="C1281" t="s">
        <v>2287</v>
      </c>
      <c r="D1281" t="s">
        <v>2273</v>
      </c>
      <c r="E1281" t="s">
        <v>2288</v>
      </c>
      <c r="F1281" t="s">
        <v>2289</v>
      </c>
      <c r="G1281" t="s">
        <v>4143</v>
      </c>
      <c r="H1281" t="s">
        <v>2288</v>
      </c>
      <c r="I1281" t="s">
        <v>4024</v>
      </c>
    </row>
    <row r="1282" spans="1:9">
      <c r="A1282" s="93" t="s">
        <v>4164</v>
      </c>
      <c r="B1282" t="s">
        <v>3926</v>
      </c>
      <c r="C1282" t="s">
        <v>2291</v>
      </c>
      <c r="E1282" t="s">
        <v>2135</v>
      </c>
      <c r="F1282" t="s">
        <v>2292</v>
      </c>
      <c r="G1282" t="s">
        <v>4165</v>
      </c>
      <c r="H1282" t="s">
        <v>2355</v>
      </c>
    </row>
    <row r="1283" spans="1:9">
      <c r="A1283" s="93" t="s">
        <v>4164</v>
      </c>
      <c r="B1283" t="s">
        <v>3926</v>
      </c>
      <c r="C1283" t="s">
        <v>2293</v>
      </c>
      <c r="D1283" t="s">
        <v>2294</v>
      </c>
      <c r="E1283" t="s">
        <v>2295</v>
      </c>
      <c r="F1283" t="s">
        <v>2296</v>
      </c>
      <c r="G1283" t="s">
        <v>4143</v>
      </c>
      <c r="H1283" t="s">
        <v>108</v>
      </c>
    </row>
    <row r="1284" spans="1:9">
      <c r="A1284" s="93" t="s">
        <v>4164</v>
      </c>
      <c r="B1284" t="s">
        <v>3926</v>
      </c>
      <c r="C1284" t="s">
        <v>2385</v>
      </c>
      <c r="D1284" t="s">
        <v>2298</v>
      </c>
      <c r="E1284" t="s">
        <v>543</v>
      </c>
      <c r="F1284" t="s">
        <v>2386</v>
      </c>
      <c r="G1284" t="s">
        <v>4143</v>
      </c>
      <c r="H1284" t="s">
        <v>543</v>
      </c>
    </row>
    <row r="1285" spans="1:9">
      <c r="A1285" s="93" t="s">
        <v>4164</v>
      </c>
      <c r="B1285" t="s">
        <v>3926</v>
      </c>
      <c r="C1285" t="s">
        <v>2297</v>
      </c>
      <c r="D1285" t="s">
        <v>2298</v>
      </c>
      <c r="E1285" t="s">
        <v>108</v>
      </c>
      <c r="F1285" t="s">
        <v>2299</v>
      </c>
      <c r="G1285" t="s">
        <v>4143</v>
      </c>
      <c r="H1285" t="s">
        <v>108</v>
      </c>
    </row>
    <row r="1286" spans="1:9">
      <c r="A1286" s="93" t="s">
        <v>4164</v>
      </c>
      <c r="B1286" t="s">
        <v>3926</v>
      </c>
      <c r="C1286" t="s">
        <v>2300</v>
      </c>
      <c r="D1286" t="s">
        <v>2294</v>
      </c>
      <c r="E1286" t="s">
        <v>108</v>
      </c>
      <c r="F1286" t="s">
        <v>2299</v>
      </c>
      <c r="G1286" t="s">
        <v>4143</v>
      </c>
      <c r="H1286" t="s">
        <v>108</v>
      </c>
    </row>
    <row r="1287" spans="1:9">
      <c r="A1287" s="93" t="s">
        <v>4164</v>
      </c>
      <c r="B1287" t="s">
        <v>3926</v>
      </c>
      <c r="C1287" t="s">
        <v>2301</v>
      </c>
      <c r="D1287" t="s">
        <v>2302</v>
      </c>
      <c r="E1287" t="s">
        <v>2193</v>
      </c>
      <c r="F1287" t="s">
        <v>2303</v>
      </c>
      <c r="G1287" t="s">
        <v>4143</v>
      </c>
      <c r="H1287" t="s">
        <v>2193</v>
      </c>
    </row>
    <row r="1288" spans="1:9">
      <c r="A1288" s="93" t="s">
        <v>4164</v>
      </c>
      <c r="B1288" t="s">
        <v>3926</v>
      </c>
      <c r="C1288" t="s">
        <v>2304</v>
      </c>
      <c r="D1288" t="s">
        <v>2305</v>
      </c>
      <c r="E1288" t="s">
        <v>2257</v>
      </c>
      <c r="F1288" t="s">
        <v>2306</v>
      </c>
      <c r="G1288" t="s">
        <v>4143</v>
      </c>
      <c r="H1288" t="s">
        <v>108</v>
      </c>
    </row>
    <row r="1289" spans="1:9">
      <c r="A1289" s="93" t="s">
        <v>4164</v>
      </c>
      <c r="B1289" t="s">
        <v>3926</v>
      </c>
      <c r="C1289" t="s">
        <v>2347</v>
      </c>
      <c r="D1289" t="s">
        <v>2213</v>
      </c>
      <c r="E1289" t="s">
        <v>2348</v>
      </c>
      <c r="F1289" t="s">
        <v>2296</v>
      </c>
      <c r="G1289" t="s">
        <v>4143</v>
      </c>
      <c r="H1289" t="s">
        <v>2348</v>
      </c>
    </row>
    <row r="1290" spans="1:9">
      <c r="A1290" s="93" t="s">
        <v>4166</v>
      </c>
      <c r="B1290" t="s">
        <v>1860</v>
      </c>
      <c r="C1290" t="s">
        <v>2532</v>
      </c>
      <c r="D1290" t="s">
        <v>2533</v>
      </c>
      <c r="E1290" t="s">
        <v>1559</v>
      </c>
      <c r="F1290" t="s">
        <v>2535</v>
      </c>
      <c r="G1290" t="s">
        <v>4143</v>
      </c>
      <c r="H1290" t="s">
        <v>108</v>
      </c>
      <c r="I1290" t="s">
        <v>3953</v>
      </c>
    </row>
    <row r="1291" spans="1:9">
      <c r="A1291" s="93" t="s">
        <v>4166</v>
      </c>
      <c r="B1291" t="s">
        <v>1860</v>
      </c>
      <c r="C1291" t="s">
        <v>2536</v>
      </c>
      <c r="D1291" t="s">
        <v>2537</v>
      </c>
      <c r="E1291" t="s">
        <v>2538</v>
      </c>
      <c r="F1291" t="s">
        <v>2539</v>
      </c>
      <c r="G1291" t="s">
        <v>4143</v>
      </c>
      <c r="H1291" t="s">
        <v>108</v>
      </c>
      <c r="I1291" t="s">
        <v>3953</v>
      </c>
    </row>
    <row r="1292" spans="1:9">
      <c r="A1292" s="93" t="s">
        <v>4166</v>
      </c>
      <c r="B1292" t="s">
        <v>1860</v>
      </c>
      <c r="C1292" t="s">
        <v>2540</v>
      </c>
      <c r="D1292" t="s">
        <v>2537</v>
      </c>
      <c r="E1292" t="s">
        <v>2193</v>
      </c>
      <c r="F1292" t="s">
        <v>2541</v>
      </c>
      <c r="G1292" t="s">
        <v>4143</v>
      </c>
      <c r="H1292" t="s">
        <v>2193</v>
      </c>
      <c r="I1292" t="s">
        <v>3953</v>
      </c>
    </row>
    <row r="1293" spans="1:9">
      <c r="A1293" s="93" t="s">
        <v>4166</v>
      </c>
      <c r="B1293" t="s">
        <v>1860</v>
      </c>
      <c r="C1293" t="s">
        <v>2542</v>
      </c>
      <c r="D1293" t="s">
        <v>2533</v>
      </c>
      <c r="E1293" t="s">
        <v>108</v>
      </c>
      <c r="F1293" t="s">
        <v>2543</v>
      </c>
      <c r="G1293" t="s">
        <v>4143</v>
      </c>
      <c r="H1293" t="s">
        <v>108</v>
      </c>
      <c r="I1293" t="s">
        <v>3953</v>
      </c>
    </row>
    <row r="1294" spans="1:9">
      <c r="A1294" s="93" t="s">
        <v>4166</v>
      </c>
      <c r="B1294" t="s">
        <v>1860</v>
      </c>
      <c r="C1294" t="s">
        <v>2544</v>
      </c>
      <c r="D1294" t="s">
        <v>2545</v>
      </c>
      <c r="E1294" t="s">
        <v>2193</v>
      </c>
      <c r="F1294" t="s">
        <v>2541</v>
      </c>
      <c r="G1294" t="s">
        <v>4143</v>
      </c>
      <c r="H1294" t="s">
        <v>2193</v>
      </c>
      <c r="I1294" t="s">
        <v>3953</v>
      </c>
    </row>
    <row r="1295" spans="1:9">
      <c r="A1295" s="93" t="s">
        <v>4166</v>
      </c>
      <c r="B1295" t="s">
        <v>1860</v>
      </c>
      <c r="C1295" t="s">
        <v>2546</v>
      </c>
      <c r="D1295" t="s">
        <v>2546</v>
      </c>
      <c r="E1295" t="s">
        <v>2135</v>
      </c>
      <c r="F1295" t="s">
        <v>2547</v>
      </c>
      <c r="G1295" t="s">
        <v>4139</v>
      </c>
      <c r="H1295" t="s">
        <v>2136</v>
      </c>
      <c r="I1295" t="s">
        <v>3953</v>
      </c>
    </row>
    <row r="1296" spans="1:9">
      <c r="A1296" s="93" t="s">
        <v>4166</v>
      </c>
      <c r="B1296" t="s">
        <v>1861</v>
      </c>
      <c r="C1296" t="s">
        <v>2549</v>
      </c>
      <c r="D1296" t="s">
        <v>2537</v>
      </c>
      <c r="E1296" t="s">
        <v>2288</v>
      </c>
      <c r="F1296" t="s">
        <v>2550</v>
      </c>
      <c r="G1296" t="s">
        <v>4143</v>
      </c>
      <c r="H1296" t="s">
        <v>2288</v>
      </c>
      <c r="I1296" t="s">
        <v>3957</v>
      </c>
    </row>
    <row r="1297" spans="1:9">
      <c r="A1297" s="93" t="s">
        <v>4166</v>
      </c>
      <c r="B1297" t="s">
        <v>1861</v>
      </c>
      <c r="C1297" t="s">
        <v>2551</v>
      </c>
      <c r="D1297" t="s">
        <v>2537</v>
      </c>
      <c r="E1297" t="s">
        <v>2135</v>
      </c>
      <c r="F1297" t="s">
        <v>2552</v>
      </c>
      <c r="G1297" t="s">
        <v>4139</v>
      </c>
      <c r="H1297" t="s">
        <v>2136</v>
      </c>
      <c r="I1297" t="s">
        <v>3957</v>
      </c>
    </row>
    <row r="1298" spans="1:9">
      <c r="A1298" s="93" t="s">
        <v>4166</v>
      </c>
      <c r="B1298" t="s">
        <v>1861</v>
      </c>
      <c r="C1298" t="s">
        <v>2553</v>
      </c>
      <c r="D1298" t="s">
        <v>2554</v>
      </c>
      <c r="E1298" t="s">
        <v>2135</v>
      </c>
      <c r="F1298" t="s">
        <v>2555</v>
      </c>
      <c r="G1298" t="s">
        <v>4139</v>
      </c>
      <c r="H1298" t="s">
        <v>2136</v>
      </c>
      <c r="I1298" t="s">
        <v>3957</v>
      </c>
    </row>
    <row r="1299" spans="1:9">
      <c r="A1299" s="93" t="s">
        <v>4166</v>
      </c>
      <c r="B1299" t="s">
        <v>1861</v>
      </c>
      <c r="C1299" t="s">
        <v>2556</v>
      </c>
      <c r="D1299" t="s">
        <v>2533</v>
      </c>
      <c r="E1299" t="s">
        <v>2288</v>
      </c>
      <c r="F1299" t="s">
        <v>2557</v>
      </c>
      <c r="G1299" t="s">
        <v>4143</v>
      </c>
      <c r="H1299" t="s">
        <v>2288</v>
      </c>
      <c r="I1299" t="s">
        <v>3957</v>
      </c>
    </row>
    <row r="1300" spans="1:9">
      <c r="A1300" s="93" t="s">
        <v>4166</v>
      </c>
      <c r="B1300" t="s">
        <v>1861</v>
      </c>
      <c r="C1300" t="s">
        <v>2558</v>
      </c>
      <c r="D1300" t="s">
        <v>2559</v>
      </c>
      <c r="E1300" t="s">
        <v>2560</v>
      </c>
      <c r="F1300" t="s">
        <v>2561</v>
      </c>
      <c r="G1300" t="s">
        <v>4143</v>
      </c>
      <c r="H1300" t="s">
        <v>2288</v>
      </c>
      <c r="I1300" t="s">
        <v>3957</v>
      </c>
    </row>
    <row r="1301" spans="1:9">
      <c r="A1301" s="93" t="s">
        <v>4166</v>
      </c>
      <c r="B1301" t="s">
        <v>1861</v>
      </c>
      <c r="C1301" t="s">
        <v>2566</v>
      </c>
      <c r="D1301" t="s">
        <v>2545</v>
      </c>
      <c r="E1301" t="s">
        <v>2567</v>
      </c>
      <c r="F1301" t="s">
        <v>2569</v>
      </c>
      <c r="G1301" t="s">
        <v>4139</v>
      </c>
      <c r="H1301" t="s">
        <v>108</v>
      </c>
      <c r="I1301" t="s">
        <v>3957</v>
      </c>
    </row>
    <row r="1302" spans="1:9">
      <c r="A1302" s="93" t="s">
        <v>4166</v>
      </c>
      <c r="B1302" t="s">
        <v>1861</v>
      </c>
      <c r="C1302" t="s">
        <v>2570</v>
      </c>
      <c r="D1302" t="s">
        <v>2571</v>
      </c>
      <c r="E1302" t="s">
        <v>2135</v>
      </c>
      <c r="G1302" t="s">
        <v>4139</v>
      </c>
      <c r="H1302" t="s">
        <v>2136</v>
      </c>
      <c r="I1302" t="s">
        <v>3957</v>
      </c>
    </row>
    <row r="1303" spans="1:9">
      <c r="A1303" s="93" t="s">
        <v>4166</v>
      </c>
      <c r="B1303" t="s">
        <v>1861</v>
      </c>
      <c r="C1303" t="s">
        <v>2575</v>
      </c>
      <c r="D1303" t="s">
        <v>2533</v>
      </c>
      <c r="E1303" t="s">
        <v>2135</v>
      </c>
      <c r="G1303" t="s">
        <v>4139</v>
      </c>
      <c r="H1303" t="s">
        <v>2136</v>
      </c>
      <c r="I1303" t="s">
        <v>3957</v>
      </c>
    </row>
    <row r="1304" spans="1:9">
      <c r="A1304" s="93" t="s">
        <v>4166</v>
      </c>
      <c r="B1304" t="s">
        <v>1861</v>
      </c>
      <c r="C1304" t="s">
        <v>2576</v>
      </c>
      <c r="D1304" t="s">
        <v>2571</v>
      </c>
      <c r="E1304" t="s">
        <v>108</v>
      </c>
      <c r="F1304" t="s">
        <v>2577</v>
      </c>
      <c r="G1304" t="s">
        <v>4143</v>
      </c>
      <c r="H1304" t="s">
        <v>108</v>
      </c>
      <c r="I1304" t="s">
        <v>3957</v>
      </c>
    </row>
    <row r="1305" spans="1:9">
      <c r="A1305" s="93" t="s">
        <v>4166</v>
      </c>
      <c r="B1305" t="s">
        <v>1861</v>
      </c>
      <c r="C1305" t="s">
        <v>2546</v>
      </c>
      <c r="D1305" t="s">
        <v>2546</v>
      </c>
      <c r="E1305" t="s">
        <v>2135</v>
      </c>
      <c r="F1305" t="s">
        <v>2580</v>
      </c>
      <c r="G1305" t="s">
        <v>4139</v>
      </c>
      <c r="H1305" t="s">
        <v>2136</v>
      </c>
      <c r="I1305" t="s">
        <v>3957</v>
      </c>
    </row>
    <row r="1306" spans="1:9">
      <c r="A1306" s="93" t="s">
        <v>4166</v>
      </c>
      <c r="B1306" t="s">
        <v>1861</v>
      </c>
      <c r="C1306" t="s">
        <v>2581</v>
      </c>
      <c r="D1306" t="s">
        <v>2582</v>
      </c>
      <c r="E1306" t="s">
        <v>2135</v>
      </c>
      <c r="F1306" t="s">
        <v>2583</v>
      </c>
      <c r="G1306" t="s">
        <v>4139</v>
      </c>
      <c r="H1306" t="s">
        <v>2136</v>
      </c>
      <c r="I1306" t="s">
        <v>3957</v>
      </c>
    </row>
    <row r="1307" spans="1:9">
      <c r="A1307" s="93" t="s">
        <v>4166</v>
      </c>
      <c r="B1307" t="s">
        <v>1861</v>
      </c>
      <c r="C1307" t="s">
        <v>2584</v>
      </c>
      <c r="D1307" t="s">
        <v>2545</v>
      </c>
      <c r="E1307" t="s">
        <v>2585</v>
      </c>
      <c r="F1307" t="s">
        <v>2586</v>
      </c>
      <c r="G1307" t="s">
        <v>4143</v>
      </c>
      <c r="H1307" t="s">
        <v>108</v>
      </c>
      <c r="I1307" t="s">
        <v>3957</v>
      </c>
    </row>
    <row r="1308" spans="1:9">
      <c r="A1308" s="93" t="s">
        <v>4166</v>
      </c>
      <c r="B1308" t="s">
        <v>1861</v>
      </c>
      <c r="C1308" t="s">
        <v>2587</v>
      </c>
      <c r="D1308" t="s">
        <v>2554</v>
      </c>
      <c r="E1308" t="s">
        <v>2288</v>
      </c>
      <c r="F1308" t="s">
        <v>2588</v>
      </c>
      <c r="G1308" t="s">
        <v>4143</v>
      </c>
      <c r="H1308" t="s">
        <v>2288</v>
      </c>
      <c r="I1308" t="s">
        <v>3957</v>
      </c>
    </row>
    <row r="1309" spans="1:9">
      <c r="A1309" s="93" t="s">
        <v>4166</v>
      </c>
      <c r="B1309" t="s">
        <v>1862</v>
      </c>
      <c r="C1309" t="s">
        <v>2546</v>
      </c>
      <c r="D1309" t="s">
        <v>2546</v>
      </c>
      <c r="E1309" t="s">
        <v>2135</v>
      </c>
      <c r="F1309" t="s">
        <v>2547</v>
      </c>
      <c r="G1309" t="s">
        <v>4139</v>
      </c>
      <c r="H1309" t="s">
        <v>2136</v>
      </c>
      <c r="I1309" t="s">
        <v>3961</v>
      </c>
    </row>
    <row r="1310" spans="1:9">
      <c r="A1310" s="93" t="s">
        <v>4166</v>
      </c>
      <c r="B1310" t="s">
        <v>1862</v>
      </c>
      <c r="C1310" t="s">
        <v>2590</v>
      </c>
      <c r="D1310" t="s">
        <v>2591</v>
      </c>
      <c r="E1310" t="s">
        <v>2592</v>
      </c>
      <c r="F1310" t="s">
        <v>2593</v>
      </c>
      <c r="G1310" t="s">
        <v>4143</v>
      </c>
      <c r="H1310" t="s">
        <v>2288</v>
      </c>
      <c r="I1310" t="s">
        <v>3961</v>
      </c>
    </row>
    <row r="1311" spans="1:9">
      <c r="A1311" s="93" t="s">
        <v>4166</v>
      </c>
      <c r="B1311" t="s">
        <v>1862</v>
      </c>
      <c r="C1311" t="s">
        <v>2594</v>
      </c>
      <c r="D1311" t="s">
        <v>2533</v>
      </c>
      <c r="E1311" t="s">
        <v>2288</v>
      </c>
      <c r="F1311" t="s">
        <v>2595</v>
      </c>
      <c r="G1311" t="s">
        <v>4143</v>
      </c>
      <c r="H1311" t="s">
        <v>2288</v>
      </c>
      <c r="I1311" t="s">
        <v>3961</v>
      </c>
    </row>
    <row r="1312" spans="1:9">
      <c r="A1312" s="93" t="s">
        <v>4166</v>
      </c>
      <c r="B1312" t="s">
        <v>1862</v>
      </c>
      <c r="C1312" t="s">
        <v>2596</v>
      </c>
      <c r="D1312" t="s">
        <v>2582</v>
      </c>
      <c r="E1312" t="s">
        <v>108</v>
      </c>
      <c r="G1312" t="s">
        <v>4143</v>
      </c>
      <c r="H1312" t="s">
        <v>108</v>
      </c>
      <c r="I1312" t="s">
        <v>3961</v>
      </c>
    </row>
    <row r="1313" spans="1:9">
      <c r="A1313" s="93" t="s">
        <v>4166</v>
      </c>
      <c r="B1313" t="s">
        <v>1862</v>
      </c>
      <c r="C1313" t="s">
        <v>2597</v>
      </c>
      <c r="D1313" t="s">
        <v>2537</v>
      </c>
      <c r="E1313" t="s">
        <v>108</v>
      </c>
      <c r="F1313" t="s">
        <v>2598</v>
      </c>
      <c r="G1313" t="s">
        <v>4143</v>
      </c>
      <c r="H1313" t="s">
        <v>108</v>
      </c>
      <c r="I1313" t="s">
        <v>3961</v>
      </c>
    </row>
    <row r="1314" spans="1:9">
      <c r="A1314" s="93" t="s">
        <v>4166</v>
      </c>
      <c r="B1314" t="s">
        <v>1862</v>
      </c>
      <c r="C1314" t="s">
        <v>2599</v>
      </c>
      <c r="D1314" t="s">
        <v>2559</v>
      </c>
      <c r="E1314" t="s">
        <v>2288</v>
      </c>
      <c r="F1314" t="s">
        <v>2600</v>
      </c>
      <c r="G1314" t="s">
        <v>4143</v>
      </c>
      <c r="H1314" t="s">
        <v>2288</v>
      </c>
      <c r="I1314" t="s">
        <v>3961</v>
      </c>
    </row>
    <row r="1315" spans="1:9">
      <c r="A1315" s="93" t="s">
        <v>4166</v>
      </c>
      <c r="B1315" t="s">
        <v>1862</v>
      </c>
      <c r="C1315" t="s">
        <v>2601</v>
      </c>
      <c r="D1315" t="s">
        <v>2533</v>
      </c>
      <c r="E1315" t="s">
        <v>2288</v>
      </c>
      <c r="F1315" t="s">
        <v>2602</v>
      </c>
      <c r="G1315" t="s">
        <v>4143</v>
      </c>
      <c r="H1315" t="s">
        <v>2288</v>
      </c>
      <c r="I1315" t="s">
        <v>3961</v>
      </c>
    </row>
    <row r="1316" spans="1:9">
      <c r="A1316" s="93" t="s">
        <v>4166</v>
      </c>
      <c r="B1316" t="s">
        <v>1862</v>
      </c>
      <c r="C1316" t="s">
        <v>2603</v>
      </c>
      <c r="D1316" t="s">
        <v>2559</v>
      </c>
      <c r="E1316" t="s">
        <v>2604</v>
      </c>
      <c r="F1316" t="s">
        <v>2606</v>
      </c>
      <c r="G1316" t="s">
        <v>4143</v>
      </c>
      <c r="H1316" t="s">
        <v>2193</v>
      </c>
      <c r="I1316" t="s">
        <v>3961</v>
      </c>
    </row>
    <row r="1317" spans="1:9">
      <c r="A1317" s="93" t="s">
        <v>4166</v>
      </c>
      <c r="B1317" t="s">
        <v>1862</v>
      </c>
      <c r="C1317" t="s">
        <v>2607</v>
      </c>
      <c r="D1317" t="s">
        <v>2563</v>
      </c>
      <c r="E1317" t="s">
        <v>2608</v>
      </c>
      <c r="F1317" t="s">
        <v>2609</v>
      </c>
      <c r="G1317" t="s">
        <v>4143</v>
      </c>
      <c r="H1317" t="s">
        <v>2288</v>
      </c>
      <c r="I1317" t="s">
        <v>3961</v>
      </c>
    </row>
    <row r="1318" spans="1:9">
      <c r="A1318" s="93" t="s">
        <v>4166</v>
      </c>
      <c r="B1318" t="s">
        <v>1862</v>
      </c>
      <c r="C1318" t="s">
        <v>2610</v>
      </c>
      <c r="D1318" t="s">
        <v>2545</v>
      </c>
      <c r="E1318" t="s">
        <v>108</v>
      </c>
      <c r="G1318" t="s">
        <v>4143</v>
      </c>
      <c r="H1318" t="s">
        <v>108</v>
      </c>
      <c r="I1318" t="s">
        <v>3961</v>
      </c>
    </row>
    <row r="1319" spans="1:9">
      <c r="A1319" s="93" t="s">
        <v>4166</v>
      </c>
      <c r="B1319" t="s">
        <v>1862</v>
      </c>
      <c r="C1319" t="s">
        <v>2611</v>
      </c>
      <c r="D1319" t="s">
        <v>2545</v>
      </c>
      <c r="E1319" t="s">
        <v>2288</v>
      </c>
      <c r="F1319" t="s">
        <v>2612</v>
      </c>
      <c r="G1319" t="s">
        <v>4143</v>
      </c>
      <c r="H1319" t="s">
        <v>2288</v>
      </c>
      <c r="I1319" t="s">
        <v>3961</v>
      </c>
    </row>
    <row r="1320" spans="1:9">
      <c r="A1320" s="93" t="s">
        <v>4166</v>
      </c>
      <c r="B1320" t="s">
        <v>1864</v>
      </c>
      <c r="C1320" t="s">
        <v>2546</v>
      </c>
      <c r="D1320" t="s">
        <v>2546</v>
      </c>
      <c r="E1320" t="s">
        <v>2135</v>
      </c>
      <c r="F1320" t="s">
        <v>2614</v>
      </c>
      <c r="G1320" t="s">
        <v>4139</v>
      </c>
      <c r="H1320" t="s">
        <v>2136</v>
      </c>
      <c r="I1320" t="s">
        <v>3965</v>
      </c>
    </row>
    <row r="1321" spans="1:9">
      <c r="A1321" s="93" t="s">
        <v>4166</v>
      </c>
      <c r="B1321" t="s">
        <v>1864</v>
      </c>
      <c r="C1321" t="s">
        <v>2615</v>
      </c>
      <c r="D1321" t="s">
        <v>2537</v>
      </c>
      <c r="E1321" t="s">
        <v>2616</v>
      </c>
      <c r="F1321" t="s">
        <v>2617</v>
      </c>
      <c r="G1321" t="s">
        <v>4143</v>
      </c>
      <c r="H1321" t="s">
        <v>2288</v>
      </c>
      <c r="I1321" t="s">
        <v>3965</v>
      </c>
    </row>
    <row r="1322" spans="1:9">
      <c r="A1322" s="93" t="s">
        <v>4166</v>
      </c>
      <c r="B1322" t="s">
        <v>1864</v>
      </c>
      <c r="C1322" t="s">
        <v>2618</v>
      </c>
      <c r="D1322" t="s">
        <v>2619</v>
      </c>
      <c r="E1322" t="s">
        <v>2135</v>
      </c>
      <c r="G1322" t="s">
        <v>4139</v>
      </c>
      <c r="H1322" t="s">
        <v>2136</v>
      </c>
      <c r="I1322" t="s">
        <v>3965</v>
      </c>
    </row>
    <row r="1323" spans="1:9">
      <c r="A1323" s="93" t="s">
        <v>4166</v>
      </c>
      <c r="B1323" t="s">
        <v>1864</v>
      </c>
      <c r="C1323" t="s">
        <v>2620</v>
      </c>
      <c r="D1323" t="s">
        <v>2554</v>
      </c>
      <c r="E1323" t="s">
        <v>2288</v>
      </c>
      <c r="F1323" t="s">
        <v>2621</v>
      </c>
      <c r="G1323" t="s">
        <v>4143</v>
      </c>
      <c r="H1323" t="s">
        <v>2288</v>
      </c>
      <c r="I1323" t="s">
        <v>3965</v>
      </c>
    </row>
    <row r="1324" spans="1:9">
      <c r="A1324" s="93" t="s">
        <v>4166</v>
      </c>
      <c r="B1324" t="s">
        <v>1864</v>
      </c>
      <c r="C1324" t="s">
        <v>2622</v>
      </c>
      <c r="D1324" t="s">
        <v>2582</v>
      </c>
      <c r="E1324" t="s">
        <v>2135</v>
      </c>
      <c r="G1324" t="s">
        <v>4139</v>
      </c>
      <c r="H1324" t="s">
        <v>2136</v>
      </c>
      <c r="I1324" t="s">
        <v>3965</v>
      </c>
    </row>
    <row r="1325" spans="1:9">
      <c r="A1325" s="93" t="s">
        <v>4166</v>
      </c>
      <c r="B1325" t="s">
        <v>1864</v>
      </c>
      <c r="C1325" t="s">
        <v>2623</v>
      </c>
      <c r="D1325" t="s">
        <v>2533</v>
      </c>
      <c r="E1325" t="s">
        <v>2288</v>
      </c>
      <c r="F1325" t="s">
        <v>2624</v>
      </c>
      <c r="G1325" t="s">
        <v>4143</v>
      </c>
      <c r="H1325" t="s">
        <v>2288</v>
      </c>
      <c r="I1325" t="s">
        <v>3965</v>
      </c>
    </row>
    <row r="1326" spans="1:9">
      <c r="A1326" s="93" t="s">
        <v>4166</v>
      </c>
      <c r="B1326" t="s">
        <v>1864</v>
      </c>
      <c r="C1326" t="s">
        <v>2625</v>
      </c>
      <c r="D1326" t="s">
        <v>2533</v>
      </c>
      <c r="E1326" t="s">
        <v>2288</v>
      </c>
      <c r="G1326" t="s">
        <v>4143</v>
      </c>
      <c r="H1326" t="s">
        <v>2288</v>
      </c>
      <c r="I1326" t="s">
        <v>3965</v>
      </c>
    </row>
    <row r="1327" spans="1:9">
      <c r="A1327" s="93" t="s">
        <v>4166</v>
      </c>
      <c r="B1327" t="s">
        <v>1864</v>
      </c>
      <c r="C1327" t="s">
        <v>2628</v>
      </c>
      <c r="D1327" t="s">
        <v>2533</v>
      </c>
      <c r="E1327" t="s">
        <v>2629</v>
      </c>
      <c r="F1327" t="s">
        <v>2630</v>
      </c>
      <c r="G1327" t="s">
        <v>4143</v>
      </c>
      <c r="H1327" t="s">
        <v>2288</v>
      </c>
      <c r="I1327" t="s">
        <v>3965</v>
      </c>
    </row>
    <row r="1328" spans="1:9">
      <c r="A1328" s="93" t="s">
        <v>4166</v>
      </c>
      <c r="B1328" t="s">
        <v>1864</v>
      </c>
      <c r="C1328" t="s">
        <v>2631</v>
      </c>
      <c r="D1328" t="s">
        <v>2537</v>
      </c>
      <c r="E1328" t="s">
        <v>2135</v>
      </c>
      <c r="F1328" t="s">
        <v>2632</v>
      </c>
      <c r="G1328" t="s">
        <v>4139</v>
      </c>
      <c r="H1328" t="s">
        <v>2136</v>
      </c>
      <c r="I1328" t="s">
        <v>3965</v>
      </c>
    </row>
    <row r="1329" spans="1:9">
      <c r="A1329" s="93" t="s">
        <v>4166</v>
      </c>
      <c r="B1329" t="s">
        <v>1864</v>
      </c>
      <c r="C1329" t="s">
        <v>2633</v>
      </c>
      <c r="D1329" t="s">
        <v>2571</v>
      </c>
      <c r="E1329" t="s">
        <v>2135</v>
      </c>
      <c r="F1329" t="s">
        <v>2632</v>
      </c>
      <c r="G1329" t="s">
        <v>4139</v>
      </c>
      <c r="H1329" t="s">
        <v>2136</v>
      </c>
      <c r="I1329" t="s">
        <v>3965</v>
      </c>
    </row>
    <row r="1330" spans="1:9">
      <c r="A1330" s="93" t="s">
        <v>4166</v>
      </c>
      <c r="B1330" t="s">
        <v>1864</v>
      </c>
      <c r="C1330" t="s">
        <v>2634</v>
      </c>
      <c r="D1330" t="s">
        <v>2563</v>
      </c>
      <c r="E1330" t="s">
        <v>2288</v>
      </c>
      <c r="F1330" t="s">
        <v>2635</v>
      </c>
      <c r="G1330" t="s">
        <v>4143</v>
      </c>
      <c r="H1330" t="s">
        <v>2288</v>
      </c>
      <c r="I1330" t="s">
        <v>3965</v>
      </c>
    </row>
    <row r="1331" spans="1:9">
      <c r="A1331" s="93" t="s">
        <v>4166</v>
      </c>
      <c r="B1331" t="s">
        <v>1864</v>
      </c>
      <c r="C1331" t="s">
        <v>2636</v>
      </c>
      <c r="D1331" t="s">
        <v>2582</v>
      </c>
      <c r="E1331" t="s">
        <v>2135</v>
      </c>
      <c r="G1331" t="s">
        <v>4139</v>
      </c>
      <c r="H1331" t="s">
        <v>2136</v>
      </c>
      <c r="I1331" t="s">
        <v>3965</v>
      </c>
    </row>
    <row r="1332" spans="1:9">
      <c r="A1332" s="93" t="s">
        <v>4166</v>
      </c>
      <c r="B1332" t="s">
        <v>1866</v>
      </c>
      <c r="C1332" t="s">
        <v>2546</v>
      </c>
      <c r="D1332" t="s">
        <v>2546</v>
      </c>
      <c r="E1332" t="s">
        <v>2135</v>
      </c>
      <c r="F1332" t="s">
        <v>2580</v>
      </c>
      <c r="G1332" t="s">
        <v>4139</v>
      </c>
      <c r="H1332" t="s">
        <v>2136</v>
      </c>
      <c r="I1332" t="s">
        <v>3969</v>
      </c>
    </row>
    <row r="1333" spans="1:9">
      <c r="A1333" s="93" t="s">
        <v>4166</v>
      </c>
      <c r="B1333" t="s">
        <v>1866</v>
      </c>
      <c r="C1333" t="s">
        <v>2643</v>
      </c>
      <c r="D1333" t="s">
        <v>2579</v>
      </c>
      <c r="E1333" t="s">
        <v>2288</v>
      </c>
      <c r="F1333" t="s">
        <v>2644</v>
      </c>
      <c r="G1333" t="s">
        <v>4143</v>
      </c>
      <c r="H1333" t="s">
        <v>2288</v>
      </c>
      <c r="I1333" t="s">
        <v>3969</v>
      </c>
    </row>
    <row r="1334" spans="1:9">
      <c r="A1334" s="93" t="s">
        <v>4166</v>
      </c>
      <c r="B1334" t="s">
        <v>1866</v>
      </c>
      <c r="C1334" t="s">
        <v>2645</v>
      </c>
      <c r="D1334" t="s">
        <v>2537</v>
      </c>
      <c r="E1334" t="s">
        <v>2288</v>
      </c>
      <c r="F1334" t="s">
        <v>2646</v>
      </c>
      <c r="G1334" t="s">
        <v>4143</v>
      </c>
      <c r="H1334" t="s">
        <v>2288</v>
      </c>
      <c r="I1334" t="s">
        <v>3969</v>
      </c>
    </row>
    <row r="1335" spans="1:9">
      <c r="A1335" s="93" t="s">
        <v>4166</v>
      </c>
      <c r="B1335" t="s">
        <v>1866</v>
      </c>
      <c r="C1335" t="s">
        <v>2647</v>
      </c>
      <c r="D1335" t="s">
        <v>2591</v>
      </c>
      <c r="E1335" t="s">
        <v>2135</v>
      </c>
      <c r="G1335" t="s">
        <v>4139</v>
      </c>
      <c r="H1335" t="s">
        <v>2136</v>
      </c>
      <c r="I1335" t="s">
        <v>3969</v>
      </c>
    </row>
    <row r="1336" spans="1:9">
      <c r="A1336" s="93" t="s">
        <v>4166</v>
      </c>
      <c r="B1336" t="s">
        <v>1866</v>
      </c>
      <c r="C1336" t="s">
        <v>2648</v>
      </c>
      <c r="D1336" t="s">
        <v>2591</v>
      </c>
      <c r="E1336" t="s">
        <v>2288</v>
      </c>
      <c r="F1336" t="s">
        <v>2649</v>
      </c>
      <c r="G1336" t="s">
        <v>4143</v>
      </c>
      <c r="H1336" t="s">
        <v>2288</v>
      </c>
      <c r="I1336" t="s">
        <v>3969</v>
      </c>
    </row>
    <row r="1337" spans="1:9">
      <c r="A1337" s="93" t="s">
        <v>4166</v>
      </c>
      <c r="B1337" t="s">
        <v>1866</v>
      </c>
      <c r="C1337" t="s">
        <v>2650</v>
      </c>
      <c r="D1337" t="s">
        <v>2571</v>
      </c>
      <c r="E1337" t="s">
        <v>2651</v>
      </c>
      <c r="F1337" t="s">
        <v>2652</v>
      </c>
      <c r="G1337" t="s">
        <v>4143</v>
      </c>
      <c r="H1337" t="s">
        <v>2288</v>
      </c>
      <c r="I1337" t="s">
        <v>3969</v>
      </c>
    </row>
    <row r="1338" spans="1:9">
      <c r="A1338" s="93" t="s">
        <v>4166</v>
      </c>
      <c r="B1338" t="s">
        <v>1866</v>
      </c>
      <c r="C1338" t="s">
        <v>2653</v>
      </c>
      <c r="D1338" t="s">
        <v>2533</v>
      </c>
      <c r="E1338" t="s">
        <v>2288</v>
      </c>
      <c r="F1338" t="s">
        <v>2654</v>
      </c>
      <c r="G1338" t="s">
        <v>4143</v>
      </c>
      <c r="H1338" t="s">
        <v>2288</v>
      </c>
      <c r="I1338" t="s">
        <v>3969</v>
      </c>
    </row>
    <row r="1339" spans="1:9">
      <c r="A1339" s="93" t="s">
        <v>4166</v>
      </c>
      <c r="B1339" t="s">
        <v>1866</v>
      </c>
      <c r="C1339" t="s">
        <v>2655</v>
      </c>
      <c r="D1339" t="s">
        <v>2571</v>
      </c>
      <c r="E1339" t="s">
        <v>2288</v>
      </c>
      <c r="F1339" t="s">
        <v>2656</v>
      </c>
      <c r="G1339" t="s">
        <v>4143</v>
      </c>
      <c r="H1339" t="s">
        <v>2288</v>
      </c>
      <c r="I1339" t="s">
        <v>3969</v>
      </c>
    </row>
    <row r="1340" spans="1:9">
      <c r="A1340" s="93" t="s">
        <v>4166</v>
      </c>
      <c r="B1340" t="s">
        <v>1866</v>
      </c>
      <c r="C1340" t="s">
        <v>2657</v>
      </c>
      <c r="D1340" t="s">
        <v>2533</v>
      </c>
      <c r="E1340" t="s">
        <v>2288</v>
      </c>
      <c r="F1340" t="s">
        <v>2658</v>
      </c>
      <c r="G1340" t="s">
        <v>4143</v>
      </c>
      <c r="H1340" t="s">
        <v>2288</v>
      </c>
      <c r="I1340" t="s">
        <v>3969</v>
      </c>
    </row>
    <row r="1341" spans="1:9">
      <c r="A1341" s="93" t="s">
        <v>4166</v>
      </c>
      <c r="B1341" t="s">
        <v>1866</v>
      </c>
      <c r="C1341" t="s">
        <v>2659</v>
      </c>
      <c r="D1341" t="s">
        <v>2559</v>
      </c>
      <c r="E1341" t="s">
        <v>2288</v>
      </c>
      <c r="F1341" t="s">
        <v>2660</v>
      </c>
      <c r="G1341" t="s">
        <v>4143</v>
      </c>
      <c r="H1341" t="s">
        <v>2288</v>
      </c>
      <c r="I1341" t="s">
        <v>3969</v>
      </c>
    </row>
    <row r="1342" spans="1:9">
      <c r="A1342" s="93" t="s">
        <v>4166</v>
      </c>
      <c r="B1342" t="s">
        <v>1866</v>
      </c>
      <c r="C1342" t="s">
        <v>2661</v>
      </c>
      <c r="D1342" t="s">
        <v>2559</v>
      </c>
      <c r="E1342" t="s">
        <v>2135</v>
      </c>
      <c r="F1342" t="s">
        <v>2662</v>
      </c>
      <c r="G1342" t="s">
        <v>4139</v>
      </c>
      <c r="H1342" t="s">
        <v>2136</v>
      </c>
      <c r="I1342" t="s">
        <v>3969</v>
      </c>
    </row>
    <row r="1343" spans="1:9">
      <c r="A1343" s="93" t="s">
        <v>4166</v>
      </c>
      <c r="B1343" t="s">
        <v>1866</v>
      </c>
      <c r="C1343" t="s">
        <v>2663</v>
      </c>
      <c r="D1343" t="s">
        <v>2559</v>
      </c>
      <c r="E1343" t="s">
        <v>2288</v>
      </c>
      <c r="F1343" t="s">
        <v>2664</v>
      </c>
      <c r="G1343" t="s">
        <v>4143</v>
      </c>
      <c r="H1343" t="s">
        <v>2288</v>
      </c>
      <c r="I1343" t="s">
        <v>3969</v>
      </c>
    </row>
    <row r="1344" spans="1:9">
      <c r="A1344" s="93" t="s">
        <v>4166</v>
      </c>
      <c r="B1344" t="s">
        <v>1866</v>
      </c>
      <c r="C1344" t="s">
        <v>2665</v>
      </c>
      <c r="D1344" t="s">
        <v>2563</v>
      </c>
      <c r="E1344" t="s">
        <v>2288</v>
      </c>
      <c r="F1344" t="s">
        <v>2666</v>
      </c>
      <c r="G1344" t="s">
        <v>4143</v>
      </c>
      <c r="H1344" t="s">
        <v>2288</v>
      </c>
      <c r="I1344" t="s">
        <v>3969</v>
      </c>
    </row>
    <row r="1345" spans="1:9">
      <c r="A1345" s="93" t="s">
        <v>4166</v>
      </c>
      <c r="B1345" t="s">
        <v>1866</v>
      </c>
      <c r="C1345" t="s">
        <v>2667</v>
      </c>
      <c r="D1345" t="s">
        <v>2571</v>
      </c>
      <c r="E1345" t="s">
        <v>2668</v>
      </c>
      <c r="F1345" t="s">
        <v>2670</v>
      </c>
      <c r="G1345" t="s">
        <v>4143</v>
      </c>
      <c r="H1345" t="s">
        <v>2669</v>
      </c>
      <c r="I1345" t="s">
        <v>3969</v>
      </c>
    </row>
    <row r="1346" spans="1:9">
      <c r="A1346" s="93" t="s">
        <v>4166</v>
      </c>
      <c r="B1346" t="s">
        <v>1866</v>
      </c>
      <c r="C1346" t="s">
        <v>2671</v>
      </c>
      <c r="D1346" t="s">
        <v>2591</v>
      </c>
      <c r="E1346" t="s">
        <v>2288</v>
      </c>
      <c r="F1346" t="s">
        <v>2672</v>
      </c>
      <c r="G1346" t="s">
        <v>4143</v>
      </c>
      <c r="H1346" t="s">
        <v>2288</v>
      </c>
      <c r="I1346" t="s">
        <v>3969</v>
      </c>
    </row>
    <row r="1347" spans="1:9">
      <c r="A1347" s="93" t="s">
        <v>4166</v>
      </c>
      <c r="B1347" t="s">
        <v>1870</v>
      </c>
      <c r="C1347" t="s">
        <v>2546</v>
      </c>
      <c r="D1347" t="s">
        <v>2546</v>
      </c>
      <c r="E1347" t="s">
        <v>2135</v>
      </c>
      <c r="F1347" t="s">
        <v>2580</v>
      </c>
      <c r="G1347" t="s">
        <v>4139</v>
      </c>
      <c r="H1347" t="s">
        <v>2136</v>
      </c>
      <c r="I1347" t="s">
        <v>3973</v>
      </c>
    </row>
    <row r="1348" spans="1:9">
      <c r="A1348" s="93" t="s">
        <v>4166</v>
      </c>
      <c r="B1348" t="s">
        <v>1870</v>
      </c>
      <c r="C1348" t="s">
        <v>2677</v>
      </c>
      <c r="D1348" t="s">
        <v>2533</v>
      </c>
      <c r="E1348" t="s">
        <v>2288</v>
      </c>
      <c r="F1348" t="s">
        <v>2678</v>
      </c>
      <c r="G1348" t="s">
        <v>4143</v>
      </c>
      <c r="H1348" t="s">
        <v>2288</v>
      </c>
      <c r="I1348" t="s">
        <v>3973</v>
      </c>
    </row>
    <row r="1349" spans="1:9">
      <c r="A1349" s="93" t="s">
        <v>4166</v>
      </c>
      <c r="B1349" t="s">
        <v>1870</v>
      </c>
      <c r="C1349" t="s">
        <v>2679</v>
      </c>
      <c r="D1349" t="s">
        <v>2537</v>
      </c>
      <c r="E1349" t="s">
        <v>2288</v>
      </c>
      <c r="F1349" t="s">
        <v>2680</v>
      </c>
      <c r="G1349" t="s">
        <v>4143</v>
      </c>
      <c r="H1349" t="s">
        <v>2288</v>
      </c>
      <c r="I1349" t="s">
        <v>3973</v>
      </c>
    </row>
    <row r="1350" spans="1:9">
      <c r="A1350" s="93" t="s">
        <v>4166</v>
      </c>
      <c r="B1350" t="s">
        <v>1870</v>
      </c>
      <c r="C1350" t="s">
        <v>2681</v>
      </c>
      <c r="D1350" t="s">
        <v>2563</v>
      </c>
      <c r="E1350" t="s">
        <v>108</v>
      </c>
      <c r="F1350" t="s">
        <v>2682</v>
      </c>
      <c r="G1350" t="s">
        <v>4143</v>
      </c>
      <c r="H1350" t="s">
        <v>108</v>
      </c>
      <c r="I1350" t="s">
        <v>3973</v>
      </c>
    </row>
    <row r="1351" spans="1:9">
      <c r="A1351" s="93" t="s">
        <v>4166</v>
      </c>
      <c r="B1351" t="s">
        <v>1870</v>
      </c>
      <c r="C1351" t="s">
        <v>2683</v>
      </c>
      <c r="D1351" t="s">
        <v>2537</v>
      </c>
      <c r="E1351" t="s">
        <v>2684</v>
      </c>
      <c r="F1351" t="s">
        <v>2686</v>
      </c>
      <c r="G1351" t="s">
        <v>4139</v>
      </c>
      <c r="H1351" t="s">
        <v>2786</v>
      </c>
      <c r="I1351" t="s">
        <v>3973</v>
      </c>
    </row>
    <row r="1352" spans="1:9">
      <c r="A1352" s="93" t="s">
        <v>4166</v>
      </c>
      <c r="B1352" t="s">
        <v>1870</v>
      </c>
      <c r="C1352" t="s">
        <v>2687</v>
      </c>
      <c r="D1352" t="s">
        <v>2554</v>
      </c>
      <c r="E1352" t="s">
        <v>2288</v>
      </c>
      <c r="F1352" t="s">
        <v>2688</v>
      </c>
      <c r="G1352" t="s">
        <v>4143</v>
      </c>
      <c r="H1352" t="s">
        <v>2288</v>
      </c>
      <c r="I1352" t="s">
        <v>3973</v>
      </c>
    </row>
    <row r="1353" spans="1:9">
      <c r="A1353" s="93" t="s">
        <v>4166</v>
      </c>
      <c r="B1353" t="s">
        <v>1870</v>
      </c>
      <c r="C1353" t="s">
        <v>2689</v>
      </c>
      <c r="D1353" t="s">
        <v>2554</v>
      </c>
      <c r="E1353" t="s">
        <v>2288</v>
      </c>
      <c r="F1353" t="s">
        <v>2690</v>
      </c>
      <c r="G1353" t="s">
        <v>4143</v>
      </c>
      <c r="H1353" t="s">
        <v>2288</v>
      </c>
      <c r="I1353" t="s">
        <v>3973</v>
      </c>
    </row>
    <row r="1354" spans="1:9">
      <c r="A1354" s="93" t="s">
        <v>4166</v>
      </c>
      <c r="B1354" t="s">
        <v>1870</v>
      </c>
      <c r="C1354" t="s">
        <v>2691</v>
      </c>
      <c r="D1354" t="s">
        <v>2533</v>
      </c>
      <c r="E1354" t="s">
        <v>2135</v>
      </c>
      <c r="F1354" t="s">
        <v>2692</v>
      </c>
      <c r="G1354" t="s">
        <v>4139</v>
      </c>
      <c r="H1354" t="s">
        <v>2136</v>
      </c>
      <c r="I1354" t="s">
        <v>3973</v>
      </c>
    </row>
    <row r="1355" spans="1:9">
      <c r="A1355" s="93" t="s">
        <v>4166</v>
      </c>
      <c r="B1355" t="s">
        <v>1870</v>
      </c>
      <c r="C1355" t="s">
        <v>2693</v>
      </c>
      <c r="D1355" t="s">
        <v>2533</v>
      </c>
      <c r="E1355" t="s">
        <v>2288</v>
      </c>
      <c r="F1355" t="s">
        <v>2694</v>
      </c>
      <c r="G1355" t="s">
        <v>4143</v>
      </c>
      <c r="H1355" t="s">
        <v>2288</v>
      </c>
      <c r="I1355" t="s">
        <v>3973</v>
      </c>
    </row>
    <row r="1356" spans="1:9">
      <c r="A1356" s="93" t="s">
        <v>4166</v>
      </c>
      <c r="B1356" t="s">
        <v>1870</v>
      </c>
      <c r="C1356" t="s">
        <v>2695</v>
      </c>
      <c r="D1356" t="s">
        <v>2591</v>
      </c>
      <c r="E1356" t="s">
        <v>2288</v>
      </c>
      <c r="F1356" t="s">
        <v>2696</v>
      </c>
      <c r="G1356" t="s">
        <v>4143</v>
      </c>
      <c r="H1356" t="s">
        <v>2288</v>
      </c>
      <c r="I1356" t="s">
        <v>3973</v>
      </c>
    </row>
    <row r="1357" spans="1:9">
      <c r="A1357" s="93" t="s">
        <v>4166</v>
      </c>
      <c r="B1357" t="s">
        <v>1870</v>
      </c>
      <c r="C1357" t="s">
        <v>2697</v>
      </c>
      <c r="D1357" t="s">
        <v>2582</v>
      </c>
      <c r="E1357" t="s">
        <v>2367</v>
      </c>
      <c r="F1357" t="s">
        <v>2698</v>
      </c>
      <c r="G1357" t="s">
        <v>4143</v>
      </c>
      <c r="H1357" t="s">
        <v>2193</v>
      </c>
      <c r="I1357" t="s">
        <v>3973</v>
      </c>
    </row>
    <row r="1358" spans="1:9">
      <c r="A1358" s="93" t="s">
        <v>4166</v>
      </c>
      <c r="B1358" t="s">
        <v>1870</v>
      </c>
      <c r="C1358" t="s">
        <v>2699</v>
      </c>
      <c r="D1358" t="s">
        <v>2571</v>
      </c>
      <c r="E1358" t="s">
        <v>2288</v>
      </c>
      <c r="F1358" t="s">
        <v>2700</v>
      </c>
      <c r="G1358" t="s">
        <v>4143</v>
      </c>
      <c r="H1358" t="s">
        <v>2288</v>
      </c>
      <c r="I1358" t="s">
        <v>3973</v>
      </c>
    </row>
    <row r="1359" spans="1:9">
      <c r="A1359" s="93" t="s">
        <v>4166</v>
      </c>
      <c r="B1359" t="s">
        <v>1870</v>
      </c>
      <c r="C1359" t="s">
        <v>2701</v>
      </c>
      <c r="D1359" t="s">
        <v>2559</v>
      </c>
      <c r="E1359" t="s">
        <v>2193</v>
      </c>
      <c r="F1359" t="s">
        <v>2702</v>
      </c>
      <c r="G1359" t="s">
        <v>4143</v>
      </c>
      <c r="H1359" t="s">
        <v>2193</v>
      </c>
      <c r="I1359" t="s">
        <v>3973</v>
      </c>
    </row>
    <row r="1360" spans="1:9">
      <c r="A1360" s="93" t="s">
        <v>4166</v>
      </c>
      <c r="B1360" t="s">
        <v>1870</v>
      </c>
      <c r="C1360" t="s">
        <v>2703</v>
      </c>
      <c r="D1360" t="s">
        <v>2554</v>
      </c>
      <c r="E1360" t="s">
        <v>2193</v>
      </c>
      <c r="F1360" t="s">
        <v>2704</v>
      </c>
      <c r="G1360" t="s">
        <v>4143</v>
      </c>
      <c r="H1360" t="s">
        <v>2193</v>
      </c>
      <c r="I1360" t="s">
        <v>3973</v>
      </c>
    </row>
    <row r="1361" spans="1:9">
      <c r="A1361" s="93" t="s">
        <v>4166</v>
      </c>
      <c r="B1361" t="s">
        <v>1870</v>
      </c>
      <c r="C1361" t="s">
        <v>2706</v>
      </c>
      <c r="D1361" t="s">
        <v>2591</v>
      </c>
      <c r="E1361" t="s">
        <v>108</v>
      </c>
      <c r="F1361" t="s">
        <v>2707</v>
      </c>
      <c r="G1361" t="s">
        <v>4143</v>
      </c>
      <c r="H1361" t="s">
        <v>108</v>
      </c>
      <c r="I1361" t="s">
        <v>3973</v>
      </c>
    </row>
    <row r="1362" spans="1:9">
      <c r="A1362" s="93" t="s">
        <v>4166</v>
      </c>
      <c r="B1362" t="s">
        <v>1872</v>
      </c>
      <c r="C1362" t="s">
        <v>2546</v>
      </c>
      <c r="D1362" t="s">
        <v>2546</v>
      </c>
      <c r="E1362" t="s">
        <v>2135</v>
      </c>
      <c r="F1362" t="s">
        <v>2580</v>
      </c>
      <c r="G1362" t="s">
        <v>4139</v>
      </c>
      <c r="H1362" t="s">
        <v>2136</v>
      </c>
      <c r="I1362" t="s">
        <v>3977</v>
      </c>
    </row>
    <row r="1363" spans="1:9">
      <c r="A1363" s="93" t="s">
        <v>4166</v>
      </c>
      <c r="B1363" t="s">
        <v>1872</v>
      </c>
      <c r="C1363" t="s">
        <v>2709</v>
      </c>
      <c r="D1363" t="s">
        <v>2582</v>
      </c>
      <c r="E1363" t="s">
        <v>2710</v>
      </c>
      <c r="G1363" t="s">
        <v>4143</v>
      </c>
      <c r="H1363" t="s">
        <v>2669</v>
      </c>
      <c r="I1363" t="s">
        <v>3977</v>
      </c>
    </row>
    <row r="1364" spans="1:9">
      <c r="A1364" s="93" t="s">
        <v>4166</v>
      </c>
      <c r="B1364" t="s">
        <v>1872</v>
      </c>
      <c r="C1364" t="s">
        <v>2711</v>
      </c>
      <c r="D1364" t="s">
        <v>2579</v>
      </c>
      <c r="E1364" t="s">
        <v>2288</v>
      </c>
      <c r="F1364" t="s">
        <v>2712</v>
      </c>
      <c r="G1364" t="s">
        <v>4143</v>
      </c>
      <c r="H1364" t="s">
        <v>2288</v>
      </c>
      <c r="I1364" t="s">
        <v>3977</v>
      </c>
    </row>
    <row r="1365" spans="1:9">
      <c r="A1365" s="93" t="s">
        <v>4166</v>
      </c>
      <c r="B1365" t="s">
        <v>1872</v>
      </c>
      <c r="C1365" t="s">
        <v>2713</v>
      </c>
      <c r="D1365" t="s">
        <v>2591</v>
      </c>
      <c r="E1365" t="s">
        <v>2288</v>
      </c>
      <c r="F1365" t="s">
        <v>2714</v>
      </c>
      <c r="G1365" t="s">
        <v>4143</v>
      </c>
      <c r="H1365" t="s">
        <v>2288</v>
      </c>
      <c r="I1365" t="s">
        <v>3977</v>
      </c>
    </row>
    <row r="1366" spans="1:9">
      <c r="A1366" s="93" t="s">
        <v>4166</v>
      </c>
      <c r="B1366" t="s">
        <v>1872</v>
      </c>
      <c r="C1366" t="s">
        <v>2715</v>
      </c>
      <c r="D1366" t="s">
        <v>2571</v>
      </c>
      <c r="E1366" t="s">
        <v>2288</v>
      </c>
      <c r="F1366" t="s">
        <v>2716</v>
      </c>
      <c r="G1366" t="s">
        <v>4143</v>
      </c>
      <c r="H1366" t="s">
        <v>2288</v>
      </c>
      <c r="I1366" t="s">
        <v>3977</v>
      </c>
    </row>
    <row r="1367" spans="1:9">
      <c r="A1367" s="93" t="s">
        <v>4166</v>
      </c>
      <c r="B1367" t="s">
        <v>1872</v>
      </c>
      <c r="C1367" t="s">
        <v>2792</v>
      </c>
      <c r="D1367" t="s">
        <v>2582</v>
      </c>
      <c r="E1367" t="s">
        <v>2793</v>
      </c>
      <c r="G1367" t="s">
        <v>4143</v>
      </c>
      <c r="H1367" t="s">
        <v>227</v>
      </c>
      <c r="I1367" t="s">
        <v>3977</v>
      </c>
    </row>
    <row r="1368" spans="1:9">
      <c r="A1368" s="93" t="s">
        <v>4166</v>
      </c>
      <c r="B1368" t="s">
        <v>1872</v>
      </c>
      <c r="C1368" t="s">
        <v>2717</v>
      </c>
      <c r="D1368" t="s">
        <v>2559</v>
      </c>
      <c r="E1368" t="s">
        <v>2288</v>
      </c>
      <c r="F1368" t="s">
        <v>2718</v>
      </c>
      <c r="G1368" t="s">
        <v>4143</v>
      </c>
      <c r="H1368" t="s">
        <v>2288</v>
      </c>
      <c r="I1368" t="s">
        <v>3977</v>
      </c>
    </row>
    <row r="1369" spans="1:9">
      <c r="A1369" s="93" t="s">
        <v>4166</v>
      </c>
      <c r="B1369" t="s">
        <v>1872</v>
      </c>
      <c r="C1369" t="s">
        <v>2719</v>
      </c>
      <c r="D1369" t="s">
        <v>2559</v>
      </c>
      <c r="E1369" t="s">
        <v>108</v>
      </c>
      <c r="F1369" t="s">
        <v>2720</v>
      </c>
      <c r="G1369" t="s">
        <v>4143</v>
      </c>
      <c r="H1369" t="s">
        <v>108</v>
      </c>
      <c r="I1369" t="s">
        <v>3977</v>
      </c>
    </row>
    <row r="1370" spans="1:9">
      <c r="A1370" s="93" t="s">
        <v>4166</v>
      </c>
      <c r="B1370" t="s">
        <v>1872</v>
      </c>
      <c r="C1370" t="s">
        <v>2721</v>
      </c>
      <c r="D1370" t="s">
        <v>2591</v>
      </c>
      <c r="E1370" t="s">
        <v>2288</v>
      </c>
      <c r="F1370" t="s">
        <v>2716</v>
      </c>
      <c r="G1370" t="s">
        <v>4143</v>
      </c>
      <c r="H1370" t="s">
        <v>2288</v>
      </c>
      <c r="I1370" t="s">
        <v>3977</v>
      </c>
    </row>
    <row r="1371" spans="1:9">
      <c r="A1371" s="93" t="s">
        <v>4166</v>
      </c>
      <c r="B1371" t="s">
        <v>1872</v>
      </c>
      <c r="C1371" t="s">
        <v>2725</v>
      </c>
      <c r="D1371" t="s">
        <v>2582</v>
      </c>
      <c r="E1371" t="s">
        <v>2193</v>
      </c>
      <c r="G1371" t="s">
        <v>4143</v>
      </c>
      <c r="H1371" t="s">
        <v>2193</v>
      </c>
      <c r="I1371" t="s">
        <v>3977</v>
      </c>
    </row>
    <row r="1372" spans="1:9">
      <c r="A1372" s="93" t="s">
        <v>4166</v>
      </c>
      <c r="B1372" t="s">
        <v>1872</v>
      </c>
      <c r="C1372" t="s">
        <v>2726</v>
      </c>
      <c r="D1372" t="s">
        <v>2591</v>
      </c>
      <c r="E1372" t="s">
        <v>108</v>
      </c>
      <c r="F1372" t="s">
        <v>2727</v>
      </c>
      <c r="G1372" t="s">
        <v>4143</v>
      </c>
      <c r="H1372" t="s">
        <v>108</v>
      </c>
      <c r="I1372" t="s">
        <v>3977</v>
      </c>
    </row>
    <row r="1373" spans="1:9">
      <c r="A1373" s="93" t="s">
        <v>4166</v>
      </c>
      <c r="B1373" t="s">
        <v>1872</v>
      </c>
      <c r="C1373" t="s">
        <v>2728</v>
      </c>
      <c r="D1373" t="s">
        <v>2545</v>
      </c>
      <c r="E1373" t="s">
        <v>2288</v>
      </c>
      <c r="F1373" t="s">
        <v>2729</v>
      </c>
      <c r="G1373" t="s">
        <v>4143</v>
      </c>
      <c r="H1373" t="s">
        <v>2288</v>
      </c>
      <c r="I1373" t="s">
        <v>3977</v>
      </c>
    </row>
    <row r="1374" spans="1:9">
      <c r="A1374" s="93" t="s">
        <v>4166</v>
      </c>
      <c r="B1374" t="s">
        <v>1872</v>
      </c>
      <c r="C1374" t="s">
        <v>2730</v>
      </c>
      <c r="D1374" t="s">
        <v>2545</v>
      </c>
      <c r="E1374" t="s">
        <v>2731</v>
      </c>
      <c r="F1374" t="s">
        <v>2732</v>
      </c>
      <c r="G1374" t="s">
        <v>4143</v>
      </c>
      <c r="H1374" t="s">
        <v>108</v>
      </c>
      <c r="I1374" t="s">
        <v>3977</v>
      </c>
    </row>
    <row r="1375" spans="1:9">
      <c r="A1375" s="93" t="s">
        <v>4166</v>
      </c>
      <c r="B1375" t="s">
        <v>1872</v>
      </c>
      <c r="C1375" t="s">
        <v>2733</v>
      </c>
      <c r="D1375" t="s">
        <v>2591</v>
      </c>
      <c r="E1375" t="s">
        <v>2288</v>
      </c>
      <c r="F1375" t="s">
        <v>2734</v>
      </c>
      <c r="G1375" t="s">
        <v>4143</v>
      </c>
      <c r="H1375" t="s">
        <v>2288</v>
      </c>
      <c r="I1375" t="s">
        <v>3977</v>
      </c>
    </row>
    <row r="1376" spans="1:9">
      <c r="A1376" s="93" t="s">
        <v>4166</v>
      </c>
      <c r="B1376" t="s">
        <v>1873</v>
      </c>
      <c r="C1376" t="s">
        <v>2546</v>
      </c>
      <c r="D1376" t="s">
        <v>2546</v>
      </c>
      <c r="E1376" t="s">
        <v>2135</v>
      </c>
      <c r="F1376" t="s">
        <v>2580</v>
      </c>
      <c r="G1376" t="s">
        <v>4139</v>
      </c>
      <c r="H1376" t="s">
        <v>2136</v>
      </c>
      <c r="I1376" t="s">
        <v>3981</v>
      </c>
    </row>
    <row r="1377" spans="1:9">
      <c r="A1377" s="93" t="s">
        <v>4166</v>
      </c>
      <c r="B1377" t="s">
        <v>1873</v>
      </c>
      <c r="C1377" t="s">
        <v>2736</v>
      </c>
      <c r="D1377" t="s">
        <v>2579</v>
      </c>
      <c r="E1377" t="s">
        <v>2737</v>
      </c>
      <c r="F1377" t="s">
        <v>2739</v>
      </c>
      <c r="G1377" t="s">
        <v>4139</v>
      </c>
      <c r="H1377" t="s">
        <v>2288</v>
      </c>
      <c r="I1377" t="s">
        <v>3981</v>
      </c>
    </row>
    <row r="1378" spans="1:9">
      <c r="A1378" s="93" t="s">
        <v>4166</v>
      </c>
      <c r="B1378" t="s">
        <v>1873</v>
      </c>
      <c r="C1378" t="s">
        <v>2740</v>
      </c>
      <c r="D1378" t="s">
        <v>2559</v>
      </c>
      <c r="E1378" t="s">
        <v>2741</v>
      </c>
      <c r="F1378" t="s">
        <v>2742</v>
      </c>
      <c r="G1378" t="s">
        <v>4143</v>
      </c>
      <c r="H1378" t="s">
        <v>108</v>
      </c>
      <c r="I1378" t="s">
        <v>3981</v>
      </c>
    </row>
    <row r="1379" spans="1:9">
      <c r="A1379" s="93" t="s">
        <v>4166</v>
      </c>
      <c r="B1379" t="s">
        <v>1873</v>
      </c>
      <c r="C1379" t="s">
        <v>2743</v>
      </c>
      <c r="D1379" t="s">
        <v>2571</v>
      </c>
      <c r="E1379" t="s">
        <v>2744</v>
      </c>
      <c r="F1379" t="s">
        <v>2745</v>
      </c>
      <c r="G1379" t="s">
        <v>4143</v>
      </c>
      <c r="H1379" t="s">
        <v>2288</v>
      </c>
      <c r="I1379" t="s">
        <v>3981</v>
      </c>
    </row>
    <row r="1380" spans="1:9">
      <c r="A1380" s="93" t="s">
        <v>4166</v>
      </c>
      <c r="B1380" t="s">
        <v>1873</v>
      </c>
      <c r="C1380" t="s">
        <v>2746</v>
      </c>
      <c r="D1380" t="s">
        <v>2571</v>
      </c>
      <c r="E1380" t="s">
        <v>2744</v>
      </c>
      <c r="F1380" t="s">
        <v>2745</v>
      </c>
      <c r="G1380" t="s">
        <v>4143</v>
      </c>
      <c r="H1380" t="s">
        <v>2288</v>
      </c>
      <c r="I1380" t="s">
        <v>3981</v>
      </c>
    </row>
    <row r="1381" spans="1:9">
      <c r="A1381" s="93" t="s">
        <v>4166</v>
      </c>
      <c r="B1381" t="s">
        <v>1873</v>
      </c>
      <c r="C1381" t="s">
        <v>2747</v>
      </c>
      <c r="D1381" t="s">
        <v>2533</v>
      </c>
      <c r="E1381" t="s">
        <v>2288</v>
      </c>
      <c r="F1381" t="s">
        <v>2748</v>
      </c>
      <c r="G1381" t="s">
        <v>4143</v>
      </c>
      <c r="H1381" t="s">
        <v>2288</v>
      </c>
      <c r="I1381" t="s">
        <v>3981</v>
      </c>
    </row>
    <row r="1382" spans="1:9">
      <c r="A1382" s="93" t="s">
        <v>4166</v>
      </c>
      <c r="B1382" t="s">
        <v>1873</v>
      </c>
      <c r="C1382" t="s">
        <v>2749</v>
      </c>
      <c r="D1382" t="s">
        <v>2579</v>
      </c>
      <c r="E1382" t="s">
        <v>2288</v>
      </c>
      <c r="F1382" t="s">
        <v>2750</v>
      </c>
      <c r="G1382" t="s">
        <v>4143</v>
      </c>
      <c r="H1382" t="s">
        <v>2288</v>
      </c>
      <c r="I1382" t="s">
        <v>3981</v>
      </c>
    </row>
    <row r="1383" spans="1:9">
      <c r="A1383" s="93" t="s">
        <v>4166</v>
      </c>
      <c r="B1383" t="s">
        <v>1873</v>
      </c>
      <c r="C1383" t="s">
        <v>2751</v>
      </c>
      <c r="D1383" t="s">
        <v>2571</v>
      </c>
      <c r="E1383" t="s">
        <v>2288</v>
      </c>
      <c r="F1383" t="s">
        <v>2752</v>
      </c>
      <c r="G1383" t="s">
        <v>4143</v>
      </c>
      <c r="H1383" t="s">
        <v>2288</v>
      </c>
      <c r="I1383" t="s">
        <v>3981</v>
      </c>
    </row>
    <row r="1384" spans="1:9">
      <c r="A1384" s="93" t="s">
        <v>4166</v>
      </c>
      <c r="B1384" t="s">
        <v>1873</v>
      </c>
      <c r="C1384" t="s">
        <v>2753</v>
      </c>
      <c r="D1384" t="s">
        <v>2537</v>
      </c>
      <c r="E1384" t="s">
        <v>2288</v>
      </c>
      <c r="F1384" t="s">
        <v>2754</v>
      </c>
      <c r="G1384" t="s">
        <v>4143</v>
      </c>
      <c r="H1384" t="s">
        <v>2288</v>
      </c>
      <c r="I1384" t="s">
        <v>3981</v>
      </c>
    </row>
    <row r="1385" spans="1:9">
      <c r="A1385" s="93" t="s">
        <v>4166</v>
      </c>
      <c r="B1385" t="s">
        <v>1873</v>
      </c>
      <c r="C1385" t="s">
        <v>2755</v>
      </c>
      <c r="D1385" t="s">
        <v>2579</v>
      </c>
      <c r="E1385" t="s">
        <v>2288</v>
      </c>
      <c r="F1385" t="s">
        <v>2756</v>
      </c>
      <c r="G1385" t="s">
        <v>4143</v>
      </c>
      <c r="H1385" t="s">
        <v>2288</v>
      </c>
      <c r="I1385" t="s">
        <v>3981</v>
      </c>
    </row>
    <row r="1386" spans="1:9">
      <c r="A1386" s="93" t="s">
        <v>4166</v>
      </c>
      <c r="B1386" t="s">
        <v>1873</v>
      </c>
      <c r="C1386" t="s">
        <v>2757</v>
      </c>
      <c r="D1386" t="s">
        <v>2619</v>
      </c>
      <c r="E1386" t="s">
        <v>2288</v>
      </c>
      <c r="F1386" t="s">
        <v>2758</v>
      </c>
      <c r="G1386" t="s">
        <v>4143</v>
      </c>
      <c r="H1386" t="s">
        <v>2288</v>
      </c>
      <c r="I1386" t="s">
        <v>3981</v>
      </c>
    </row>
    <row r="1387" spans="1:9">
      <c r="A1387" s="93" t="s">
        <v>4166</v>
      </c>
      <c r="B1387" t="s">
        <v>1873</v>
      </c>
      <c r="C1387" t="s">
        <v>2759</v>
      </c>
      <c r="D1387" t="s">
        <v>2537</v>
      </c>
      <c r="E1387" t="s">
        <v>2288</v>
      </c>
      <c r="F1387" t="s">
        <v>2760</v>
      </c>
      <c r="G1387" t="s">
        <v>4143</v>
      </c>
      <c r="H1387" t="s">
        <v>2288</v>
      </c>
      <c r="I1387" t="s">
        <v>3981</v>
      </c>
    </row>
    <row r="1388" spans="1:9">
      <c r="A1388" s="93" t="s">
        <v>4166</v>
      </c>
      <c r="B1388" t="s">
        <v>1873</v>
      </c>
      <c r="C1388" t="s">
        <v>2761</v>
      </c>
      <c r="D1388" t="s">
        <v>2582</v>
      </c>
      <c r="E1388" t="s">
        <v>2762</v>
      </c>
      <c r="F1388" t="s">
        <v>2763</v>
      </c>
      <c r="G1388" t="s">
        <v>4143</v>
      </c>
      <c r="H1388" t="s">
        <v>108</v>
      </c>
      <c r="I1388" t="s">
        <v>3981</v>
      </c>
    </row>
    <row r="1389" spans="1:9">
      <c r="A1389" s="93" t="s">
        <v>4166</v>
      </c>
      <c r="B1389" t="s">
        <v>1873</v>
      </c>
      <c r="C1389" t="s">
        <v>2765</v>
      </c>
      <c r="D1389" t="s">
        <v>2563</v>
      </c>
      <c r="E1389" t="s">
        <v>2288</v>
      </c>
      <c r="F1389" t="s">
        <v>2712</v>
      </c>
      <c r="G1389" t="s">
        <v>4143</v>
      </c>
      <c r="H1389" t="s">
        <v>2288</v>
      </c>
      <c r="I1389" t="s">
        <v>3981</v>
      </c>
    </row>
    <row r="1390" spans="1:9">
      <c r="A1390" s="93" t="s">
        <v>4166</v>
      </c>
      <c r="B1390" t="s">
        <v>1874</v>
      </c>
      <c r="C1390" t="s">
        <v>2114</v>
      </c>
      <c r="D1390" t="s">
        <v>2115</v>
      </c>
      <c r="E1390" t="s">
        <v>1559</v>
      </c>
      <c r="F1390" t="s">
        <v>2117</v>
      </c>
      <c r="G1390" t="s">
        <v>4143</v>
      </c>
      <c r="H1390" t="s">
        <v>108</v>
      </c>
      <c r="I1390" t="s">
        <v>3984</v>
      </c>
    </row>
    <row r="1391" spans="1:9">
      <c r="A1391" s="93" t="s">
        <v>4166</v>
      </c>
      <c r="B1391" t="s">
        <v>1874</v>
      </c>
      <c r="C1391" t="s">
        <v>2118</v>
      </c>
      <c r="E1391" t="s">
        <v>2119</v>
      </c>
      <c r="G1391" t="s">
        <v>4143</v>
      </c>
      <c r="H1391" t="s">
        <v>108</v>
      </c>
      <c r="I1391" t="s">
        <v>3984</v>
      </c>
    </row>
    <row r="1392" spans="1:9">
      <c r="A1392" s="93" t="s">
        <v>4166</v>
      </c>
      <c r="B1392" t="s">
        <v>1874</v>
      </c>
      <c r="C1392" t="s">
        <v>2121</v>
      </c>
      <c r="D1392" t="s">
        <v>2122</v>
      </c>
      <c r="E1392" t="s">
        <v>108</v>
      </c>
      <c r="G1392" t="s">
        <v>4143</v>
      </c>
      <c r="H1392" t="s">
        <v>108</v>
      </c>
      <c r="I1392" t="s">
        <v>3984</v>
      </c>
    </row>
    <row r="1393" spans="1:9">
      <c r="A1393" s="93" t="s">
        <v>4166</v>
      </c>
      <c r="B1393" t="s">
        <v>1874</v>
      </c>
      <c r="C1393" t="s">
        <v>2123</v>
      </c>
      <c r="D1393" t="s">
        <v>2124</v>
      </c>
      <c r="E1393" t="s">
        <v>108</v>
      </c>
      <c r="F1393" t="s">
        <v>2125</v>
      </c>
      <c r="G1393" t="s">
        <v>4143</v>
      </c>
      <c r="H1393" t="s">
        <v>108</v>
      </c>
      <c r="I1393" t="s">
        <v>3984</v>
      </c>
    </row>
    <row r="1394" spans="1:9">
      <c r="A1394" s="93" t="s">
        <v>4166</v>
      </c>
      <c r="B1394" t="s">
        <v>1874</v>
      </c>
      <c r="C1394" t="s">
        <v>2126</v>
      </c>
      <c r="E1394" t="s">
        <v>108</v>
      </c>
      <c r="G1394" t="s">
        <v>4143</v>
      </c>
      <c r="H1394" t="s">
        <v>108</v>
      </c>
      <c r="I1394" t="s">
        <v>3984</v>
      </c>
    </row>
    <row r="1395" spans="1:9">
      <c r="A1395" s="93" t="s">
        <v>4166</v>
      </c>
      <c r="B1395" t="s">
        <v>1875</v>
      </c>
      <c r="C1395" t="s">
        <v>2128</v>
      </c>
      <c r="D1395" t="s">
        <v>2129</v>
      </c>
      <c r="E1395" t="s">
        <v>108</v>
      </c>
      <c r="G1395" t="s">
        <v>4143</v>
      </c>
      <c r="H1395" t="s">
        <v>108</v>
      </c>
      <c r="I1395" t="s">
        <v>3988</v>
      </c>
    </row>
    <row r="1396" spans="1:9">
      <c r="A1396" s="93" t="s">
        <v>4166</v>
      </c>
      <c r="B1396" t="s">
        <v>1875</v>
      </c>
      <c r="C1396" t="s">
        <v>2130</v>
      </c>
      <c r="D1396" t="s">
        <v>2131</v>
      </c>
      <c r="E1396" t="s">
        <v>108</v>
      </c>
      <c r="F1396" t="s">
        <v>2132</v>
      </c>
      <c r="G1396" t="s">
        <v>4143</v>
      </c>
      <c r="H1396" t="s">
        <v>108</v>
      </c>
      <c r="I1396" t="s">
        <v>3988</v>
      </c>
    </row>
    <row r="1397" spans="1:9">
      <c r="A1397" s="93" t="s">
        <v>4166</v>
      </c>
      <c r="B1397" t="s">
        <v>1875</v>
      </c>
      <c r="C1397" t="s">
        <v>2133</v>
      </c>
      <c r="D1397" t="s">
        <v>2131</v>
      </c>
      <c r="E1397" t="s">
        <v>108</v>
      </c>
      <c r="G1397" t="s">
        <v>4143</v>
      </c>
      <c r="H1397" t="s">
        <v>108</v>
      </c>
      <c r="I1397" t="s">
        <v>3988</v>
      </c>
    </row>
    <row r="1398" spans="1:9">
      <c r="A1398" s="93" t="s">
        <v>4166</v>
      </c>
      <c r="B1398" t="s">
        <v>1875</v>
      </c>
      <c r="C1398" t="s">
        <v>2134</v>
      </c>
      <c r="E1398" t="s">
        <v>2135</v>
      </c>
      <c r="F1398" t="s">
        <v>2137</v>
      </c>
      <c r="G1398" t="s">
        <v>4139</v>
      </c>
      <c r="H1398" t="s">
        <v>2136</v>
      </c>
      <c r="I1398" t="s">
        <v>3988</v>
      </c>
    </row>
    <row r="1399" spans="1:9">
      <c r="A1399" s="93" t="s">
        <v>4166</v>
      </c>
      <c r="B1399" t="s">
        <v>1875</v>
      </c>
      <c r="C1399" t="s">
        <v>2138</v>
      </c>
      <c r="D1399" t="s">
        <v>2139</v>
      </c>
      <c r="E1399" t="s">
        <v>108</v>
      </c>
      <c r="F1399" t="s">
        <v>2140</v>
      </c>
      <c r="G1399" t="s">
        <v>4143</v>
      </c>
      <c r="H1399" t="s">
        <v>108</v>
      </c>
      <c r="I1399" t="s">
        <v>3988</v>
      </c>
    </row>
    <row r="1400" spans="1:9">
      <c r="A1400" s="93" t="s">
        <v>4166</v>
      </c>
      <c r="B1400" t="s">
        <v>3697</v>
      </c>
      <c r="C1400" t="s">
        <v>2142</v>
      </c>
      <c r="D1400" t="s">
        <v>2143</v>
      </c>
      <c r="E1400" t="s">
        <v>108</v>
      </c>
      <c r="G1400" t="s">
        <v>4143</v>
      </c>
      <c r="H1400" t="s">
        <v>108</v>
      </c>
      <c r="I1400" t="s">
        <v>3992</v>
      </c>
    </row>
    <row r="1401" spans="1:9">
      <c r="A1401" s="93" t="s">
        <v>4166</v>
      </c>
      <c r="B1401" t="s">
        <v>3697</v>
      </c>
      <c r="C1401" t="s">
        <v>2144</v>
      </c>
      <c r="D1401" t="s">
        <v>2143</v>
      </c>
      <c r="E1401" t="s">
        <v>2145</v>
      </c>
      <c r="G1401" t="s">
        <v>4143</v>
      </c>
      <c r="H1401" t="s">
        <v>108</v>
      </c>
      <c r="I1401" t="s">
        <v>3992</v>
      </c>
    </row>
    <row r="1402" spans="1:9">
      <c r="A1402" s="93" t="s">
        <v>4166</v>
      </c>
      <c r="B1402" t="s">
        <v>3697</v>
      </c>
      <c r="C1402" t="s">
        <v>2146</v>
      </c>
      <c r="D1402" t="s">
        <v>2143</v>
      </c>
      <c r="E1402" t="s">
        <v>2147</v>
      </c>
      <c r="F1402" t="s">
        <v>2148</v>
      </c>
      <c r="G1402" t="s">
        <v>4143</v>
      </c>
      <c r="H1402" t="s">
        <v>108</v>
      </c>
      <c r="I1402" t="s">
        <v>3992</v>
      </c>
    </row>
    <row r="1403" spans="1:9">
      <c r="A1403" s="93" t="s">
        <v>4166</v>
      </c>
      <c r="B1403" t="s">
        <v>3697</v>
      </c>
      <c r="C1403" t="s">
        <v>2149</v>
      </c>
      <c r="D1403" t="s">
        <v>2143</v>
      </c>
      <c r="E1403" t="s">
        <v>108</v>
      </c>
      <c r="G1403" t="s">
        <v>4143</v>
      </c>
      <c r="H1403" t="s">
        <v>108</v>
      </c>
      <c r="I1403" t="s">
        <v>3992</v>
      </c>
    </row>
    <row r="1404" spans="1:9">
      <c r="A1404" s="93" t="s">
        <v>4166</v>
      </c>
      <c r="B1404" t="s">
        <v>1881</v>
      </c>
      <c r="C1404" t="s">
        <v>2151</v>
      </c>
      <c r="D1404" t="s">
        <v>2152</v>
      </c>
      <c r="E1404" t="s">
        <v>2153</v>
      </c>
      <c r="G1404" t="s">
        <v>4143</v>
      </c>
      <c r="H1404" t="s">
        <v>108</v>
      </c>
      <c r="I1404" t="s">
        <v>3996</v>
      </c>
    </row>
    <row r="1405" spans="1:9">
      <c r="A1405" s="93" t="s">
        <v>4166</v>
      </c>
      <c r="B1405" t="s">
        <v>1881</v>
      </c>
      <c r="C1405" t="s">
        <v>2154</v>
      </c>
      <c r="D1405" t="s">
        <v>2155</v>
      </c>
      <c r="E1405" t="s">
        <v>108</v>
      </c>
      <c r="G1405" t="s">
        <v>4143</v>
      </c>
      <c r="H1405" t="s">
        <v>108</v>
      </c>
      <c r="I1405" t="s">
        <v>3996</v>
      </c>
    </row>
    <row r="1406" spans="1:9">
      <c r="A1406" s="93" t="s">
        <v>4166</v>
      </c>
      <c r="B1406" t="s">
        <v>1881</v>
      </c>
      <c r="C1406" t="s">
        <v>2156</v>
      </c>
      <c r="D1406" t="s">
        <v>2152</v>
      </c>
      <c r="E1406" t="s">
        <v>2157</v>
      </c>
      <c r="G1406" t="s">
        <v>4143</v>
      </c>
      <c r="H1406" t="s">
        <v>108</v>
      </c>
      <c r="I1406" t="s">
        <v>3996</v>
      </c>
    </row>
    <row r="1407" spans="1:9">
      <c r="A1407" s="93" t="s">
        <v>4166</v>
      </c>
      <c r="B1407" t="s">
        <v>1881</v>
      </c>
      <c r="C1407" t="s">
        <v>2158</v>
      </c>
      <c r="D1407" t="s">
        <v>2155</v>
      </c>
      <c r="E1407" t="s">
        <v>2159</v>
      </c>
      <c r="F1407" t="s">
        <v>2160</v>
      </c>
      <c r="G1407" t="s">
        <v>4143</v>
      </c>
      <c r="H1407" t="s">
        <v>108</v>
      </c>
      <c r="I1407" t="s">
        <v>3996</v>
      </c>
    </row>
    <row r="1408" spans="1:9">
      <c r="A1408" s="93" t="s">
        <v>4166</v>
      </c>
      <c r="B1408" t="s">
        <v>1881</v>
      </c>
      <c r="C1408" t="s">
        <v>2161</v>
      </c>
      <c r="D1408" t="s">
        <v>2162</v>
      </c>
      <c r="E1408" t="s">
        <v>108</v>
      </c>
      <c r="F1408" t="s">
        <v>2163</v>
      </c>
      <c r="G1408" t="s">
        <v>4143</v>
      </c>
      <c r="H1408" t="s">
        <v>108</v>
      </c>
      <c r="I1408" t="s">
        <v>3996</v>
      </c>
    </row>
    <row r="1409" spans="1:9">
      <c r="A1409" s="93" t="s">
        <v>4166</v>
      </c>
      <c r="B1409" t="s">
        <v>1881</v>
      </c>
      <c r="C1409" t="s">
        <v>2164</v>
      </c>
      <c r="D1409" t="s">
        <v>2162</v>
      </c>
      <c r="E1409" t="s">
        <v>108</v>
      </c>
      <c r="G1409" t="s">
        <v>4143</v>
      </c>
      <c r="H1409" t="s">
        <v>108</v>
      </c>
      <c r="I1409" t="s">
        <v>3996</v>
      </c>
    </row>
    <row r="1410" spans="1:9">
      <c r="A1410" s="93" t="s">
        <v>4166</v>
      </c>
      <c r="B1410" t="s">
        <v>1882</v>
      </c>
      <c r="C1410" t="s">
        <v>2166</v>
      </c>
      <c r="D1410" t="s">
        <v>2167</v>
      </c>
      <c r="E1410" t="s">
        <v>108</v>
      </c>
      <c r="F1410" t="s">
        <v>2168</v>
      </c>
      <c r="G1410" t="s">
        <v>4143</v>
      </c>
      <c r="H1410" t="s">
        <v>108</v>
      </c>
      <c r="I1410" t="s">
        <v>4000</v>
      </c>
    </row>
    <row r="1411" spans="1:9">
      <c r="A1411" s="93" t="s">
        <v>4166</v>
      </c>
      <c r="B1411" t="s">
        <v>1882</v>
      </c>
      <c r="C1411" t="s">
        <v>2169</v>
      </c>
      <c r="D1411" t="s">
        <v>2129</v>
      </c>
      <c r="E1411" t="s">
        <v>2170</v>
      </c>
      <c r="G1411" t="s">
        <v>4139</v>
      </c>
      <c r="H1411" t="s">
        <v>2136</v>
      </c>
      <c r="I1411" t="s">
        <v>4000</v>
      </c>
    </row>
    <row r="1412" spans="1:9">
      <c r="A1412" s="93" t="s">
        <v>4166</v>
      </c>
      <c r="B1412" t="s">
        <v>1882</v>
      </c>
      <c r="C1412" t="s">
        <v>2171</v>
      </c>
      <c r="D1412" t="s">
        <v>2129</v>
      </c>
      <c r="E1412" t="s">
        <v>2135</v>
      </c>
      <c r="G1412" t="s">
        <v>4139</v>
      </c>
      <c r="H1412" t="s">
        <v>2136</v>
      </c>
      <c r="I1412" t="s">
        <v>4000</v>
      </c>
    </row>
    <row r="1413" spans="1:9">
      <c r="A1413" s="93" t="s">
        <v>4166</v>
      </c>
      <c r="B1413" t="s">
        <v>1882</v>
      </c>
      <c r="C1413" t="s">
        <v>2172</v>
      </c>
      <c r="D1413" t="s">
        <v>2129</v>
      </c>
      <c r="E1413" t="s">
        <v>2135</v>
      </c>
      <c r="G1413" t="s">
        <v>4139</v>
      </c>
      <c r="H1413" t="s">
        <v>2136</v>
      </c>
      <c r="I1413" t="s">
        <v>4000</v>
      </c>
    </row>
    <row r="1414" spans="1:9">
      <c r="A1414" s="93" t="s">
        <v>4166</v>
      </c>
      <c r="B1414" t="s">
        <v>1882</v>
      </c>
      <c r="C1414" t="s">
        <v>2173</v>
      </c>
      <c r="D1414" t="s">
        <v>2174</v>
      </c>
      <c r="E1414" t="s">
        <v>2135</v>
      </c>
      <c r="G1414" t="s">
        <v>4139</v>
      </c>
      <c r="H1414" t="s">
        <v>2136</v>
      </c>
      <c r="I1414" t="s">
        <v>4000</v>
      </c>
    </row>
    <row r="1415" spans="1:9">
      <c r="A1415" s="93" t="s">
        <v>4166</v>
      </c>
      <c r="B1415" t="s">
        <v>1882</v>
      </c>
      <c r="C1415" t="s">
        <v>2175</v>
      </c>
      <c r="E1415" t="s">
        <v>2135</v>
      </c>
      <c r="G1415" t="s">
        <v>4139</v>
      </c>
      <c r="H1415" t="s">
        <v>2136</v>
      </c>
      <c r="I1415" t="s">
        <v>4000</v>
      </c>
    </row>
    <row r="1416" spans="1:9">
      <c r="A1416" s="93" t="s">
        <v>4166</v>
      </c>
      <c r="B1416" t="s">
        <v>1882</v>
      </c>
      <c r="C1416" t="s">
        <v>2176</v>
      </c>
      <c r="E1416" t="s">
        <v>2135</v>
      </c>
      <c r="G1416" t="s">
        <v>4139</v>
      </c>
      <c r="H1416" t="s">
        <v>2136</v>
      </c>
      <c r="I1416" t="s">
        <v>4000</v>
      </c>
    </row>
    <row r="1417" spans="1:9">
      <c r="A1417" s="93" t="s">
        <v>4166</v>
      </c>
      <c r="B1417" t="s">
        <v>1882</v>
      </c>
      <c r="C1417" t="s">
        <v>2177</v>
      </c>
      <c r="E1417" t="s">
        <v>2135</v>
      </c>
      <c r="G1417" t="s">
        <v>4139</v>
      </c>
      <c r="H1417" t="s">
        <v>2136</v>
      </c>
      <c r="I1417" t="s">
        <v>4000</v>
      </c>
    </row>
    <row r="1418" spans="1:9">
      <c r="A1418" s="93" t="s">
        <v>4166</v>
      </c>
      <c r="B1418" t="s">
        <v>1884</v>
      </c>
      <c r="C1418" t="s">
        <v>2179</v>
      </c>
      <c r="D1418" t="s">
        <v>2180</v>
      </c>
      <c r="E1418" t="s">
        <v>108</v>
      </c>
      <c r="G1418" t="s">
        <v>4143</v>
      </c>
      <c r="H1418" t="s">
        <v>108</v>
      </c>
      <c r="I1418" t="s">
        <v>4002</v>
      </c>
    </row>
    <row r="1419" spans="1:9">
      <c r="A1419" s="93" t="s">
        <v>4166</v>
      </c>
      <c r="B1419" t="s">
        <v>1884</v>
      </c>
      <c r="C1419" t="s">
        <v>2181</v>
      </c>
      <c r="D1419" t="s">
        <v>2182</v>
      </c>
      <c r="E1419" t="s">
        <v>108</v>
      </c>
      <c r="G1419" t="s">
        <v>4143</v>
      </c>
      <c r="H1419" t="s">
        <v>108</v>
      </c>
      <c r="I1419" t="s">
        <v>4002</v>
      </c>
    </row>
    <row r="1420" spans="1:9">
      <c r="A1420" s="93" t="s">
        <v>4166</v>
      </c>
      <c r="B1420" t="s">
        <v>1884</v>
      </c>
      <c r="C1420" t="s">
        <v>2183</v>
      </c>
      <c r="D1420" t="s">
        <v>2182</v>
      </c>
      <c r="E1420" t="s">
        <v>2184</v>
      </c>
      <c r="F1420" t="s">
        <v>2185</v>
      </c>
      <c r="G1420" t="s">
        <v>4143</v>
      </c>
      <c r="H1420" t="s">
        <v>108</v>
      </c>
      <c r="I1420" t="s">
        <v>4002</v>
      </c>
    </row>
    <row r="1421" spans="1:9">
      <c r="A1421" s="93" t="s">
        <v>4166</v>
      </c>
      <c r="B1421" t="s">
        <v>1884</v>
      </c>
      <c r="C1421" t="s">
        <v>2186</v>
      </c>
      <c r="D1421" t="s">
        <v>2187</v>
      </c>
      <c r="E1421" t="s">
        <v>108</v>
      </c>
      <c r="G1421" t="s">
        <v>4143</v>
      </c>
      <c r="H1421" t="s">
        <v>108</v>
      </c>
      <c r="I1421" t="s">
        <v>4002</v>
      </c>
    </row>
    <row r="1422" spans="1:9">
      <c r="A1422" s="93" t="s">
        <v>4166</v>
      </c>
      <c r="B1422" t="s">
        <v>1884</v>
      </c>
      <c r="C1422" t="s">
        <v>2188</v>
      </c>
      <c r="E1422" t="s">
        <v>2189</v>
      </c>
      <c r="G1422" t="s">
        <v>4143</v>
      </c>
      <c r="H1422" t="s">
        <v>108</v>
      </c>
      <c r="I1422" t="s">
        <v>4002</v>
      </c>
    </row>
    <row r="1423" spans="1:9">
      <c r="A1423" s="93" t="s">
        <v>4166</v>
      </c>
      <c r="B1423" t="s">
        <v>1884</v>
      </c>
      <c r="C1423" t="s">
        <v>2190</v>
      </c>
      <c r="E1423" t="s">
        <v>2135</v>
      </c>
      <c r="G1423" t="s">
        <v>4139</v>
      </c>
      <c r="H1423" t="s">
        <v>2136</v>
      </c>
      <c r="I1423" t="s">
        <v>4002</v>
      </c>
    </row>
    <row r="1424" spans="1:9">
      <c r="A1424" s="93" t="s">
        <v>4166</v>
      </c>
      <c r="B1424" t="s">
        <v>1884</v>
      </c>
      <c r="C1424" t="s">
        <v>2191</v>
      </c>
      <c r="E1424" t="s">
        <v>2135</v>
      </c>
      <c r="G1424" t="s">
        <v>4139</v>
      </c>
      <c r="H1424" t="s">
        <v>2136</v>
      </c>
      <c r="I1424" t="s">
        <v>4002</v>
      </c>
    </row>
    <row r="1425" spans="1:9">
      <c r="A1425" s="93" t="s">
        <v>4166</v>
      </c>
      <c r="B1425" t="s">
        <v>1884</v>
      </c>
      <c r="C1425" t="s">
        <v>2192</v>
      </c>
      <c r="D1425" t="s">
        <v>2182</v>
      </c>
      <c r="E1425" t="s">
        <v>2193</v>
      </c>
      <c r="G1425" t="s">
        <v>4143</v>
      </c>
      <c r="H1425" t="s">
        <v>2193</v>
      </c>
      <c r="I1425" t="s">
        <v>4002</v>
      </c>
    </row>
    <row r="1426" spans="1:9">
      <c r="A1426" s="93" t="s">
        <v>4166</v>
      </c>
      <c r="B1426" t="s">
        <v>1884</v>
      </c>
      <c r="C1426" t="s">
        <v>2194</v>
      </c>
      <c r="D1426" t="s">
        <v>2187</v>
      </c>
      <c r="E1426" t="s">
        <v>108</v>
      </c>
      <c r="G1426" t="s">
        <v>4143</v>
      </c>
      <c r="H1426" t="s">
        <v>108</v>
      </c>
      <c r="I1426" t="s">
        <v>4002</v>
      </c>
    </row>
    <row r="1427" spans="1:9">
      <c r="A1427" s="93" t="s">
        <v>4166</v>
      </c>
      <c r="B1427" t="s">
        <v>1889</v>
      </c>
      <c r="C1427" t="s">
        <v>2196</v>
      </c>
      <c r="E1427" t="s">
        <v>2193</v>
      </c>
      <c r="G1427" t="s">
        <v>4143</v>
      </c>
      <c r="H1427" t="s">
        <v>2193</v>
      </c>
      <c r="I1427" t="s">
        <v>4004</v>
      </c>
    </row>
    <row r="1428" spans="1:9">
      <c r="A1428" s="93" t="s">
        <v>4166</v>
      </c>
      <c r="B1428" t="s">
        <v>1889</v>
      </c>
      <c r="C1428" t="s">
        <v>2197</v>
      </c>
      <c r="E1428" t="s">
        <v>2193</v>
      </c>
      <c r="G1428" t="s">
        <v>4143</v>
      </c>
      <c r="H1428" t="s">
        <v>2193</v>
      </c>
      <c r="I1428" t="s">
        <v>4004</v>
      </c>
    </row>
    <row r="1429" spans="1:9">
      <c r="A1429" s="93" t="s">
        <v>4166</v>
      </c>
      <c r="B1429" t="s">
        <v>1889</v>
      </c>
      <c r="C1429" t="s">
        <v>2198</v>
      </c>
      <c r="E1429" t="s">
        <v>2199</v>
      </c>
      <c r="G1429" t="s">
        <v>4143</v>
      </c>
      <c r="H1429" t="s">
        <v>2193</v>
      </c>
      <c r="I1429" t="s">
        <v>4004</v>
      </c>
    </row>
    <row r="1430" spans="1:9">
      <c r="A1430" s="93" t="s">
        <v>4166</v>
      </c>
      <c r="B1430" t="s">
        <v>1889</v>
      </c>
      <c r="C1430" t="s">
        <v>2200</v>
      </c>
      <c r="D1430" t="s">
        <v>2182</v>
      </c>
      <c r="E1430" t="s">
        <v>108</v>
      </c>
      <c r="G1430" t="s">
        <v>4143</v>
      </c>
      <c r="H1430" t="s">
        <v>108</v>
      </c>
      <c r="I1430" t="s">
        <v>4004</v>
      </c>
    </row>
    <row r="1431" spans="1:9">
      <c r="A1431" s="93" t="s">
        <v>4166</v>
      </c>
      <c r="B1431" t="s">
        <v>1889</v>
      </c>
      <c r="C1431" t="s">
        <v>2201</v>
      </c>
      <c r="D1431" t="s">
        <v>2182</v>
      </c>
      <c r="E1431" t="s">
        <v>108</v>
      </c>
      <c r="G1431" t="s">
        <v>4143</v>
      </c>
      <c r="H1431" t="s">
        <v>108</v>
      </c>
      <c r="I1431" t="s">
        <v>4004</v>
      </c>
    </row>
    <row r="1432" spans="1:9">
      <c r="A1432" s="93" t="s">
        <v>4166</v>
      </c>
      <c r="B1432" t="s">
        <v>1889</v>
      </c>
      <c r="C1432" t="s">
        <v>2202</v>
      </c>
      <c r="D1432" t="s">
        <v>2174</v>
      </c>
      <c r="E1432" t="s">
        <v>108</v>
      </c>
      <c r="G1432" t="s">
        <v>4143</v>
      </c>
      <c r="H1432" t="s">
        <v>108</v>
      </c>
      <c r="I1432" t="s">
        <v>4004</v>
      </c>
    </row>
    <row r="1433" spans="1:9">
      <c r="A1433" s="93" t="s">
        <v>4166</v>
      </c>
      <c r="B1433" t="s">
        <v>1889</v>
      </c>
      <c r="C1433" t="s">
        <v>2203</v>
      </c>
      <c r="D1433" t="s">
        <v>2204</v>
      </c>
      <c r="E1433" t="s">
        <v>2193</v>
      </c>
      <c r="G1433" t="s">
        <v>4143</v>
      </c>
      <c r="H1433" t="s">
        <v>2193</v>
      </c>
      <c r="I1433" t="s">
        <v>4004</v>
      </c>
    </row>
    <row r="1434" spans="1:9">
      <c r="A1434" s="93" t="s">
        <v>4166</v>
      </c>
      <c r="B1434" t="s">
        <v>1889</v>
      </c>
      <c r="C1434" t="s">
        <v>2205</v>
      </c>
      <c r="D1434" t="s">
        <v>2204</v>
      </c>
      <c r="E1434" t="s">
        <v>2193</v>
      </c>
      <c r="G1434" t="s">
        <v>4143</v>
      </c>
      <c r="H1434" t="s">
        <v>2193</v>
      </c>
      <c r="I1434" t="s">
        <v>4004</v>
      </c>
    </row>
    <row r="1435" spans="1:9">
      <c r="A1435" s="93" t="s">
        <v>4166</v>
      </c>
      <c r="B1435" t="s">
        <v>1889</v>
      </c>
      <c r="C1435" t="s">
        <v>2206</v>
      </c>
      <c r="E1435" t="s">
        <v>2135</v>
      </c>
      <c r="G1435" t="s">
        <v>4139</v>
      </c>
      <c r="H1435" t="s">
        <v>2136</v>
      </c>
      <c r="I1435" t="s">
        <v>4004</v>
      </c>
    </row>
    <row r="1436" spans="1:9">
      <c r="A1436" s="93" t="s">
        <v>4166</v>
      </c>
      <c r="B1436" t="s">
        <v>1889</v>
      </c>
      <c r="C1436" t="s">
        <v>2207</v>
      </c>
      <c r="D1436" t="s">
        <v>2204</v>
      </c>
      <c r="E1436" t="s">
        <v>108</v>
      </c>
      <c r="F1436" t="s">
        <v>2208</v>
      </c>
      <c r="G1436" t="s">
        <v>4143</v>
      </c>
      <c r="H1436" t="s">
        <v>108</v>
      </c>
      <c r="I1436" t="s">
        <v>4004</v>
      </c>
    </row>
    <row r="1437" spans="1:9">
      <c r="A1437" s="93" t="s">
        <v>4166</v>
      </c>
      <c r="B1437" t="s">
        <v>1891</v>
      </c>
      <c r="C1437" t="s">
        <v>2210</v>
      </c>
      <c r="D1437" t="s">
        <v>2211</v>
      </c>
      <c r="E1437" t="s">
        <v>108</v>
      </c>
      <c r="G1437" t="s">
        <v>4143</v>
      </c>
      <c r="H1437" t="s">
        <v>108</v>
      </c>
      <c r="I1437" t="s">
        <v>4008</v>
      </c>
    </row>
    <row r="1438" spans="1:9">
      <c r="A1438" s="93" t="s">
        <v>4166</v>
      </c>
      <c r="B1438" t="s">
        <v>1891</v>
      </c>
      <c r="C1438" t="s">
        <v>2212</v>
      </c>
      <c r="D1438" t="s">
        <v>2213</v>
      </c>
      <c r="E1438" t="s">
        <v>108</v>
      </c>
      <c r="G1438" t="s">
        <v>4143</v>
      </c>
      <c r="H1438" t="s">
        <v>108</v>
      </c>
      <c r="I1438" t="s">
        <v>4008</v>
      </c>
    </row>
    <row r="1439" spans="1:9">
      <c r="A1439" s="93" t="s">
        <v>4166</v>
      </c>
      <c r="B1439" t="s">
        <v>1891</v>
      </c>
      <c r="C1439" t="s">
        <v>2214</v>
      </c>
      <c r="D1439" t="s">
        <v>2213</v>
      </c>
      <c r="E1439" t="s">
        <v>108</v>
      </c>
      <c r="G1439" t="s">
        <v>4143</v>
      </c>
      <c r="H1439" t="s">
        <v>108</v>
      </c>
      <c r="I1439" t="s">
        <v>4008</v>
      </c>
    </row>
    <row r="1440" spans="1:9">
      <c r="A1440" s="93" t="s">
        <v>4166</v>
      </c>
      <c r="B1440" t="s">
        <v>1893</v>
      </c>
      <c r="C1440" t="s">
        <v>2216</v>
      </c>
      <c r="D1440" t="s">
        <v>2217</v>
      </c>
      <c r="E1440" t="s">
        <v>2193</v>
      </c>
      <c r="F1440" t="s">
        <v>2218</v>
      </c>
      <c r="G1440" t="s">
        <v>4143</v>
      </c>
      <c r="H1440" t="s">
        <v>2193</v>
      </c>
      <c r="I1440" t="s">
        <v>4012</v>
      </c>
    </row>
    <row r="1441" spans="1:9">
      <c r="A1441" s="93" t="s">
        <v>4166</v>
      </c>
      <c r="B1441" t="s">
        <v>1893</v>
      </c>
      <c r="C1441" t="s">
        <v>2219</v>
      </c>
      <c r="D1441" t="s">
        <v>2220</v>
      </c>
      <c r="E1441" t="s">
        <v>108</v>
      </c>
      <c r="F1441" t="s">
        <v>2221</v>
      </c>
      <c r="G1441" t="s">
        <v>4143</v>
      </c>
      <c r="H1441" t="s">
        <v>108</v>
      </c>
      <c r="I1441" t="s">
        <v>4012</v>
      </c>
    </row>
    <row r="1442" spans="1:9">
      <c r="A1442" s="93" t="s">
        <v>4166</v>
      </c>
      <c r="B1442" t="s">
        <v>1893</v>
      </c>
      <c r="C1442" t="s">
        <v>2222</v>
      </c>
      <c r="D1442" t="s">
        <v>2223</v>
      </c>
      <c r="E1442" t="s">
        <v>108</v>
      </c>
      <c r="F1442" t="s">
        <v>2224</v>
      </c>
      <c r="G1442" t="s">
        <v>4143</v>
      </c>
      <c r="H1442" t="s">
        <v>108</v>
      </c>
      <c r="I1442" t="s">
        <v>4012</v>
      </c>
    </row>
    <row r="1443" spans="1:9">
      <c r="A1443" s="93" t="s">
        <v>4166</v>
      </c>
      <c r="B1443" t="s">
        <v>1893</v>
      </c>
      <c r="C1443" t="s">
        <v>2225</v>
      </c>
      <c r="D1443" t="s">
        <v>2226</v>
      </c>
      <c r="E1443" t="s">
        <v>108</v>
      </c>
      <c r="F1443" t="s">
        <v>2227</v>
      </c>
      <c r="G1443" t="s">
        <v>4143</v>
      </c>
      <c r="H1443" t="s">
        <v>108</v>
      </c>
      <c r="I1443" t="s">
        <v>4012</v>
      </c>
    </row>
    <row r="1444" spans="1:9">
      <c r="A1444" s="93" t="s">
        <v>4166</v>
      </c>
      <c r="B1444" t="s">
        <v>1893</v>
      </c>
      <c r="C1444" t="s">
        <v>2228</v>
      </c>
      <c r="E1444" t="s">
        <v>2135</v>
      </c>
      <c r="G1444" t="s">
        <v>4139</v>
      </c>
      <c r="H1444" t="s">
        <v>2136</v>
      </c>
      <c r="I1444" t="s">
        <v>4012</v>
      </c>
    </row>
    <row r="1445" spans="1:9">
      <c r="A1445" s="93" t="s">
        <v>4166</v>
      </c>
      <c r="B1445" t="s">
        <v>1896</v>
      </c>
      <c r="C1445" t="s">
        <v>2230</v>
      </c>
      <c r="D1445" t="s">
        <v>2220</v>
      </c>
      <c r="E1445" t="s">
        <v>108</v>
      </c>
      <c r="F1445" t="s">
        <v>2231</v>
      </c>
      <c r="G1445" t="s">
        <v>4143</v>
      </c>
      <c r="H1445" t="s">
        <v>108</v>
      </c>
      <c r="I1445" t="s">
        <v>4016</v>
      </c>
    </row>
    <row r="1446" spans="1:9">
      <c r="A1446" s="93" t="s">
        <v>4166</v>
      </c>
      <c r="B1446" t="s">
        <v>1896</v>
      </c>
      <c r="C1446" t="s">
        <v>2232</v>
      </c>
      <c r="D1446" t="s">
        <v>2220</v>
      </c>
      <c r="E1446" t="s">
        <v>108</v>
      </c>
      <c r="G1446" t="s">
        <v>4143</v>
      </c>
      <c r="H1446" t="s">
        <v>108</v>
      </c>
      <c r="I1446" t="s">
        <v>4016</v>
      </c>
    </row>
    <row r="1447" spans="1:9">
      <c r="A1447" s="93" t="s">
        <v>4166</v>
      </c>
      <c r="B1447" t="s">
        <v>1896</v>
      </c>
      <c r="C1447" t="s">
        <v>2233</v>
      </c>
      <c r="D1447" t="s">
        <v>2234</v>
      </c>
      <c r="E1447" t="s">
        <v>108</v>
      </c>
      <c r="F1447" t="s">
        <v>2235</v>
      </c>
      <c r="G1447" t="s">
        <v>4143</v>
      </c>
      <c r="H1447" t="s">
        <v>108</v>
      </c>
      <c r="I1447" t="s">
        <v>4016</v>
      </c>
    </row>
    <row r="1448" spans="1:9">
      <c r="A1448" s="93" t="s">
        <v>4166</v>
      </c>
      <c r="B1448" t="s">
        <v>1896</v>
      </c>
      <c r="C1448" t="s">
        <v>2236</v>
      </c>
      <c r="D1448" t="s">
        <v>2237</v>
      </c>
      <c r="E1448" t="s">
        <v>108</v>
      </c>
      <c r="F1448" t="s">
        <v>2231</v>
      </c>
      <c r="G1448" t="s">
        <v>4143</v>
      </c>
      <c r="H1448" t="s">
        <v>108</v>
      </c>
      <c r="I1448" t="s">
        <v>4016</v>
      </c>
    </row>
    <row r="1449" spans="1:9">
      <c r="A1449" s="93" t="s">
        <v>4166</v>
      </c>
      <c r="B1449" t="s">
        <v>1896</v>
      </c>
      <c r="C1449" t="s">
        <v>2238</v>
      </c>
      <c r="D1449" t="s">
        <v>2237</v>
      </c>
      <c r="E1449" t="s">
        <v>108</v>
      </c>
      <c r="F1449" t="s">
        <v>2239</v>
      </c>
      <c r="G1449" t="s">
        <v>4143</v>
      </c>
      <c r="H1449" t="s">
        <v>108</v>
      </c>
      <c r="I1449" t="s">
        <v>4016</v>
      </c>
    </row>
    <row r="1450" spans="1:9">
      <c r="A1450" s="93" t="s">
        <v>4166</v>
      </c>
      <c r="B1450" t="s">
        <v>1896</v>
      </c>
      <c r="C1450" t="s">
        <v>2240</v>
      </c>
      <c r="D1450" t="s">
        <v>2241</v>
      </c>
      <c r="E1450" t="s">
        <v>2193</v>
      </c>
      <c r="G1450" t="s">
        <v>4143</v>
      </c>
      <c r="H1450" t="s">
        <v>2193</v>
      </c>
      <c r="I1450" t="s">
        <v>4016</v>
      </c>
    </row>
    <row r="1451" spans="1:9">
      <c r="A1451" s="93" t="s">
        <v>4166</v>
      </c>
      <c r="B1451" t="s">
        <v>1896</v>
      </c>
      <c r="C1451" t="s">
        <v>2242</v>
      </c>
      <c r="D1451" t="s">
        <v>2220</v>
      </c>
      <c r="E1451" t="s">
        <v>2243</v>
      </c>
      <c r="F1451" t="s">
        <v>2244</v>
      </c>
      <c r="G1451" t="s">
        <v>4143</v>
      </c>
      <c r="H1451" t="s">
        <v>108</v>
      </c>
      <c r="I1451" t="s">
        <v>4016</v>
      </c>
    </row>
    <row r="1452" spans="1:9">
      <c r="A1452" s="93" t="s">
        <v>4166</v>
      </c>
      <c r="B1452" t="s">
        <v>1896</v>
      </c>
      <c r="C1452" t="s">
        <v>2245</v>
      </c>
      <c r="D1452" t="s">
        <v>2241</v>
      </c>
      <c r="E1452" t="s">
        <v>2246</v>
      </c>
      <c r="G1452" t="s">
        <v>4143</v>
      </c>
      <c r="H1452" t="s">
        <v>108</v>
      </c>
      <c r="I1452" t="s">
        <v>4016</v>
      </c>
    </row>
    <row r="1453" spans="1:9">
      <c r="A1453" s="93" t="s">
        <v>4166</v>
      </c>
      <c r="B1453" t="s">
        <v>1896</v>
      </c>
      <c r="C1453" t="s">
        <v>2247</v>
      </c>
      <c r="D1453" t="s">
        <v>2248</v>
      </c>
      <c r="E1453" t="s">
        <v>108</v>
      </c>
      <c r="F1453" t="s">
        <v>2249</v>
      </c>
      <c r="G1453" t="s">
        <v>4143</v>
      </c>
      <c r="H1453" t="s">
        <v>108</v>
      </c>
      <c r="I1453" t="s">
        <v>4016</v>
      </c>
    </row>
    <row r="1454" spans="1:9">
      <c r="A1454" s="93" t="s">
        <v>4166</v>
      </c>
      <c r="B1454" t="s">
        <v>1898</v>
      </c>
      <c r="C1454" t="s">
        <v>2251</v>
      </c>
      <c r="D1454" t="s">
        <v>2252</v>
      </c>
      <c r="E1454" t="s">
        <v>108</v>
      </c>
      <c r="G1454" t="s">
        <v>4143</v>
      </c>
      <c r="H1454" t="s">
        <v>108</v>
      </c>
      <c r="I1454" t="s">
        <v>4020</v>
      </c>
    </row>
    <row r="1455" spans="1:9">
      <c r="A1455" s="93" t="s">
        <v>4166</v>
      </c>
      <c r="B1455" t="s">
        <v>1898</v>
      </c>
      <c r="C1455" t="s">
        <v>2253</v>
      </c>
      <c r="D1455" t="s">
        <v>2252</v>
      </c>
      <c r="E1455" t="s">
        <v>2193</v>
      </c>
      <c r="F1455" t="s">
        <v>2254</v>
      </c>
      <c r="G1455" t="s">
        <v>4143</v>
      </c>
      <c r="H1455" t="s">
        <v>2193</v>
      </c>
      <c r="I1455" t="s">
        <v>4020</v>
      </c>
    </row>
    <row r="1456" spans="1:9">
      <c r="A1456" s="93" t="s">
        <v>4166</v>
      </c>
      <c r="B1456" t="s">
        <v>1898</v>
      </c>
      <c r="C1456" t="s">
        <v>2255</v>
      </c>
      <c r="D1456" t="s">
        <v>2256</v>
      </c>
      <c r="E1456" t="s">
        <v>2257</v>
      </c>
      <c r="G1456" t="s">
        <v>4143</v>
      </c>
      <c r="H1456" t="s">
        <v>108</v>
      </c>
      <c r="I1456" t="s">
        <v>4020</v>
      </c>
    </row>
    <row r="1457" spans="1:9">
      <c r="A1457" s="93" t="s">
        <v>4166</v>
      </c>
      <c r="B1457" t="s">
        <v>1898</v>
      </c>
      <c r="C1457" t="s">
        <v>2258</v>
      </c>
      <c r="D1457" t="s">
        <v>2259</v>
      </c>
      <c r="E1457" t="s">
        <v>2260</v>
      </c>
      <c r="F1457" t="s">
        <v>2261</v>
      </c>
      <c r="G1457" t="s">
        <v>4143</v>
      </c>
      <c r="H1457" t="s">
        <v>108</v>
      </c>
      <c r="I1457" t="s">
        <v>4020</v>
      </c>
    </row>
    <row r="1458" spans="1:9">
      <c r="A1458" s="93" t="s">
        <v>4166</v>
      </c>
      <c r="B1458" t="s">
        <v>1898</v>
      </c>
      <c r="C1458" t="s">
        <v>2262</v>
      </c>
      <c r="D1458" t="s">
        <v>2259</v>
      </c>
      <c r="E1458" t="s">
        <v>2147</v>
      </c>
      <c r="F1458" t="s">
        <v>2263</v>
      </c>
      <c r="G1458" t="s">
        <v>4143</v>
      </c>
      <c r="H1458" t="s">
        <v>108</v>
      </c>
      <c r="I1458" t="s">
        <v>4020</v>
      </c>
    </row>
    <row r="1459" spans="1:9">
      <c r="A1459" s="93" t="s">
        <v>4166</v>
      </c>
      <c r="B1459" t="s">
        <v>1898</v>
      </c>
      <c r="C1459" t="s">
        <v>2264</v>
      </c>
      <c r="D1459" t="s">
        <v>2252</v>
      </c>
      <c r="E1459" t="s">
        <v>2265</v>
      </c>
      <c r="G1459" t="s">
        <v>4143</v>
      </c>
      <c r="H1459" t="s">
        <v>108</v>
      </c>
      <c r="I1459" t="s">
        <v>4020</v>
      </c>
    </row>
    <row r="1460" spans="1:9">
      <c r="A1460" s="93" t="s">
        <v>4166</v>
      </c>
      <c r="B1460" t="s">
        <v>1898</v>
      </c>
      <c r="C1460" t="s">
        <v>2266</v>
      </c>
      <c r="D1460" t="s">
        <v>2252</v>
      </c>
      <c r="E1460" t="s">
        <v>2267</v>
      </c>
      <c r="F1460" t="s">
        <v>2268</v>
      </c>
      <c r="G1460" t="s">
        <v>4143</v>
      </c>
      <c r="H1460" t="s">
        <v>108</v>
      </c>
      <c r="I1460" t="s">
        <v>4020</v>
      </c>
    </row>
    <row r="1461" spans="1:9">
      <c r="A1461" s="93" t="s">
        <v>4166</v>
      </c>
      <c r="B1461" t="s">
        <v>1898</v>
      </c>
      <c r="C1461" t="s">
        <v>2269</v>
      </c>
      <c r="D1461" t="s">
        <v>2252</v>
      </c>
      <c r="E1461" t="s">
        <v>2270</v>
      </c>
      <c r="G1461" t="s">
        <v>4143</v>
      </c>
      <c r="H1461" t="s">
        <v>108</v>
      </c>
      <c r="I1461" t="s">
        <v>4020</v>
      </c>
    </row>
    <row r="1462" spans="1:9">
      <c r="A1462" s="93" t="s">
        <v>4166</v>
      </c>
      <c r="B1462" t="s">
        <v>1902</v>
      </c>
      <c r="C1462" t="s">
        <v>2272</v>
      </c>
      <c r="D1462" t="s">
        <v>2273</v>
      </c>
      <c r="E1462" t="s">
        <v>2274</v>
      </c>
      <c r="F1462" t="s">
        <v>2275</v>
      </c>
      <c r="G1462" t="s">
        <v>4143</v>
      </c>
      <c r="H1462" t="s">
        <v>108</v>
      </c>
      <c r="I1462" t="s">
        <v>4024</v>
      </c>
    </row>
    <row r="1463" spans="1:9">
      <c r="A1463" s="93" t="s">
        <v>4166</v>
      </c>
      <c r="B1463" t="s">
        <v>1902</v>
      </c>
      <c r="C1463" t="s">
        <v>2276</v>
      </c>
      <c r="D1463" t="s">
        <v>2248</v>
      </c>
      <c r="E1463" t="s">
        <v>2277</v>
      </c>
      <c r="F1463" t="s">
        <v>2278</v>
      </c>
      <c r="G1463" t="s">
        <v>4143</v>
      </c>
      <c r="H1463" t="s">
        <v>108</v>
      </c>
      <c r="I1463" t="s">
        <v>4024</v>
      </c>
    </row>
    <row r="1464" spans="1:9">
      <c r="A1464" s="93" t="s">
        <v>4166</v>
      </c>
      <c r="B1464" t="s">
        <v>1902</v>
      </c>
      <c r="C1464" t="s">
        <v>2279</v>
      </c>
      <c r="D1464" t="s">
        <v>2280</v>
      </c>
      <c r="E1464" t="s">
        <v>2281</v>
      </c>
      <c r="F1464" t="s">
        <v>2282</v>
      </c>
      <c r="G1464" t="s">
        <v>4143</v>
      </c>
      <c r="H1464" t="s">
        <v>108</v>
      </c>
      <c r="I1464" t="s">
        <v>4024</v>
      </c>
    </row>
    <row r="1465" spans="1:9">
      <c r="A1465" s="93" t="s">
        <v>4166</v>
      </c>
      <c r="B1465" t="s">
        <v>1902</v>
      </c>
      <c r="C1465" t="s">
        <v>2283</v>
      </c>
      <c r="D1465" t="s">
        <v>2273</v>
      </c>
      <c r="E1465" t="s">
        <v>108</v>
      </c>
      <c r="F1465" t="s">
        <v>2284</v>
      </c>
      <c r="G1465" t="s">
        <v>4143</v>
      </c>
      <c r="H1465" t="s">
        <v>108</v>
      </c>
      <c r="I1465" t="s">
        <v>4024</v>
      </c>
    </row>
    <row r="1466" spans="1:9">
      <c r="A1466" s="93" t="s">
        <v>4166</v>
      </c>
      <c r="B1466" t="s">
        <v>1902</v>
      </c>
      <c r="C1466" t="s">
        <v>2285</v>
      </c>
      <c r="E1466" t="s">
        <v>2135</v>
      </c>
      <c r="G1466" t="s">
        <v>4139</v>
      </c>
      <c r="H1466" t="s">
        <v>2136</v>
      </c>
      <c r="I1466" t="s">
        <v>4024</v>
      </c>
    </row>
    <row r="1467" spans="1:9">
      <c r="A1467" s="93" t="s">
        <v>4166</v>
      </c>
      <c r="B1467" t="s">
        <v>1902</v>
      </c>
      <c r="C1467" t="s">
        <v>2286</v>
      </c>
      <c r="E1467" t="s">
        <v>108</v>
      </c>
      <c r="G1467" t="s">
        <v>4143</v>
      </c>
      <c r="H1467" t="s">
        <v>108</v>
      </c>
      <c r="I1467" t="s">
        <v>4024</v>
      </c>
    </row>
    <row r="1468" spans="1:9">
      <c r="A1468" s="93" t="s">
        <v>4166</v>
      </c>
      <c r="B1468" t="s">
        <v>1902</v>
      </c>
      <c r="C1468" t="s">
        <v>2287</v>
      </c>
      <c r="D1468" t="s">
        <v>2273</v>
      </c>
      <c r="E1468" t="s">
        <v>2288</v>
      </c>
      <c r="F1468" t="s">
        <v>2289</v>
      </c>
      <c r="G1468" t="s">
        <v>4143</v>
      </c>
      <c r="H1468" t="s">
        <v>2288</v>
      </c>
      <c r="I1468" t="s">
        <v>4024</v>
      </c>
    </row>
    <row r="1469" spans="1:9">
      <c r="A1469" s="93" t="s">
        <v>4166</v>
      </c>
      <c r="B1469" t="s">
        <v>3926</v>
      </c>
      <c r="C1469" t="s">
        <v>2291</v>
      </c>
      <c r="E1469" t="s">
        <v>2135</v>
      </c>
      <c r="F1469" t="s">
        <v>2292</v>
      </c>
      <c r="G1469" t="s">
        <v>4139</v>
      </c>
      <c r="H1469" t="s">
        <v>2136</v>
      </c>
    </row>
    <row r="1470" spans="1:9">
      <c r="A1470" s="93" t="s">
        <v>4166</v>
      </c>
      <c r="B1470" t="s">
        <v>3926</v>
      </c>
      <c r="C1470" t="s">
        <v>2293</v>
      </c>
      <c r="D1470" t="s">
        <v>2294</v>
      </c>
      <c r="E1470" t="s">
        <v>2295</v>
      </c>
      <c r="F1470" t="s">
        <v>2296</v>
      </c>
      <c r="G1470" t="s">
        <v>4143</v>
      </c>
      <c r="H1470" t="s">
        <v>108</v>
      </c>
    </row>
    <row r="1471" spans="1:9">
      <c r="A1471" s="93" t="s">
        <v>4166</v>
      </c>
      <c r="B1471" t="s">
        <v>3926</v>
      </c>
      <c r="C1471" t="s">
        <v>2297</v>
      </c>
      <c r="D1471" t="s">
        <v>2298</v>
      </c>
      <c r="E1471" t="s">
        <v>108</v>
      </c>
      <c r="F1471" t="s">
        <v>2299</v>
      </c>
      <c r="G1471" t="s">
        <v>4143</v>
      </c>
      <c r="H1471" t="s">
        <v>108</v>
      </c>
    </row>
    <row r="1472" spans="1:9">
      <c r="A1472" s="93" t="s">
        <v>4166</v>
      </c>
      <c r="B1472" t="s">
        <v>3926</v>
      </c>
      <c r="C1472" t="s">
        <v>2300</v>
      </c>
      <c r="D1472" t="s">
        <v>2294</v>
      </c>
      <c r="E1472" t="s">
        <v>108</v>
      </c>
      <c r="F1472" t="s">
        <v>2299</v>
      </c>
      <c r="G1472" t="s">
        <v>4143</v>
      </c>
      <c r="H1472" t="s">
        <v>108</v>
      </c>
    </row>
    <row r="1473" spans="1:9">
      <c r="A1473" s="93" t="s">
        <v>4166</v>
      </c>
      <c r="B1473" t="s">
        <v>3926</v>
      </c>
      <c r="C1473" t="s">
        <v>2301</v>
      </c>
      <c r="D1473" t="s">
        <v>2302</v>
      </c>
      <c r="E1473" t="s">
        <v>2193</v>
      </c>
      <c r="F1473" t="s">
        <v>2303</v>
      </c>
      <c r="G1473" t="s">
        <v>4143</v>
      </c>
      <c r="H1473" t="s">
        <v>2193</v>
      </c>
    </row>
    <row r="1474" spans="1:9">
      <c r="A1474" s="93" t="s">
        <v>4166</v>
      </c>
      <c r="B1474" t="s">
        <v>3926</v>
      </c>
      <c r="C1474" t="s">
        <v>2304</v>
      </c>
      <c r="D1474" t="s">
        <v>2305</v>
      </c>
      <c r="E1474" t="s">
        <v>2257</v>
      </c>
      <c r="F1474" t="s">
        <v>2306</v>
      </c>
      <c r="G1474" t="s">
        <v>4143</v>
      </c>
      <c r="H1474" t="s">
        <v>108</v>
      </c>
    </row>
    <row r="1475" spans="1:9">
      <c r="A1475" s="93" t="s">
        <v>4167</v>
      </c>
      <c r="B1475" t="s">
        <v>1860</v>
      </c>
      <c r="C1475" t="s">
        <v>2532</v>
      </c>
      <c r="D1475" t="s">
        <v>2533</v>
      </c>
      <c r="E1475" t="s">
        <v>1559</v>
      </c>
      <c r="F1475" t="s">
        <v>2535</v>
      </c>
      <c r="G1475" t="s">
        <v>4143</v>
      </c>
      <c r="H1475" t="s">
        <v>1559</v>
      </c>
      <c r="I1475" t="s">
        <v>3953</v>
      </c>
    </row>
    <row r="1476" spans="1:9">
      <c r="A1476" s="93" t="s">
        <v>4167</v>
      </c>
      <c r="B1476" t="s">
        <v>1860</v>
      </c>
      <c r="C1476" t="s">
        <v>2536</v>
      </c>
      <c r="D1476" t="s">
        <v>2537</v>
      </c>
      <c r="E1476" t="s">
        <v>2538</v>
      </c>
      <c r="F1476" t="s">
        <v>2539</v>
      </c>
      <c r="G1476" t="s">
        <v>4143</v>
      </c>
      <c r="H1476" t="s">
        <v>2504</v>
      </c>
      <c r="I1476" t="s">
        <v>3953</v>
      </c>
    </row>
    <row r="1477" spans="1:9">
      <c r="A1477" s="93" t="s">
        <v>4167</v>
      </c>
      <c r="B1477" t="s">
        <v>1860</v>
      </c>
      <c r="C1477" t="s">
        <v>2540</v>
      </c>
      <c r="D1477" t="s">
        <v>2537</v>
      </c>
      <c r="E1477" t="s">
        <v>2193</v>
      </c>
      <c r="F1477" t="s">
        <v>2541</v>
      </c>
      <c r="G1477" t="s">
        <v>4143</v>
      </c>
      <c r="H1477" t="s">
        <v>2193</v>
      </c>
      <c r="I1477" t="s">
        <v>3953</v>
      </c>
    </row>
    <row r="1478" spans="1:9">
      <c r="A1478" s="93" t="s">
        <v>4167</v>
      </c>
      <c r="B1478" t="s">
        <v>1860</v>
      </c>
      <c r="C1478" t="s">
        <v>2542</v>
      </c>
      <c r="D1478" t="s">
        <v>2533</v>
      </c>
      <c r="E1478" t="s">
        <v>108</v>
      </c>
      <c r="F1478" t="s">
        <v>2543</v>
      </c>
      <c r="G1478" t="s">
        <v>4143</v>
      </c>
      <c r="H1478" t="s">
        <v>108</v>
      </c>
      <c r="I1478" t="s">
        <v>3953</v>
      </c>
    </row>
    <row r="1479" spans="1:9">
      <c r="A1479" s="93" t="s">
        <v>4167</v>
      </c>
      <c r="B1479" t="s">
        <v>1860</v>
      </c>
      <c r="C1479" t="s">
        <v>2544</v>
      </c>
      <c r="D1479" t="s">
        <v>2545</v>
      </c>
      <c r="E1479" t="s">
        <v>2193</v>
      </c>
      <c r="F1479" t="s">
        <v>2541</v>
      </c>
      <c r="G1479" t="s">
        <v>4143</v>
      </c>
      <c r="H1479" t="s">
        <v>2193</v>
      </c>
      <c r="I1479" t="s">
        <v>3953</v>
      </c>
    </row>
    <row r="1480" spans="1:9">
      <c r="A1480" s="93" t="s">
        <v>4167</v>
      </c>
      <c r="B1480" t="s">
        <v>1860</v>
      </c>
      <c r="C1480" t="s">
        <v>2546</v>
      </c>
      <c r="D1480" t="s">
        <v>2546</v>
      </c>
      <c r="E1480" t="s">
        <v>2135</v>
      </c>
      <c r="F1480" t="s">
        <v>2547</v>
      </c>
      <c r="G1480" t="s">
        <v>4168</v>
      </c>
      <c r="H1480" t="s">
        <v>2355</v>
      </c>
      <c r="I1480" t="s">
        <v>3953</v>
      </c>
    </row>
    <row r="1481" spans="1:9">
      <c r="A1481" s="93" t="s">
        <v>4167</v>
      </c>
      <c r="B1481" t="s">
        <v>1860</v>
      </c>
      <c r="C1481" t="s">
        <v>2832</v>
      </c>
      <c r="D1481" t="s">
        <v>2591</v>
      </c>
      <c r="E1481" t="s">
        <v>543</v>
      </c>
      <c r="F1481" t="s">
        <v>2833</v>
      </c>
      <c r="G1481" t="s">
        <v>4143</v>
      </c>
      <c r="H1481" t="s">
        <v>543</v>
      </c>
      <c r="I1481" t="s">
        <v>3953</v>
      </c>
    </row>
    <row r="1482" spans="1:9">
      <c r="A1482" s="93" t="s">
        <v>4167</v>
      </c>
      <c r="B1482" t="s">
        <v>1860</v>
      </c>
      <c r="C1482" t="s">
        <v>2834</v>
      </c>
      <c r="D1482" t="s">
        <v>2554</v>
      </c>
      <c r="E1482" t="s">
        <v>543</v>
      </c>
      <c r="F1482" t="s">
        <v>2835</v>
      </c>
      <c r="G1482" t="s">
        <v>4143</v>
      </c>
      <c r="H1482" t="s">
        <v>543</v>
      </c>
      <c r="I1482" t="s">
        <v>3953</v>
      </c>
    </row>
    <row r="1483" spans="1:9">
      <c r="A1483" s="93" t="s">
        <v>4167</v>
      </c>
      <c r="B1483" t="s">
        <v>1861</v>
      </c>
      <c r="C1483" t="s">
        <v>2549</v>
      </c>
      <c r="D1483" t="s">
        <v>2537</v>
      </c>
      <c r="E1483" t="s">
        <v>2288</v>
      </c>
      <c r="F1483" t="s">
        <v>2550</v>
      </c>
      <c r="G1483" t="s">
        <v>4143</v>
      </c>
      <c r="H1483" t="s">
        <v>2288</v>
      </c>
      <c r="I1483" t="s">
        <v>3957</v>
      </c>
    </row>
    <row r="1484" spans="1:9">
      <c r="A1484" s="93" t="s">
        <v>4167</v>
      </c>
      <c r="B1484" t="s">
        <v>1861</v>
      </c>
      <c r="C1484" t="s">
        <v>2551</v>
      </c>
      <c r="D1484" t="s">
        <v>2537</v>
      </c>
      <c r="E1484" t="s">
        <v>2135</v>
      </c>
      <c r="F1484" t="s">
        <v>2552</v>
      </c>
      <c r="G1484" t="s">
        <v>4168</v>
      </c>
      <c r="H1484" t="s">
        <v>2355</v>
      </c>
      <c r="I1484" t="s">
        <v>3957</v>
      </c>
    </row>
    <row r="1485" spans="1:9">
      <c r="A1485" s="93" t="s">
        <v>4167</v>
      </c>
      <c r="B1485" t="s">
        <v>1861</v>
      </c>
      <c r="C1485" t="s">
        <v>2553</v>
      </c>
      <c r="D1485" t="s">
        <v>2554</v>
      </c>
      <c r="E1485" t="s">
        <v>2135</v>
      </c>
      <c r="F1485" t="s">
        <v>2555</v>
      </c>
      <c r="G1485" t="s">
        <v>4168</v>
      </c>
      <c r="H1485" t="s">
        <v>2355</v>
      </c>
      <c r="I1485" t="s">
        <v>3957</v>
      </c>
    </row>
    <row r="1486" spans="1:9">
      <c r="A1486" s="93" t="s">
        <v>4167</v>
      </c>
      <c r="B1486" t="s">
        <v>1861</v>
      </c>
      <c r="C1486" t="s">
        <v>2837</v>
      </c>
      <c r="D1486" t="s">
        <v>2537</v>
      </c>
      <c r="E1486" t="s">
        <v>2838</v>
      </c>
      <c r="F1486" t="s">
        <v>2839</v>
      </c>
      <c r="G1486" t="s">
        <v>4143</v>
      </c>
      <c r="H1486" t="s">
        <v>543</v>
      </c>
      <c r="I1486" t="s">
        <v>3957</v>
      </c>
    </row>
    <row r="1487" spans="1:9">
      <c r="A1487" s="93" t="s">
        <v>4167</v>
      </c>
      <c r="B1487" t="s">
        <v>1861</v>
      </c>
      <c r="C1487" t="s">
        <v>2556</v>
      </c>
      <c r="D1487" t="s">
        <v>2533</v>
      </c>
      <c r="E1487" t="s">
        <v>2288</v>
      </c>
      <c r="F1487" t="s">
        <v>2557</v>
      </c>
      <c r="G1487" t="s">
        <v>4143</v>
      </c>
      <c r="H1487" t="s">
        <v>2288</v>
      </c>
      <c r="I1487" t="s">
        <v>3957</v>
      </c>
    </row>
    <row r="1488" spans="1:9">
      <c r="A1488" s="93" t="s">
        <v>4167</v>
      </c>
      <c r="B1488" t="s">
        <v>1861</v>
      </c>
      <c r="C1488" t="s">
        <v>2840</v>
      </c>
      <c r="D1488" t="s">
        <v>2563</v>
      </c>
      <c r="E1488" t="s">
        <v>543</v>
      </c>
      <c r="G1488" t="s">
        <v>4143</v>
      </c>
      <c r="H1488" t="s">
        <v>543</v>
      </c>
      <c r="I1488" t="s">
        <v>3957</v>
      </c>
    </row>
    <row r="1489" spans="1:9">
      <c r="A1489" s="93" t="s">
        <v>4167</v>
      </c>
      <c r="B1489" t="s">
        <v>1861</v>
      </c>
      <c r="C1489" t="s">
        <v>2558</v>
      </c>
      <c r="D1489" t="s">
        <v>2559</v>
      </c>
      <c r="E1489" t="s">
        <v>2560</v>
      </c>
      <c r="F1489" t="s">
        <v>2561</v>
      </c>
      <c r="G1489" t="s">
        <v>4143</v>
      </c>
      <c r="H1489" t="s">
        <v>2288</v>
      </c>
      <c r="I1489" t="s">
        <v>3957</v>
      </c>
    </row>
    <row r="1490" spans="1:9">
      <c r="A1490" s="93" t="s">
        <v>4167</v>
      </c>
      <c r="B1490" t="s">
        <v>1861</v>
      </c>
      <c r="C1490" t="s">
        <v>2562</v>
      </c>
      <c r="D1490" t="s">
        <v>2563</v>
      </c>
      <c r="E1490" t="s">
        <v>2564</v>
      </c>
      <c r="F1490" t="s">
        <v>2565</v>
      </c>
      <c r="G1490" t="s">
        <v>4143</v>
      </c>
      <c r="H1490" t="s">
        <v>1201</v>
      </c>
      <c r="I1490" t="s">
        <v>3957</v>
      </c>
    </row>
    <row r="1491" spans="1:9">
      <c r="A1491" s="93" t="s">
        <v>4167</v>
      </c>
      <c r="B1491" t="s">
        <v>1861</v>
      </c>
      <c r="C1491" t="s">
        <v>2566</v>
      </c>
      <c r="D1491" t="s">
        <v>2545</v>
      </c>
      <c r="E1491" t="s">
        <v>2567</v>
      </c>
      <c r="F1491" t="s">
        <v>2569</v>
      </c>
      <c r="G1491" t="s">
        <v>4168</v>
      </c>
      <c r="H1491" t="s">
        <v>108</v>
      </c>
      <c r="I1491" t="s">
        <v>3957</v>
      </c>
    </row>
    <row r="1492" spans="1:9">
      <c r="A1492" s="93" t="s">
        <v>4167</v>
      </c>
      <c r="B1492" t="s">
        <v>1861</v>
      </c>
      <c r="C1492" t="s">
        <v>2570</v>
      </c>
      <c r="D1492" t="s">
        <v>2571</v>
      </c>
      <c r="E1492" t="s">
        <v>2135</v>
      </c>
      <c r="G1492" t="s">
        <v>4168</v>
      </c>
      <c r="H1492" t="s">
        <v>2355</v>
      </c>
      <c r="I1492" t="s">
        <v>3957</v>
      </c>
    </row>
    <row r="1493" spans="1:9">
      <c r="A1493" s="93" t="s">
        <v>4167</v>
      </c>
      <c r="B1493" t="s">
        <v>1861</v>
      </c>
      <c r="C1493" t="s">
        <v>2575</v>
      </c>
      <c r="D1493" t="s">
        <v>2533</v>
      </c>
      <c r="E1493" t="s">
        <v>2135</v>
      </c>
      <c r="G1493" t="s">
        <v>4168</v>
      </c>
      <c r="H1493" t="s">
        <v>2355</v>
      </c>
      <c r="I1493" t="s">
        <v>3957</v>
      </c>
    </row>
    <row r="1494" spans="1:9">
      <c r="A1494" s="93" t="s">
        <v>4167</v>
      </c>
      <c r="B1494" t="s">
        <v>1861</v>
      </c>
      <c r="C1494" t="s">
        <v>2576</v>
      </c>
      <c r="D1494" t="s">
        <v>2571</v>
      </c>
      <c r="E1494" t="s">
        <v>108</v>
      </c>
      <c r="F1494" t="s">
        <v>2577</v>
      </c>
      <c r="G1494" t="s">
        <v>4143</v>
      </c>
      <c r="H1494" t="s">
        <v>108</v>
      </c>
      <c r="I1494" t="s">
        <v>3957</v>
      </c>
    </row>
    <row r="1495" spans="1:9">
      <c r="A1495" s="93" t="s">
        <v>4167</v>
      </c>
      <c r="B1495" t="s">
        <v>1861</v>
      </c>
      <c r="C1495" t="s">
        <v>2578</v>
      </c>
      <c r="D1495" t="s">
        <v>2579</v>
      </c>
      <c r="E1495" t="s">
        <v>2564</v>
      </c>
      <c r="F1495" t="s">
        <v>2565</v>
      </c>
      <c r="G1495" t="s">
        <v>4143</v>
      </c>
      <c r="H1495" t="s">
        <v>1201</v>
      </c>
      <c r="I1495" t="s">
        <v>3957</v>
      </c>
    </row>
    <row r="1496" spans="1:9">
      <c r="A1496" s="93" t="s">
        <v>4167</v>
      </c>
      <c r="B1496" t="s">
        <v>1861</v>
      </c>
      <c r="C1496" t="s">
        <v>2546</v>
      </c>
      <c r="D1496" t="s">
        <v>2546</v>
      </c>
      <c r="E1496" t="s">
        <v>2135</v>
      </c>
      <c r="F1496" t="s">
        <v>2580</v>
      </c>
      <c r="G1496" t="s">
        <v>4168</v>
      </c>
      <c r="H1496" t="s">
        <v>2355</v>
      </c>
      <c r="I1496" t="s">
        <v>3957</v>
      </c>
    </row>
    <row r="1497" spans="1:9">
      <c r="A1497" s="93" t="s">
        <v>4167</v>
      </c>
      <c r="B1497" t="s">
        <v>1861</v>
      </c>
      <c r="C1497" t="s">
        <v>2581</v>
      </c>
      <c r="D1497" t="s">
        <v>2582</v>
      </c>
      <c r="E1497" t="s">
        <v>2135</v>
      </c>
      <c r="F1497" t="s">
        <v>2583</v>
      </c>
      <c r="G1497" t="s">
        <v>4168</v>
      </c>
      <c r="H1497" t="s">
        <v>2355</v>
      </c>
      <c r="I1497" t="s">
        <v>3957</v>
      </c>
    </row>
    <row r="1498" spans="1:9">
      <c r="A1498" s="93" t="s">
        <v>4167</v>
      </c>
      <c r="B1498" t="s">
        <v>1861</v>
      </c>
      <c r="C1498" t="s">
        <v>2841</v>
      </c>
      <c r="D1498" t="s">
        <v>2554</v>
      </c>
      <c r="E1498" t="s">
        <v>543</v>
      </c>
      <c r="F1498" t="s">
        <v>2842</v>
      </c>
      <c r="G1498" t="s">
        <v>4143</v>
      </c>
      <c r="H1498" t="s">
        <v>543</v>
      </c>
      <c r="I1498" t="s">
        <v>3957</v>
      </c>
    </row>
    <row r="1499" spans="1:9">
      <c r="A1499" s="93" t="s">
        <v>4167</v>
      </c>
      <c r="B1499" t="s">
        <v>1861</v>
      </c>
      <c r="C1499" t="s">
        <v>2584</v>
      </c>
      <c r="D1499" t="s">
        <v>2545</v>
      </c>
      <c r="E1499" t="s">
        <v>2585</v>
      </c>
      <c r="F1499" t="s">
        <v>2586</v>
      </c>
      <c r="G1499" t="s">
        <v>4143</v>
      </c>
      <c r="H1499" t="s">
        <v>2843</v>
      </c>
      <c r="I1499" t="s">
        <v>3957</v>
      </c>
    </row>
    <row r="1500" spans="1:9">
      <c r="A1500" s="93" t="s">
        <v>4167</v>
      </c>
      <c r="B1500" t="s">
        <v>1861</v>
      </c>
      <c r="C1500" t="s">
        <v>2587</v>
      </c>
      <c r="D1500" t="s">
        <v>2554</v>
      </c>
      <c r="E1500" t="s">
        <v>2288</v>
      </c>
      <c r="F1500" t="s">
        <v>2588</v>
      </c>
      <c r="G1500" t="s">
        <v>4143</v>
      </c>
      <c r="H1500" t="s">
        <v>2288</v>
      </c>
      <c r="I1500" t="s">
        <v>3957</v>
      </c>
    </row>
    <row r="1501" spans="1:9">
      <c r="A1501" s="93" t="s">
        <v>4167</v>
      </c>
      <c r="B1501" t="s">
        <v>1861</v>
      </c>
      <c r="C1501" t="s">
        <v>2844</v>
      </c>
      <c r="D1501" t="s">
        <v>2554</v>
      </c>
      <c r="E1501" t="s">
        <v>2845</v>
      </c>
      <c r="F1501" t="s">
        <v>2846</v>
      </c>
      <c r="G1501" t="s">
        <v>4143</v>
      </c>
      <c r="H1501" t="s">
        <v>543</v>
      </c>
      <c r="I1501" t="s">
        <v>3957</v>
      </c>
    </row>
    <row r="1502" spans="1:9">
      <c r="A1502" s="93" t="s">
        <v>4167</v>
      </c>
      <c r="B1502" t="s">
        <v>1862</v>
      </c>
      <c r="C1502" t="s">
        <v>2546</v>
      </c>
      <c r="D1502" t="s">
        <v>2546</v>
      </c>
      <c r="E1502" t="s">
        <v>2135</v>
      </c>
      <c r="F1502" t="s">
        <v>2547</v>
      </c>
      <c r="G1502" t="s">
        <v>4168</v>
      </c>
      <c r="H1502" t="s">
        <v>2355</v>
      </c>
      <c r="I1502" t="s">
        <v>3961</v>
      </c>
    </row>
    <row r="1503" spans="1:9">
      <c r="A1503" s="93" t="s">
        <v>4167</v>
      </c>
      <c r="B1503" t="s">
        <v>1862</v>
      </c>
      <c r="C1503" t="s">
        <v>2590</v>
      </c>
      <c r="D1503" t="s">
        <v>2591</v>
      </c>
      <c r="E1503" t="s">
        <v>2592</v>
      </c>
      <c r="F1503" t="s">
        <v>2593</v>
      </c>
      <c r="G1503" t="s">
        <v>4143</v>
      </c>
      <c r="H1503" t="s">
        <v>2288</v>
      </c>
      <c r="I1503" t="s">
        <v>3961</v>
      </c>
    </row>
    <row r="1504" spans="1:9">
      <c r="A1504" s="93" t="s">
        <v>4167</v>
      </c>
      <c r="B1504" t="s">
        <v>1862</v>
      </c>
      <c r="C1504" t="s">
        <v>2848</v>
      </c>
      <c r="D1504" t="s">
        <v>2545</v>
      </c>
      <c r="E1504" t="s">
        <v>543</v>
      </c>
      <c r="F1504" t="s">
        <v>2849</v>
      </c>
      <c r="G1504" t="s">
        <v>4143</v>
      </c>
      <c r="H1504" t="s">
        <v>543</v>
      </c>
      <c r="I1504" t="s">
        <v>3961</v>
      </c>
    </row>
    <row r="1505" spans="1:9">
      <c r="A1505" s="93" t="s">
        <v>4167</v>
      </c>
      <c r="B1505" t="s">
        <v>1862</v>
      </c>
      <c r="C1505" t="s">
        <v>2594</v>
      </c>
      <c r="D1505" t="s">
        <v>2533</v>
      </c>
      <c r="E1505" t="s">
        <v>2288</v>
      </c>
      <c r="F1505" t="s">
        <v>2595</v>
      </c>
      <c r="G1505" t="s">
        <v>4143</v>
      </c>
      <c r="H1505" t="s">
        <v>2288</v>
      </c>
      <c r="I1505" t="s">
        <v>3961</v>
      </c>
    </row>
    <row r="1506" spans="1:9">
      <c r="A1506" s="93" t="s">
        <v>4167</v>
      </c>
      <c r="B1506" t="s">
        <v>1862</v>
      </c>
      <c r="C1506" t="s">
        <v>2596</v>
      </c>
      <c r="D1506" t="s">
        <v>2582</v>
      </c>
      <c r="E1506" t="s">
        <v>108</v>
      </c>
      <c r="G1506" t="s">
        <v>4143</v>
      </c>
      <c r="H1506" t="s">
        <v>108</v>
      </c>
      <c r="I1506" t="s">
        <v>3961</v>
      </c>
    </row>
    <row r="1507" spans="1:9">
      <c r="A1507" s="93" t="s">
        <v>4167</v>
      </c>
      <c r="B1507" t="s">
        <v>1862</v>
      </c>
      <c r="C1507" t="s">
        <v>2597</v>
      </c>
      <c r="D1507" t="s">
        <v>2537</v>
      </c>
      <c r="E1507" t="s">
        <v>108</v>
      </c>
      <c r="F1507" t="s">
        <v>2598</v>
      </c>
      <c r="G1507" t="s">
        <v>4143</v>
      </c>
      <c r="H1507" t="s">
        <v>108</v>
      </c>
      <c r="I1507" t="s">
        <v>3961</v>
      </c>
    </row>
    <row r="1508" spans="1:9">
      <c r="A1508" s="93" t="s">
        <v>4167</v>
      </c>
      <c r="B1508" t="s">
        <v>1862</v>
      </c>
      <c r="C1508" t="s">
        <v>2599</v>
      </c>
      <c r="D1508" t="s">
        <v>2559</v>
      </c>
      <c r="E1508" t="s">
        <v>2288</v>
      </c>
      <c r="F1508" t="s">
        <v>2600</v>
      </c>
      <c r="G1508" t="s">
        <v>4143</v>
      </c>
      <c r="H1508" t="s">
        <v>2288</v>
      </c>
      <c r="I1508" t="s">
        <v>3961</v>
      </c>
    </row>
    <row r="1509" spans="1:9">
      <c r="A1509" s="93" t="s">
        <v>4167</v>
      </c>
      <c r="B1509" t="s">
        <v>1862</v>
      </c>
      <c r="C1509" t="s">
        <v>2601</v>
      </c>
      <c r="D1509" t="s">
        <v>2533</v>
      </c>
      <c r="E1509" t="s">
        <v>2288</v>
      </c>
      <c r="F1509" t="s">
        <v>2602</v>
      </c>
      <c r="G1509" t="s">
        <v>4143</v>
      </c>
      <c r="H1509" t="s">
        <v>2288</v>
      </c>
      <c r="I1509" t="s">
        <v>3961</v>
      </c>
    </row>
    <row r="1510" spans="1:9">
      <c r="A1510" s="93" t="s">
        <v>4167</v>
      </c>
      <c r="B1510" t="s">
        <v>1862</v>
      </c>
      <c r="C1510" t="s">
        <v>2603</v>
      </c>
      <c r="D1510" t="s">
        <v>2559</v>
      </c>
      <c r="E1510" t="s">
        <v>2604</v>
      </c>
      <c r="F1510" t="s">
        <v>2606</v>
      </c>
      <c r="G1510" t="s">
        <v>4143</v>
      </c>
      <c r="H1510" t="s">
        <v>2193</v>
      </c>
      <c r="I1510" t="s">
        <v>3961</v>
      </c>
    </row>
    <row r="1511" spans="1:9">
      <c r="A1511" s="93" t="s">
        <v>4167</v>
      </c>
      <c r="B1511" t="s">
        <v>1862</v>
      </c>
      <c r="C1511" t="s">
        <v>2607</v>
      </c>
      <c r="D1511" t="s">
        <v>2563</v>
      </c>
      <c r="E1511" t="s">
        <v>2608</v>
      </c>
      <c r="F1511" t="s">
        <v>2609</v>
      </c>
      <c r="G1511" t="s">
        <v>4143</v>
      </c>
      <c r="H1511" t="s">
        <v>2288</v>
      </c>
      <c r="I1511" t="s">
        <v>3961</v>
      </c>
    </row>
    <row r="1512" spans="1:9">
      <c r="A1512" s="93" t="s">
        <v>4167</v>
      </c>
      <c r="B1512" t="s">
        <v>1862</v>
      </c>
      <c r="C1512" t="s">
        <v>2610</v>
      </c>
      <c r="D1512" t="s">
        <v>2545</v>
      </c>
      <c r="E1512" t="s">
        <v>108</v>
      </c>
      <c r="G1512" t="s">
        <v>4143</v>
      </c>
      <c r="H1512" t="s">
        <v>108</v>
      </c>
      <c r="I1512" t="s">
        <v>3961</v>
      </c>
    </row>
    <row r="1513" spans="1:9">
      <c r="A1513" s="93" t="s">
        <v>4167</v>
      </c>
      <c r="B1513" t="s">
        <v>1862</v>
      </c>
      <c r="C1513" t="s">
        <v>2850</v>
      </c>
      <c r="D1513" t="s">
        <v>2545</v>
      </c>
      <c r="E1513" t="s">
        <v>543</v>
      </c>
      <c r="F1513" t="s">
        <v>2851</v>
      </c>
      <c r="G1513" t="s">
        <v>4143</v>
      </c>
      <c r="H1513" t="s">
        <v>543</v>
      </c>
      <c r="I1513" t="s">
        <v>3961</v>
      </c>
    </row>
    <row r="1514" spans="1:9">
      <c r="A1514" s="93" t="s">
        <v>4167</v>
      </c>
      <c r="B1514" t="s">
        <v>1862</v>
      </c>
      <c r="C1514" t="s">
        <v>2611</v>
      </c>
      <c r="D1514" t="s">
        <v>2545</v>
      </c>
      <c r="E1514" t="s">
        <v>2288</v>
      </c>
      <c r="F1514" t="s">
        <v>2612</v>
      </c>
      <c r="G1514" t="s">
        <v>4143</v>
      </c>
      <c r="H1514" t="s">
        <v>2288</v>
      </c>
      <c r="I1514" t="s">
        <v>3961</v>
      </c>
    </row>
    <row r="1515" spans="1:9">
      <c r="A1515" s="93" t="s">
        <v>4167</v>
      </c>
      <c r="B1515" t="s">
        <v>1864</v>
      </c>
      <c r="C1515" t="s">
        <v>2546</v>
      </c>
      <c r="D1515" t="s">
        <v>2546</v>
      </c>
      <c r="E1515" t="s">
        <v>2135</v>
      </c>
      <c r="F1515" t="s">
        <v>2614</v>
      </c>
      <c r="G1515" t="s">
        <v>4168</v>
      </c>
      <c r="H1515" t="s">
        <v>2355</v>
      </c>
      <c r="I1515" t="s">
        <v>3965</v>
      </c>
    </row>
    <row r="1516" spans="1:9">
      <c r="A1516" s="93" t="s">
        <v>4167</v>
      </c>
      <c r="B1516" t="s">
        <v>1864</v>
      </c>
      <c r="C1516" t="s">
        <v>2615</v>
      </c>
      <c r="D1516" t="s">
        <v>2537</v>
      </c>
      <c r="E1516" t="s">
        <v>2616</v>
      </c>
      <c r="F1516" t="s">
        <v>2617</v>
      </c>
      <c r="G1516" t="s">
        <v>4143</v>
      </c>
      <c r="H1516" t="s">
        <v>2288</v>
      </c>
      <c r="I1516" t="s">
        <v>3965</v>
      </c>
    </row>
    <row r="1517" spans="1:9">
      <c r="A1517" s="93" t="s">
        <v>4167</v>
      </c>
      <c r="B1517" t="s">
        <v>1864</v>
      </c>
      <c r="C1517" t="s">
        <v>2618</v>
      </c>
      <c r="D1517" t="s">
        <v>2619</v>
      </c>
      <c r="E1517" t="s">
        <v>2135</v>
      </c>
      <c r="G1517" t="s">
        <v>4168</v>
      </c>
      <c r="H1517" t="s">
        <v>2355</v>
      </c>
      <c r="I1517" t="s">
        <v>3965</v>
      </c>
    </row>
    <row r="1518" spans="1:9">
      <c r="A1518" s="93" t="s">
        <v>4167</v>
      </c>
      <c r="B1518" t="s">
        <v>1864</v>
      </c>
      <c r="C1518" t="s">
        <v>2620</v>
      </c>
      <c r="D1518" t="s">
        <v>2554</v>
      </c>
      <c r="E1518" t="s">
        <v>2288</v>
      </c>
      <c r="F1518" t="s">
        <v>2621</v>
      </c>
      <c r="G1518" t="s">
        <v>4143</v>
      </c>
      <c r="H1518" t="s">
        <v>2288</v>
      </c>
      <c r="I1518" t="s">
        <v>3965</v>
      </c>
    </row>
    <row r="1519" spans="1:9">
      <c r="A1519" s="93" t="s">
        <v>4167</v>
      </c>
      <c r="B1519" t="s">
        <v>1864</v>
      </c>
      <c r="C1519" t="s">
        <v>2622</v>
      </c>
      <c r="D1519" t="s">
        <v>2582</v>
      </c>
      <c r="E1519" t="s">
        <v>2135</v>
      </c>
      <c r="G1519" t="s">
        <v>4168</v>
      </c>
      <c r="H1519" t="s">
        <v>2355</v>
      </c>
      <c r="I1519" t="s">
        <v>3965</v>
      </c>
    </row>
    <row r="1520" spans="1:9">
      <c r="A1520" s="93" t="s">
        <v>4167</v>
      </c>
      <c r="B1520" t="s">
        <v>1864</v>
      </c>
      <c r="C1520" t="s">
        <v>2853</v>
      </c>
      <c r="D1520" t="s">
        <v>2571</v>
      </c>
      <c r="E1520" t="s">
        <v>543</v>
      </c>
      <c r="F1520" t="s">
        <v>2854</v>
      </c>
      <c r="G1520" t="s">
        <v>4143</v>
      </c>
      <c r="H1520" t="s">
        <v>543</v>
      </c>
      <c r="I1520" t="s">
        <v>3965</v>
      </c>
    </row>
    <row r="1521" spans="1:9">
      <c r="A1521" s="93" t="s">
        <v>4167</v>
      </c>
      <c r="B1521" t="s">
        <v>1864</v>
      </c>
      <c r="C1521" t="s">
        <v>2623</v>
      </c>
      <c r="D1521" t="s">
        <v>2533</v>
      </c>
      <c r="E1521" t="s">
        <v>2288</v>
      </c>
      <c r="F1521" t="s">
        <v>2624</v>
      </c>
      <c r="G1521" t="s">
        <v>4143</v>
      </c>
      <c r="H1521" t="s">
        <v>2288</v>
      </c>
      <c r="I1521" t="s">
        <v>3965</v>
      </c>
    </row>
    <row r="1522" spans="1:9">
      <c r="A1522" s="93" t="s">
        <v>4167</v>
      </c>
      <c r="B1522" t="s">
        <v>1864</v>
      </c>
      <c r="C1522" t="s">
        <v>2855</v>
      </c>
      <c r="D1522" t="s">
        <v>2582</v>
      </c>
      <c r="E1522" t="s">
        <v>543</v>
      </c>
      <c r="F1522" t="s">
        <v>2856</v>
      </c>
      <c r="G1522" t="s">
        <v>4143</v>
      </c>
      <c r="H1522" t="s">
        <v>543</v>
      </c>
      <c r="I1522" t="s">
        <v>3965</v>
      </c>
    </row>
    <row r="1523" spans="1:9">
      <c r="A1523" s="93" t="s">
        <v>4167</v>
      </c>
      <c r="B1523" t="s">
        <v>1864</v>
      </c>
      <c r="C1523" t="s">
        <v>2625</v>
      </c>
      <c r="D1523" t="s">
        <v>2533</v>
      </c>
      <c r="E1523" t="s">
        <v>2288</v>
      </c>
      <c r="G1523" t="s">
        <v>4143</v>
      </c>
      <c r="H1523" t="s">
        <v>2288</v>
      </c>
      <c r="I1523" t="s">
        <v>3965</v>
      </c>
    </row>
    <row r="1524" spans="1:9">
      <c r="A1524" s="93" t="s">
        <v>4167</v>
      </c>
      <c r="B1524" t="s">
        <v>1864</v>
      </c>
      <c r="C1524" t="s">
        <v>2626</v>
      </c>
      <c r="D1524" t="s">
        <v>2579</v>
      </c>
      <c r="E1524" t="s">
        <v>1201</v>
      </c>
      <c r="F1524" t="s">
        <v>2627</v>
      </c>
      <c r="G1524" t="s">
        <v>4143</v>
      </c>
      <c r="H1524" t="s">
        <v>1201</v>
      </c>
      <c r="I1524" t="s">
        <v>3965</v>
      </c>
    </row>
    <row r="1525" spans="1:9">
      <c r="A1525" s="93" t="s">
        <v>4167</v>
      </c>
      <c r="B1525" t="s">
        <v>1864</v>
      </c>
      <c r="C1525" t="s">
        <v>2628</v>
      </c>
      <c r="D1525" t="s">
        <v>2533</v>
      </c>
      <c r="E1525" t="s">
        <v>2629</v>
      </c>
      <c r="F1525" t="s">
        <v>2630</v>
      </c>
      <c r="G1525" t="s">
        <v>4143</v>
      </c>
      <c r="H1525" t="s">
        <v>2629</v>
      </c>
      <c r="I1525" t="s">
        <v>3965</v>
      </c>
    </row>
    <row r="1526" spans="1:9">
      <c r="A1526" s="93" t="s">
        <v>4167</v>
      </c>
      <c r="B1526" t="s">
        <v>1864</v>
      </c>
      <c r="C1526" t="s">
        <v>2631</v>
      </c>
      <c r="D1526" t="s">
        <v>2537</v>
      </c>
      <c r="E1526" t="s">
        <v>2135</v>
      </c>
      <c r="F1526" t="s">
        <v>2632</v>
      </c>
      <c r="G1526" t="s">
        <v>4168</v>
      </c>
      <c r="H1526" t="s">
        <v>2355</v>
      </c>
      <c r="I1526" t="s">
        <v>3965</v>
      </c>
    </row>
    <row r="1527" spans="1:9">
      <c r="A1527" s="93" t="s">
        <v>4167</v>
      </c>
      <c r="B1527" t="s">
        <v>1864</v>
      </c>
      <c r="C1527" t="s">
        <v>2633</v>
      </c>
      <c r="D1527" t="s">
        <v>2571</v>
      </c>
      <c r="E1527" t="s">
        <v>2135</v>
      </c>
      <c r="F1527" t="s">
        <v>2632</v>
      </c>
      <c r="G1527" t="s">
        <v>4168</v>
      </c>
      <c r="H1527" t="s">
        <v>2355</v>
      </c>
      <c r="I1527" t="s">
        <v>3965</v>
      </c>
    </row>
    <row r="1528" spans="1:9">
      <c r="A1528" s="93" t="s">
        <v>4167</v>
      </c>
      <c r="B1528" t="s">
        <v>1864</v>
      </c>
      <c r="C1528" t="s">
        <v>2634</v>
      </c>
      <c r="D1528" t="s">
        <v>2563</v>
      </c>
      <c r="E1528" t="s">
        <v>2288</v>
      </c>
      <c r="F1528" t="s">
        <v>2635</v>
      </c>
      <c r="G1528" t="s">
        <v>4143</v>
      </c>
      <c r="H1528" t="s">
        <v>2288</v>
      </c>
      <c r="I1528" t="s">
        <v>3965</v>
      </c>
    </row>
    <row r="1529" spans="1:9">
      <c r="A1529" s="93" t="s">
        <v>4167</v>
      </c>
      <c r="B1529" t="s">
        <v>1864</v>
      </c>
      <c r="C1529" t="s">
        <v>2857</v>
      </c>
      <c r="D1529" t="s">
        <v>2533</v>
      </c>
      <c r="E1529" t="s">
        <v>2858</v>
      </c>
      <c r="F1529" t="s">
        <v>2859</v>
      </c>
      <c r="G1529" t="s">
        <v>4143</v>
      </c>
      <c r="H1529" t="s">
        <v>543</v>
      </c>
      <c r="I1529" t="s">
        <v>3965</v>
      </c>
    </row>
    <row r="1530" spans="1:9">
      <c r="A1530" s="93" t="s">
        <v>4167</v>
      </c>
      <c r="B1530" t="s">
        <v>1864</v>
      </c>
      <c r="C1530" t="s">
        <v>2860</v>
      </c>
      <c r="D1530" t="s">
        <v>2591</v>
      </c>
      <c r="E1530" t="s">
        <v>2861</v>
      </c>
      <c r="F1530" t="s">
        <v>2862</v>
      </c>
      <c r="G1530" t="s">
        <v>4143</v>
      </c>
      <c r="H1530" t="s">
        <v>543</v>
      </c>
      <c r="I1530" t="s">
        <v>3965</v>
      </c>
    </row>
    <row r="1531" spans="1:9">
      <c r="A1531" s="93" t="s">
        <v>4167</v>
      </c>
      <c r="B1531" t="s">
        <v>1864</v>
      </c>
      <c r="C1531" t="s">
        <v>2863</v>
      </c>
      <c r="D1531" t="s">
        <v>2533</v>
      </c>
      <c r="E1531" t="s">
        <v>543</v>
      </c>
      <c r="F1531" t="s">
        <v>2864</v>
      </c>
      <c r="G1531" t="s">
        <v>4143</v>
      </c>
      <c r="H1531" t="s">
        <v>543</v>
      </c>
      <c r="I1531" t="s">
        <v>3965</v>
      </c>
    </row>
    <row r="1532" spans="1:9">
      <c r="A1532" s="93" t="s">
        <v>4167</v>
      </c>
      <c r="B1532" t="s">
        <v>1864</v>
      </c>
      <c r="C1532" t="s">
        <v>2636</v>
      </c>
      <c r="D1532" t="s">
        <v>2582</v>
      </c>
      <c r="E1532" t="s">
        <v>2135</v>
      </c>
      <c r="G1532" t="s">
        <v>4168</v>
      </c>
      <c r="H1532" t="s">
        <v>2355</v>
      </c>
      <c r="I1532" t="s">
        <v>3965</v>
      </c>
    </row>
    <row r="1533" spans="1:9">
      <c r="A1533" s="93" t="s">
        <v>4167</v>
      </c>
      <c r="B1533" t="s">
        <v>1864</v>
      </c>
      <c r="C1533" t="s">
        <v>2637</v>
      </c>
      <c r="D1533" t="s">
        <v>2619</v>
      </c>
      <c r="E1533" t="s">
        <v>2338</v>
      </c>
      <c r="G1533" t="s">
        <v>4168</v>
      </c>
      <c r="H1533" t="s">
        <v>2379</v>
      </c>
      <c r="I1533" t="s">
        <v>3965</v>
      </c>
    </row>
    <row r="1534" spans="1:9">
      <c r="A1534" s="93" t="s">
        <v>4167</v>
      </c>
      <c r="B1534" t="s">
        <v>1864</v>
      </c>
      <c r="C1534" t="s">
        <v>2638</v>
      </c>
      <c r="D1534" t="s">
        <v>2537</v>
      </c>
      <c r="E1534" t="s">
        <v>2338</v>
      </c>
      <c r="F1534" t="s">
        <v>2639</v>
      </c>
      <c r="G1534" t="s">
        <v>4168</v>
      </c>
      <c r="H1534" t="s">
        <v>2379</v>
      </c>
      <c r="I1534" t="s">
        <v>3965</v>
      </c>
    </row>
    <row r="1535" spans="1:9">
      <c r="A1535" s="93" t="s">
        <v>4167</v>
      </c>
      <c r="B1535" t="s">
        <v>1866</v>
      </c>
      <c r="C1535" t="s">
        <v>2546</v>
      </c>
      <c r="D1535" t="s">
        <v>2546</v>
      </c>
      <c r="E1535" t="s">
        <v>2135</v>
      </c>
      <c r="F1535" t="s">
        <v>2580</v>
      </c>
      <c r="G1535" t="s">
        <v>4168</v>
      </c>
      <c r="H1535" t="s">
        <v>2355</v>
      </c>
      <c r="I1535" t="s">
        <v>3969</v>
      </c>
    </row>
    <row r="1536" spans="1:9">
      <c r="A1536" s="93" t="s">
        <v>4167</v>
      </c>
      <c r="B1536" t="s">
        <v>1866</v>
      </c>
      <c r="C1536" t="s">
        <v>2643</v>
      </c>
      <c r="D1536" t="s">
        <v>2579</v>
      </c>
      <c r="E1536" t="s">
        <v>2288</v>
      </c>
      <c r="F1536" t="s">
        <v>2644</v>
      </c>
      <c r="G1536" t="s">
        <v>4143</v>
      </c>
      <c r="H1536" t="s">
        <v>2288</v>
      </c>
      <c r="I1536" t="s">
        <v>3969</v>
      </c>
    </row>
    <row r="1537" spans="1:9">
      <c r="A1537" s="93" t="s">
        <v>4167</v>
      </c>
      <c r="B1537" t="s">
        <v>1866</v>
      </c>
      <c r="C1537" t="s">
        <v>2645</v>
      </c>
      <c r="D1537" t="s">
        <v>2537</v>
      </c>
      <c r="E1537" t="s">
        <v>2288</v>
      </c>
      <c r="F1537" t="s">
        <v>2646</v>
      </c>
      <c r="G1537" t="s">
        <v>4143</v>
      </c>
      <c r="H1537" t="s">
        <v>2288</v>
      </c>
      <c r="I1537" t="s">
        <v>3969</v>
      </c>
    </row>
    <row r="1538" spans="1:9">
      <c r="A1538" s="93" t="s">
        <v>4167</v>
      </c>
      <c r="B1538" t="s">
        <v>1866</v>
      </c>
      <c r="C1538" t="s">
        <v>2647</v>
      </c>
      <c r="D1538" t="s">
        <v>2591</v>
      </c>
      <c r="E1538" t="s">
        <v>2135</v>
      </c>
      <c r="G1538" t="s">
        <v>4168</v>
      </c>
      <c r="H1538" t="s">
        <v>2355</v>
      </c>
      <c r="I1538" t="s">
        <v>3969</v>
      </c>
    </row>
    <row r="1539" spans="1:9">
      <c r="A1539" s="93" t="s">
        <v>4167</v>
      </c>
      <c r="B1539" t="s">
        <v>1866</v>
      </c>
      <c r="C1539" t="s">
        <v>2648</v>
      </c>
      <c r="D1539" t="s">
        <v>2591</v>
      </c>
      <c r="E1539" t="s">
        <v>2288</v>
      </c>
      <c r="F1539" t="s">
        <v>2649</v>
      </c>
      <c r="G1539" t="s">
        <v>4143</v>
      </c>
      <c r="H1539" t="s">
        <v>2288</v>
      </c>
      <c r="I1539" t="s">
        <v>3969</v>
      </c>
    </row>
    <row r="1540" spans="1:9">
      <c r="A1540" s="93" t="s">
        <v>4167</v>
      </c>
      <c r="B1540" t="s">
        <v>1866</v>
      </c>
      <c r="C1540" t="s">
        <v>2650</v>
      </c>
      <c r="D1540" t="s">
        <v>2571</v>
      </c>
      <c r="E1540" t="s">
        <v>2651</v>
      </c>
      <c r="F1540" t="s">
        <v>2652</v>
      </c>
      <c r="G1540" t="s">
        <v>4143</v>
      </c>
      <c r="H1540" t="s">
        <v>2288</v>
      </c>
      <c r="I1540" t="s">
        <v>3969</v>
      </c>
    </row>
    <row r="1541" spans="1:9">
      <c r="A1541" s="93" t="s">
        <v>4167</v>
      </c>
      <c r="B1541" t="s">
        <v>1866</v>
      </c>
      <c r="C1541" t="s">
        <v>2866</v>
      </c>
      <c r="D1541" t="s">
        <v>2591</v>
      </c>
      <c r="E1541" t="s">
        <v>543</v>
      </c>
      <c r="F1541" t="s">
        <v>2867</v>
      </c>
      <c r="G1541" t="s">
        <v>4143</v>
      </c>
      <c r="H1541" t="s">
        <v>543</v>
      </c>
      <c r="I1541" t="s">
        <v>3969</v>
      </c>
    </row>
    <row r="1542" spans="1:9">
      <c r="A1542" s="93" t="s">
        <v>4167</v>
      </c>
      <c r="B1542" t="s">
        <v>1866</v>
      </c>
      <c r="C1542" t="s">
        <v>2653</v>
      </c>
      <c r="D1542" t="s">
        <v>2533</v>
      </c>
      <c r="E1542" t="s">
        <v>2288</v>
      </c>
      <c r="F1542" t="s">
        <v>2654</v>
      </c>
      <c r="G1542" t="s">
        <v>4143</v>
      </c>
      <c r="H1542" t="s">
        <v>2288</v>
      </c>
      <c r="I1542" t="s">
        <v>3969</v>
      </c>
    </row>
    <row r="1543" spans="1:9">
      <c r="A1543" s="93" t="s">
        <v>4167</v>
      </c>
      <c r="B1543" t="s">
        <v>1866</v>
      </c>
      <c r="C1543" t="s">
        <v>2655</v>
      </c>
      <c r="D1543" t="s">
        <v>2571</v>
      </c>
      <c r="E1543" t="s">
        <v>2288</v>
      </c>
      <c r="F1543" t="s">
        <v>2656</v>
      </c>
      <c r="G1543" t="s">
        <v>4143</v>
      </c>
      <c r="H1543" t="s">
        <v>2288</v>
      </c>
      <c r="I1543" t="s">
        <v>3969</v>
      </c>
    </row>
    <row r="1544" spans="1:9">
      <c r="A1544" s="93" t="s">
        <v>4167</v>
      </c>
      <c r="B1544" t="s">
        <v>1866</v>
      </c>
      <c r="C1544" t="s">
        <v>2657</v>
      </c>
      <c r="D1544" t="s">
        <v>2533</v>
      </c>
      <c r="E1544" t="s">
        <v>2288</v>
      </c>
      <c r="F1544" t="s">
        <v>2658</v>
      </c>
      <c r="G1544" t="s">
        <v>4143</v>
      </c>
      <c r="H1544" t="s">
        <v>2288</v>
      </c>
      <c r="I1544" t="s">
        <v>3969</v>
      </c>
    </row>
    <row r="1545" spans="1:9">
      <c r="A1545" s="93" t="s">
        <v>4167</v>
      </c>
      <c r="B1545" t="s">
        <v>1866</v>
      </c>
      <c r="C1545" t="s">
        <v>2659</v>
      </c>
      <c r="D1545" t="s">
        <v>2559</v>
      </c>
      <c r="E1545" t="s">
        <v>2288</v>
      </c>
      <c r="F1545" t="s">
        <v>2660</v>
      </c>
      <c r="G1545" t="s">
        <v>4143</v>
      </c>
      <c r="H1545" t="s">
        <v>2288</v>
      </c>
      <c r="I1545" t="s">
        <v>3969</v>
      </c>
    </row>
    <row r="1546" spans="1:9">
      <c r="A1546" s="93" t="s">
        <v>4167</v>
      </c>
      <c r="B1546" t="s">
        <v>1866</v>
      </c>
      <c r="C1546" t="s">
        <v>2661</v>
      </c>
      <c r="D1546" t="s">
        <v>2559</v>
      </c>
      <c r="E1546" t="s">
        <v>2135</v>
      </c>
      <c r="F1546" t="s">
        <v>2662</v>
      </c>
      <c r="G1546" t="s">
        <v>4168</v>
      </c>
      <c r="H1546" t="s">
        <v>2355</v>
      </c>
      <c r="I1546" t="s">
        <v>3969</v>
      </c>
    </row>
    <row r="1547" spans="1:9">
      <c r="A1547" s="93" t="s">
        <v>4167</v>
      </c>
      <c r="B1547" t="s">
        <v>1866</v>
      </c>
      <c r="C1547" t="s">
        <v>2663</v>
      </c>
      <c r="D1547" t="s">
        <v>2559</v>
      </c>
      <c r="E1547" t="s">
        <v>2288</v>
      </c>
      <c r="F1547" t="s">
        <v>2664</v>
      </c>
      <c r="G1547" t="s">
        <v>4143</v>
      </c>
      <c r="H1547" t="s">
        <v>2288</v>
      </c>
      <c r="I1547" t="s">
        <v>3969</v>
      </c>
    </row>
    <row r="1548" spans="1:9">
      <c r="A1548" s="93" t="s">
        <v>4167</v>
      </c>
      <c r="B1548" t="s">
        <v>1866</v>
      </c>
      <c r="C1548" t="s">
        <v>2665</v>
      </c>
      <c r="D1548" t="s">
        <v>2563</v>
      </c>
      <c r="E1548" t="s">
        <v>2288</v>
      </c>
      <c r="F1548" t="s">
        <v>2666</v>
      </c>
      <c r="G1548" t="s">
        <v>4143</v>
      </c>
      <c r="H1548" t="s">
        <v>2288</v>
      </c>
      <c r="I1548" t="s">
        <v>3969</v>
      </c>
    </row>
    <row r="1549" spans="1:9">
      <c r="A1549" s="93" t="s">
        <v>4167</v>
      </c>
      <c r="B1549" t="s">
        <v>1866</v>
      </c>
      <c r="C1549" t="s">
        <v>2667</v>
      </c>
      <c r="D1549" t="s">
        <v>2571</v>
      </c>
      <c r="E1549" t="s">
        <v>2668</v>
      </c>
      <c r="F1549" t="s">
        <v>2670</v>
      </c>
      <c r="G1549" t="s">
        <v>4143</v>
      </c>
      <c r="H1549" t="s">
        <v>2669</v>
      </c>
      <c r="I1549" t="s">
        <v>3969</v>
      </c>
    </row>
    <row r="1550" spans="1:9">
      <c r="A1550" s="93" t="s">
        <v>4167</v>
      </c>
      <c r="B1550" t="s">
        <v>1866</v>
      </c>
      <c r="C1550" t="s">
        <v>2671</v>
      </c>
      <c r="D1550" t="s">
        <v>2591</v>
      </c>
      <c r="E1550" t="s">
        <v>2288</v>
      </c>
      <c r="F1550" t="s">
        <v>2672</v>
      </c>
      <c r="G1550" t="s">
        <v>4143</v>
      </c>
      <c r="H1550" t="s">
        <v>2288</v>
      </c>
      <c r="I1550" t="s">
        <v>3969</v>
      </c>
    </row>
    <row r="1551" spans="1:9">
      <c r="A1551" s="93" t="s">
        <v>4167</v>
      </c>
      <c r="B1551" t="s">
        <v>1866</v>
      </c>
      <c r="C1551" t="s">
        <v>2868</v>
      </c>
      <c r="D1551" t="s">
        <v>2563</v>
      </c>
      <c r="E1551" t="s">
        <v>543</v>
      </c>
      <c r="F1551" t="s">
        <v>2869</v>
      </c>
      <c r="G1551" t="s">
        <v>4143</v>
      </c>
      <c r="H1551" t="s">
        <v>543</v>
      </c>
      <c r="I1551" t="s">
        <v>3969</v>
      </c>
    </row>
    <row r="1552" spans="1:9">
      <c r="A1552" s="93" t="s">
        <v>4167</v>
      </c>
      <c r="B1552" t="s">
        <v>1866</v>
      </c>
      <c r="C1552" t="s">
        <v>2673</v>
      </c>
      <c r="D1552" t="s">
        <v>2537</v>
      </c>
      <c r="E1552" t="s">
        <v>2338</v>
      </c>
      <c r="G1552" t="s">
        <v>4168</v>
      </c>
      <c r="H1552" t="s">
        <v>2379</v>
      </c>
      <c r="I1552" t="s">
        <v>3969</v>
      </c>
    </row>
    <row r="1553" spans="1:9">
      <c r="A1553" s="93" t="s">
        <v>4167</v>
      </c>
      <c r="B1553" t="s">
        <v>1866</v>
      </c>
      <c r="C1553" t="s">
        <v>2674</v>
      </c>
      <c r="D1553" t="s">
        <v>2533</v>
      </c>
      <c r="E1553" t="s">
        <v>1201</v>
      </c>
      <c r="F1553" t="s">
        <v>2675</v>
      </c>
      <c r="G1553" t="s">
        <v>4143</v>
      </c>
      <c r="H1553" t="s">
        <v>1201</v>
      </c>
      <c r="I1553" t="s">
        <v>3969</v>
      </c>
    </row>
    <row r="1554" spans="1:9">
      <c r="A1554" s="93" t="s">
        <v>4167</v>
      </c>
      <c r="B1554" t="s">
        <v>1870</v>
      </c>
      <c r="C1554" t="s">
        <v>2546</v>
      </c>
      <c r="D1554" t="s">
        <v>2546</v>
      </c>
      <c r="E1554" t="s">
        <v>2135</v>
      </c>
      <c r="F1554" t="s">
        <v>2580</v>
      </c>
      <c r="G1554" t="s">
        <v>4168</v>
      </c>
      <c r="H1554" t="s">
        <v>2355</v>
      </c>
      <c r="I1554" t="s">
        <v>3973</v>
      </c>
    </row>
    <row r="1555" spans="1:9">
      <c r="A1555" s="93" t="s">
        <v>4167</v>
      </c>
      <c r="B1555" t="s">
        <v>1870</v>
      </c>
      <c r="C1555" t="s">
        <v>2677</v>
      </c>
      <c r="D1555" t="s">
        <v>2533</v>
      </c>
      <c r="E1555" t="s">
        <v>2288</v>
      </c>
      <c r="F1555" t="s">
        <v>2678</v>
      </c>
      <c r="G1555" t="s">
        <v>4143</v>
      </c>
      <c r="H1555" t="s">
        <v>2288</v>
      </c>
      <c r="I1555" t="s">
        <v>3973</v>
      </c>
    </row>
    <row r="1556" spans="1:9">
      <c r="A1556" s="93" t="s">
        <v>4167</v>
      </c>
      <c r="B1556" t="s">
        <v>1870</v>
      </c>
      <c r="C1556" t="s">
        <v>2871</v>
      </c>
      <c r="D1556" t="s">
        <v>2537</v>
      </c>
      <c r="E1556" t="s">
        <v>2872</v>
      </c>
      <c r="F1556" t="s">
        <v>2873</v>
      </c>
      <c r="G1556" t="s">
        <v>4143</v>
      </c>
      <c r="H1556" t="s">
        <v>543</v>
      </c>
      <c r="I1556" t="s">
        <v>3973</v>
      </c>
    </row>
    <row r="1557" spans="1:9">
      <c r="A1557" s="93" t="s">
        <v>4167</v>
      </c>
      <c r="B1557" t="s">
        <v>1870</v>
      </c>
      <c r="C1557" t="s">
        <v>2874</v>
      </c>
      <c r="D1557" t="s">
        <v>2554</v>
      </c>
      <c r="E1557" t="s">
        <v>543</v>
      </c>
      <c r="G1557" t="s">
        <v>4143</v>
      </c>
      <c r="H1557" t="s">
        <v>543</v>
      </c>
      <c r="I1557" t="s">
        <v>3973</v>
      </c>
    </row>
    <row r="1558" spans="1:9">
      <c r="A1558" s="93" t="s">
        <v>4167</v>
      </c>
      <c r="B1558" t="s">
        <v>1870</v>
      </c>
      <c r="C1558" t="s">
        <v>2679</v>
      </c>
      <c r="D1558" t="s">
        <v>2537</v>
      </c>
      <c r="E1558" t="s">
        <v>2288</v>
      </c>
      <c r="F1558" t="s">
        <v>2680</v>
      </c>
      <c r="G1558" t="s">
        <v>4143</v>
      </c>
      <c r="H1558" t="s">
        <v>2288</v>
      </c>
      <c r="I1558" t="s">
        <v>3973</v>
      </c>
    </row>
    <row r="1559" spans="1:9">
      <c r="A1559" s="93" t="s">
        <v>4167</v>
      </c>
      <c r="B1559" t="s">
        <v>1870</v>
      </c>
      <c r="C1559" t="s">
        <v>2681</v>
      </c>
      <c r="D1559" t="s">
        <v>2563</v>
      </c>
      <c r="E1559" t="s">
        <v>108</v>
      </c>
      <c r="F1559" t="s">
        <v>2682</v>
      </c>
      <c r="G1559" t="s">
        <v>4143</v>
      </c>
      <c r="H1559" t="s">
        <v>108</v>
      </c>
      <c r="I1559" t="s">
        <v>3973</v>
      </c>
    </row>
    <row r="1560" spans="1:9">
      <c r="A1560" s="93" t="s">
        <v>4167</v>
      </c>
      <c r="B1560" t="s">
        <v>1870</v>
      </c>
      <c r="C1560" t="s">
        <v>2683</v>
      </c>
      <c r="D1560" t="s">
        <v>2537</v>
      </c>
      <c r="E1560" t="s">
        <v>2684</v>
      </c>
      <c r="F1560" t="s">
        <v>2686</v>
      </c>
      <c r="G1560" t="s">
        <v>4168</v>
      </c>
      <c r="H1560" t="s">
        <v>2875</v>
      </c>
      <c r="I1560" t="s">
        <v>3973</v>
      </c>
    </row>
    <row r="1561" spans="1:9">
      <c r="A1561" s="93" t="s">
        <v>4167</v>
      </c>
      <c r="B1561" t="s">
        <v>1870</v>
      </c>
      <c r="C1561" t="s">
        <v>2687</v>
      </c>
      <c r="D1561" t="s">
        <v>2554</v>
      </c>
      <c r="E1561" t="s">
        <v>2288</v>
      </c>
      <c r="F1561" t="s">
        <v>2688</v>
      </c>
      <c r="G1561" t="s">
        <v>4143</v>
      </c>
      <c r="H1561" t="s">
        <v>2288</v>
      </c>
      <c r="I1561" t="s">
        <v>3973</v>
      </c>
    </row>
    <row r="1562" spans="1:9">
      <c r="A1562" s="93" t="s">
        <v>4167</v>
      </c>
      <c r="B1562" t="s">
        <v>1870</v>
      </c>
      <c r="C1562" t="s">
        <v>2876</v>
      </c>
      <c r="D1562" t="s">
        <v>2554</v>
      </c>
      <c r="E1562" t="s">
        <v>2877</v>
      </c>
      <c r="F1562" t="s">
        <v>2878</v>
      </c>
      <c r="G1562" t="s">
        <v>4143</v>
      </c>
      <c r="H1562" t="s">
        <v>543</v>
      </c>
      <c r="I1562" t="s">
        <v>3973</v>
      </c>
    </row>
    <row r="1563" spans="1:9">
      <c r="A1563" s="93" t="s">
        <v>4167</v>
      </c>
      <c r="B1563" t="s">
        <v>1870</v>
      </c>
      <c r="C1563" t="s">
        <v>2689</v>
      </c>
      <c r="D1563" t="s">
        <v>2554</v>
      </c>
      <c r="E1563" t="s">
        <v>2288</v>
      </c>
      <c r="F1563" t="s">
        <v>2690</v>
      </c>
      <c r="G1563" t="s">
        <v>4143</v>
      </c>
      <c r="H1563" t="s">
        <v>2288</v>
      </c>
      <c r="I1563" t="s">
        <v>3973</v>
      </c>
    </row>
    <row r="1564" spans="1:9">
      <c r="A1564" s="93" t="s">
        <v>4167</v>
      </c>
      <c r="B1564" t="s">
        <v>1870</v>
      </c>
      <c r="C1564" t="s">
        <v>2879</v>
      </c>
      <c r="D1564" t="s">
        <v>2537</v>
      </c>
      <c r="E1564" t="s">
        <v>543</v>
      </c>
      <c r="F1564" t="s">
        <v>2880</v>
      </c>
      <c r="G1564" t="s">
        <v>4143</v>
      </c>
      <c r="H1564" t="s">
        <v>543</v>
      </c>
      <c r="I1564" t="s">
        <v>3973</v>
      </c>
    </row>
    <row r="1565" spans="1:9">
      <c r="A1565" s="93" t="s">
        <v>4167</v>
      </c>
      <c r="B1565" t="s">
        <v>1870</v>
      </c>
      <c r="C1565" t="s">
        <v>2691</v>
      </c>
      <c r="D1565" t="s">
        <v>2533</v>
      </c>
      <c r="E1565" t="s">
        <v>2135</v>
      </c>
      <c r="F1565" t="s">
        <v>2692</v>
      </c>
      <c r="G1565" t="s">
        <v>4168</v>
      </c>
      <c r="H1565" t="s">
        <v>2355</v>
      </c>
      <c r="I1565" t="s">
        <v>3973</v>
      </c>
    </row>
    <row r="1566" spans="1:9">
      <c r="A1566" s="93" t="s">
        <v>4167</v>
      </c>
      <c r="B1566" t="s">
        <v>1870</v>
      </c>
      <c r="C1566" t="s">
        <v>2881</v>
      </c>
      <c r="D1566" t="s">
        <v>2591</v>
      </c>
      <c r="E1566" t="s">
        <v>2882</v>
      </c>
      <c r="F1566" t="s">
        <v>2883</v>
      </c>
      <c r="G1566" t="s">
        <v>4143</v>
      </c>
      <c r="H1566" t="s">
        <v>543</v>
      </c>
      <c r="I1566" t="s">
        <v>3973</v>
      </c>
    </row>
    <row r="1567" spans="1:9">
      <c r="A1567" s="93" t="s">
        <v>4167</v>
      </c>
      <c r="B1567" t="s">
        <v>1870</v>
      </c>
      <c r="C1567" t="s">
        <v>2693</v>
      </c>
      <c r="D1567" t="s">
        <v>2533</v>
      </c>
      <c r="E1567" t="s">
        <v>2288</v>
      </c>
      <c r="F1567" t="s">
        <v>2694</v>
      </c>
      <c r="G1567" t="s">
        <v>4143</v>
      </c>
      <c r="H1567" t="s">
        <v>2288</v>
      </c>
      <c r="I1567" t="s">
        <v>3973</v>
      </c>
    </row>
    <row r="1568" spans="1:9">
      <c r="A1568" s="93" t="s">
        <v>4167</v>
      </c>
      <c r="B1568" t="s">
        <v>1870</v>
      </c>
      <c r="C1568" t="s">
        <v>2695</v>
      </c>
      <c r="D1568" t="s">
        <v>2591</v>
      </c>
      <c r="E1568" t="s">
        <v>2288</v>
      </c>
      <c r="F1568" t="s">
        <v>2696</v>
      </c>
      <c r="G1568" t="s">
        <v>4143</v>
      </c>
      <c r="H1568" t="s">
        <v>2288</v>
      </c>
      <c r="I1568" t="s">
        <v>3973</v>
      </c>
    </row>
    <row r="1569" spans="1:9">
      <c r="A1569" s="93" t="s">
        <v>4167</v>
      </c>
      <c r="B1569" t="s">
        <v>1870</v>
      </c>
      <c r="C1569" t="s">
        <v>2697</v>
      </c>
      <c r="D1569" t="s">
        <v>2582</v>
      </c>
      <c r="E1569" t="s">
        <v>2367</v>
      </c>
      <c r="F1569" t="s">
        <v>2698</v>
      </c>
      <c r="G1569" t="s">
        <v>4143</v>
      </c>
      <c r="H1569" t="s">
        <v>2367</v>
      </c>
      <c r="I1569" t="s">
        <v>3973</v>
      </c>
    </row>
    <row r="1570" spans="1:9">
      <c r="A1570" s="93" t="s">
        <v>4167</v>
      </c>
      <c r="B1570" t="s">
        <v>1870</v>
      </c>
      <c r="C1570" t="s">
        <v>2699</v>
      </c>
      <c r="D1570" t="s">
        <v>2571</v>
      </c>
      <c r="E1570" t="s">
        <v>2288</v>
      </c>
      <c r="F1570" t="s">
        <v>2700</v>
      </c>
      <c r="G1570" t="s">
        <v>4143</v>
      </c>
      <c r="H1570" t="s">
        <v>2288</v>
      </c>
      <c r="I1570" t="s">
        <v>3973</v>
      </c>
    </row>
    <row r="1571" spans="1:9">
      <c r="A1571" s="93" t="s">
        <v>4167</v>
      </c>
      <c r="B1571" t="s">
        <v>1870</v>
      </c>
      <c r="C1571" t="s">
        <v>2701</v>
      </c>
      <c r="D1571" t="s">
        <v>2559</v>
      </c>
      <c r="E1571" t="s">
        <v>2193</v>
      </c>
      <c r="F1571" t="s">
        <v>2702</v>
      </c>
      <c r="G1571" t="s">
        <v>4143</v>
      </c>
      <c r="H1571" t="s">
        <v>2193</v>
      </c>
      <c r="I1571" t="s">
        <v>3973</v>
      </c>
    </row>
    <row r="1572" spans="1:9">
      <c r="A1572" s="93" t="s">
        <v>4167</v>
      </c>
      <c r="B1572" t="s">
        <v>1870</v>
      </c>
      <c r="C1572" t="s">
        <v>2703</v>
      </c>
      <c r="D1572" t="s">
        <v>2554</v>
      </c>
      <c r="E1572" t="s">
        <v>2193</v>
      </c>
      <c r="F1572" t="s">
        <v>2704</v>
      </c>
      <c r="G1572" t="s">
        <v>4143</v>
      </c>
      <c r="H1572" t="s">
        <v>2193</v>
      </c>
      <c r="I1572" t="s">
        <v>3973</v>
      </c>
    </row>
    <row r="1573" spans="1:9">
      <c r="A1573" s="93" t="s">
        <v>4167</v>
      </c>
      <c r="B1573" t="s">
        <v>1870</v>
      </c>
      <c r="C1573" t="s">
        <v>2884</v>
      </c>
      <c r="D1573" t="s">
        <v>2591</v>
      </c>
      <c r="E1573" t="s">
        <v>543</v>
      </c>
      <c r="F1573" t="s">
        <v>2885</v>
      </c>
      <c r="G1573" t="s">
        <v>4143</v>
      </c>
      <c r="H1573" t="s">
        <v>543</v>
      </c>
      <c r="I1573" t="s">
        <v>3973</v>
      </c>
    </row>
    <row r="1574" spans="1:9">
      <c r="A1574" s="93" t="s">
        <v>4167</v>
      </c>
      <c r="B1574" t="s">
        <v>1870</v>
      </c>
      <c r="C1574" t="s">
        <v>2705</v>
      </c>
      <c r="D1574" t="s">
        <v>2554</v>
      </c>
      <c r="E1574" t="s">
        <v>2338</v>
      </c>
      <c r="G1574" t="s">
        <v>4168</v>
      </c>
      <c r="H1574" t="s">
        <v>2379</v>
      </c>
      <c r="I1574" t="s">
        <v>3973</v>
      </c>
    </row>
    <row r="1575" spans="1:9">
      <c r="A1575" s="93" t="s">
        <v>4167</v>
      </c>
      <c r="B1575" t="s">
        <v>1870</v>
      </c>
      <c r="C1575" t="s">
        <v>2706</v>
      </c>
      <c r="D1575" t="s">
        <v>2591</v>
      </c>
      <c r="E1575" t="s">
        <v>108</v>
      </c>
      <c r="F1575" t="s">
        <v>2707</v>
      </c>
      <c r="G1575" t="s">
        <v>4143</v>
      </c>
      <c r="H1575" t="s">
        <v>108</v>
      </c>
      <c r="I1575" t="s">
        <v>3973</v>
      </c>
    </row>
    <row r="1576" spans="1:9">
      <c r="A1576" s="93" t="s">
        <v>4167</v>
      </c>
      <c r="B1576" t="s">
        <v>1872</v>
      </c>
      <c r="C1576" t="s">
        <v>2546</v>
      </c>
      <c r="D1576" t="s">
        <v>2546</v>
      </c>
      <c r="E1576" t="s">
        <v>2135</v>
      </c>
      <c r="F1576" t="s">
        <v>2580</v>
      </c>
      <c r="G1576" t="s">
        <v>4168</v>
      </c>
      <c r="H1576" t="s">
        <v>2355</v>
      </c>
      <c r="I1576" t="s">
        <v>3977</v>
      </c>
    </row>
    <row r="1577" spans="1:9">
      <c r="A1577" s="93" t="s">
        <v>4167</v>
      </c>
      <c r="B1577" t="s">
        <v>1872</v>
      </c>
      <c r="C1577" t="s">
        <v>2709</v>
      </c>
      <c r="D1577" t="s">
        <v>2582</v>
      </c>
      <c r="E1577" t="s">
        <v>2710</v>
      </c>
      <c r="G1577" t="s">
        <v>4143</v>
      </c>
      <c r="H1577" t="s">
        <v>2669</v>
      </c>
      <c r="I1577" t="s">
        <v>3977</v>
      </c>
    </row>
    <row r="1578" spans="1:9">
      <c r="A1578" s="93" t="s">
        <v>4167</v>
      </c>
      <c r="B1578" t="s">
        <v>1872</v>
      </c>
      <c r="C1578" t="s">
        <v>2711</v>
      </c>
      <c r="D1578" t="s">
        <v>2579</v>
      </c>
      <c r="E1578" t="s">
        <v>2288</v>
      </c>
      <c r="F1578" t="s">
        <v>2712</v>
      </c>
      <c r="G1578" t="s">
        <v>4143</v>
      </c>
      <c r="H1578" t="s">
        <v>2288</v>
      </c>
      <c r="I1578" t="s">
        <v>3977</v>
      </c>
    </row>
    <row r="1579" spans="1:9">
      <c r="A1579" s="93" t="s">
        <v>4167</v>
      </c>
      <c r="B1579" t="s">
        <v>1872</v>
      </c>
      <c r="C1579" t="s">
        <v>2788</v>
      </c>
      <c r="D1579" t="s">
        <v>2533</v>
      </c>
      <c r="E1579" t="s">
        <v>2789</v>
      </c>
      <c r="F1579" t="s">
        <v>2791</v>
      </c>
      <c r="G1579" t="s">
        <v>4143</v>
      </c>
      <c r="H1579" t="s">
        <v>2790</v>
      </c>
      <c r="I1579" t="s">
        <v>3977</v>
      </c>
    </row>
    <row r="1580" spans="1:9">
      <c r="A1580" s="93" t="s">
        <v>4167</v>
      </c>
      <c r="B1580" t="s">
        <v>1872</v>
      </c>
      <c r="C1580" t="s">
        <v>2713</v>
      </c>
      <c r="D1580" t="s">
        <v>2591</v>
      </c>
      <c r="E1580" t="s">
        <v>2288</v>
      </c>
      <c r="F1580" t="s">
        <v>2714</v>
      </c>
      <c r="G1580" t="s">
        <v>4143</v>
      </c>
      <c r="H1580" t="s">
        <v>2288</v>
      </c>
      <c r="I1580" t="s">
        <v>3977</v>
      </c>
    </row>
    <row r="1581" spans="1:9">
      <c r="A1581" s="93" t="s">
        <v>4167</v>
      </c>
      <c r="B1581" t="s">
        <v>1872</v>
      </c>
      <c r="C1581" t="s">
        <v>2715</v>
      </c>
      <c r="D1581" t="s">
        <v>2571</v>
      </c>
      <c r="E1581" t="s">
        <v>2288</v>
      </c>
      <c r="F1581" t="s">
        <v>2716</v>
      </c>
      <c r="G1581" t="s">
        <v>4143</v>
      </c>
      <c r="H1581" t="s">
        <v>2288</v>
      </c>
      <c r="I1581" t="s">
        <v>3977</v>
      </c>
    </row>
    <row r="1582" spans="1:9">
      <c r="A1582" s="93" t="s">
        <v>4167</v>
      </c>
      <c r="B1582" t="s">
        <v>1872</v>
      </c>
      <c r="C1582" t="s">
        <v>2717</v>
      </c>
      <c r="D1582" t="s">
        <v>2559</v>
      </c>
      <c r="E1582" t="s">
        <v>2288</v>
      </c>
      <c r="F1582" t="s">
        <v>2718</v>
      </c>
      <c r="G1582" t="s">
        <v>4143</v>
      </c>
      <c r="H1582" t="s">
        <v>2288</v>
      </c>
      <c r="I1582" t="s">
        <v>3977</v>
      </c>
    </row>
    <row r="1583" spans="1:9">
      <c r="A1583" s="93" t="s">
        <v>4167</v>
      </c>
      <c r="B1583" t="s">
        <v>1872</v>
      </c>
      <c r="C1583" t="s">
        <v>2719</v>
      </c>
      <c r="D1583" t="s">
        <v>2559</v>
      </c>
      <c r="E1583" t="s">
        <v>108</v>
      </c>
      <c r="F1583" t="s">
        <v>2720</v>
      </c>
      <c r="G1583" t="s">
        <v>4143</v>
      </c>
      <c r="H1583" t="s">
        <v>108</v>
      </c>
      <c r="I1583" t="s">
        <v>3977</v>
      </c>
    </row>
    <row r="1584" spans="1:9">
      <c r="A1584" s="93" t="s">
        <v>4167</v>
      </c>
      <c r="B1584" t="s">
        <v>1872</v>
      </c>
      <c r="C1584" t="s">
        <v>2721</v>
      </c>
      <c r="D1584" t="s">
        <v>2591</v>
      </c>
      <c r="E1584" t="s">
        <v>2288</v>
      </c>
      <c r="F1584" t="s">
        <v>2716</v>
      </c>
      <c r="G1584" t="s">
        <v>4143</v>
      </c>
      <c r="H1584" t="s">
        <v>2288</v>
      </c>
      <c r="I1584" t="s">
        <v>3977</v>
      </c>
    </row>
    <row r="1585" spans="1:9">
      <c r="A1585" s="93" t="s">
        <v>4167</v>
      </c>
      <c r="B1585" t="s">
        <v>1872</v>
      </c>
      <c r="C1585" t="s">
        <v>2725</v>
      </c>
      <c r="D1585" t="s">
        <v>2582</v>
      </c>
      <c r="E1585" t="s">
        <v>2193</v>
      </c>
      <c r="G1585" t="s">
        <v>4143</v>
      </c>
      <c r="H1585" t="s">
        <v>2193</v>
      </c>
      <c r="I1585" t="s">
        <v>3977</v>
      </c>
    </row>
    <row r="1586" spans="1:9">
      <c r="A1586" s="93" t="s">
        <v>4167</v>
      </c>
      <c r="B1586" t="s">
        <v>1872</v>
      </c>
      <c r="C1586" t="s">
        <v>2726</v>
      </c>
      <c r="D1586" t="s">
        <v>2591</v>
      </c>
      <c r="E1586" t="s">
        <v>108</v>
      </c>
      <c r="F1586" t="s">
        <v>2727</v>
      </c>
      <c r="G1586" t="s">
        <v>4143</v>
      </c>
      <c r="H1586" t="s">
        <v>108</v>
      </c>
      <c r="I1586" t="s">
        <v>3977</v>
      </c>
    </row>
    <row r="1587" spans="1:9">
      <c r="A1587" s="93" t="s">
        <v>4167</v>
      </c>
      <c r="B1587" t="s">
        <v>1872</v>
      </c>
      <c r="C1587" t="s">
        <v>2728</v>
      </c>
      <c r="D1587" t="s">
        <v>2545</v>
      </c>
      <c r="E1587" t="s">
        <v>2288</v>
      </c>
      <c r="F1587" t="s">
        <v>2729</v>
      </c>
      <c r="G1587" t="s">
        <v>4143</v>
      </c>
      <c r="H1587" t="s">
        <v>2288</v>
      </c>
      <c r="I1587" t="s">
        <v>3977</v>
      </c>
    </row>
    <row r="1588" spans="1:9">
      <c r="A1588" s="93" t="s">
        <v>4167</v>
      </c>
      <c r="B1588" t="s">
        <v>1872</v>
      </c>
      <c r="C1588" t="s">
        <v>2887</v>
      </c>
      <c r="D1588" t="s">
        <v>2563</v>
      </c>
      <c r="E1588" t="s">
        <v>543</v>
      </c>
      <c r="F1588" t="s">
        <v>2888</v>
      </c>
      <c r="G1588" t="s">
        <v>4143</v>
      </c>
      <c r="H1588" t="s">
        <v>543</v>
      </c>
      <c r="I1588" t="s">
        <v>3977</v>
      </c>
    </row>
    <row r="1589" spans="1:9">
      <c r="A1589" s="93" t="s">
        <v>4167</v>
      </c>
      <c r="B1589" t="s">
        <v>1872</v>
      </c>
      <c r="C1589" t="s">
        <v>2730</v>
      </c>
      <c r="D1589" t="s">
        <v>2545</v>
      </c>
      <c r="E1589" t="s">
        <v>2731</v>
      </c>
      <c r="F1589" t="s">
        <v>2732</v>
      </c>
      <c r="G1589" t="s">
        <v>4143</v>
      </c>
      <c r="H1589" t="s">
        <v>108</v>
      </c>
      <c r="I1589" t="s">
        <v>3977</v>
      </c>
    </row>
    <row r="1590" spans="1:9">
      <c r="A1590" s="93" t="s">
        <v>4167</v>
      </c>
      <c r="B1590" t="s">
        <v>1872</v>
      </c>
      <c r="C1590" t="s">
        <v>2733</v>
      </c>
      <c r="D1590" t="s">
        <v>2591</v>
      </c>
      <c r="E1590" t="s">
        <v>2288</v>
      </c>
      <c r="F1590" t="s">
        <v>2734</v>
      </c>
      <c r="G1590" t="s">
        <v>4143</v>
      </c>
      <c r="H1590" t="s">
        <v>2288</v>
      </c>
      <c r="I1590" t="s">
        <v>3977</v>
      </c>
    </row>
    <row r="1591" spans="1:9">
      <c r="A1591" s="93" t="s">
        <v>4167</v>
      </c>
      <c r="B1591" t="s">
        <v>1873</v>
      </c>
      <c r="C1591" t="s">
        <v>2546</v>
      </c>
      <c r="D1591" t="s">
        <v>2546</v>
      </c>
      <c r="E1591" t="s">
        <v>2135</v>
      </c>
      <c r="F1591" t="s">
        <v>2580</v>
      </c>
      <c r="G1591" t="s">
        <v>4168</v>
      </c>
      <c r="H1591" t="s">
        <v>2355</v>
      </c>
      <c r="I1591" t="s">
        <v>3981</v>
      </c>
    </row>
    <row r="1592" spans="1:9">
      <c r="A1592" s="93" t="s">
        <v>4167</v>
      </c>
      <c r="B1592" t="s">
        <v>1873</v>
      </c>
      <c r="C1592" t="s">
        <v>2736</v>
      </c>
      <c r="D1592" t="s">
        <v>2579</v>
      </c>
      <c r="E1592" t="s">
        <v>2737</v>
      </c>
      <c r="F1592" t="s">
        <v>2739</v>
      </c>
      <c r="G1592" t="s">
        <v>4168</v>
      </c>
      <c r="H1592" t="s">
        <v>2288</v>
      </c>
      <c r="I1592" t="s">
        <v>3981</v>
      </c>
    </row>
    <row r="1593" spans="1:9">
      <c r="A1593" s="93" t="s">
        <v>4167</v>
      </c>
      <c r="B1593" t="s">
        <v>1873</v>
      </c>
      <c r="C1593" t="s">
        <v>2740</v>
      </c>
      <c r="D1593" t="s">
        <v>2559</v>
      </c>
      <c r="E1593" t="s">
        <v>2741</v>
      </c>
      <c r="F1593" t="s">
        <v>2742</v>
      </c>
      <c r="G1593" t="s">
        <v>4143</v>
      </c>
      <c r="H1593" t="s">
        <v>2504</v>
      </c>
      <c r="I1593" t="s">
        <v>3981</v>
      </c>
    </row>
    <row r="1594" spans="1:9">
      <c r="A1594" s="93" t="s">
        <v>4167</v>
      </c>
      <c r="B1594" t="s">
        <v>1873</v>
      </c>
      <c r="C1594" t="s">
        <v>2743</v>
      </c>
      <c r="D1594" t="s">
        <v>2571</v>
      </c>
      <c r="E1594" t="s">
        <v>2744</v>
      </c>
      <c r="F1594" t="s">
        <v>2745</v>
      </c>
      <c r="G1594" t="s">
        <v>4143</v>
      </c>
      <c r="H1594" t="s">
        <v>2288</v>
      </c>
      <c r="I1594" t="s">
        <v>3981</v>
      </c>
    </row>
    <row r="1595" spans="1:9">
      <c r="A1595" s="93" t="s">
        <v>4167</v>
      </c>
      <c r="B1595" t="s">
        <v>1873</v>
      </c>
      <c r="C1595" t="s">
        <v>2746</v>
      </c>
      <c r="D1595" t="s">
        <v>2571</v>
      </c>
      <c r="E1595" t="s">
        <v>2744</v>
      </c>
      <c r="F1595" t="s">
        <v>2745</v>
      </c>
      <c r="G1595" t="s">
        <v>4143</v>
      </c>
      <c r="H1595" t="s">
        <v>2288</v>
      </c>
      <c r="I1595" t="s">
        <v>3981</v>
      </c>
    </row>
    <row r="1596" spans="1:9">
      <c r="A1596" s="93" t="s">
        <v>4167</v>
      </c>
      <c r="B1596" t="s">
        <v>1873</v>
      </c>
      <c r="C1596" t="s">
        <v>2747</v>
      </c>
      <c r="D1596" t="s">
        <v>2533</v>
      </c>
      <c r="E1596" t="s">
        <v>2288</v>
      </c>
      <c r="F1596" t="s">
        <v>2748</v>
      </c>
      <c r="G1596" t="s">
        <v>4143</v>
      </c>
      <c r="H1596" t="s">
        <v>2288</v>
      </c>
      <c r="I1596" t="s">
        <v>3981</v>
      </c>
    </row>
    <row r="1597" spans="1:9">
      <c r="A1597" s="93" t="s">
        <v>4167</v>
      </c>
      <c r="B1597" t="s">
        <v>1873</v>
      </c>
      <c r="C1597" t="s">
        <v>2749</v>
      </c>
      <c r="D1597" t="s">
        <v>2579</v>
      </c>
      <c r="E1597" t="s">
        <v>2288</v>
      </c>
      <c r="F1597" t="s">
        <v>2750</v>
      </c>
      <c r="G1597" t="s">
        <v>4143</v>
      </c>
      <c r="H1597" t="s">
        <v>2288</v>
      </c>
      <c r="I1597" t="s">
        <v>3981</v>
      </c>
    </row>
    <row r="1598" spans="1:9">
      <c r="A1598" s="93" t="s">
        <v>4167</v>
      </c>
      <c r="B1598" t="s">
        <v>1873</v>
      </c>
      <c r="C1598" t="s">
        <v>2751</v>
      </c>
      <c r="D1598" t="s">
        <v>2571</v>
      </c>
      <c r="E1598" t="s">
        <v>2288</v>
      </c>
      <c r="F1598" t="s">
        <v>2752</v>
      </c>
      <c r="G1598" t="s">
        <v>4143</v>
      </c>
      <c r="H1598" t="s">
        <v>2288</v>
      </c>
      <c r="I1598" t="s">
        <v>3981</v>
      </c>
    </row>
    <row r="1599" spans="1:9">
      <c r="A1599" s="93" t="s">
        <v>4167</v>
      </c>
      <c r="B1599" t="s">
        <v>1873</v>
      </c>
      <c r="C1599" t="s">
        <v>2753</v>
      </c>
      <c r="D1599" t="s">
        <v>2537</v>
      </c>
      <c r="E1599" t="s">
        <v>2288</v>
      </c>
      <c r="F1599" t="s">
        <v>2754</v>
      </c>
      <c r="G1599" t="s">
        <v>4143</v>
      </c>
      <c r="H1599" t="s">
        <v>2288</v>
      </c>
      <c r="I1599" t="s">
        <v>3981</v>
      </c>
    </row>
    <row r="1600" spans="1:9">
      <c r="A1600" s="93" t="s">
        <v>4167</v>
      </c>
      <c r="B1600" t="s">
        <v>1873</v>
      </c>
      <c r="C1600" t="s">
        <v>2755</v>
      </c>
      <c r="D1600" t="s">
        <v>2579</v>
      </c>
      <c r="E1600" t="s">
        <v>2288</v>
      </c>
      <c r="F1600" t="s">
        <v>2756</v>
      </c>
      <c r="G1600" t="s">
        <v>4143</v>
      </c>
      <c r="H1600" t="s">
        <v>2288</v>
      </c>
      <c r="I1600" t="s">
        <v>3981</v>
      </c>
    </row>
    <row r="1601" spans="1:9">
      <c r="A1601" s="93" t="s">
        <v>4167</v>
      </c>
      <c r="B1601" t="s">
        <v>1873</v>
      </c>
      <c r="C1601" t="s">
        <v>2757</v>
      </c>
      <c r="D1601" t="s">
        <v>2619</v>
      </c>
      <c r="E1601" t="s">
        <v>2288</v>
      </c>
      <c r="F1601" t="s">
        <v>2758</v>
      </c>
      <c r="G1601" t="s">
        <v>4143</v>
      </c>
      <c r="H1601" t="s">
        <v>2288</v>
      </c>
      <c r="I1601" t="s">
        <v>3981</v>
      </c>
    </row>
    <row r="1602" spans="1:9">
      <c r="A1602" s="93" t="s">
        <v>4167</v>
      </c>
      <c r="B1602" t="s">
        <v>1873</v>
      </c>
      <c r="C1602" t="s">
        <v>2759</v>
      </c>
      <c r="D1602" t="s">
        <v>2537</v>
      </c>
      <c r="E1602" t="s">
        <v>2288</v>
      </c>
      <c r="F1602" t="s">
        <v>2760</v>
      </c>
      <c r="G1602" t="s">
        <v>4143</v>
      </c>
      <c r="H1602" t="s">
        <v>2288</v>
      </c>
      <c r="I1602" t="s">
        <v>3981</v>
      </c>
    </row>
    <row r="1603" spans="1:9">
      <c r="A1603" s="93" t="s">
        <v>4167</v>
      </c>
      <c r="B1603" t="s">
        <v>1873</v>
      </c>
      <c r="C1603" t="s">
        <v>2761</v>
      </c>
      <c r="D1603" t="s">
        <v>2582</v>
      </c>
      <c r="E1603" t="s">
        <v>2762</v>
      </c>
      <c r="F1603" t="s">
        <v>2763</v>
      </c>
      <c r="G1603" t="s">
        <v>4143</v>
      </c>
      <c r="H1603" t="s">
        <v>2504</v>
      </c>
      <c r="I1603" t="s">
        <v>3981</v>
      </c>
    </row>
    <row r="1604" spans="1:9">
      <c r="A1604" s="93" t="s">
        <v>4167</v>
      </c>
      <c r="B1604" t="s">
        <v>1873</v>
      </c>
      <c r="C1604" t="s">
        <v>2764</v>
      </c>
      <c r="D1604" t="s">
        <v>2582</v>
      </c>
      <c r="E1604" t="s">
        <v>1201</v>
      </c>
      <c r="G1604" t="s">
        <v>4143</v>
      </c>
      <c r="H1604" t="s">
        <v>1201</v>
      </c>
      <c r="I1604" t="s">
        <v>3981</v>
      </c>
    </row>
    <row r="1605" spans="1:9">
      <c r="A1605" s="93" t="s">
        <v>4167</v>
      </c>
      <c r="B1605" t="s">
        <v>1873</v>
      </c>
      <c r="C1605" t="s">
        <v>2765</v>
      </c>
      <c r="D1605" t="s">
        <v>2563</v>
      </c>
      <c r="E1605" t="s">
        <v>2288</v>
      </c>
      <c r="F1605" t="s">
        <v>2712</v>
      </c>
      <c r="G1605" t="s">
        <v>4143</v>
      </c>
      <c r="H1605" t="s">
        <v>2288</v>
      </c>
      <c r="I1605" t="s">
        <v>3981</v>
      </c>
    </row>
    <row r="1606" spans="1:9">
      <c r="A1606" s="93" t="s">
        <v>4167</v>
      </c>
      <c r="B1606" t="s">
        <v>1874</v>
      </c>
      <c r="C1606" t="s">
        <v>2114</v>
      </c>
      <c r="D1606" t="s">
        <v>2115</v>
      </c>
      <c r="E1606" t="s">
        <v>1559</v>
      </c>
      <c r="F1606" t="s">
        <v>2117</v>
      </c>
      <c r="G1606" t="s">
        <v>4143</v>
      </c>
      <c r="H1606" t="s">
        <v>543</v>
      </c>
      <c r="I1606" t="s">
        <v>3984</v>
      </c>
    </row>
    <row r="1607" spans="1:9">
      <c r="A1607" s="93" t="s">
        <v>4167</v>
      </c>
      <c r="B1607" t="s">
        <v>1875</v>
      </c>
      <c r="C1607" t="s">
        <v>2134</v>
      </c>
      <c r="E1607" t="s">
        <v>2135</v>
      </c>
      <c r="F1607" t="s">
        <v>2137</v>
      </c>
      <c r="G1607" t="s">
        <v>4168</v>
      </c>
      <c r="H1607" t="s">
        <v>2461</v>
      </c>
      <c r="I1607" t="s">
        <v>3988</v>
      </c>
    </row>
    <row r="1608" spans="1:9">
      <c r="A1608" s="93" t="s">
        <v>4167</v>
      </c>
      <c r="B1608" t="s">
        <v>1881</v>
      </c>
      <c r="C1608" t="s">
        <v>2358</v>
      </c>
      <c r="E1608" t="s">
        <v>543</v>
      </c>
      <c r="F1608" t="s">
        <v>2359</v>
      </c>
      <c r="G1608" t="s">
        <v>4143</v>
      </c>
      <c r="H1608" t="s">
        <v>543</v>
      </c>
      <c r="I1608" t="s">
        <v>3996</v>
      </c>
    </row>
    <row r="1609" spans="1:9">
      <c r="A1609" s="93" t="s">
        <v>4167</v>
      </c>
      <c r="B1609" t="s">
        <v>1881</v>
      </c>
      <c r="C1609" t="s">
        <v>2360</v>
      </c>
      <c r="D1609" t="s">
        <v>2155</v>
      </c>
      <c r="E1609" t="s">
        <v>543</v>
      </c>
      <c r="F1609" t="s">
        <v>2361</v>
      </c>
      <c r="G1609" t="s">
        <v>4143</v>
      </c>
      <c r="H1609" t="s">
        <v>543</v>
      </c>
      <c r="I1609" t="s">
        <v>3996</v>
      </c>
    </row>
    <row r="1610" spans="1:9">
      <c r="A1610" s="93" t="s">
        <v>4167</v>
      </c>
      <c r="B1610" t="s">
        <v>1881</v>
      </c>
      <c r="C1610" t="s">
        <v>2158</v>
      </c>
      <c r="D1610" t="s">
        <v>2155</v>
      </c>
      <c r="E1610" t="s">
        <v>2159</v>
      </c>
      <c r="F1610" t="s">
        <v>2160</v>
      </c>
      <c r="G1610" t="s">
        <v>4143</v>
      </c>
      <c r="H1610" t="s">
        <v>543</v>
      </c>
      <c r="I1610" t="s">
        <v>3996</v>
      </c>
    </row>
    <row r="1611" spans="1:9">
      <c r="A1611" s="93" t="s">
        <v>4167</v>
      </c>
      <c r="B1611" t="s">
        <v>1882</v>
      </c>
      <c r="C1611" t="s">
        <v>2169</v>
      </c>
      <c r="D1611" t="s">
        <v>2129</v>
      </c>
      <c r="E1611" t="s">
        <v>2170</v>
      </c>
      <c r="G1611" t="s">
        <v>4168</v>
      </c>
      <c r="H1611" t="s">
        <v>2461</v>
      </c>
      <c r="I1611" t="s">
        <v>4000</v>
      </c>
    </row>
    <row r="1612" spans="1:9">
      <c r="A1612" s="93" t="s">
        <v>4167</v>
      </c>
      <c r="B1612" t="s">
        <v>1882</v>
      </c>
      <c r="C1612" t="s">
        <v>2171</v>
      </c>
      <c r="D1612" t="s">
        <v>2129</v>
      </c>
      <c r="E1612" t="s">
        <v>2135</v>
      </c>
      <c r="G1612" t="s">
        <v>4168</v>
      </c>
      <c r="H1612" t="s">
        <v>2461</v>
      </c>
      <c r="I1612" t="s">
        <v>4000</v>
      </c>
    </row>
    <row r="1613" spans="1:9">
      <c r="A1613" s="93" t="s">
        <v>4167</v>
      </c>
      <c r="B1613" t="s">
        <v>1882</v>
      </c>
      <c r="C1613" t="s">
        <v>2172</v>
      </c>
      <c r="D1613" t="s">
        <v>2129</v>
      </c>
      <c r="E1613" t="s">
        <v>2135</v>
      </c>
      <c r="G1613" t="s">
        <v>4168</v>
      </c>
      <c r="H1613" t="s">
        <v>2461</v>
      </c>
      <c r="I1613" t="s">
        <v>4000</v>
      </c>
    </row>
    <row r="1614" spans="1:9">
      <c r="A1614" s="93" t="s">
        <v>4167</v>
      </c>
      <c r="B1614" t="s">
        <v>1882</v>
      </c>
      <c r="C1614" t="s">
        <v>2173</v>
      </c>
      <c r="D1614" t="s">
        <v>2174</v>
      </c>
      <c r="E1614" t="s">
        <v>2135</v>
      </c>
      <c r="G1614" t="s">
        <v>4168</v>
      </c>
      <c r="H1614" t="s">
        <v>2461</v>
      </c>
      <c r="I1614" t="s">
        <v>4000</v>
      </c>
    </row>
    <row r="1615" spans="1:9">
      <c r="A1615" s="93" t="s">
        <v>4167</v>
      </c>
      <c r="B1615" t="s">
        <v>1882</v>
      </c>
      <c r="C1615" t="s">
        <v>2175</v>
      </c>
      <c r="E1615" t="s">
        <v>2135</v>
      </c>
      <c r="G1615" t="s">
        <v>4168</v>
      </c>
      <c r="H1615" t="s">
        <v>2461</v>
      </c>
      <c r="I1615" t="s">
        <v>4000</v>
      </c>
    </row>
    <row r="1616" spans="1:9">
      <c r="A1616" s="93" t="s">
        <v>4167</v>
      </c>
      <c r="B1616" t="s">
        <v>1882</v>
      </c>
      <c r="C1616" t="s">
        <v>2176</v>
      </c>
      <c r="E1616" t="s">
        <v>2135</v>
      </c>
      <c r="G1616" t="s">
        <v>4168</v>
      </c>
      <c r="H1616" t="s">
        <v>2461</v>
      </c>
      <c r="I1616" t="s">
        <v>4000</v>
      </c>
    </row>
    <row r="1617" spans="1:9">
      <c r="A1617" s="93" t="s">
        <v>4167</v>
      </c>
      <c r="B1617" t="s">
        <v>1882</v>
      </c>
      <c r="C1617" t="s">
        <v>2177</v>
      </c>
      <c r="E1617" t="s">
        <v>2135</v>
      </c>
      <c r="G1617" t="s">
        <v>4168</v>
      </c>
      <c r="H1617" t="s">
        <v>2461</v>
      </c>
      <c r="I1617" t="s">
        <v>4000</v>
      </c>
    </row>
    <row r="1618" spans="1:9">
      <c r="A1618" s="93" t="s">
        <v>4167</v>
      </c>
      <c r="B1618" t="s">
        <v>1884</v>
      </c>
      <c r="C1618" t="s">
        <v>2190</v>
      </c>
      <c r="E1618" t="s">
        <v>2135</v>
      </c>
      <c r="G1618" t="s">
        <v>4168</v>
      </c>
      <c r="H1618" t="s">
        <v>2461</v>
      </c>
      <c r="I1618" t="s">
        <v>4002</v>
      </c>
    </row>
    <row r="1619" spans="1:9">
      <c r="A1619" s="93" t="s">
        <v>4167</v>
      </c>
      <c r="B1619" t="s">
        <v>1884</v>
      </c>
      <c r="C1619" t="s">
        <v>2191</v>
      </c>
      <c r="E1619" t="s">
        <v>2135</v>
      </c>
      <c r="G1619" t="s">
        <v>4168</v>
      </c>
      <c r="H1619" t="s">
        <v>2461</v>
      </c>
      <c r="I1619" t="s">
        <v>4002</v>
      </c>
    </row>
    <row r="1620" spans="1:9">
      <c r="A1620" s="93" t="s">
        <v>4167</v>
      </c>
      <c r="B1620" t="s">
        <v>1884</v>
      </c>
      <c r="C1620" t="s">
        <v>2364</v>
      </c>
      <c r="E1620" t="s">
        <v>543</v>
      </c>
      <c r="F1620" t="s">
        <v>2365</v>
      </c>
      <c r="G1620" t="s">
        <v>4143</v>
      </c>
      <c r="H1620" t="s">
        <v>543</v>
      </c>
      <c r="I1620" t="s">
        <v>4002</v>
      </c>
    </row>
    <row r="1621" spans="1:9">
      <c r="A1621" s="93" t="s">
        <v>4167</v>
      </c>
      <c r="B1621" t="s">
        <v>1889</v>
      </c>
      <c r="C1621" t="s">
        <v>2198</v>
      </c>
      <c r="E1621" t="s">
        <v>2199</v>
      </c>
      <c r="G1621" t="s">
        <v>4143</v>
      </c>
      <c r="H1621" t="s">
        <v>543</v>
      </c>
      <c r="I1621" t="s">
        <v>4004</v>
      </c>
    </row>
    <row r="1622" spans="1:9">
      <c r="A1622" s="93" t="s">
        <v>4167</v>
      </c>
      <c r="B1622" t="s">
        <v>1889</v>
      </c>
      <c r="C1622" t="s">
        <v>2206</v>
      </c>
      <c r="E1622" t="s">
        <v>2135</v>
      </c>
      <c r="G1622" t="s">
        <v>4168</v>
      </c>
      <c r="H1622" t="s">
        <v>2461</v>
      </c>
      <c r="I1622" t="s">
        <v>4004</v>
      </c>
    </row>
    <row r="1623" spans="1:9">
      <c r="A1623" s="93" t="s">
        <v>4167</v>
      </c>
      <c r="B1623" t="s">
        <v>1893</v>
      </c>
      <c r="C1623" t="s">
        <v>2370</v>
      </c>
      <c r="D1623" t="s">
        <v>2223</v>
      </c>
      <c r="E1623" t="s">
        <v>543</v>
      </c>
      <c r="F1623" t="s">
        <v>2371</v>
      </c>
      <c r="G1623" t="s">
        <v>4143</v>
      </c>
      <c r="H1623" t="s">
        <v>543</v>
      </c>
      <c r="I1623" t="s">
        <v>4012</v>
      </c>
    </row>
    <row r="1624" spans="1:9">
      <c r="A1624" s="93" t="s">
        <v>4167</v>
      </c>
      <c r="B1624" t="s">
        <v>1893</v>
      </c>
      <c r="C1624" t="s">
        <v>2372</v>
      </c>
      <c r="D1624" t="s">
        <v>2220</v>
      </c>
      <c r="E1624" t="s">
        <v>2373</v>
      </c>
      <c r="F1624" t="s">
        <v>2374</v>
      </c>
      <c r="G1624" t="s">
        <v>4143</v>
      </c>
      <c r="H1624" t="s">
        <v>543</v>
      </c>
      <c r="I1624" t="s">
        <v>4012</v>
      </c>
    </row>
    <row r="1625" spans="1:9">
      <c r="A1625" s="93" t="s">
        <v>4167</v>
      </c>
      <c r="B1625" t="s">
        <v>1893</v>
      </c>
      <c r="C1625" t="s">
        <v>2228</v>
      </c>
      <c r="E1625" t="s">
        <v>2135</v>
      </c>
      <c r="G1625" t="s">
        <v>4168</v>
      </c>
      <c r="H1625" t="s">
        <v>2461</v>
      </c>
      <c r="I1625" t="s">
        <v>4012</v>
      </c>
    </row>
    <row r="1626" spans="1:9">
      <c r="A1626" s="93" t="s">
        <v>4167</v>
      </c>
      <c r="B1626" t="s">
        <v>1896</v>
      </c>
      <c r="C1626" t="s">
        <v>2376</v>
      </c>
      <c r="D1626" t="s">
        <v>2237</v>
      </c>
      <c r="E1626" t="s">
        <v>543</v>
      </c>
      <c r="G1626" t="s">
        <v>4143</v>
      </c>
      <c r="H1626" t="s">
        <v>543</v>
      </c>
      <c r="I1626" t="s">
        <v>4016</v>
      </c>
    </row>
    <row r="1627" spans="1:9">
      <c r="A1627" s="93" t="s">
        <v>4167</v>
      </c>
      <c r="B1627" t="s">
        <v>1896</v>
      </c>
      <c r="C1627" t="s">
        <v>2378</v>
      </c>
      <c r="E1627" t="s">
        <v>543</v>
      </c>
      <c r="F1627" t="s">
        <v>2336</v>
      </c>
      <c r="G1627" t="s">
        <v>4143</v>
      </c>
      <c r="H1627" t="s">
        <v>543</v>
      </c>
      <c r="I1627" t="s">
        <v>4016</v>
      </c>
    </row>
    <row r="1628" spans="1:9">
      <c r="A1628" s="93" t="s">
        <v>4167</v>
      </c>
      <c r="B1628" t="s">
        <v>1896</v>
      </c>
      <c r="C1628" t="s">
        <v>2337</v>
      </c>
      <c r="D1628" t="s">
        <v>2248</v>
      </c>
      <c r="E1628" t="s">
        <v>2338</v>
      </c>
      <c r="G1628" t="s">
        <v>4168</v>
      </c>
      <c r="H1628" t="s">
        <v>2379</v>
      </c>
      <c r="I1628" t="s">
        <v>4016</v>
      </c>
    </row>
    <row r="1629" spans="1:9">
      <c r="A1629" s="93" t="s">
        <v>4167</v>
      </c>
      <c r="B1629" t="s">
        <v>1898</v>
      </c>
      <c r="C1629" t="s">
        <v>2381</v>
      </c>
      <c r="E1629" t="s">
        <v>543</v>
      </c>
      <c r="G1629" t="s">
        <v>4143</v>
      </c>
      <c r="H1629" t="s">
        <v>543</v>
      </c>
      <c r="I1629" t="s">
        <v>4020</v>
      </c>
    </row>
    <row r="1630" spans="1:9">
      <c r="A1630" s="93" t="s">
        <v>4167</v>
      </c>
      <c r="B1630" t="s">
        <v>1902</v>
      </c>
      <c r="C1630" t="s">
        <v>2272</v>
      </c>
      <c r="D1630" t="s">
        <v>2273</v>
      </c>
      <c r="E1630" t="s">
        <v>2274</v>
      </c>
      <c r="F1630" t="s">
        <v>2275</v>
      </c>
      <c r="G1630" t="s">
        <v>4143</v>
      </c>
      <c r="H1630" t="s">
        <v>543</v>
      </c>
      <c r="I1630" t="s">
        <v>4024</v>
      </c>
    </row>
    <row r="1631" spans="1:9">
      <c r="A1631" s="93" t="s">
        <v>4167</v>
      </c>
      <c r="B1631" t="s">
        <v>1902</v>
      </c>
      <c r="C1631" t="s">
        <v>2285</v>
      </c>
      <c r="E1631" t="s">
        <v>2135</v>
      </c>
      <c r="G1631" t="s">
        <v>4168</v>
      </c>
      <c r="H1631" t="s">
        <v>2461</v>
      </c>
      <c r="I1631" t="s">
        <v>4024</v>
      </c>
    </row>
    <row r="1632" spans="1:9">
      <c r="A1632" s="93" t="s">
        <v>4167</v>
      </c>
      <c r="B1632" t="s">
        <v>3926</v>
      </c>
      <c r="C1632" t="s">
        <v>2291</v>
      </c>
      <c r="E1632" t="s">
        <v>2135</v>
      </c>
      <c r="F1632" t="s">
        <v>2292</v>
      </c>
      <c r="G1632" t="s">
        <v>4168</v>
      </c>
      <c r="H1632" t="s">
        <v>2461</v>
      </c>
    </row>
    <row r="1633" spans="1:9">
      <c r="A1633" s="93" t="s">
        <v>4167</v>
      </c>
      <c r="B1633" t="s">
        <v>3926</v>
      </c>
      <c r="C1633" t="s">
        <v>2385</v>
      </c>
      <c r="D1633" t="s">
        <v>2298</v>
      </c>
      <c r="E1633" t="s">
        <v>543</v>
      </c>
      <c r="F1633" t="s">
        <v>2386</v>
      </c>
      <c r="G1633" t="s">
        <v>4143</v>
      </c>
      <c r="H1633" t="s">
        <v>543</v>
      </c>
    </row>
    <row r="1634" spans="1:9">
      <c r="A1634" s="93" t="s">
        <v>4169</v>
      </c>
      <c r="B1634" t="s">
        <v>1860</v>
      </c>
      <c r="C1634" t="s">
        <v>2546</v>
      </c>
      <c r="D1634" t="s">
        <v>2546</v>
      </c>
      <c r="E1634" t="s">
        <v>2135</v>
      </c>
      <c r="F1634" t="s">
        <v>2547</v>
      </c>
      <c r="G1634" t="s">
        <v>4170</v>
      </c>
      <c r="H1634" t="s">
        <v>2318</v>
      </c>
      <c r="I1634" t="s">
        <v>3953</v>
      </c>
    </row>
    <row r="1635" spans="1:9">
      <c r="A1635" s="93" t="s">
        <v>4169</v>
      </c>
      <c r="B1635" t="s">
        <v>1861</v>
      </c>
      <c r="C1635" t="s">
        <v>2551</v>
      </c>
      <c r="D1635" t="s">
        <v>2537</v>
      </c>
      <c r="E1635" t="s">
        <v>2135</v>
      </c>
      <c r="F1635" t="s">
        <v>2552</v>
      </c>
      <c r="G1635" t="s">
        <v>4170</v>
      </c>
      <c r="H1635" t="s">
        <v>2318</v>
      </c>
      <c r="I1635" t="s">
        <v>3957</v>
      </c>
    </row>
    <row r="1636" spans="1:9">
      <c r="A1636" s="93" t="s">
        <v>4169</v>
      </c>
      <c r="B1636" t="s">
        <v>1861</v>
      </c>
      <c r="C1636" t="s">
        <v>2553</v>
      </c>
      <c r="D1636" t="s">
        <v>2554</v>
      </c>
      <c r="E1636" t="s">
        <v>2135</v>
      </c>
      <c r="F1636" t="s">
        <v>2555</v>
      </c>
      <c r="G1636" t="s">
        <v>4170</v>
      </c>
      <c r="H1636" t="s">
        <v>2318</v>
      </c>
      <c r="I1636" t="s">
        <v>3957</v>
      </c>
    </row>
    <row r="1637" spans="1:9">
      <c r="A1637" s="93" t="s">
        <v>4169</v>
      </c>
      <c r="B1637" t="s">
        <v>1861</v>
      </c>
      <c r="C1637" t="s">
        <v>2566</v>
      </c>
      <c r="D1637" t="s">
        <v>2545</v>
      </c>
      <c r="E1637" t="s">
        <v>2567</v>
      </c>
      <c r="F1637" t="s">
        <v>2569</v>
      </c>
      <c r="G1637" t="s">
        <v>4170</v>
      </c>
      <c r="H1637" t="s">
        <v>2311</v>
      </c>
      <c r="I1637" t="s">
        <v>3957</v>
      </c>
    </row>
    <row r="1638" spans="1:9">
      <c r="A1638" s="93" t="s">
        <v>4169</v>
      </c>
      <c r="B1638" t="s">
        <v>1861</v>
      </c>
      <c r="C1638" t="s">
        <v>2570</v>
      </c>
      <c r="D1638" t="s">
        <v>2571</v>
      </c>
      <c r="E1638" t="s">
        <v>2135</v>
      </c>
      <c r="G1638" t="s">
        <v>4170</v>
      </c>
      <c r="H1638" t="s">
        <v>2318</v>
      </c>
      <c r="I1638" t="s">
        <v>3957</v>
      </c>
    </row>
    <row r="1639" spans="1:9">
      <c r="A1639" s="93" t="s">
        <v>4169</v>
      </c>
      <c r="B1639" t="s">
        <v>1861</v>
      </c>
      <c r="C1639" t="s">
        <v>2572</v>
      </c>
      <c r="D1639" t="s">
        <v>2571</v>
      </c>
      <c r="E1639" t="s">
        <v>2309</v>
      </c>
      <c r="F1639" t="s">
        <v>2573</v>
      </c>
      <c r="G1639" t="s">
        <v>4170</v>
      </c>
      <c r="H1639" t="s">
        <v>2311</v>
      </c>
      <c r="I1639" t="s">
        <v>3957</v>
      </c>
    </row>
    <row r="1640" spans="1:9">
      <c r="A1640" s="93" t="s">
        <v>4169</v>
      </c>
      <c r="B1640" t="s">
        <v>1861</v>
      </c>
      <c r="C1640" t="s">
        <v>2574</v>
      </c>
      <c r="D1640" t="s">
        <v>2563</v>
      </c>
      <c r="E1640" t="s">
        <v>2309</v>
      </c>
      <c r="F1640" t="s">
        <v>2573</v>
      </c>
      <c r="G1640" t="s">
        <v>4170</v>
      </c>
      <c r="H1640" t="s">
        <v>2311</v>
      </c>
      <c r="I1640" t="s">
        <v>3957</v>
      </c>
    </row>
    <row r="1641" spans="1:9">
      <c r="A1641" s="93" t="s">
        <v>4169</v>
      </c>
      <c r="B1641" t="s">
        <v>1861</v>
      </c>
      <c r="C1641" t="s">
        <v>2575</v>
      </c>
      <c r="D1641" t="s">
        <v>2533</v>
      </c>
      <c r="E1641" t="s">
        <v>2135</v>
      </c>
      <c r="G1641" t="s">
        <v>4170</v>
      </c>
      <c r="H1641" t="s">
        <v>2318</v>
      </c>
      <c r="I1641" t="s">
        <v>3957</v>
      </c>
    </row>
    <row r="1642" spans="1:9">
      <c r="A1642" s="93" t="s">
        <v>4169</v>
      </c>
      <c r="B1642" t="s">
        <v>1861</v>
      </c>
      <c r="C1642" t="s">
        <v>2546</v>
      </c>
      <c r="D1642" t="s">
        <v>2546</v>
      </c>
      <c r="E1642" t="s">
        <v>2135</v>
      </c>
      <c r="F1642" t="s">
        <v>2580</v>
      </c>
      <c r="G1642" t="s">
        <v>4170</v>
      </c>
      <c r="H1642" t="s">
        <v>2318</v>
      </c>
      <c r="I1642" t="s">
        <v>3957</v>
      </c>
    </row>
    <row r="1643" spans="1:9">
      <c r="A1643" s="93" t="s">
        <v>4169</v>
      </c>
      <c r="B1643" t="s">
        <v>1861</v>
      </c>
      <c r="C1643" t="s">
        <v>2581</v>
      </c>
      <c r="D1643" t="s">
        <v>2582</v>
      </c>
      <c r="E1643" t="s">
        <v>2135</v>
      </c>
      <c r="F1643" t="s">
        <v>2583</v>
      </c>
      <c r="G1643" t="s">
        <v>4170</v>
      </c>
      <c r="H1643" t="s">
        <v>2318</v>
      </c>
      <c r="I1643" t="s">
        <v>3957</v>
      </c>
    </row>
    <row r="1644" spans="1:9">
      <c r="A1644" s="93" t="s">
        <v>4169</v>
      </c>
      <c r="B1644" t="s">
        <v>1862</v>
      </c>
      <c r="C1644" t="s">
        <v>2546</v>
      </c>
      <c r="D1644" t="s">
        <v>2546</v>
      </c>
      <c r="E1644" t="s">
        <v>2135</v>
      </c>
      <c r="F1644" t="s">
        <v>2547</v>
      </c>
      <c r="G1644" t="s">
        <v>4170</v>
      </c>
      <c r="H1644" t="s">
        <v>2318</v>
      </c>
      <c r="I1644" t="s">
        <v>3961</v>
      </c>
    </row>
    <row r="1645" spans="1:9">
      <c r="A1645" s="93" t="s">
        <v>4169</v>
      </c>
      <c r="B1645" t="s">
        <v>1864</v>
      </c>
      <c r="C1645" t="s">
        <v>2546</v>
      </c>
      <c r="D1645" t="s">
        <v>2546</v>
      </c>
      <c r="E1645" t="s">
        <v>2135</v>
      </c>
      <c r="F1645" t="s">
        <v>2614</v>
      </c>
      <c r="G1645" t="s">
        <v>4170</v>
      </c>
      <c r="H1645" t="s">
        <v>2318</v>
      </c>
      <c r="I1645" t="s">
        <v>3965</v>
      </c>
    </row>
    <row r="1646" spans="1:9">
      <c r="A1646" s="93" t="s">
        <v>4169</v>
      </c>
      <c r="B1646" t="s">
        <v>1864</v>
      </c>
      <c r="C1646" t="s">
        <v>2618</v>
      </c>
      <c r="D1646" t="s">
        <v>2619</v>
      </c>
      <c r="E1646" t="s">
        <v>2135</v>
      </c>
      <c r="G1646" t="s">
        <v>4170</v>
      </c>
      <c r="H1646" t="s">
        <v>2318</v>
      </c>
      <c r="I1646" t="s">
        <v>3965</v>
      </c>
    </row>
    <row r="1647" spans="1:9">
      <c r="A1647" s="93" t="s">
        <v>4169</v>
      </c>
      <c r="B1647" t="s">
        <v>1864</v>
      </c>
      <c r="C1647" t="s">
        <v>2622</v>
      </c>
      <c r="D1647" t="s">
        <v>2582</v>
      </c>
      <c r="E1647" t="s">
        <v>2135</v>
      </c>
      <c r="G1647" t="s">
        <v>4170</v>
      </c>
      <c r="H1647" t="s">
        <v>2318</v>
      </c>
      <c r="I1647" t="s">
        <v>3965</v>
      </c>
    </row>
    <row r="1648" spans="1:9">
      <c r="A1648" s="93" t="s">
        <v>4169</v>
      </c>
      <c r="B1648" t="s">
        <v>1864</v>
      </c>
      <c r="C1648" t="s">
        <v>2631</v>
      </c>
      <c r="D1648" t="s">
        <v>2537</v>
      </c>
      <c r="E1648" t="s">
        <v>2135</v>
      </c>
      <c r="F1648" t="s">
        <v>2632</v>
      </c>
      <c r="G1648" t="s">
        <v>4170</v>
      </c>
      <c r="H1648" t="s">
        <v>2318</v>
      </c>
      <c r="I1648" t="s">
        <v>3965</v>
      </c>
    </row>
    <row r="1649" spans="1:9">
      <c r="A1649" s="93" t="s">
        <v>4169</v>
      </c>
      <c r="B1649" t="s">
        <v>1864</v>
      </c>
      <c r="C1649" t="s">
        <v>2633</v>
      </c>
      <c r="D1649" t="s">
        <v>2571</v>
      </c>
      <c r="E1649" t="s">
        <v>2135</v>
      </c>
      <c r="F1649" t="s">
        <v>2632</v>
      </c>
      <c r="G1649" t="s">
        <v>4170</v>
      </c>
      <c r="H1649" t="s">
        <v>2318</v>
      </c>
      <c r="I1649" t="s">
        <v>3965</v>
      </c>
    </row>
    <row r="1650" spans="1:9">
      <c r="A1650" s="93" t="s">
        <v>4169</v>
      </c>
      <c r="B1650" t="s">
        <v>1864</v>
      </c>
      <c r="C1650" t="s">
        <v>2636</v>
      </c>
      <c r="D1650" t="s">
        <v>2582</v>
      </c>
      <c r="E1650" t="s">
        <v>2135</v>
      </c>
      <c r="G1650" t="s">
        <v>4170</v>
      </c>
      <c r="H1650" t="s">
        <v>2318</v>
      </c>
      <c r="I1650" t="s">
        <v>3965</v>
      </c>
    </row>
    <row r="1651" spans="1:9">
      <c r="A1651" s="93" t="s">
        <v>4169</v>
      </c>
      <c r="B1651" t="s">
        <v>1864</v>
      </c>
      <c r="C1651" t="s">
        <v>2637</v>
      </c>
      <c r="D1651" t="s">
        <v>2619</v>
      </c>
      <c r="E1651" t="s">
        <v>2338</v>
      </c>
      <c r="G1651" t="s">
        <v>4170</v>
      </c>
      <c r="H1651" t="s">
        <v>2339</v>
      </c>
      <c r="I1651" t="s">
        <v>3965</v>
      </c>
    </row>
    <row r="1652" spans="1:9">
      <c r="A1652" s="93" t="s">
        <v>4169</v>
      </c>
      <c r="B1652" t="s">
        <v>1864</v>
      </c>
      <c r="C1652" t="s">
        <v>2638</v>
      </c>
      <c r="D1652" t="s">
        <v>2537</v>
      </c>
      <c r="E1652" t="s">
        <v>2338</v>
      </c>
      <c r="F1652" t="s">
        <v>2639</v>
      </c>
      <c r="G1652" t="s">
        <v>4170</v>
      </c>
      <c r="H1652" t="s">
        <v>2339</v>
      </c>
      <c r="I1652" t="s">
        <v>3965</v>
      </c>
    </row>
    <row r="1653" spans="1:9">
      <c r="A1653" s="93" t="s">
        <v>4169</v>
      </c>
      <c r="B1653" t="s">
        <v>1864</v>
      </c>
      <c r="C1653" t="s">
        <v>2640</v>
      </c>
      <c r="D1653" t="s">
        <v>2619</v>
      </c>
      <c r="E1653" t="s">
        <v>2309</v>
      </c>
      <c r="F1653" t="s">
        <v>2641</v>
      </c>
      <c r="G1653" t="s">
        <v>4170</v>
      </c>
      <c r="H1653" t="s">
        <v>2311</v>
      </c>
      <c r="I1653" t="s">
        <v>3965</v>
      </c>
    </row>
    <row r="1654" spans="1:9">
      <c r="A1654" s="93" t="s">
        <v>4169</v>
      </c>
      <c r="B1654" t="s">
        <v>1866</v>
      </c>
      <c r="C1654" t="s">
        <v>2546</v>
      </c>
      <c r="D1654" t="s">
        <v>2546</v>
      </c>
      <c r="E1654" t="s">
        <v>2135</v>
      </c>
      <c r="F1654" t="s">
        <v>2580</v>
      </c>
      <c r="G1654" t="s">
        <v>4170</v>
      </c>
      <c r="H1654" t="s">
        <v>2318</v>
      </c>
      <c r="I1654" t="s">
        <v>3969</v>
      </c>
    </row>
    <row r="1655" spans="1:9">
      <c r="A1655" s="93" t="s">
        <v>4169</v>
      </c>
      <c r="B1655" t="s">
        <v>1866</v>
      </c>
      <c r="C1655" t="s">
        <v>2647</v>
      </c>
      <c r="D1655" t="s">
        <v>2591</v>
      </c>
      <c r="E1655" t="s">
        <v>2135</v>
      </c>
      <c r="G1655" t="s">
        <v>4170</v>
      </c>
      <c r="H1655" t="s">
        <v>2318</v>
      </c>
      <c r="I1655" t="s">
        <v>3969</v>
      </c>
    </row>
    <row r="1656" spans="1:9">
      <c r="A1656" s="93" t="s">
        <v>4169</v>
      </c>
      <c r="B1656" t="s">
        <v>1866</v>
      </c>
      <c r="C1656" t="s">
        <v>2661</v>
      </c>
      <c r="D1656" t="s">
        <v>2559</v>
      </c>
      <c r="E1656" t="s">
        <v>2135</v>
      </c>
      <c r="F1656" t="s">
        <v>2662</v>
      </c>
      <c r="G1656" t="s">
        <v>4170</v>
      </c>
      <c r="H1656" t="s">
        <v>2318</v>
      </c>
      <c r="I1656" t="s">
        <v>3969</v>
      </c>
    </row>
    <row r="1657" spans="1:9">
      <c r="A1657" s="93" t="s">
        <v>4169</v>
      </c>
      <c r="B1657" t="s">
        <v>1866</v>
      </c>
      <c r="C1657" t="s">
        <v>2673</v>
      </c>
      <c r="D1657" t="s">
        <v>2537</v>
      </c>
      <c r="E1657" t="s">
        <v>2338</v>
      </c>
      <c r="G1657" t="s">
        <v>4170</v>
      </c>
      <c r="H1657" t="s">
        <v>2339</v>
      </c>
      <c r="I1657" t="s">
        <v>3969</v>
      </c>
    </row>
    <row r="1658" spans="1:9">
      <c r="A1658" s="93" t="s">
        <v>4169</v>
      </c>
      <c r="B1658" t="s">
        <v>1870</v>
      </c>
      <c r="C1658" t="s">
        <v>2546</v>
      </c>
      <c r="D1658" t="s">
        <v>2546</v>
      </c>
      <c r="E1658" t="s">
        <v>2135</v>
      </c>
      <c r="F1658" t="s">
        <v>2580</v>
      </c>
      <c r="G1658" t="s">
        <v>4170</v>
      </c>
      <c r="H1658" t="s">
        <v>2318</v>
      </c>
      <c r="I1658" t="s">
        <v>3973</v>
      </c>
    </row>
    <row r="1659" spans="1:9">
      <c r="A1659" s="93" t="s">
        <v>4169</v>
      </c>
      <c r="B1659" t="s">
        <v>1870</v>
      </c>
      <c r="C1659" t="s">
        <v>2683</v>
      </c>
      <c r="D1659" t="s">
        <v>2537</v>
      </c>
      <c r="E1659" t="s">
        <v>2684</v>
      </c>
      <c r="F1659" t="s">
        <v>2686</v>
      </c>
      <c r="G1659" t="s">
        <v>4170</v>
      </c>
      <c r="H1659" t="s">
        <v>2318</v>
      </c>
      <c r="I1659" t="s">
        <v>3973</v>
      </c>
    </row>
    <row r="1660" spans="1:9">
      <c r="A1660" s="93" t="s">
        <v>4169</v>
      </c>
      <c r="B1660" t="s">
        <v>1870</v>
      </c>
      <c r="C1660" t="s">
        <v>2691</v>
      </c>
      <c r="D1660" t="s">
        <v>2533</v>
      </c>
      <c r="E1660" t="s">
        <v>2135</v>
      </c>
      <c r="F1660" t="s">
        <v>2692</v>
      </c>
      <c r="G1660" t="s">
        <v>4170</v>
      </c>
      <c r="H1660" t="s">
        <v>2318</v>
      </c>
      <c r="I1660" t="s">
        <v>3973</v>
      </c>
    </row>
    <row r="1661" spans="1:9">
      <c r="A1661" s="93" t="s">
        <v>4169</v>
      </c>
      <c r="B1661" t="s">
        <v>1870</v>
      </c>
      <c r="C1661" t="s">
        <v>2705</v>
      </c>
      <c r="D1661" t="s">
        <v>2554</v>
      </c>
      <c r="E1661" t="s">
        <v>2338</v>
      </c>
      <c r="G1661" t="s">
        <v>4170</v>
      </c>
      <c r="H1661" t="s">
        <v>2339</v>
      </c>
      <c r="I1661" t="s">
        <v>3973</v>
      </c>
    </row>
    <row r="1662" spans="1:9">
      <c r="A1662" s="93" t="s">
        <v>4169</v>
      </c>
      <c r="B1662" t="s">
        <v>1872</v>
      </c>
      <c r="C1662" t="s">
        <v>2546</v>
      </c>
      <c r="D1662" t="s">
        <v>2546</v>
      </c>
      <c r="E1662" t="s">
        <v>2135</v>
      </c>
      <c r="F1662" t="s">
        <v>2580</v>
      </c>
      <c r="G1662" t="s">
        <v>4170</v>
      </c>
      <c r="H1662" t="s">
        <v>2318</v>
      </c>
      <c r="I1662" t="s">
        <v>3977</v>
      </c>
    </row>
    <row r="1663" spans="1:9">
      <c r="A1663" s="93" t="s">
        <v>4169</v>
      </c>
      <c r="B1663" t="s">
        <v>1873</v>
      </c>
      <c r="C1663" t="s">
        <v>2546</v>
      </c>
      <c r="D1663" t="s">
        <v>2546</v>
      </c>
      <c r="E1663" t="s">
        <v>2135</v>
      </c>
      <c r="F1663" t="s">
        <v>2580</v>
      </c>
      <c r="G1663" t="s">
        <v>4170</v>
      </c>
      <c r="H1663" t="s">
        <v>2318</v>
      </c>
      <c r="I1663" t="s">
        <v>3981</v>
      </c>
    </row>
    <row r="1664" spans="1:9">
      <c r="A1664" s="93" t="s">
        <v>4169</v>
      </c>
      <c r="B1664" t="s">
        <v>1873</v>
      </c>
      <c r="C1664" t="s">
        <v>2736</v>
      </c>
      <c r="D1664" t="s">
        <v>2579</v>
      </c>
      <c r="E1664" t="s">
        <v>2737</v>
      </c>
      <c r="F1664" t="s">
        <v>2739</v>
      </c>
      <c r="G1664" t="s">
        <v>4170</v>
      </c>
      <c r="H1664" t="s">
        <v>2311</v>
      </c>
      <c r="I1664" t="s">
        <v>3981</v>
      </c>
    </row>
    <row r="1665" spans="1:9">
      <c r="A1665" s="93" t="s">
        <v>4169</v>
      </c>
      <c r="B1665" t="s">
        <v>1874</v>
      </c>
      <c r="C1665" t="s">
        <v>2308</v>
      </c>
      <c r="D1665" t="s">
        <v>2122</v>
      </c>
      <c r="E1665" t="s">
        <v>2309</v>
      </c>
      <c r="F1665" t="s">
        <v>2312</v>
      </c>
      <c r="G1665" t="s">
        <v>4170</v>
      </c>
      <c r="H1665" t="s">
        <v>2311</v>
      </c>
      <c r="I1665" t="s">
        <v>3984</v>
      </c>
    </row>
    <row r="1666" spans="1:9">
      <c r="A1666" s="93" t="s">
        <v>4169</v>
      </c>
      <c r="B1666" t="s">
        <v>1874</v>
      </c>
      <c r="C1666" t="s">
        <v>2313</v>
      </c>
      <c r="D1666" t="s">
        <v>2314</v>
      </c>
      <c r="E1666" t="s">
        <v>2309</v>
      </c>
      <c r="G1666" t="s">
        <v>4170</v>
      </c>
      <c r="H1666" t="s">
        <v>2311</v>
      </c>
      <c r="I1666" t="s">
        <v>3984</v>
      </c>
    </row>
    <row r="1667" spans="1:9">
      <c r="A1667" s="93" t="s">
        <v>4169</v>
      </c>
      <c r="B1667" t="s">
        <v>1874</v>
      </c>
      <c r="C1667" t="s">
        <v>2315</v>
      </c>
      <c r="D1667" t="s">
        <v>2314</v>
      </c>
      <c r="E1667" t="s">
        <v>2309</v>
      </c>
      <c r="G1667" t="s">
        <v>4170</v>
      </c>
      <c r="H1667" t="s">
        <v>2311</v>
      </c>
      <c r="I1667" t="s">
        <v>3984</v>
      </c>
    </row>
    <row r="1668" spans="1:9">
      <c r="A1668" s="93" t="s">
        <v>4169</v>
      </c>
      <c r="B1668" t="s">
        <v>1874</v>
      </c>
      <c r="C1668" t="s">
        <v>2316</v>
      </c>
      <c r="D1668" t="s">
        <v>2124</v>
      </c>
      <c r="E1668" t="s">
        <v>2309</v>
      </c>
      <c r="G1668" t="s">
        <v>4170</v>
      </c>
      <c r="H1668" t="s">
        <v>2311</v>
      </c>
      <c r="I1668" t="s">
        <v>3984</v>
      </c>
    </row>
    <row r="1669" spans="1:9">
      <c r="A1669" s="93" t="s">
        <v>4169</v>
      </c>
      <c r="B1669" t="s">
        <v>1875</v>
      </c>
      <c r="C1669" t="s">
        <v>2134</v>
      </c>
      <c r="E1669" t="s">
        <v>2135</v>
      </c>
      <c r="F1669" t="s">
        <v>2137</v>
      </c>
      <c r="G1669" t="s">
        <v>4170</v>
      </c>
      <c r="H1669" t="s">
        <v>2318</v>
      </c>
      <c r="I1669" t="s">
        <v>3988</v>
      </c>
    </row>
    <row r="1670" spans="1:9">
      <c r="A1670" s="93" t="s">
        <v>4169</v>
      </c>
      <c r="B1670" t="s">
        <v>1882</v>
      </c>
      <c r="C1670" t="s">
        <v>2169</v>
      </c>
      <c r="D1670" t="s">
        <v>2129</v>
      </c>
      <c r="E1670" t="s">
        <v>2170</v>
      </c>
      <c r="G1670" t="s">
        <v>4170</v>
      </c>
      <c r="H1670" t="s">
        <v>2318</v>
      </c>
      <c r="I1670" t="s">
        <v>4000</v>
      </c>
    </row>
    <row r="1671" spans="1:9">
      <c r="A1671" s="93" t="s">
        <v>4169</v>
      </c>
      <c r="B1671" t="s">
        <v>1882</v>
      </c>
      <c r="C1671" t="s">
        <v>2171</v>
      </c>
      <c r="D1671" t="s">
        <v>2129</v>
      </c>
      <c r="E1671" t="s">
        <v>2135</v>
      </c>
      <c r="G1671" t="s">
        <v>4170</v>
      </c>
      <c r="H1671" t="s">
        <v>2318</v>
      </c>
      <c r="I1671" t="s">
        <v>4000</v>
      </c>
    </row>
    <row r="1672" spans="1:9">
      <c r="A1672" s="93" t="s">
        <v>4169</v>
      </c>
      <c r="B1672" t="s">
        <v>1882</v>
      </c>
      <c r="C1672" t="s">
        <v>2172</v>
      </c>
      <c r="D1672" t="s">
        <v>2129</v>
      </c>
      <c r="E1672" t="s">
        <v>2135</v>
      </c>
      <c r="G1672" t="s">
        <v>4170</v>
      </c>
      <c r="H1672" t="s">
        <v>2318</v>
      </c>
      <c r="I1672" t="s">
        <v>4000</v>
      </c>
    </row>
    <row r="1673" spans="1:9">
      <c r="A1673" s="93" t="s">
        <v>4169</v>
      </c>
      <c r="B1673" t="s">
        <v>1882</v>
      </c>
      <c r="C1673" t="s">
        <v>2173</v>
      </c>
      <c r="D1673" t="s">
        <v>2174</v>
      </c>
      <c r="E1673" t="s">
        <v>2135</v>
      </c>
      <c r="G1673" t="s">
        <v>4170</v>
      </c>
      <c r="H1673" t="s">
        <v>2318</v>
      </c>
      <c r="I1673" t="s">
        <v>4000</v>
      </c>
    </row>
    <row r="1674" spans="1:9">
      <c r="A1674" s="93" t="s">
        <v>4169</v>
      </c>
      <c r="B1674" t="s">
        <v>1882</v>
      </c>
      <c r="C1674" t="s">
        <v>2175</v>
      </c>
      <c r="E1674" t="s">
        <v>2135</v>
      </c>
      <c r="G1674" t="s">
        <v>4170</v>
      </c>
      <c r="H1674" t="s">
        <v>2318</v>
      </c>
      <c r="I1674" t="s">
        <v>4000</v>
      </c>
    </row>
    <row r="1675" spans="1:9">
      <c r="A1675" s="93" t="s">
        <v>4169</v>
      </c>
      <c r="B1675" t="s">
        <v>1882</v>
      </c>
      <c r="C1675" t="s">
        <v>2176</v>
      </c>
      <c r="E1675" t="s">
        <v>2135</v>
      </c>
      <c r="G1675" t="s">
        <v>4170</v>
      </c>
      <c r="H1675" t="s">
        <v>2318</v>
      </c>
      <c r="I1675" t="s">
        <v>4000</v>
      </c>
    </row>
    <row r="1676" spans="1:9">
      <c r="A1676" s="93" t="s">
        <v>4169</v>
      </c>
      <c r="B1676" t="s">
        <v>1882</v>
      </c>
      <c r="C1676" t="s">
        <v>2177</v>
      </c>
      <c r="E1676" t="s">
        <v>2135</v>
      </c>
      <c r="G1676" t="s">
        <v>4170</v>
      </c>
      <c r="H1676" t="s">
        <v>2318</v>
      </c>
      <c r="I1676" t="s">
        <v>4000</v>
      </c>
    </row>
    <row r="1677" spans="1:9">
      <c r="A1677" s="93" t="s">
        <v>4169</v>
      </c>
      <c r="B1677" t="s">
        <v>1884</v>
      </c>
      <c r="C1677" t="s">
        <v>2190</v>
      </c>
      <c r="E1677" t="s">
        <v>2135</v>
      </c>
      <c r="G1677" t="s">
        <v>4170</v>
      </c>
      <c r="H1677" t="s">
        <v>2318</v>
      </c>
      <c r="I1677" t="s">
        <v>4002</v>
      </c>
    </row>
    <row r="1678" spans="1:9">
      <c r="A1678" s="93" t="s">
        <v>4169</v>
      </c>
      <c r="B1678" t="s">
        <v>1884</v>
      </c>
      <c r="C1678" t="s">
        <v>2191</v>
      </c>
      <c r="E1678" t="s">
        <v>2135</v>
      </c>
      <c r="G1678" t="s">
        <v>4170</v>
      </c>
      <c r="H1678" t="s">
        <v>2318</v>
      </c>
      <c r="I1678" t="s">
        <v>4002</v>
      </c>
    </row>
    <row r="1679" spans="1:9">
      <c r="A1679" s="93" t="s">
        <v>4169</v>
      </c>
      <c r="B1679" t="s">
        <v>1889</v>
      </c>
      <c r="C1679" t="s">
        <v>2206</v>
      </c>
      <c r="E1679" t="s">
        <v>2135</v>
      </c>
      <c r="G1679" t="s">
        <v>4170</v>
      </c>
      <c r="H1679" t="s">
        <v>2318</v>
      </c>
      <c r="I1679" t="s">
        <v>4004</v>
      </c>
    </row>
    <row r="1680" spans="1:9">
      <c r="A1680" s="93" t="s">
        <v>4169</v>
      </c>
      <c r="B1680" t="s">
        <v>1893</v>
      </c>
      <c r="C1680" t="s">
        <v>2372</v>
      </c>
      <c r="D1680" t="s">
        <v>2220</v>
      </c>
      <c r="E1680" t="s">
        <v>2373</v>
      </c>
      <c r="F1680" t="s">
        <v>2374</v>
      </c>
      <c r="G1680" t="s">
        <v>4143</v>
      </c>
      <c r="H1680" t="s">
        <v>2916</v>
      </c>
      <c r="I1680" t="s">
        <v>4012</v>
      </c>
    </row>
    <row r="1681" spans="1:9">
      <c r="A1681" s="93" t="s">
        <v>4169</v>
      </c>
      <c r="B1681" t="s">
        <v>1893</v>
      </c>
      <c r="C1681" t="s">
        <v>2328</v>
      </c>
      <c r="D1681" t="s">
        <v>2217</v>
      </c>
      <c r="E1681" t="s">
        <v>2309</v>
      </c>
      <c r="F1681" t="s">
        <v>2329</v>
      </c>
      <c r="G1681" t="s">
        <v>4170</v>
      </c>
      <c r="H1681" t="s">
        <v>2311</v>
      </c>
      <c r="I1681" t="s">
        <v>4012</v>
      </c>
    </row>
    <row r="1682" spans="1:9">
      <c r="A1682" s="93" t="s">
        <v>4169</v>
      </c>
      <c r="B1682" t="s">
        <v>1893</v>
      </c>
      <c r="C1682" t="s">
        <v>2330</v>
      </c>
      <c r="D1682" t="s">
        <v>2331</v>
      </c>
      <c r="E1682" t="s">
        <v>2309</v>
      </c>
      <c r="F1682" t="s">
        <v>2332</v>
      </c>
      <c r="G1682" t="s">
        <v>4170</v>
      </c>
      <c r="H1682" t="s">
        <v>2311</v>
      </c>
      <c r="I1682" t="s">
        <v>4012</v>
      </c>
    </row>
    <row r="1683" spans="1:9">
      <c r="A1683" s="93" t="s">
        <v>4169</v>
      </c>
      <c r="B1683" t="s">
        <v>1893</v>
      </c>
      <c r="C1683" t="s">
        <v>2228</v>
      </c>
      <c r="E1683" t="s">
        <v>2135</v>
      </c>
      <c r="G1683" t="s">
        <v>4170</v>
      </c>
      <c r="H1683" t="s">
        <v>2318</v>
      </c>
      <c r="I1683" t="s">
        <v>4012</v>
      </c>
    </row>
    <row r="1684" spans="1:9">
      <c r="A1684" s="93" t="s">
        <v>4169</v>
      </c>
      <c r="B1684" t="s">
        <v>1896</v>
      </c>
      <c r="C1684" t="s">
        <v>2335</v>
      </c>
      <c r="E1684" t="s">
        <v>2309</v>
      </c>
      <c r="F1684" t="s">
        <v>2336</v>
      </c>
      <c r="G1684" t="s">
        <v>4170</v>
      </c>
      <c r="H1684" t="s">
        <v>2311</v>
      </c>
      <c r="I1684" t="s">
        <v>4016</v>
      </c>
    </row>
    <row r="1685" spans="1:9">
      <c r="A1685" s="93" t="s">
        <v>4169</v>
      </c>
      <c r="B1685" t="s">
        <v>1896</v>
      </c>
      <c r="C1685" t="s">
        <v>2337</v>
      </c>
      <c r="D1685" t="s">
        <v>2248</v>
      </c>
      <c r="E1685" t="s">
        <v>2338</v>
      </c>
      <c r="G1685" t="s">
        <v>4170</v>
      </c>
      <c r="H1685" t="s">
        <v>2339</v>
      </c>
      <c r="I1685" t="s">
        <v>4016</v>
      </c>
    </row>
    <row r="1686" spans="1:9">
      <c r="A1686" s="93" t="s">
        <v>4169</v>
      </c>
      <c r="B1686" t="s">
        <v>1898</v>
      </c>
      <c r="C1686" t="s">
        <v>2269</v>
      </c>
      <c r="D1686" t="s">
        <v>2252</v>
      </c>
      <c r="E1686" t="s">
        <v>2270</v>
      </c>
      <c r="G1686" t="s">
        <v>4143</v>
      </c>
      <c r="H1686" t="s">
        <v>436</v>
      </c>
      <c r="I1686" t="s">
        <v>4020</v>
      </c>
    </row>
    <row r="1687" spans="1:9">
      <c r="A1687" s="93" t="s">
        <v>4169</v>
      </c>
      <c r="B1687" t="s">
        <v>1902</v>
      </c>
      <c r="C1687" t="s">
        <v>2342</v>
      </c>
      <c r="E1687" t="s">
        <v>2309</v>
      </c>
      <c r="F1687" t="s">
        <v>2343</v>
      </c>
      <c r="G1687" t="s">
        <v>4170</v>
      </c>
      <c r="H1687" t="s">
        <v>2311</v>
      </c>
      <c r="I1687" t="s">
        <v>4024</v>
      </c>
    </row>
    <row r="1688" spans="1:9">
      <c r="A1688" s="93" t="s">
        <v>4169</v>
      </c>
      <c r="B1688" t="s">
        <v>1902</v>
      </c>
      <c r="C1688" t="s">
        <v>2344</v>
      </c>
      <c r="D1688" t="s">
        <v>2273</v>
      </c>
      <c r="E1688" t="s">
        <v>2309</v>
      </c>
      <c r="F1688" t="s">
        <v>2345</v>
      </c>
      <c r="G1688" t="s">
        <v>4170</v>
      </c>
      <c r="H1688" t="s">
        <v>2311</v>
      </c>
      <c r="I1688" t="s">
        <v>4024</v>
      </c>
    </row>
    <row r="1689" spans="1:9">
      <c r="A1689" s="93" t="s">
        <v>4169</v>
      </c>
      <c r="B1689" t="s">
        <v>1902</v>
      </c>
      <c r="C1689" t="s">
        <v>2285</v>
      </c>
      <c r="E1689" t="s">
        <v>2135</v>
      </c>
      <c r="G1689" t="s">
        <v>4170</v>
      </c>
      <c r="H1689" t="s">
        <v>2318</v>
      </c>
      <c r="I1689" t="s">
        <v>4024</v>
      </c>
    </row>
    <row r="1690" spans="1:9">
      <c r="A1690" s="93" t="s">
        <v>4169</v>
      </c>
      <c r="B1690" t="s">
        <v>3926</v>
      </c>
      <c r="C1690" t="s">
        <v>2291</v>
      </c>
      <c r="E1690" t="s">
        <v>2135</v>
      </c>
      <c r="F1690" t="s">
        <v>2292</v>
      </c>
      <c r="G1690" t="s">
        <v>4170</v>
      </c>
      <c r="H1690" t="s">
        <v>2318</v>
      </c>
    </row>
    <row r="1691" spans="1:9">
      <c r="A1691" s="93" t="s">
        <v>4169</v>
      </c>
      <c r="B1691" t="s">
        <v>3926</v>
      </c>
      <c r="C1691" t="s">
        <v>2347</v>
      </c>
      <c r="D1691" t="s">
        <v>2213</v>
      </c>
      <c r="E1691" t="s">
        <v>2348</v>
      </c>
      <c r="F1691" t="s">
        <v>2296</v>
      </c>
      <c r="G1691" t="s">
        <v>4143</v>
      </c>
      <c r="H1691" t="s">
        <v>2348</v>
      </c>
    </row>
    <row r="1692" spans="1:9">
      <c r="A1692" s="93" t="s">
        <v>4171</v>
      </c>
      <c r="B1692" t="s">
        <v>1860</v>
      </c>
      <c r="C1692" t="s">
        <v>2532</v>
      </c>
      <c r="D1692" t="s">
        <v>2533</v>
      </c>
      <c r="E1692" t="s">
        <v>1559</v>
      </c>
      <c r="F1692" t="s">
        <v>2535</v>
      </c>
      <c r="G1692" t="s">
        <v>4143</v>
      </c>
      <c r="H1692" t="s">
        <v>108</v>
      </c>
      <c r="I1692" t="s">
        <v>3953</v>
      </c>
    </row>
    <row r="1693" spans="1:9">
      <c r="A1693" s="93" t="s">
        <v>4171</v>
      </c>
      <c r="B1693" t="s">
        <v>1860</v>
      </c>
      <c r="C1693" t="s">
        <v>2536</v>
      </c>
      <c r="D1693" t="s">
        <v>2537</v>
      </c>
      <c r="E1693" t="s">
        <v>2538</v>
      </c>
      <c r="F1693" t="s">
        <v>2539</v>
      </c>
      <c r="G1693" t="s">
        <v>4143</v>
      </c>
      <c r="H1693" t="s">
        <v>108</v>
      </c>
      <c r="I1693" t="s">
        <v>3953</v>
      </c>
    </row>
    <row r="1694" spans="1:9">
      <c r="A1694" s="93" t="s">
        <v>4171</v>
      </c>
      <c r="B1694" t="s">
        <v>1860</v>
      </c>
      <c r="C1694" t="s">
        <v>2540</v>
      </c>
      <c r="D1694" t="s">
        <v>2537</v>
      </c>
      <c r="E1694" t="s">
        <v>2193</v>
      </c>
      <c r="F1694" t="s">
        <v>2541</v>
      </c>
      <c r="G1694" t="s">
        <v>4143</v>
      </c>
      <c r="H1694" t="s">
        <v>2193</v>
      </c>
      <c r="I1694" t="s">
        <v>3953</v>
      </c>
    </row>
    <row r="1695" spans="1:9">
      <c r="A1695" s="93" t="s">
        <v>4171</v>
      </c>
      <c r="B1695" t="s">
        <v>1860</v>
      </c>
      <c r="C1695" t="s">
        <v>2542</v>
      </c>
      <c r="D1695" t="s">
        <v>2533</v>
      </c>
      <c r="E1695" t="s">
        <v>108</v>
      </c>
      <c r="F1695" t="s">
        <v>2543</v>
      </c>
      <c r="G1695" t="s">
        <v>4143</v>
      </c>
      <c r="H1695" t="s">
        <v>108</v>
      </c>
      <c r="I1695" t="s">
        <v>3953</v>
      </c>
    </row>
    <row r="1696" spans="1:9">
      <c r="A1696" s="93" t="s">
        <v>4171</v>
      </c>
      <c r="B1696" t="s">
        <v>1860</v>
      </c>
      <c r="C1696" t="s">
        <v>2544</v>
      </c>
      <c r="D1696" t="s">
        <v>2545</v>
      </c>
      <c r="E1696" t="s">
        <v>2193</v>
      </c>
      <c r="F1696" t="s">
        <v>2541</v>
      </c>
      <c r="G1696" t="s">
        <v>4143</v>
      </c>
      <c r="H1696" t="s">
        <v>2193</v>
      </c>
      <c r="I1696" t="s">
        <v>3953</v>
      </c>
    </row>
    <row r="1697" spans="1:9">
      <c r="A1697" s="93" t="s">
        <v>4171</v>
      </c>
      <c r="B1697" t="s">
        <v>1861</v>
      </c>
      <c r="C1697" t="s">
        <v>2549</v>
      </c>
      <c r="D1697" t="s">
        <v>2537</v>
      </c>
      <c r="E1697" t="s">
        <v>2288</v>
      </c>
      <c r="F1697" t="s">
        <v>2550</v>
      </c>
      <c r="G1697" t="s">
        <v>4143</v>
      </c>
      <c r="H1697" t="s">
        <v>2288</v>
      </c>
      <c r="I1697" t="s">
        <v>3957</v>
      </c>
    </row>
    <row r="1698" spans="1:9">
      <c r="A1698" s="93" t="s">
        <v>4171</v>
      </c>
      <c r="B1698" t="s">
        <v>1861</v>
      </c>
      <c r="C1698" t="s">
        <v>2556</v>
      </c>
      <c r="D1698" t="s">
        <v>2533</v>
      </c>
      <c r="E1698" t="s">
        <v>2288</v>
      </c>
      <c r="F1698" t="s">
        <v>2557</v>
      </c>
      <c r="G1698" t="s">
        <v>4143</v>
      </c>
      <c r="H1698" t="s">
        <v>2288</v>
      </c>
      <c r="I1698" t="s">
        <v>3957</v>
      </c>
    </row>
    <row r="1699" spans="1:9">
      <c r="A1699" s="93" t="s">
        <v>4171</v>
      </c>
      <c r="B1699" t="s">
        <v>1861</v>
      </c>
      <c r="C1699" t="s">
        <v>2558</v>
      </c>
      <c r="D1699" t="s">
        <v>2559</v>
      </c>
      <c r="E1699" t="s">
        <v>2560</v>
      </c>
      <c r="F1699" t="s">
        <v>2561</v>
      </c>
      <c r="G1699" t="s">
        <v>4143</v>
      </c>
      <c r="H1699" t="s">
        <v>2288</v>
      </c>
      <c r="I1699" t="s">
        <v>3957</v>
      </c>
    </row>
    <row r="1700" spans="1:9">
      <c r="A1700" s="93" t="s">
        <v>4171</v>
      </c>
      <c r="B1700" t="s">
        <v>1861</v>
      </c>
      <c r="C1700" t="s">
        <v>2566</v>
      </c>
      <c r="D1700" t="s">
        <v>2545</v>
      </c>
      <c r="E1700" t="s">
        <v>2567</v>
      </c>
      <c r="F1700" t="s">
        <v>2569</v>
      </c>
      <c r="G1700" t="s">
        <v>4172</v>
      </c>
      <c r="H1700" t="s">
        <v>108</v>
      </c>
      <c r="I1700" t="s">
        <v>3957</v>
      </c>
    </row>
    <row r="1701" spans="1:9">
      <c r="A1701" s="93" t="s">
        <v>4171</v>
      </c>
      <c r="B1701" t="s">
        <v>1861</v>
      </c>
      <c r="C1701" t="s">
        <v>2576</v>
      </c>
      <c r="D1701" t="s">
        <v>2571</v>
      </c>
      <c r="E1701" t="s">
        <v>108</v>
      </c>
      <c r="F1701" t="s">
        <v>2577</v>
      </c>
      <c r="G1701" t="s">
        <v>4143</v>
      </c>
      <c r="H1701" t="s">
        <v>108</v>
      </c>
      <c r="I1701" t="s">
        <v>3957</v>
      </c>
    </row>
    <row r="1702" spans="1:9">
      <c r="A1702" s="93" t="s">
        <v>4171</v>
      </c>
      <c r="B1702" t="s">
        <v>1861</v>
      </c>
      <c r="C1702" t="s">
        <v>2584</v>
      </c>
      <c r="D1702" t="s">
        <v>2545</v>
      </c>
      <c r="E1702" t="s">
        <v>2585</v>
      </c>
      <c r="F1702" t="s">
        <v>2586</v>
      </c>
      <c r="G1702" t="s">
        <v>4143</v>
      </c>
      <c r="H1702" t="s">
        <v>108</v>
      </c>
      <c r="I1702" t="s">
        <v>3957</v>
      </c>
    </row>
    <row r="1703" spans="1:9">
      <c r="A1703" s="93" t="s">
        <v>4171</v>
      </c>
      <c r="B1703" t="s">
        <v>1861</v>
      </c>
      <c r="C1703" t="s">
        <v>2587</v>
      </c>
      <c r="D1703" t="s">
        <v>2554</v>
      </c>
      <c r="E1703" t="s">
        <v>2288</v>
      </c>
      <c r="F1703" t="s">
        <v>2588</v>
      </c>
      <c r="G1703" t="s">
        <v>4143</v>
      </c>
      <c r="H1703" t="s">
        <v>2288</v>
      </c>
      <c r="I1703" t="s">
        <v>3957</v>
      </c>
    </row>
    <row r="1704" spans="1:9">
      <c r="A1704" s="93" t="s">
        <v>4171</v>
      </c>
      <c r="B1704" t="s">
        <v>1862</v>
      </c>
      <c r="C1704" t="s">
        <v>2590</v>
      </c>
      <c r="D1704" t="s">
        <v>2591</v>
      </c>
      <c r="E1704" t="s">
        <v>2592</v>
      </c>
      <c r="F1704" t="s">
        <v>2593</v>
      </c>
      <c r="G1704" t="s">
        <v>4143</v>
      </c>
      <c r="H1704" t="s">
        <v>2288</v>
      </c>
      <c r="I1704" t="s">
        <v>3961</v>
      </c>
    </row>
    <row r="1705" spans="1:9">
      <c r="A1705" s="93" t="s">
        <v>4171</v>
      </c>
      <c r="B1705" t="s">
        <v>1862</v>
      </c>
      <c r="C1705" t="s">
        <v>2594</v>
      </c>
      <c r="D1705" t="s">
        <v>2533</v>
      </c>
      <c r="E1705" t="s">
        <v>2288</v>
      </c>
      <c r="F1705" t="s">
        <v>2595</v>
      </c>
      <c r="G1705" t="s">
        <v>4143</v>
      </c>
      <c r="H1705" t="s">
        <v>2288</v>
      </c>
      <c r="I1705" t="s">
        <v>3961</v>
      </c>
    </row>
    <row r="1706" spans="1:9">
      <c r="A1706" s="93" t="s">
        <v>4171</v>
      </c>
      <c r="B1706" t="s">
        <v>1862</v>
      </c>
      <c r="C1706" t="s">
        <v>2596</v>
      </c>
      <c r="D1706" t="s">
        <v>2582</v>
      </c>
      <c r="E1706" t="s">
        <v>108</v>
      </c>
      <c r="G1706" t="s">
        <v>4143</v>
      </c>
      <c r="H1706" t="s">
        <v>108</v>
      </c>
      <c r="I1706" t="s">
        <v>3961</v>
      </c>
    </row>
    <row r="1707" spans="1:9">
      <c r="A1707" s="93" t="s">
        <v>4171</v>
      </c>
      <c r="B1707" t="s">
        <v>1862</v>
      </c>
      <c r="C1707" t="s">
        <v>2597</v>
      </c>
      <c r="D1707" t="s">
        <v>2537</v>
      </c>
      <c r="E1707" t="s">
        <v>108</v>
      </c>
      <c r="F1707" t="s">
        <v>2598</v>
      </c>
      <c r="G1707" t="s">
        <v>4143</v>
      </c>
      <c r="H1707" t="s">
        <v>108</v>
      </c>
      <c r="I1707" t="s">
        <v>3961</v>
      </c>
    </row>
    <row r="1708" spans="1:9">
      <c r="A1708" s="93" t="s">
        <v>4171</v>
      </c>
      <c r="B1708" t="s">
        <v>1862</v>
      </c>
      <c r="C1708" t="s">
        <v>2599</v>
      </c>
      <c r="D1708" t="s">
        <v>2559</v>
      </c>
      <c r="E1708" t="s">
        <v>2288</v>
      </c>
      <c r="F1708" t="s">
        <v>2600</v>
      </c>
      <c r="G1708" t="s">
        <v>4143</v>
      </c>
      <c r="H1708" t="s">
        <v>2288</v>
      </c>
      <c r="I1708" t="s">
        <v>3961</v>
      </c>
    </row>
    <row r="1709" spans="1:9">
      <c r="A1709" s="93" t="s">
        <v>4171</v>
      </c>
      <c r="B1709" t="s">
        <v>1862</v>
      </c>
      <c r="C1709" t="s">
        <v>2601</v>
      </c>
      <c r="D1709" t="s">
        <v>2533</v>
      </c>
      <c r="E1709" t="s">
        <v>2288</v>
      </c>
      <c r="F1709" t="s">
        <v>2602</v>
      </c>
      <c r="G1709" t="s">
        <v>4143</v>
      </c>
      <c r="H1709" t="s">
        <v>2288</v>
      </c>
      <c r="I1709" t="s">
        <v>3961</v>
      </c>
    </row>
    <row r="1710" spans="1:9">
      <c r="A1710" s="93" t="s">
        <v>4171</v>
      </c>
      <c r="B1710" t="s">
        <v>1862</v>
      </c>
      <c r="C1710" t="s">
        <v>2603</v>
      </c>
      <c r="D1710" t="s">
        <v>2559</v>
      </c>
      <c r="E1710" t="s">
        <v>2604</v>
      </c>
      <c r="F1710" t="s">
        <v>2606</v>
      </c>
      <c r="G1710" t="s">
        <v>4143</v>
      </c>
      <c r="H1710" t="s">
        <v>2193</v>
      </c>
      <c r="I1710" t="s">
        <v>3961</v>
      </c>
    </row>
    <row r="1711" spans="1:9">
      <c r="A1711" s="93" t="s">
        <v>4171</v>
      </c>
      <c r="B1711" t="s">
        <v>1862</v>
      </c>
      <c r="C1711" t="s">
        <v>2607</v>
      </c>
      <c r="D1711" t="s">
        <v>2563</v>
      </c>
      <c r="E1711" t="s">
        <v>2608</v>
      </c>
      <c r="F1711" t="s">
        <v>2609</v>
      </c>
      <c r="G1711" t="s">
        <v>4143</v>
      </c>
      <c r="H1711" t="s">
        <v>2288</v>
      </c>
      <c r="I1711" t="s">
        <v>3961</v>
      </c>
    </row>
    <row r="1712" spans="1:9">
      <c r="A1712" s="93" t="s">
        <v>4171</v>
      </c>
      <c r="B1712" t="s">
        <v>1862</v>
      </c>
      <c r="C1712" t="s">
        <v>2610</v>
      </c>
      <c r="D1712" t="s">
        <v>2545</v>
      </c>
      <c r="E1712" t="s">
        <v>108</v>
      </c>
      <c r="G1712" t="s">
        <v>4143</v>
      </c>
      <c r="H1712" t="s">
        <v>108</v>
      </c>
      <c r="I1712" t="s">
        <v>3961</v>
      </c>
    </row>
    <row r="1713" spans="1:9">
      <c r="A1713" s="93" t="s">
        <v>4171</v>
      </c>
      <c r="B1713" t="s">
        <v>1862</v>
      </c>
      <c r="C1713" t="s">
        <v>2611</v>
      </c>
      <c r="D1713" t="s">
        <v>2545</v>
      </c>
      <c r="E1713" t="s">
        <v>2288</v>
      </c>
      <c r="F1713" t="s">
        <v>2612</v>
      </c>
      <c r="G1713" t="s">
        <v>4143</v>
      </c>
      <c r="H1713" t="s">
        <v>2288</v>
      </c>
      <c r="I1713" t="s">
        <v>3961</v>
      </c>
    </row>
    <row r="1714" spans="1:9">
      <c r="A1714" s="93" t="s">
        <v>4171</v>
      </c>
      <c r="B1714" t="s">
        <v>1864</v>
      </c>
      <c r="C1714" t="s">
        <v>2615</v>
      </c>
      <c r="D1714" t="s">
        <v>2537</v>
      </c>
      <c r="E1714" t="s">
        <v>2616</v>
      </c>
      <c r="F1714" t="s">
        <v>2617</v>
      </c>
      <c r="G1714" t="s">
        <v>4143</v>
      </c>
      <c r="H1714" t="s">
        <v>2288</v>
      </c>
      <c r="I1714" t="s">
        <v>3965</v>
      </c>
    </row>
    <row r="1715" spans="1:9">
      <c r="A1715" s="93" t="s">
        <v>4171</v>
      </c>
      <c r="B1715" t="s">
        <v>1864</v>
      </c>
      <c r="C1715" t="s">
        <v>2620</v>
      </c>
      <c r="D1715" t="s">
        <v>2554</v>
      </c>
      <c r="E1715" t="s">
        <v>2288</v>
      </c>
      <c r="F1715" t="s">
        <v>2621</v>
      </c>
      <c r="G1715" t="s">
        <v>4143</v>
      </c>
      <c r="H1715" t="s">
        <v>2288</v>
      </c>
      <c r="I1715" t="s">
        <v>3965</v>
      </c>
    </row>
    <row r="1716" spans="1:9">
      <c r="A1716" s="93" t="s">
        <v>4171</v>
      </c>
      <c r="B1716" t="s">
        <v>1864</v>
      </c>
      <c r="C1716" t="s">
        <v>2623</v>
      </c>
      <c r="D1716" t="s">
        <v>2533</v>
      </c>
      <c r="E1716" t="s">
        <v>2288</v>
      </c>
      <c r="F1716" t="s">
        <v>2624</v>
      </c>
      <c r="G1716" t="s">
        <v>4143</v>
      </c>
      <c r="H1716" t="s">
        <v>2288</v>
      </c>
      <c r="I1716" t="s">
        <v>3965</v>
      </c>
    </row>
    <row r="1717" spans="1:9">
      <c r="A1717" s="93" t="s">
        <v>4171</v>
      </c>
      <c r="B1717" t="s">
        <v>1864</v>
      </c>
      <c r="C1717" t="s">
        <v>2625</v>
      </c>
      <c r="D1717" t="s">
        <v>2533</v>
      </c>
      <c r="E1717" t="s">
        <v>2288</v>
      </c>
      <c r="G1717" t="s">
        <v>4143</v>
      </c>
      <c r="H1717" t="s">
        <v>2288</v>
      </c>
      <c r="I1717" t="s">
        <v>3965</v>
      </c>
    </row>
    <row r="1718" spans="1:9">
      <c r="A1718" s="93" t="s">
        <v>4171</v>
      </c>
      <c r="B1718" t="s">
        <v>1864</v>
      </c>
      <c r="C1718" t="s">
        <v>2628</v>
      </c>
      <c r="D1718" t="s">
        <v>2533</v>
      </c>
      <c r="E1718" t="s">
        <v>2629</v>
      </c>
      <c r="F1718" t="s">
        <v>2630</v>
      </c>
      <c r="G1718" t="s">
        <v>4143</v>
      </c>
      <c r="H1718" t="s">
        <v>2288</v>
      </c>
      <c r="I1718" t="s">
        <v>3965</v>
      </c>
    </row>
    <row r="1719" spans="1:9">
      <c r="A1719" s="93" t="s">
        <v>4171</v>
      </c>
      <c r="B1719" t="s">
        <v>1864</v>
      </c>
      <c r="C1719" t="s">
        <v>2634</v>
      </c>
      <c r="D1719" t="s">
        <v>2563</v>
      </c>
      <c r="E1719" t="s">
        <v>2288</v>
      </c>
      <c r="F1719" t="s">
        <v>2635</v>
      </c>
      <c r="G1719" t="s">
        <v>4143</v>
      </c>
      <c r="H1719" t="s">
        <v>2288</v>
      </c>
      <c r="I1719" t="s">
        <v>3965</v>
      </c>
    </row>
    <row r="1720" spans="1:9">
      <c r="A1720" s="93" t="s">
        <v>4171</v>
      </c>
      <c r="B1720" t="s">
        <v>1866</v>
      </c>
      <c r="C1720" t="s">
        <v>2643</v>
      </c>
      <c r="D1720" t="s">
        <v>2579</v>
      </c>
      <c r="E1720" t="s">
        <v>2288</v>
      </c>
      <c r="F1720" t="s">
        <v>2644</v>
      </c>
      <c r="G1720" t="s">
        <v>4143</v>
      </c>
      <c r="H1720" t="s">
        <v>2288</v>
      </c>
      <c r="I1720" t="s">
        <v>3969</v>
      </c>
    </row>
    <row r="1721" spans="1:9">
      <c r="A1721" s="93" t="s">
        <v>4171</v>
      </c>
      <c r="B1721" t="s">
        <v>1866</v>
      </c>
      <c r="C1721" t="s">
        <v>2645</v>
      </c>
      <c r="D1721" t="s">
        <v>2537</v>
      </c>
      <c r="E1721" t="s">
        <v>2288</v>
      </c>
      <c r="F1721" t="s">
        <v>2646</v>
      </c>
      <c r="G1721" t="s">
        <v>4143</v>
      </c>
      <c r="H1721" t="s">
        <v>2288</v>
      </c>
      <c r="I1721" t="s">
        <v>3969</v>
      </c>
    </row>
    <row r="1722" spans="1:9">
      <c r="A1722" s="93" t="s">
        <v>4171</v>
      </c>
      <c r="B1722" t="s">
        <v>1866</v>
      </c>
      <c r="C1722" t="s">
        <v>2648</v>
      </c>
      <c r="D1722" t="s">
        <v>2591</v>
      </c>
      <c r="E1722" t="s">
        <v>2288</v>
      </c>
      <c r="F1722" t="s">
        <v>2649</v>
      </c>
      <c r="G1722" t="s">
        <v>4143</v>
      </c>
      <c r="H1722" t="s">
        <v>2288</v>
      </c>
      <c r="I1722" t="s">
        <v>3969</v>
      </c>
    </row>
    <row r="1723" spans="1:9">
      <c r="A1723" s="93" t="s">
        <v>4171</v>
      </c>
      <c r="B1723" t="s">
        <v>1866</v>
      </c>
      <c r="C1723" t="s">
        <v>2650</v>
      </c>
      <c r="D1723" t="s">
        <v>2571</v>
      </c>
      <c r="E1723" t="s">
        <v>2651</v>
      </c>
      <c r="F1723" t="s">
        <v>2652</v>
      </c>
      <c r="G1723" t="s">
        <v>4143</v>
      </c>
      <c r="H1723" t="s">
        <v>2288</v>
      </c>
      <c r="I1723" t="s">
        <v>3969</v>
      </c>
    </row>
    <row r="1724" spans="1:9">
      <c r="A1724" s="93" t="s">
        <v>4171</v>
      </c>
      <c r="B1724" t="s">
        <v>1866</v>
      </c>
      <c r="C1724" t="s">
        <v>2653</v>
      </c>
      <c r="D1724" t="s">
        <v>2533</v>
      </c>
      <c r="E1724" t="s">
        <v>2288</v>
      </c>
      <c r="F1724" t="s">
        <v>2654</v>
      </c>
      <c r="G1724" t="s">
        <v>4143</v>
      </c>
      <c r="H1724" t="s">
        <v>2288</v>
      </c>
      <c r="I1724" t="s">
        <v>3969</v>
      </c>
    </row>
    <row r="1725" spans="1:9">
      <c r="A1725" s="93" t="s">
        <v>4171</v>
      </c>
      <c r="B1725" t="s">
        <v>1866</v>
      </c>
      <c r="C1725" t="s">
        <v>2655</v>
      </c>
      <c r="D1725" t="s">
        <v>2571</v>
      </c>
      <c r="E1725" t="s">
        <v>2288</v>
      </c>
      <c r="F1725" t="s">
        <v>2656</v>
      </c>
      <c r="G1725" t="s">
        <v>4143</v>
      </c>
      <c r="H1725" t="s">
        <v>2288</v>
      </c>
      <c r="I1725" t="s">
        <v>3969</v>
      </c>
    </row>
    <row r="1726" spans="1:9">
      <c r="A1726" s="93" t="s">
        <v>4171</v>
      </c>
      <c r="B1726" t="s">
        <v>1866</v>
      </c>
      <c r="C1726" t="s">
        <v>2657</v>
      </c>
      <c r="D1726" t="s">
        <v>2533</v>
      </c>
      <c r="E1726" t="s">
        <v>2288</v>
      </c>
      <c r="F1726" t="s">
        <v>2658</v>
      </c>
      <c r="G1726" t="s">
        <v>4143</v>
      </c>
      <c r="H1726" t="s">
        <v>2288</v>
      </c>
      <c r="I1726" t="s">
        <v>3969</v>
      </c>
    </row>
    <row r="1727" spans="1:9">
      <c r="A1727" s="93" t="s">
        <v>4171</v>
      </c>
      <c r="B1727" t="s">
        <v>1866</v>
      </c>
      <c r="C1727" t="s">
        <v>2659</v>
      </c>
      <c r="D1727" t="s">
        <v>2559</v>
      </c>
      <c r="E1727" t="s">
        <v>2288</v>
      </c>
      <c r="F1727" t="s">
        <v>2660</v>
      </c>
      <c r="G1727" t="s">
        <v>4143</v>
      </c>
      <c r="H1727" t="s">
        <v>2288</v>
      </c>
      <c r="I1727" t="s">
        <v>3969</v>
      </c>
    </row>
    <row r="1728" spans="1:9">
      <c r="A1728" s="93" t="s">
        <v>4171</v>
      </c>
      <c r="B1728" t="s">
        <v>1866</v>
      </c>
      <c r="C1728" t="s">
        <v>2663</v>
      </c>
      <c r="D1728" t="s">
        <v>2559</v>
      </c>
      <c r="E1728" t="s">
        <v>2288</v>
      </c>
      <c r="F1728" t="s">
        <v>2664</v>
      </c>
      <c r="G1728" t="s">
        <v>4143</v>
      </c>
      <c r="H1728" t="s">
        <v>2288</v>
      </c>
      <c r="I1728" t="s">
        <v>3969</v>
      </c>
    </row>
    <row r="1729" spans="1:9">
      <c r="A1729" s="93" t="s">
        <v>4171</v>
      </c>
      <c r="B1729" t="s">
        <v>1866</v>
      </c>
      <c r="C1729" t="s">
        <v>2665</v>
      </c>
      <c r="D1729" t="s">
        <v>2563</v>
      </c>
      <c r="E1729" t="s">
        <v>2288</v>
      </c>
      <c r="F1729" t="s">
        <v>2666</v>
      </c>
      <c r="G1729" t="s">
        <v>4143</v>
      </c>
      <c r="H1729" t="s">
        <v>2288</v>
      </c>
      <c r="I1729" t="s">
        <v>3969</v>
      </c>
    </row>
    <row r="1730" spans="1:9">
      <c r="A1730" s="93" t="s">
        <v>4171</v>
      </c>
      <c r="B1730" t="s">
        <v>1866</v>
      </c>
      <c r="C1730" t="s">
        <v>2667</v>
      </c>
      <c r="D1730" t="s">
        <v>2571</v>
      </c>
      <c r="E1730" t="s">
        <v>2668</v>
      </c>
      <c r="F1730" t="s">
        <v>2670</v>
      </c>
      <c r="G1730" t="s">
        <v>4143</v>
      </c>
      <c r="H1730" t="s">
        <v>2669</v>
      </c>
      <c r="I1730" t="s">
        <v>3969</v>
      </c>
    </row>
    <row r="1731" spans="1:9">
      <c r="A1731" s="93" t="s">
        <v>4171</v>
      </c>
      <c r="B1731" t="s">
        <v>1866</v>
      </c>
      <c r="C1731" t="s">
        <v>2671</v>
      </c>
      <c r="D1731" t="s">
        <v>2591</v>
      </c>
      <c r="E1731" t="s">
        <v>2288</v>
      </c>
      <c r="F1731" t="s">
        <v>2672</v>
      </c>
      <c r="G1731" t="s">
        <v>4143</v>
      </c>
      <c r="H1731" t="s">
        <v>2288</v>
      </c>
      <c r="I1731" t="s">
        <v>3969</v>
      </c>
    </row>
    <row r="1732" spans="1:9">
      <c r="A1732" s="93" t="s">
        <v>4171</v>
      </c>
      <c r="B1732" t="s">
        <v>1870</v>
      </c>
      <c r="C1732" t="s">
        <v>2677</v>
      </c>
      <c r="D1732" t="s">
        <v>2533</v>
      </c>
      <c r="E1732" t="s">
        <v>2288</v>
      </c>
      <c r="F1732" t="s">
        <v>2678</v>
      </c>
      <c r="G1732" t="s">
        <v>4143</v>
      </c>
      <c r="H1732" t="s">
        <v>2288</v>
      </c>
      <c r="I1732" t="s">
        <v>3973</v>
      </c>
    </row>
    <row r="1733" spans="1:9">
      <c r="A1733" s="93" t="s">
        <v>4171</v>
      </c>
      <c r="B1733" t="s">
        <v>1870</v>
      </c>
      <c r="C1733" t="s">
        <v>2679</v>
      </c>
      <c r="D1733" t="s">
        <v>2537</v>
      </c>
      <c r="E1733" t="s">
        <v>2288</v>
      </c>
      <c r="F1733" t="s">
        <v>2680</v>
      </c>
      <c r="G1733" t="s">
        <v>4143</v>
      </c>
      <c r="H1733" t="s">
        <v>2288</v>
      </c>
      <c r="I1733" t="s">
        <v>3973</v>
      </c>
    </row>
    <row r="1734" spans="1:9">
      <c r="A1734" s="93" t="s">
        <v>4171</v>
      </c>
      <c r="B1734" t="s">
        <v>1870</v>
      </c>
      <c r="C1734" t="s">
        <v>2681</v>
      </c>
      <c r="D1734" t="s">
        <v>2563</v>
      </c>
      <c r="E1734" t="s">
        <v>108</v>
      </c>
      <c r="F1734" t="s">
        <v>2682</v>
      </c>
      <c r="G1734" t="s">
        <v>4143</v>
      </c>
      <c r="H1734" t="s">
        <v>108</v>
      </c>
      <c r="I1734" t="s">
        <v>3973</v>
      </c>
    </row>
    <row r="1735" spans="1:9">
      <c r="A1735" s="93" t="s">
        <v>4171</v>
      </c>
      <c r="B1735" t="s">
        <v>1870</v>
      </c>
      <c r="C1735" t="s">
        <v>2683</v>
      </c>
      <c r="D1735" t="s">
        <v>2537</v>
      </c>
      <c r="E1735" t="s">
        <v>2684</v>
      </c>
      <c r="F1735" t="s">
        <v>2686</v>
      </c>
      <c r="G1735" t="s">
        <v>4172</v>
      </c>
      <c r="H1735" t="s">
        <v>108</v>
      </c>
      <c r="I1735" t="s">
        <v>3973</v>
      </c>
    </row>
    <row r="1736" spans="1:9">
      <c r="A1736" s="93" t="s">
        <v>4171</v>
      </c>
      <c r="B1736" t="s">
        <v>1870</v>
      </c>
      <c r="C1736" t="s">
        <v>2687</v>
      </c>
      <c r="D1736" t="s">
        <v>2554</v>
      </c>
      <c r="E1736" t="s">
        <v>2288</v>
      </c>
      <c r="F1736" t="s">
        <v>2688</v>
      </c>
      <c r="G1736" t="s">
        <v>4143</v>
      </c>
      <c r="H1736" t="s">
        <v>2288</v>
      </c>
      <c r="I1736" t="s">
        <v>3973</v>
      </c>
    </row>
    <row r="1737" spans="1:9">
      <c r="A1737" s="93" t="s">
        <v>4171</v>
      </c>
      <c r="B1737" t="s">
        <v>1870</v>
      </c>
      <c r="C1737" t="s">
        <v>2689</v>
      </c>
      <c r="D1737" t="s">
        <v>2554</v>
      </c>
      <c r="E1737" t="s">
        <v>2288</v>
      </c>
      <c r="F1737" t="s">
        <v>2690</v>
      </c>
      <c r="G1737" t="s">
        <v>4143</v>
      </c>
      <c r="H1737" t="s">
        <v>2288</v>
      </c>
      <c r="I1737" t="s">
        <v>3973</v>
      </c>
    </row>
    <row r="1738" spans="1:9">
      <c r="A1738" s="93" t="s">
        <v>4171</v>
      </c>
      <c r="B1738" t="s">
        <v>1870</v>
      </c>
      <c r="C1738" t="s">
        <v>2693</v>
      </c>
      <c r="D1738" t="s">
        <v>2533</v>
      </c>
      <c r="E1738" t="s">
        <v>2288</v>
      </c>
      <c r="F1738" t="s">
        <v>2694</v>
      </c>
      <c r="G1738" t="s">
        <v>4143</v>
      </c>
      <c r="H1738" t="s">
        <v>2288</v>
      </c>
      <c r="I1738" t="s">
        <v>3973</v>
      </c>
    </row>
    <row r="1739" spans="1:9">
      <c r="A1739" s="93" t="s">
        <v>4171</v>
      </c>
      <c r="B1739" t="s">
        <v>1870</v>
      </c>
      <c r="C1739" t="s">
        <v>2695</v>
      </c>
      <c r="D1739" t="s">
        <v>2591</v>
      </c>
      <c r="E1739" t="s">
        <v>2288</v>
      </c>
      <c r="F1739" t="s">
        <v>2696</v>
      </c>
      <c r="G1739" t="s">
        <v>4143</v>
      </c>
      <c r="H1739" t="s">
        <v>2288</v>
      </c>
      <c r="I1739" t="s">
        <v>3973</v>
      </c>
    </row>
    <row r="1740" spans="1:9">
      <c r="A1740" s="93" t="s">
        <v>4171</v>
      </c>
      <c r="B1740" t="s">
        <v>1870</v>
      </c>
      <c r="C1740" t="s">
        <v>2697</v>
      </c>
      <c r="D1740" t="s">
        <v>2582</v>
      </c>
      <c r="E1740" t="s">
        <v>2367</v>
      </c>
      <c r="F1740" t="s">
        <v>2698</v>
      </c>
      <c r="G1740" t="s">
        <v>4143</v>
      </c>
      <c r="H1740" t="s">
        <v>2193</v>
      </c>
      <c r="I1740" t="s">
        <v>3973</v>
      </c>
    </row>
    <row r="1741" spans="1:9">
      <c r="A1741" s="93" t="s">
        <v>4171</v>
      </c>
      <c r="B1741" t="s">
        <v>1870</v>
      </c>
      <c r="C1741" t="s">
        <v>2699</v>
      </c>
      <c r="D1741" t="s">
        <v>2571</v>
      </c>
      <c r="E1741" t="s">
        <v>2288</v>
      </c>
      <c r="F1741" t="s">
        <v>2700</v>
      </c>
      <c r="G1741" t="s">
        <v>4143</v>
      </c>
      <c r="H1741" t="s">
        <v>2288</v>
      </c>
      <c r="I1741" t="s">
        <v>3973</v>
      </c>
    </row>
    <row r="1742" spans="1:9">
      <c r="A1742" s="93" t="s">
        <v>4171</v>
      </c>
      <c r="B1742" t="s">
        <v>1870</v>
      </c>
      <c r="C1742" t="s">
        <v>2701</v>
      </c>
      <c r="D1742" t="s">
        <v>2559</v>
      </c>
      <c r="E1742" t="s">
        <v>2193</v>
      </c>
      <c r="F1742" t="s">
        <v>2702</v>
      </c>
      <c r="G1742" t="s">
        <v>4143</v>
      </c>
      <c r="H1742" t="s">
        <v>2193</v>
      </c>
      <c r="I1742" t="s">
        <v>3973</v>
      </c>
    </row>
    <row r="1743" spans="1:9">
      <c r="A1743" s="93" t="s">
        <v>4171</v>
      </c>
      <c r="B1743" t="s">
        <v>1870</v>
      </c>
      <c r="C1743" t="s">
        <v>2703</v>
      </c>
      <c r="D1743" t="s">
        <v>2554</v>
      </c>
      <c r="E1743" t="s">
        <v>2193</v>
      </c>
      <c r="F1743" t="s">
        <v>2704</v>
      </c>
      <c r="G1743" t="s">
        <v>4143</v>
      </c>
      <c r="H1743" t="s">
        <v>2193</v>
      </c>
      <c r="I1743" t="s">
        <v>3973</v>
      </c>
    </row>
    <row r="1744" spans="1:9">
      <c r="A1744" s="93" t="s">
        <v>4171</v>
      </c>
      <c r="B1744" t="s">
        <v>1870</v>
      </c>
      <c r="C1744" t="s">
        <v>2706</v>
      </c>
      <c r="D1744" t="s">
        <v>2591</v>
      </c>
      <c r="E1744" t="s">
        <v>108</v>
      </c>
      <c r="F1744" t="s">
        <v>2707</v>
      </c>
      <c r="G1744" t="s">
        <v>4143</v>
      </c>
      <c r="H1744" t="s">
        <v>108</v>
      </c>
      <c r="I1744" t="s">
        <v>3973</v>
      </c>
    </row>
    <row r="1745" spans="1:9">
      <c r="A1745" s="93" t="s">
        <v>4171</v>
      </c>
      <c r="B1745" t="s">
        <v>1872</v>
      </c>
      <c r="C1745" t="s">
        <v>2709</v>
      </c>
      <c r="D1745" t="s">
        <v>2582</v>
      </c>
      <c r="E1745" t="s">
        <v>2710</v>
      </c>
      <c r="G1745" t="s">
        <v>4143</v>
      </c>
      <c r="H1745" t="s">
        <v>2669</v>
      </c>
      <c r="I1745" t="s">
        <v>3977</v>
      </c>
    </row>
    <row r="1746" spans="1:9">
      <c r="A1746" s="93" t="s">
        <v>4171</v>
      </c>
      <c r="B1746" t="s">
        <v>1872</v>
      </c>
      <c r="C1746" t="s">
        <v>2711</v>
      </c>
      <c r="D1746" t="s">
        <v>2579</v>
      </c>
      <c r="E1746" t="s">
        <v>2288</v>
      </c>
      <c r="F1746" t="s">
        <v>2712</v>
      </c>
      <c r="G1746" t="s">
        <v>4143</v>
      </c>
      <c r="H1746" t="s">
        <v>2288</v>
      </c>
      <c r="I1746" t="s">
        <v>3977</v>
      </c>
    </row>
    <row r="1747" spans="1:9">
      <c r="A1747" s="93" t="s">
        <v>4171</v>
      </c>
      <c r="B1747" t="s">
        <v>1872</v>
      </c>
      <c r="C1747" t="s">
        <v>2713</v>
      </c>
      <c r="D1747" t="s">
        <v>2591</v>
      </c>
      <c r="E1747" t="s">
        <v>2288</v>
      </c>
      <c r="F1747" t="s">
        <v>2714</v>
      </c>
      <c r="G1747" t="s">
        <v>4143</v>
      </c>
      <c r="H1747" t="s">
        <v>2288</v>
      </c>
      <c r="I1747" t="s">
        <v>3977</v>
      </c>
    </row>
    <row r="1748" spans="1:9">
      <c r="A1748" s="93" t="s">
        <v>4171</v>
      </c>
      <c r="B1748" t="s">
        <v>1872</v>
      </c>
      <c r="C1748" t="s">
        <v>2715</v>
      </c>
      <c r="D1748" t="s">
        <v>2571</v>
      </c>
      <c r="E1748" t="s">
        <v>2288</v>
      </c>
      <c r="F1748" t="s">
        <v>2716</v>
      </c>
      <c r="G1748" t="s">
        <v>4143</v>
      </c>
      <c r="H1748" t="s">
        <v>2288</v>
      </c>
      <c r="I1748" t="s">
        <v>3977</v>
      </c>
    </row>
    <row r="1749" spans="1:9">
      <c r="A1749" s="93" t="s">
        <v>4171</v>
      </c>
      <c r="B1749" t="s">
        <v>1872</v>
      </c>
      <c r="C1749" t="s">
        <v>2792</v>
      </c>
      <c r="D1749" t="s">
        <v>2582</v>
      </c>
      <c r="E1749" t="s">
        <v>2793</v>
      </c>
      <c r="G1749" t="s">
        <v>4143</v>
      </c>
      <c r="H1749" t="s">
        <v>227</v>
      </c>
      <c r="I1749" t="s">
        <v>3977</v>
      </c>
    </row>
    <row r="1750" spans="1:9">
      <c r="A1750" s="93" t="s">
        <v>4171</v>
      </c>
      <c r="B1750" t="s">
        <v>1872</v>
      </c>
      <c r="C1750" t="s">
        <v>2717</v>
      </c>
      <c r="D1750" t="s">
        <v>2559</v>
      </c>
      <c r="E1750" t="s">
        <v>2288</v>
      </c>
      <c r="F1750" t="s">
        <v>2718</v>
      </c>
      <c r="G1750" t="s">
        <v>4143</v>
      </c>
      <c r="H1750" t="s">
        <v>2288</v>
      </c>
      <c r="I1750" t="s">
        <v>3977</v>
      </c>
    </row>
    <row r="1751" spans="1:9">
      <c r="A1751" s="93" t="s">
        <v>4171</v>
      </c>
      <c r="B1751" t="s">
        <v>1872</v>
      </c>
      <c r="C1751" t="s">
        <v>2719</v>
      </c>
      <c r="D1751" t="s">
        <v>2559</v>
      </c>
      <c r="E1751" t="s">
        <v>108</v>
      </c>
      <c r="F1751" t="s">
        <v>2720</v>
      </c>
      <c r="G1751" t="s">
        <v>4143</v>
      </c>
      <c r="H1751" t="s">
        <v>108</v>
      </c>
      <c r="I1751" t="s">
        <v>3977</v>
      </c>
    </row>
    <row r="1752" spans="1:9">
      <c r="A1752" s="93" t="s">
        <v>4171</v>
      </c>
      <c r="B1752" t="s">
        <v>1872</v>
      </c>
      <c r="C1752" t="s">
        <v>2721</v>
      </c>
      <c r="D1752" t="s">
        <v>2591</v>
      </c>
      <c r="E1752" t="s">
        <v>2288</v>
      </c>
      <c r="F1752" t="s">
        <v>2716</v>
      </c>
      <c r="G1752" t="s">
        <v>4143</v>
      </c>
      <c r="H1752" t="s">
        <v>2288</v>
      </c>
      <c r="I1752" t="s">
        <v>3977</v>
      </c>
    </row>
    <row r="1753" spans="1:9">
      <c r="A1753" s="93" t="s">
        <v>4171</v>
      </c>
      <c r="B1753" t="s">
        <v>1872</v>
      </c>
      <c r="C1753" t="s">
        <v>2725</v>
      </c>
      <c r="D1753" t="s">
        <v>2582</v>
      </c>
      <c r="E1753" t="s">
        <v>2193</v>
      </c>
      <c r="G1753" t="s">
        <v>4143</v>
      </c>
      <c r="H1753" t="s">
        <v>2193</v>
      </c>
      <c r="I1753" t="s">
        <v>3977</v>
      </c>
    </row>
    <row r="1754" spans="1:9">
      <c r="A1754" s="93" t="s">
        <v>4171</v>
      </c>
      <c r="B1754" t="s">
        <v>1872</v>
      </c>
      <c r="C1754" t="s">
        <v>2726</v>
      </c>
      <c r="D1754" t="s">
        <v>2591</v>
      </c>
      <c r="E1754" t="s">
        <v>108</v>
      </c>
      <c r="F1754" t="s">
        <v>2727</v>
      </c>
      <c r="G1754" t="s">
        <v>4143</v>
      </c>
      <c r="H1754" t="s">
        <v>108</v>
      </c>
      <c r="I1754" t="s">
        <v>3977</v>
      </c>
    </row>
    <row r="1755" spans="1:9">
      <c r="A1755" s="93" t="s">
        <v>4171</v>
      </c>
      <c r="B1755" t="s">
        <v>1872</v>
      </c>
      <c r="C1755" t="s">
        <v>2728</v>
      </c>
      <c r="D1755" t="s">
        <v>2545</v>
      </c>
      <c r="E1755" t="s">
        <v>2288</v>
      </c>
      <c r="F1755" t="s">
        <v>2729</v>
      </c>
      <c r="G1755" t="s">
        <v>4143</v>
      </c>
      <c r="H1755" t="s">
        <v>2288</v>
      </c>
      <c r="I1755" t="s">
        <v>3977</v>
      </c>
    </row>
    <row r="1756" spans="1:9">
      <c r="A1756" s="93" t="s">
        <v>4171</v>
      </c>
      <c r="B1756" t="s">
        <v>1872</v>
      </c>
      <c r="C1756" t="s">
        <v>2730</v>
      </c>
      <c r="D1756" t="s">
        <v>2545</v>
      </c>
      <c r="E1756" t="s">
        <v>2731</v>
      </c>
      <c r="F1756" t="s">
        <v>2732</v>
      </c>
      <c r="G1756" t="s">
        <v>4143</v>
      </c>
      <c r="H1756" t="s">
        <v>108</v>
      </c>
      <c r="I1756" t="s">
        <v>3977</v>
      </c>
    </row>
    <row r="1757" spans="1:9">
      <c r="A1757" s="93" t="s">
        <v>4171</v>
      </c>
      <c r="B1757" t="s">
        <v>1872</v>
      </c>
      <c r="C1757" t="s">
        <v>2733</v>
      </c>
      <c r="D1757" t="s">
        <v>2591</v>
      </c>
      <c r="E1757" t="s">
        <v>2288</v>
      </c>
      <c r="F1757" t="s">
        <v>2734</v>
      </c>
      <c r="G1757" t="s">
        <v>4143</v>
      </c>
      <c r="H1757" t="s">
        <v>2288</v>
      </c>
      <c r="I1757" t="s">
        <v>3977</v>
      </c>
    </row>
    <row r="1758" spans="1:9">
      <c r="A1758" s="93" t="s">
        <v>4171</v>
      </c>
      <c r="B1758" t="s">
        <v>1873</v>
      </c>
      <c r="C1758" t="s">
        <v>2736</v>
      </c>
      <c r="D1758" t="s">
        <v>2579</v>
      </c>
      <c r="E1758" t="s">
        <v>2737</v>
      </c>
      <c r="F1758" t="s">
        <v>2739</v>
      </c>
      <c r="G1758" t="s">
        <v>4172</v>
      </c>
      <c r="H1758" t="s">
        <v>2288</v>
      </c>
      <c r="I1758" t="s">
        <v>3981</v>
      </c>
    </row>
    <row r="1759" spans="1:9">
      <c r="A1759" s="93" t="s">
        <v>4171</v>
      </c>
      <c r="B1759" t="s">
        <v>1873</v>
      </c>
      <c r="C1759" t="s">
        <v>2740</v>
      </c>
      <c r="D1759" t="s">
        <v>2559</v>
      </c>
      <c r="E1759" t="s">
        <v>2741</v>
      </c>
      <c r="F1759" t="s">
        <v>2742</v>
      </c>
      <c r="G1759" t="s">
        <v>4143</v>
      </c>
      <c r="H1759" t="s">
        <v>108</v>
      </c>
      <c r="I1759" t="s">
        <v>3981</v>
      </c>
    </row>
    <row r="1760" spans="1:9">
      <c r="A1760" s="93" t="s">
        <v>4171</v>
      </c>
      <c r="B1760" t="s">
        <v>1873</v>
      </c>
      <c r="C1760" t="s">
        <v>2743</v>
      </c>
      <c r="D1760" t="s">
        <v>2571</v>
      </c>
      <c r="E1760" t="s">
        <v>2744</v>
      </c>
      <c r="F1760" t="s">
        <v>2745</v>
      </c>
      <c r="G1760" t="s">
        <v>4143</v>
      </c>
      <c r="H1760" t="s">
        <v>2288</v>
      </c>
      <c r="I1760" t="s">
        <v>3981</v>
      </c>
    </row>
    <row r="1761" spans="1:9">
      <c r="A1761" s="93" t="s">
        <v>4171</v>
      </c>
      <c r="B1761" t="s">
        <v>1873</v>
      </c>
      <c r="C1761" t="s">
        <v>2746</v>
      </c>
      <c r="D1761" t="s">
        <v>2571</v>
      </c>
      <c r="E1761" t="s">
        <v>2744</v>
      </c>
      <c r="F1761" t="s">
        <v>2745</v>
      </c>
      <c r="G1761" t="s">
        <v>4143</v>
      </c>
      <c r="H1761" t="s">
        <v>2288</v>
      </c>
      <c r="I1761" t="s">
        <v>3981</v>
      </c>
    </row>
    <row r="1762" spans="1:9">
      <c r="A1762" s="93" t="s">
        <v>4171</v>
      </c>
      <c r="B1762" t="s">
        <v>1873</v>
      </c>
      <c r="C1762" t="s">
        <v>2747</v>
      </c>
      <c r="D1762" t="s">
        <v>2533</v>
      </c>
      <c r="E1762" t="s">
        <v>2288</v>
      </c>
      <c r="F1762" t="s">
        <v>2748</v>
      </c>
      <c r="G1762" t="s">
        <v>4143</v>
      </c>
      <c r="H1762" t="s">
        <v>2288</v>
      </c>
      <c r="I1762" t="s">
        <v>3981</v>
      </c>
    </row>
    <row r="1763" spans="1:9">
      <c r="A1763" s="93" t="s">
        <v>4171</v>
      </c>
      <c r="B1763" t="s">
        <v>1873</v>
      </c>
      <c r="C1763" t="s">
        <v>2749</v>
      </c>
      <c r="D1763" t="s">
        <v>2579</v>
      </c>
      <c r="E1763" t="s">
        <v>2288</v>
      </c>
      <c r="F1763" t="s">
        <v>2750</v>
      </c>
      <c r="G1763" t="s">
        <v>4143</v>
      </c>
      <c r="H1763" t="s">
        <v>2288</v>
      </c>
      <c r="I1763" t="s">
        <v>3981</v>
      </c>
    </row>
    <row r="1764" spans="1:9">
      <c r="A1764" s="93" t="s">
        <v>4171</v>
      </c>
      <c r="B1764" t="s">
        <v>1873</v>
      </c>
      <c r="C1764" t="s">
        <v>2751</v>
      </c>
      <c r="D1764" t="s">
        <v>2571</v>
      </c>
      <c r="E1764" t="s">
        <v>2288</v>
      </c>
      <c r="F1764" t="s">
        <v>2752</v>
      </c>
      <c r="G1764" t="s">
        <v>4143</v>
      </c>
      <c r="H1764" t="s">
        <v>2288</v>
      </c>
      <c r="I1764" t="s">
        <v>3981</v>
      </c>
    </row>
    <row r="1765" spans="1:9">
      <c r="A1765" s="93" t="s">
        <v>4171</v>
      </c>
      <c r="B1765" t="s">
        <v>1873</v>
      </c>
      <c r="C1765" t="s">
        <v>2753</v>
      </c>
      <c r="D1765" t="s">
        <v>2537</v>
      </c>
      <c r="E1765" t="s">
        <v>2288</v>
      </c>
      <c r="F1765" t="s">
        <v>2754</v>
      </c>
      <c r="G1765" t="s">
        <v>4143</v>
      </c>
      <c r="H1765" t="s">
        <v>2288</v>
      </c>
      <c r="I1765" t="s">
        <v>3981</v>
      </c>
    </row>
    <row r="1766" spans="1:9">
      <c r="A1766" s="93" t="s">
        <v>4171</v>
      </c>
      <c r="B1766" t="s">
        <v>1873</v>
      </c>
      <c r="C1766" t="s">
        <v>2755</v>
      </c>
      <c r="D1766" t="s">
        <v>2579</v>
      </c>
      <c r="E1766" t="s">
        <v>2288</v>
      </c>
      <c r="F1766" t="s">
        <v>2756</v>
      </c>
      <c r="G1766" t="s">
        <v>4143</v>
      </c>
      <c r="H1766" t="s">
        <v>2288</v>
      </c>
      <c r="I1766" t="s">
        <v>3981</v>
      </c>
    </row>
    <row r="1767" spans="1:9">
      <c r="A1767" s="93" t="s">
        <v>4171</v>
      </c>
      <c r="B1767" t="s">
        <v>1873</v>
      </c>
      <c r="C1767" t="s">
        <v>2757</v>
      </c>
      <c r="D1767" t="s">
        <v>2619</v>
      </c>
      <c r="E1767" t="s">
        <v>2288</v>
      </c>
      <c r="F1767" t="s">
        <v>2758</v>
      </c>
      <c r="G1767" t="s">
        <v>4143</v>
      </c>
      <c r="H1767" t="s">
        <v>2288</v>
      </c>
      <c r="I1767" t="s">
        <v>3981</v>
      </c>
    </row>
    <row r="1768" spans="1:9">
      <c r="A1768" s="93" t="s">
        <v>4171</v>
      </c>
      <c r="B1768" t="s">
        <v>1873</v>
      </c>
      <c r="C1768" t="s">
        <v>2759</v>
      </c>
      <c r="D1768" t="s">
        <v>2537</v>
      </c>
      <c r="E1768" t="s">
        <v>2288</v>
      </c>
      <c r="F1768" t="s">
        <v>2760</v>
      </c>
      <c r="G1768" t="s">
        <v>4143</v>
      </c>
      <c r="H1768" t="s">
        <v>2288</v>
      </c>
      <c r="I1768" t="s">
        <v>3981</v>
      </c>
    </row>
    <row r="1769" spans="1:9">
      <c r="A1769" s="93" t="s">
        <v>4171</v>
      </c>
      <c r="B1769" t="s">
        <v>1873</v>
      </c>
      <c r="C1769" t="s">
        <v>2761</v>
      </c>
      <c r="D1769" t="s">
        <v>2582</v>
      </c>
      <c r="E1769" t="s">
        <v>2762</v>
      </c>
      <c r="F1769" t="s">
        <v>2763</v>
      </c>
      <c r="G1769" t="s">
        <v>4143</v>
      </c>
      <c r="H1769" t="s">
        <v>108</v>
      </c>
      <c r="I1769" t="s">
        <v>3981</v>
      </c>
    </row>
    <row r="1770" spans="1:9">
      <c r="A1770" s="93" t="s">
        <v>4171</v>
      </c>
      <c r="B1770" t="s">
        <v>1873</v>
      </c>
      <c r="C1770" t="s">
        <v>2765</v>
      </c>
      <c r="D1770" t="s">
        <v>2563</v>
      </c>
      <c r="E1770" t="s">
        <v>2288</v>
      </c>
      <c r="F1770" t="s">
        <v>2712</v>
      </c>
      <c r="G1770" t="s">
        <v>4143</v>
      </c>
      <c r="H1770" t="s">
        <v>2288</v>
      </c>
      <c r="I1770" t="s">
        <v>3981</v>
      </c>
    </row>
    <row r="1771" spans="1:9">
      <c r="A1771" s="93" t="s">
        <v>4171</v>
      </c>
      <c r="B1771" t="s">
        <v>1874</v>
      </c>
      <c r="C1771" t="s">
        <v>2114</v>
      </c>
      <c r="D1771" t="s">
        <v>2115</v>
      </c>
      <c r="E1771" t="s">
        <v>1559</v>
      </c>
      <c r="F1771" t="s">
        <v>2117</v>
      </c>
      <c r="G1771" t="s">
        <v>4143</v>
      </c>
      <c r="H1771" t="s">
        <v>108</v>
      </c>
      <c r="I1771" t="s">
        <v>3984</v>
      </c>
    </row>
    <row r="1772" spans="1:9">
      <c r="A1772" s="93" t="s">
        <v>4171</v>
      </c>
      <c r="B1772" t="s">
        <v>1874</v>
      </c>
      <c r="C1772" t="s">
        <v>2118</v>
      </c>
      <c r="E1772" t="s">
        <v>2119</v>
      </c>
      <c r="G1772" t="s">
        <v>4143</v>
      </c>
      <c r="H1772" t="s">
        <v>108</v>
      </c>
      <c r="I1772" t="s">
        <v>3984</v>
      </c>
    </row>
    <row r="1773" spans="1:9">
      <c r="A1773" s="93" t="s">
        <v>4171</v>
      </c>
      <c r="B1773" t="s">
        <v>1874</v>
      </c>
      <c r="C1773" t="s">
        <v>2121</v>
      </c>
      <c r="D1773" t="s">
        <v>2122</v>
      </c>
      <c r="E1773" t="s">
        <v>108</v>
      </c>
      <c r="G1773" t="s">
        <v>4143</v>
      </c>
      <c r="H1773" t="s">
        <v>108</v>
      </c>
      <c r="I1773" t="s">
        <v>3984</v>
      </c>
    </row>
    <row r="1774" spans="1:9">
      <c r="A1774" s="93" t="s">
        <v>4171</v>
      </c>
      <c r="B1774" t="s">
        <v>1874</v>
      </c>
      <c r="C1774" t="s">
        <v>2123</v>
      </c>
      <c r="D1774" t="s">
        <v>2124</v>
      </c>
      <c r="E1774" t="s">
        <v>108</v>
      </c>
      <c r="F1774" t="s">
        <v>2125</v>
      </c>
      <c r="G1774" t="s">
        <v>4143</v>
      </c>
      <c r="H1774" t="s">
        <v>108</v>
      </c>
      <c r="I1774" t="s">
        <v>3984</v>
      </c>
    </row>
    <row r="1775" spans="1:9">
      <c r="A1775" s="93" t="s">
        <v>4171</v>
      </c>
      <c r="B1775" t="s">
        <v>1874</v>
      </c>
      <c r="C1775" t="s">
        <v>2126</v>
      </c>
      <c r="E1775" t="s">
        <v>108</v>
      </c>
      <c r="G1775" t="s">
        <v>4143</v>
      </c>
      <c r="H1775" t="s">
        <v>108</v>
      </c>
      <c r="I1775" t="s">
        <v>3984</v>
      </c>
    </row>
    <row r="1776" spans="1:9">
      <c r="A1776" s="93" t="s">
        <v>4171</v>
      </c>
      <c r="B1776" t="s">
        <v>1875</v>
      </c>
      <c r="C1776" t="s">
        <v>2128</v>
      </c>
      <c r="D1776" t="s">
        <v>2129</v>
      </c>
      <c r="E1776" t="s">
        <v>108</v>
      </c>
      <c r="G1776" t="s">
        <v>4143</v>
      </c>
      <c r="H1776" t="s">
        <v>108</v>
      </c>
      <c r="I1776" t="s">
        <v>3988</v>
      </c>
    </row>
    <row r="1777" spans="1:9">
      <c r="A1777" s="93" t="s">
        <v>4171</v>
      </c>
      <c r="B1777" t="s">
        <v>1875</v>
      </c>
      <c r="C1777" t="s">
        <v>2130</v>
      </c>
      <c r="D1777" t="s">
        <v>2131</v>
      </c>
      <c r="E1777" t="s">
        <v>108</v>
      </c>
      <c r="F1777" t="s">
        <v>2132</v>
      </c>
      <c r="G1777" t="s">
        <v>4143</v>
      </c>
      <c r="H1777" t="s">
        <v>108</v>
      </c>
      <c r="I1777" t="s">
        <v>3988</v>
      </c>
    </row>
    <row r="1778" spans="1:9">
      <c r="A1778" s="93" t="s">
        <v>4171</v>
      </c>
      <c r="B1778" t="s">
        <v>1875</v>
      </c>
      <c r="C1778" t="s">
        <v>2133</v>
      </c>
      <c r="D1778" t="s">
        <v>2131</v>
      </c>
      <c r="E1778" t="s">
        <v>108</v>
      </c>
      <c r="G1778" t="s">
        <v>4143</v>
      </c>
      <c r="H1778" t="s">
        <v>108</v>
      </c>
      <c r="I1778" t="s">
        <v>3988</v>
      </c>
    </row>
    <row r="1779" spans="1:9">
      <c r="A1779" s="93" t="s">
        <v>4171</v>
      </c>
      <c r="B1779" t="s">
        <v>1875</v>
      </c>
      <c r="C1779" t="s">
        <v>2138</v>
      </c>
      <c r="D1779" t="s">
        <v>2139</v>
      </c>
      <c r="E1779" t="s">
        <v>108</v>
      </c>
      <c r="F1779" t="s">
        <v>2140</v>
      </c>
      <c r="G1779" t="s">
        <v>4143</v>
      </c>
      <c r="H1779" t="s">
        <v>108</v>
      </c>
      <c r="I1779" t="s">
        <v>3988</v>
      </c>
    </row>
    <row r="1780" spans="1:9">
      <c r="A1780" s="93" t="s">
        <v>4171</v>
      </c>
      <c r="B1780" t="s">
        <v>3697</v>
      </c>
      <c r="C1780" t="s">
        <v>2142</v>
      </c>
      <c r="D1780" t="s">
        <v>2143</v>
      </c>
      <c r="E1780" t="s">
        <v>108</v>
      </c>
      <c r="G1780" t="s">
        <v>4143</v>
      </c>
      <c r="H1780" t="s">
        <v>108</v>
      </c>
      <c r="I1780" t="s">
        <v>3992</v>
      </c>
    </row>
    <row r="1781" spans="1:9">
      <c r="A1781" s="93" t="s">
        <v>4171</v>
      </c>
      <c r="B1781" t="s">
        <v>3697</v>
      </c>
      <c r="C1781" t="s">
        <v>2144</v>
      </c>
      <c r="D1781" t="s">
        <v>2143</v>
      </c>
      <c r="E1781" t="s">
        <v>2145</v>
      </c>
      <c r="G1781" t="s">
        <v>4143</v>
      </c>
      <c r="H1781" t="s">
        <v>108</v>
      </c>
      <c r="I1781" t="s">
        <v>3992</v>
      </c>
    </row>
    <row r="1782" spans="1:9">
      <c r="A1782" s="93" t="s">
        <v>4171</v>
      </c>
      <c r="B1782" t="s">
        <v>3697</v>
      </c>
      <c r="C1782" t="s">
        <v>2146</v>
      </c>
      <c r="D1782" t="s">
        <v>2143</v>
      </c>
      <c r="E1782" t="s">
        <v>2147</v>
      </c>
      <c r="F1782" t="s">
        <v>2148</v>
      </c>
      <c r="G1782" t="s">
        <v>4143</v>
      </c>
      <c r="H1782" t="s">
        <v>108</v>
      </c>
      <c r="I1782" t="s">
        <v>3992</v>
      </c>
    </row>
    <row r="1783" spans="1:9">
      <c r="A1783" s="93" t="s">
        <v>4171</v>
      </c>
      <c r="B1783" t="s">
        <v>3697</v>
      </c>
      <c r="C1783" t="s">
        <v>2149</v>
      </c>
      <c r="D1783" t="s">
        <v>2143</v>
      </c>
      <c r="E1783" t="s">
        <v>108</v>
      </c>
      <c r="G1783" t="s">
        <v>4143</v>
      </c>
      <c r="H1783" t="s">
        <v>108</v>
      </c>
      <c r="I1783" t="s">
        <v>3992</v>
      </c>
    </row>
    <row r="1784" spans="1:9">
      <c r="A1784" s="93" t="s">
        <v>4171</v>
      </c>
      <c r="B1784" t="s">
        <v>1881</v>
      </c>
      <c r="C1784" t="s">
        <v>2151</v>
      </c>
      <c r="D1784" t="s">
        <v>2152</v>
      </c>
      <c r="E1784" t="s">
        <v>2153</v>
      </c>
      <c r="G1784" t="s">
        <v>4143</v>
      </c>
      <c r="H1784" t="s">
        <v>108</v>
      </c>
      <c r="I1784" t="s">
        <v>3996</v>
      </c>
    </row>
    <row r="1785" spans="1:9">
      <c r="A1785" s="93" t="s">
        <v>4171</v>
      </c>
      <c r="B1785" t="s">
        <v>1881</v>
      </c>
      <c r="C1785" t="s">
        <v>2154</v>
      </c>
      <c r="D1785" t="s">
        <v>2155</v>
      </c>
      <c r="E1785" t="s">
        <v>108</v>
      </c>
      <c r="G1785" t="s">
        <v>4143</v>
      </c>
      <c r="H1785" t="s">
        <v>108</v>
      </c>
      <c r="I1785" t="s">
        <v>3996</v>
      </c>
    </row>
    <row r="1786" spans="1:9">
      <c r="A1786" s="93" t="s">
        <v>4171</v>
      </c>
      <c r="B1786" t="s">
        <v>1881</v>
      </c>
      <c r="C1786" t="s">
        <v>2156</v>
      </c>
      <c r="D1786" t="s">
        <v>2152</v>
      </c>
      <c r="E1786" t="s">
        <v>2157</v>
      </c>
      <c r="G1786" t="s">
        <v>4143</v>
      </c>
      <c r="H1786" t="s">
        <v>108</v>
      </c>
      <c r="I1786" t="s">
        <v>3996</v>
      </c>
    </row>
    <row r="1787" spans="1:9">
      <c r="A1787" s="93" t="s">
        <v>4171</v>
      </c>
      <c r="B1787" t="s">
        <v>1881</v>
      </c>
      <c r="C1787" t="s">
        <v>2158</v>
      </c>
      <c r="D1787" t="s">
        <v>2155</v>
      </c>
      <c r="E1787" t="s">
        <v>2159</v>
      </c>
      <c r="F1787" t="s">
        <v>2160</v>
      </c>
      <c r="G1787" t="s">
        <v>4143</v>
      </c>
      <c r="H1787" t="s">
        <v>108</v>
      </c>
      <c r="I1787" t="s">
        <v>3996</v>
      </c>
    </row>
    <row r="1788" spans="1:9">
      <c r="A1788" s="93" t="s">
        <v>4171</v>
      </c>
      <c r="B1788" t="s">
        <v>1881</v>
      </c>
      <c r="C1788" t="s">
        <v>2161</v>
      </c>
      <c r="D1788" t="s">
        <v>2162</v>
      </c>
      <c r="E1788" t="s">
        <v>108</v>
      </c>
      <c r="F1788" t="s">
        <v>2163</v>
      </c>
      <c r="G1788" t="s">
        <v>4143</v>
      </c>
      <c r="H1788" t="s">
        <v>108</v>
      </c>
      <c r="I1788" t="s">
        <v>3996</v>
      </c>
    </row>
    <row r="1789" spans="1:9">
      <c r="A1789" s="93" t="s">
        <v>4171</v>
      </c>
      <c r="B1789" t="s">
        <v>1881</v>
      </c>
      <c r="C1789" t="s">
        <v>2164</v>
      </c>
      <c r="D1789" t="s">
        <v>2162</v>
      </c>
      <c r="E1789" t="s">
        <v>108</v>
      </c>
      <c r="G1789" t="s">
        <v>4143</v>
      </c>
      <c r="H1789" t="s">
        <v>108</v>
      </c>
      <c r="I1789" t="s">
        <v>3996</v>
      </c>
    </row>
    <row r="1790" spans="1:9">
      <c r="A1790" s="93" t="s">
        <v>4171</v>
      </c>
      <c r="B1790" t="s">
        <v>1882</v>
      </c>
      <c r="C1790" t="s">
        <v>2166</v>
      </c>
      <c r="D1790" t="s">
        <v>2167</v>
      </c>
      <c r="E1790" t="s">
        <v>108</v>
      </c>
      <c r="F1790" t="s">
        <v>2168</v>
      </c>
      <c r="G1790" t="s">
        <v>4143</v>
      </c>
      <c r="H1790" t="s">
        <v>108</v>
      </c>
      <c r="I1790" t="s">
        <v>4000</v>
      </c>
    </row>
    <row r="1791" spans="1:9">
      <c r="A1791" s="93" t="s">
        <v>4171</v>
      </c>
      <c r="B1791" t="s">
        <v>1884</v>
      </c>
      <c r="C1791" t="s">
        <v>2179</v>
      </c>
      <c r="D1791" t="s">
        <v>2180</v>
      </c>
      <c r="E1791" t="s">
        <v>108</v>
      </c>
      <c r="G1791" t="s">
        <v>4143</v>
      </c>
      <c r="H1791" t="s">
        <v>108</v>
      </c>
      <c r="I1791" t="s">
        <v>4002</v>
      </c>
    </row>
    <row r="1792" spans="1:9">
      <c r="A1792" s="93" t="s">
        <v>4171</v>
      </c>
      <c r="B1792" t="s">
        <v>1884</v>
      </c>
      <c r="C1792" t="s">
        <v>2181</v>
      </c>
      <c r="D1792" t="s">
        <v>2182</v>
      </c>
      <c r="E1792" t="s">
        <v>108</v>
      </c>
      <c r="G1792" t="s">
        <v>4143</v>
      </c>
      <c r="H1792" t="s">
        <v>108</v>
      </c>
      <c r="I1792" t="s">
        <v>4002</v>
      </c>
    </row>
    <row r="1793" spans="1:9">
      <c r="A1793" s="93" t="s">
        <v>4171</v>
      </c>
      <c r="B1793" t="s">
        <v>1884</v>
      </c>
      <c r="C1793" t="s">
        <v>2183</v>
      </c>
      <c r="D1793" t="s">
        <v>2182</v>
      </c>
      <c r="E1793" t="s">
        <v>2184</v>
      </c>
      <c r="F1793" t="s">
        <v>2185</v>
      </c>
      <c r="G1793" t="s">
        <v>4143</v>
      </c>
      <c r="H1793" t="s">
        <v>108</v>
      </c>
      <c r="I1793" t="s">
        <v>4002</v>
      </c>
    </row>
    <row r="1794" spans="1:9">
      <c r="A1794" s="93" t="s">
        <v>4171</v>
      </c>
      <c r="B1794" t="s">
        <v>1884</v>
      </c>
      <c r="C1794" t="s">
        <v>2186</v>
      </c>
      <c r="D1794" t="s">
        <v>2187</v>
      </c>
      <c r="E1794" t="s">
        <v>108</v>
      </c>
      <c r="G1794" t="s">
        <v>4143</v>
      </c>
      <c r="H1794" t="s">
        <v>108</v>
      </c>
      <c r="I1794" t="s">
        <v>4002</v>
      </c>
    </row>
    <row r="1795" spans="1:9">
      <c r="A1795" s="93" t="s">
        <v>4171</v>
      </c>
      <c r="B1795" t="s">
        <v>1884</v>
      </c>
      <c r="C1795" t="s">
        <v>2188</v>
      </c>
      <c r="E1795" t="s">
        <v>2189</v>
      </c>
      <c r="G1795" t="s">
        <v>4143</v>
      </c>
      <c r="H1795" t="s">
        <v>108</v>
      </c>
      <c r="I1795" t="s">
        <v>4002</v>
      </c>
    </row>
    <row r="1796" spans="1:9">
      <c r="A1796" s="93" t="s">
        <v>4171</v>
      </c>
      <c r="B1796" t="s">
        <v>1884</v>
      </c>
      <c r="C1796" t="s">
        <v>2323</v>
      </c>
      <c r="D1796" t="s">
        <v>2180</v>
      </c>
      <c r="E1796" t="s">
        <v>2324</v>
      </c>
      <c r="G1796" t="s">
        <v>4143</v>
      </c>
      <c r="H1796" t="s">
        <v>2324</v>
      </c>
      <c r="I1796" t="s">
        <v>4002</v>
      </c>
    </row>
    <row r="1797" spans="1:9">
      <c r="A1797" s="93" t="s">
        <v>4171</v>
      </c>
      <c r="B1797" t="s">
        <v>1884</v>
      </c>
      <c r="C1797" t="s">
        <v>2192</v>
      </c>
      <c r="D1797" t="s">
        <v>2182</v>
      </c>
      <c r="E1797" t="s">
        <v>2193</v>
      </c>
      <c r="G1797" t="s">
        <v>4143</v>
      </c>
      <c r="H1797" t="s">
        <v>2193</v>
      </c>
      <c r="I1797" t="s">
        <v>4002</v>
      </c>
    </row>
    <row r="1798" spans="1:9">
      <c r="A1798" s="93" t="s">
        <v>4171</v>
      </c>
      <c r="B1798" t="s">
        <v>1884</v>
      </c>
      <c r="C1798" t="s">
        <v>2194</v>
      </c>
      <c r="D1798" t="s">
        <v>2187</v>
      </c>
      <c r="E1798" t="s">
        <v>108</v>
      </c>
      <c r="G1798" t="s">
        <v>4143</v>
      </c>
      <c r="H1798" t="s">
        <v>108</v>
      </c>
      <c r="I1798" t="s">
        <v>4002</v>
      </c>
    </row>
    <row r="1799" spans="1:9">
      <c r="A1799" s="93" t="s">
        <v>4171</v>
      </c>
      <c r="B1799" t="s">
        <v>1889</v>
      </c>
      <c r="C1799" t="s">
        <v>2196</v>
      </c>
      <c r="E1799" t="s">
        <v>2193</v>
      </c>
      <c r="G1799" t="s">
        <v>4143</v>
      </c>
      <c r="H1799" t="s">
        <v>2193</v>
      </c>
      <c r="I1799" t="s">
        <v>4004</v>
      </c>
    </row>
    <row r="1800" spans="1:9">
      <c r="A1800" s="93" t="s">
        <v>4171</v>
      </c>
      <c r="B1800" t="s">
        <v>1889</v>
      </c>
      <c r="C1800" t="s">
        <v>2197</v>
      </c>
      <c r="E1800" t="s">
        <v>2193</v>
      </c>
      <c r="G1800" t="s">
        <v>4143</v>
      </c>
      <c r="H1800" t="s">
        <v>2193</v>
      </c>
      <c r="I1800" t="s">
        <v>4004</v>
      </c>
    </row>
    <row r="1801" spans="1:9">
      <c r="A1801" s="93" t="s">
        <v>4171</v>
      </c>
      <c r="B1801" t="s">
        <v>1889</v>
      </c>
      <c r="C1801" t="s">
        <v>2198</v>
      </c>
      <c r="E1801" t="s">
        <v>2199</v>
      </c>
      <c r="G1801" t="s">
        <v>4143</v>
      </c>
      <c r="H1801" t="s">
        <v>2193</v>
      </c>
      <c r="I1801" t="s">
        <v>4004</v>
      </c>
    </row>
    <row r="1802" spans="1:9">
      <c r="A1802" s="93" t="s">
        <v>4171</v>
      </c>
      <c r="B1802" t="s">
        <v>1889</v>
      </c>
      <c r="C1802" t="s">
        <v>2200</v>
      </c>
      <c r="D1802" t="s">
        <v>2182</v>
      </c>
      <c r="E1802" t="s">
        <v>108</v>
      </c>
      <c r="G1802" t="s">
        <v>4143</v>
      </c>
      <c r="H1802" t="s">
        <v>108</v>
      </c>
      <c r="I1802" t="s">
        <v>4004</v>
      </c>
    </row>
    <row r="1803" spans="1:9">
      <c r="A1803" s="93" t="s">
        <v>4171</v>
      </c>
      <c r="B1803" t="s">
        <v>1889</v>
      </c>
      <c r="C1803" t="s">
        <v>2201</v>
      </c>
      <c r="D1803" t="s">
        <v>2182</v>
      </c>
      <c r="E1803" t="s">
        <v>108</v>
      </c>
      <c r="G1803" t="s">
        <v>4143</v>
      </c>
      <c r="H1803" t="s">
        <v>108</v>
      </c>
      <c r="I1803" t="s">
        <v>4004</v>
      </c>
    </row>
    <row r="1804" spans="1:9">
      <c r="A1804" s="93" t="s">
        <v>4171</v>
      </c>
      <c r="B1804" t="s">
        <v>1889</v>
      </c>
      <c r="C1804" t="s">
        <v>2202</v>
      </c>
      <c r="D1804" t="s">
        <v>2174</v>
      </c>
      <c r="E1804" t="s">
        <v>108</v>
      </c>
      <c r="G1804" t="s">
        <v>4143</v>
      </c>
      <c r="H1804" t="s">
        <v>108</v>
      </c>
      <c r="I1804" t="s">
        <v>4004</v>
      </c>
    </row>
    <row r="1805" spans="1:9">
      <c r="A1805" s="93" t="s">
        <v>4171</v>
      </c>
      <c r="B1805" t="s">
        <v>1889</v>
      </c>
      <c r="C1805" t="s">
        <v>2203</v>
      </c>
      <c r="D1805" t="s">
        <v>2204</v>
      </c>
      <c r="E1805" t="s">
        <v>2193</v>
      </c>
      <c r="G1805" t="s">
        <v>4143</v>
      </c>
      <c r="H1805" t="s">
        <v>2193</v>
      </c>
      <c r="I1805" t="s">
        <v>4004</v>
      </c>
    </row>
    <row r="1806" spans="1:9">
      <c r="A1806" s="93" t="s">
        <v>4171</v>
      </c>
      <c r="B1806" t="s">
        <v>1889</v>
      </c>
      <c r="C1806" t="s">
        <v>2205</v>
      </c>
      <c r="D1806" t="s">
        <v>2204</v>
      </c>
      <c r="E1806" t="s">
        <v>2193</v>
      </c>
      <c r="G1806" t="s">
        <v>4143</v>
      </c>
      <c r="H1806" t="s">
        <v>2193</v>
      </c>
      <c r="I1806" t="s">
        <v>4004</v>
      </c>
    </row>
    <row r="1807" spans="1:9">
      <c r="A1807" s="93" t="s">
        <v>4171</v>
      </c>
      <c r="B1807" t="s">
        <v>1889</v>
      </c>
      <c r="C1807" t="s">
        <v>2207</v>
      </c>
      <c r="D1807" t="s">
        <v>2204</v>
      </c>
      <c r="E1807" t="s">
        <v>108</v>
      </c>
      <c r="F1807" t="s">
        <v>2208</v>
      </c>
      <c r="G1807" t="s">
        <v>4143</v>
      </c>
      <c r="H1807" t="s">
        <v>108</v>
      </c>
      <c r="I1807" t="s">
        <v>4004</v>
      </c>
    </row>
    <row r="1808" spans="1:9">
      <c r="A1808" s="93" t="s">
        <v>4171</v>
      </c>
      <c r="B1808" t="s">
        <v>1891</v>
      </c>
      <c r="C1808" t="s">
        <v>2210</v>
      </c>
      <c r="D1808" t="s">
        <v>2211</v>
      </c>
      <c r="E1808" t="s">
        <v>108</v>
      </c>
      <c r="G1808" t="s">
        <v>4143</v>
      </c>
      <c r="H1808" t="s">
        <v>108</v>
      </c>
      <c r="I1808" t="s">
        <v>4008</v>
      </c>
    </row>
    <row r="1809" spans="1:9">
      <c r="A1809" s="93" t="s">
        <v>4171</v>
      </c>
      <c r="B1809" t="s">
        <v>1891</v>
      </c>
      <c r="C1809" t="s">
        <v>2212</v>
      </c>
      <c r="D1809" t="s">
        <v>2213</v>
      </c>
      <c r="E1809" t="s">
        <v>108</v>
      </c>
      <c r="G1809" t="s">
        <v>4143</v>
      </c>
      <c r="H1809" t="s">
        <v>108</v>
      </c>
      <c r="I1809" t="s">
        <v>4008</v>
      </c>
    </row>
    <row r="1810" spans="1:9">
      <c r="A1810" s="93" t="s">
        <v>4171</v>
      </c>
      <c r="B1810" t="s">
        <v>1891</v>
      </c>
      <c r="C1810" t="s">
        <v>2214</v>
      </c>
      <c r="D1810" t="s">
        <v>2213</v>
      </c>
      <c r="E1810" t="s">
        <v>108</v>
      </c>
      <c r="G1810" t="s">
        <v>4143</v>
      </c>
      <c r="H1810" t="s">
        <v>108</v>
      </c>
      <c r="I1810" t="s">
        <v>4008</v>
      </c>
    </row>
    <row r="1811" spans="1:9">
      <c r="A1811" s="93" t="s">
        <v>4171</v>
      </c>
      <c r="B1811" t="s">
        <v>1893</v>
      </c>
      <c r="C1811" t="s">
        <v>2216</v>
      </c>
      <c r="D1811" t="s">
        <v>2217</v>
      </c>
      <c r="E1811" t="s">
        <v>2193</v>
      </c>
      <c r="F1811" t="s">
        <v>2218</v>
      </c>
      <c r="G1811" t="s">
        <v>4143</v>
      </c>
      <c r="H1811" t="s">
        <v>2193</v>
      </c>
      <c r="I1811" t="s">
        <v>4012</v>
      </c>
    </row>
    <row r="1812" spans="1:9">
      <c r="A1812" s="93" t="s">
        <v>4171</v>
      </c>
      <c r="B1812" t="s">
        <v>1893</v>
      </c>
      <c r="C1812" t="s">
        <v>2219</v>
      </c>
      <c r="D1812" t="s">
        <v>2220</v>
      </c>
      <c r="E1812" t="s">
        <v>108</v>
      </c>
      <c r="F1812" t="s">
        <v>2221</v>
      </c>
      <c r="G1812" t="s">
        <v>4143</v>
      </c>
      <c r="H1812" t="s">
        <v>108</v>
      </c>
      <c r="I1812" t="s">
        <v>4012</v>
      </c>
    </row>
    <row r="1813" spans="1:9">
      <c r="A1813" s="93" t="s">
        <v>4171</v>
      </c>
      <c r="B1813" t="s">
        <v>1893</v>
      </c>
      <c r="C1813" t="s">
        <v>2222</v>
      </c>
      <c r="D1813" t="s">
        <v>2223</v>
      </c>
      <c r="E1813" t="s">
        <v>108</v>
      </c>
      <c r="F1813" t="s">
        <v>2224</v>
      </c>
      <c r="G1813" t="s">
        <v>4143</v>
      </c>
      <c r="H1813" t="s">
        <v>108</v>
      </c>
      <c r="I1813" t="s">
        <v>4012</v>
      </c>
    </row>
    <row r="1814" spans="1:9">
      <c r="A1814" s="93" t="s">
        <v>4171</v>
      </c>
      <c r="B1814" t="s">
        <v>1893</v>
      </c>
      <c r="C1814" t="s">
        <v>2225</v>
      </c>
      <c r="D1814" t="s">
        <v>2226</v>
      </c>
      <c r="E1814" t="s">
        <v>108</v>
      </c>
      <c r="F1814" t="s">
        <v>2227</v>
      </c>
      <c r="G1814" t="s">
        <v>4143</v>
      </c>
      <c r="H1814" t="s">
        <v>108</v>
      </c>
      <c r="I1814" t="s">
        <v>4012</v>
      </c>
    </row>
    <row r="1815" spans="1:9">
      <c r="A1815" s="93" t="s">
        <v>4171</v>
      </c>
      <c r="B1815" t="s">
        <v>1896</v>
      </c>
      <c r="C1815" t="s">
        <v>2230</v>
      </c>
      <c r="D1815" t="s">
        <v>2220</v>
      </c>
      <c r="E1815" t="s">
        <v>108</v>
      </c>
      <c r="F1815" t="s">
        <v>2231</v>
      </c>
      <c r="G1815" t="s">
        <v>4143</v>
      </c>
      <c r="H1815" t="s">
        <v>108</v>
      </c>
      <c r="I1815" t="s">
        <v>4016</v>
      </c>
    </row>
    <row r="1816" spans="1:9">
      <c r="A1816" s="93" t="s">
        <v>4171</v>
      </c>
      <c r="B1816" t="s">
        <v>1896</v>
      </c>
      <c r="C1816" t="s">
        <v>2232</v>
      </c>
      <c r="D1816" t="s">
        <v>2220</v>
      </c>
      <c r="E1816" t="s">
        <v>108</v>
      </c>
      <c r="G1816" t="s">
        <v>4143</v>
      </c>
      <c r="H1816" t="s">
        <v>108</v>
      </c>
      <c r="I1816" t="s">
        <v>4016</v>
      </c>
    </row>
    <row r="1817" spans="1:9">
      <c r="A1817" s="93" t="s">
        <v>4171</v>
      </c>
      <c r="B1817" t="s">
        <v>1896</v>
      </c>
      <c r="C1817" t="s">
        <v>2233</v>
      </c>
      <c r="D1817" t="s">
        <v>2234</v>
      </c>
      <c r="E1817" t="s">
        <v>108</v>
      </c>
      <c r="F1817" t="s">
        <v>2235</v>
      </c>
      <c r="G1817" t="s">
        <v>4143</v>
      </c>
      <c r="H1817" t="s">
        <v>108</v>
      </c>
      <c r="I1817" t="s">
        <v>4016</v>
      </c>
    </row>
    <row r="1818" spans="1:9">
      <c r="A1818" s="93" t="s">
        <v>4171</v>
      </c>
      <c r="B1818" t="s">
        <v>1896</v>
      </c>
      <c r="C1818" t="s">
        <v>2236</v>
      </c>
      <c r="D1818" t="s">
        <v>2237</v>
      </c>
      <c r="E1818" t="s">
        <v>108</v>
      </c>
      <c r="F1818" t="s">
        <v>2231</v>
      </c>
      <c r="G1818" t="s">
        <v>4143</v>
      </c>
      <c r="H1818" t="s">
        <v>108</v>
      </c>
      <c r="I1818" t="s">
        <v>4016</v>
      </c>
    </row>
    <row r="1819" spans="1:9">
      <c r="A1819" s="93" t="s">
        <v>4171</v>
      </c>
      <c r="B1819" t="s">
        <v>1896</v>
      </c>
      <c r="C1819" t="s">
        <v>2238</v>
      </c>
      <c r="D1819" t="s">
        <v>2237</v>
      </c>
      <c r="E1819" t="s">
        <v>108</v>
      </c>
      <c r="F1819" t="s">
        <v>2239</v>
      </c>
      <c r="G1819" t="s">
        <v>4143</v>
      </c>
      <c r="H1819" t="s">
        <v>108</v>
      </c>
      <c r="I1819" t="s">
        <v>4016</v>
      </c>
    </row>
    <row r="1820" spans="1:9">
      <c r="A1820" s="93" t="s">
        <v>4171</v>
      </c>
      <c r="B1820" t="s">
        <v>1896</v>
      </c>
      <c r="C1820" t="s">
        <v>2240</v>
      </c>
      <c r="D1820" t="s">
        <v>2241</v>
      </c>
      <c r="E1820" t="s">
        <v>2193</v>
      </c>
      <c r="G1820" t="s">
        <v>4143</v>
      </c>
      <c r="H1820" t="s">
        <v>2193</v>
      </c>
      <c r="I1820" t="s">
        <v>4016</v>
      </c>
    </row>
    <row r="1821" spans="1:9">
      <c r="A1821" s="93" t="s">
        <v>4171</v>
      </c>
      <c r="B1821" t="s">
        <v>1896</v>
      </c>
      <c r="C1821" t="s">
        <v>2242</v>
      </c>
      <c r="D1821" t="s">
        <v>2220</v>
      </c>
      <c r="E1821" t="s">
        <v>2243</v>
      </c>
      <c r="F1821" t="s">
        <v>2244</v>
      </c>
      <c r="G1821" t="s">
        <v>4143</v>
      </c>
      <c r="H1821" t="s">
        <v>108</v>
      </c>
      <c r="I1821" t="s">
        <v>4016</v>
      </c>
    </row>
    <row r="1822" spans="1:9">
      <c r="A1822" s="93" t="s">
        <v>4171</v>
      </c>
      <c r="B1822" t="s">
        <v>1896</v>
      </c>
      <c r="C1822" t="s">
        <v>2245</v>
      </c>
      <c r="D1822" t="s">
        <v>2241</v>
      </c>
      <c r="E1822" t="s">
        <v>2246</v>
      </c>
      <c r="G1822" t="s">
        <v>4143</v>
      </c>
      <c r="H1822" t="s">
        <v>108</v>
      </c>
      <c r="I1822" t="s">
        <v>4016</v>
      </c>
    </row>
    <row r="1823" spans="1:9">
      <c r="A1823" s="93" t="s">
        <v>4171</v>
      </c>
      <c r="B1823" t="s">
        <v>1896</v>
      </c>
      <c r="C1823" t="s">
        <v>2247</v>
      </c>
      <c r="D1823" t="s">
        <v>2248</v>
      </c>
      <c r="E1823" t="s">
        <v>108</v>
      </c>
      <c r="F1823" t="s">
        <v>2249</v>
      </c>
      <c r="G1823" t="s">
        <v>4143</v>
      </c>
      <c r="H1823" t="s">
        <v>108</v>
      </c>
      <c r="I1823" t="s">
        <v>4016</v>
      </c>
    </row>
    <row r="1824" spans="1:9">
      <c r="A1824" s="93" t="s">
        <v>4171</v>
      </c>
      <c r="B1824" t="s">
        <v>1898</v>
      </c>
      <c r="C1824" t="s">
        <v>2251</v>
      </c>
      <c r="D1824" t="s">
        <v>2252</v>
      </c>
      <c r="E1824" t="s">
        <v>108</v>
      </c>
      <c r="G1824" t="s">
        <v>4143</v>
      </c>
      <c r="H1824" t="s">
        <v>108</v>
      </c>
      <c r="I1824" t="s">
        <v>4020</v>
      </c>
    </row>
    <row r="1825" spans="1:9">
      <c r="A1825" s="93" t="s">
        <v>4171</v>
      </c>
      <c r="B1825" t="s">
        <v>1898</v>
      </c>
      <c r="C1825" t="s">
        <v>2253</v>
      </c>
      <c r="D1825" t="s">
        <v>2252</v>
      </c>
      <c r="E1825" t="s">
        <v>2193</v>
      </c>
      <c r="F1825" t="s">
        <v>2254</v>
      </c>
      <c r="G1825" t="s">
        <v>4143</v>
      </c>
      <c r="H1825" t="s">
        <v>2193</v>
      </c>
      <c r="I1825" t="s">
        <v>4020</v>
      </c>
    </row>
    <row r="1826" spans="1:9">
      <c r="A1826" s="93" t="s">
        <v>4171</v>
      </c>
      <c r="B1826" t="s">
        <v>1898</v>
      </c>
      <c r="C1826" t="s">
        <v>2255</v>
      </c>
      <c r="D1826" t="s">
        <v>2256</v>
      </c>
      <c r="E1826" t="s">
        <v>2257</v>
      </c>
      <c r="G1826" t="s">
        <v>4143</v>
      </c>
      <c r="H1826" t="s">
        <v>108</v>
      </c>
      <c r="I1826" t="s">
        <v>4020</v>
      </c>
    </row>
    <row r="1827" spans="1:9">
      <c r="A1827" s="93" t="s">
        <v>4171</v>
      </c>
      <c r="B1827" t="s">
        <v>1898</v>
      </c>
      <c r="C1827" t="s">
        <v>2258</v>
      </c>
      <c r="D1827" t="s">
        <v>2259</v>
      </c>
      <c r="E1827" t="s">
        <v>2260</v>
      </c>
      <c r="F1827" t="s">
        <v>2261</v>
      </c>
      <c r="G1827" t="s">
        <v>4143</v>
      </c>
      <c r="H1827" t="s">
        <v>108</v>
      </c>
      <c r="I1827" t="s">
        <v>4020</v>
      </c>
    </row>
    <row r="1828" spans="1:9">
      <c r="A1828" s="93" t="s">
        <v>4171</v>
      </c>
      <c r="B1828" t="s">
        <v>1898</v>
      </c>
      <c r="C1828" t="s">
        <v>2262</v>
      </c>
      <c r="D1828" t="s">
        <v>2259</v>
      </c>
      <c r="E1828" t="s">
        <v>2147</v>
      </c>
      <c r="F1828" t="s">
        <v>2263</v>
      </c>
      <c r="G1828" t="s">
        <v>4143</v>
      </c>
      <c r="H1828" t="s">
        <v>108</v>
      </c>
      <c r="I1828" t="s">
        <v>4020</v>
      </c>
    </row>
    <row r="1829" spans="1:9">
      <c r="A1829" s="93" t="s">
        <v>4171</v>
      </c>
      <c r="B1829" t="s">
        <v>1898</v>
      </c>
      <c r="C1829" t="s">
        <v>2264</v>
      </c>
      <c r="D1829" t="s">
        <v>2252</v>
      </c>
      <c r="E1829" t="s">
        <v>2265</v>
      </c>
      <c r="G1829" t="s">
        <v>4143</v>
      </c>
      <c r="H1829" t="s">
        <v>108</v>
      </c>
      <c r="I1829" t="s">
        <v>4020</v>
      </c>
    </row>
    <row r="1830" spans="1:9">
      <c r="A1830" s="93" t="s">
        <v>4171</v>
      </c>
      <c r="B1830" t="s">
        <v>1898</v>
      </c>
      <c r="C1830" t="s">
        <v>2266</v>
      </c>
      <c r="D1830" t="s">
        <v>2252</v>
      </c>
      <c r="E1830" t="s">
        <v>2267</v>
      </c>
      <c r="F1830" t="s">
        <v>2268</v>
      </c>
      <c r="G1830" t="s">
        <v>4143</v>
      </c>
      <c r="H1830" t="s">
        <v>108</v>
      </c>
      <c r="I1830" t="s">
        <v>4020</v>
      </c>
    </row>
    <row r="1831" spans="1:9">
      <c r="A1831" s="93" t="s">
        <v>4171</v>
      </c>
      <c r="B1831" t="s">
        <v>1898</v>
      </c>
      <c r="C1831" t="s">
        <v>2269</v>
      </c>
      <c r="D1831" t="s">
        <v>2252</v>
      </c>
      <c r="E1831" t="s">
        <v>2270</v>
      </c>
      <c r="G1831" t="s">
        <v>4143</v>
      </c>
      <c r="H1831" t="s">
        <v>108</v>
      </c>
      <c r="I1831" t="s">
        <v>4020</v>
      </c>
    </row>
    <row r="1832" spans="1:9">
      <c r="A1832" s="93" t="s">
        <v>4171</v>
      </c>
      <c r="B1832" t="s">
        <v>1902</v>
      </c>
      <c r="C1832" t="s">
        <v>2272</v>
      </c>
      <c r="D1832" t="s">
        <v>2273</v>
      </c>
      <c r="E1832" t="s">
        <v>2274</v>
      </c>
      <c r="F1832" t="s">
        <v>2275</v>
      </c>
      <c r="G1832" t="s">
        <v>4143</v>
      </c>
      <c r="H1832" t="s">
        <v>108</v>
      </c>
      <c r="I1832" t="s">
        <v>4024</v>
      </c>
    </row>
    <row r="1833" spans="1:9">
      <c r="A1833" s="93" t="s">
        <v>4171</v>
      </c>
      <c r="B1833" t="s">
        <v>1902</v>
      </c>
      <c r="C1833" t="s">
        <v>2276</v>
      </c>
      <c r="D1833" t="s">
        <v>2248</v>
      </c>
      <c r="E1833" t="s">
        <v>2277</v>
      </c>
      <c r="F1833" t="s">
        <v>2278</v>
      </c>
      <c r="G1833" t="s">
        <v>4143</v>
      </c>
      <c r="H1833" t="s">
        <v>108</v>
      </c>
      <c r="I1833" t="s">
        <v>4024</v>
      </c>
    </row>
    <row r="1834" spans="1:9">
      <c r="A1834" s="93" t="s">
        <v>4171</v>
      </c>
      <c r="B1834" t="s">
        <v>1902</v>
      </c>
      <c r="C1834" t="s">
        <v>2279</v>
      </c>
      <c r="D1834" t="s">
        <v>2280</v>
      </c>
      <c r="E1834" t="s">
        <v>2281</v>
      </c>
      <c r="F1834" t="s">
        <v>2282</v>
      </c>
      <c r="G1834" t="s">
        <v>4143</v>
      </c>
      <c r="H1834" t="s">
        <v>108</v>
      </c>
      <c r="I1834" t="s">
        <v>4024</v>
      </c>
    </row>
    <row r="1835" spans="1:9">
      <c r="A1835" s="93" t="s">
        <v>4171</v>
      </c>
      <c r="B1835" t="s">
        <v>1902</v>
      </c>
      <c r="C1835" t="s">
        <v>2283</v>
      </c>
      <c r="D1835" t="s">
        <v>2273</v>
      </c>
      <c r="E1835" t="s">
        <v>108</v>
      </c>
      <c r="F1835" t="s">
        <v>2284</v>
      </c>
      <c r="G1835" t="s">
        <v>4143</v>
      </c>
      <c r="H1835" t="s">
        <v>108</v>
      </c>
      <c r="I1835" t="s">
        <v>4024</v>
      </c>
    </row>
    <row r="1836" spans="1:9">
      <c r="A1836" s="93" t="s">
        <v>4171</v>
      </c>
      <c r="B1836" t="s">
        <v>1902</v>
      </c>
      <c r="C1836" t="s">
        <v>2286</v>
      </c>
      <c r="E1836" t="s">
        <v>108</v>
      </c>
      <c r="G1836" t="s">
        <v>4143</v>
      </c>
      <c r="H1836" t="s">
        <v>108</v>
      </c>
      <c r="I1836" t="s">
        <v>4024</v>
      </c>
    </row>
    <row r="1837" spans="1:9">
      <c r="A1837" s="93" t="s">
        <v>4171</v>
      </c>
      <c r="B1837" t="s">
        <v>1902</v>
      </c>
      <c r="C1837" t="s">
        <v>2287</v>
      </c>
      <c r="D1837" t="s">
        <v>2273</v>
      </c>
      <c r="E1837" t="s">
        <v>2288</v>
      </c>
      <c r="F1837" t="s">
        <v>2289</v>
      </c>
      <c r="G1837" t="s">
        <v>4143</v>
      </c>
      <c r="H1837" t="s">
        <v>2288</v>
      </c>
      <c r="I1837" t="s">
        <v>4024</v>
      </c>
    </row>
    <row r="1838" spans="1:9">
      <c r="A1838" s="93" t="s">
        <v>4171</v>
      </c>
      <c r="B1838" t="s">
        <v>3926</v>
      </c>
      <c r="C1838" t="s">
        <v>2293</v>
      </c>
      <c r="D1838" t="s">
        <v>2294</v>
      </c>
      <c r="E1838" t="s">
        <v>2295</v>
      </c>
      <c r="F1838" t="s">
        <v>2296</v>
      </c>
      <c r="G1838" t="s">
        <v>4143</v>
      </c>
      <c r="H1838" t="s">
        <v>108</v>
      </c>
    </row>
    <row r="1839" spans="1:9">
      <c r="A1839" s="93" t="s">
        <v>4171</v>
      </c>
      <c r="B1839" t="s">
        <v>3926</v>
      </c>
      <c r="C1839" t="s">
        <v>2297</v>
      </c>
      <c r="D1839" t="s">
        <v>2298</v>
      </c>
      <c r="E1839" t="s">
        <v>108</v>
      </c>
      <c r="F1839" t="s">
        <v>2299</v>
      </c>
      <c r="G1839" t="s">
        <v>4143</v>
      </c>
      <c r="H1839" t="s">
        <v>108</v>
      </c>
    </row>
    <row r="1840" spans="1:9">
      <c r="A1840" s="93" t="s">
        <v>4171</v>
      </c>
      <c r="B1840" t="s">
        <v>3926</v>
      </c>
      <c r="C1840" t="s">
        <v>2300</v>
      </c>
      <c r="D1840" t="s">
        <v>2294</v>
      </c>
      <c r="E1840" t="s">
        <v>108</v>
      </c>
      <c r="F1840" t="s">
        <v>2299</v>
      </c>
      <c r="G1840" t="s">
        <v>4143</v>
      </c>
      <c r="H1840" t="s">
        <v>108</v>
      </c>
    </row>
    <row r="1841" spans="1:9">
      <c r="A1841" s="93" t="s">
        <v>4171</v>
      </c>
      <c r="B1841" t="s">
        <v>3926</v>
      </c>
      <c r="C1841" t="s">
        <v>2301</v>
      </c>
      <c r="D1841" t="s">
        <v>2302</v>
      </c>
      <c r="E1841" t="s">
        <v>2193</v>
      </c>
      <c r="F1841" t="s">
        <v>2303</v>
      </c>
      <c r="G1841" t="s">
        <v>4143</v>
      </c>
      <c r="H1841" t="s">
        <v>2193</v>
      </c>
    </row>
    <row r="1842" spans="1:9">
      <c r="A1842" s="93" t="s">
        <v>4171</v>
      </c>
      <c r="B1842" t="s">
        <v>3926</v>
      </c>
      <c r="C1842" t="s">
        <v>2304</v>
      </c>
      <c r="D1842" t="s">
        <v>2305</v>
      </c>
      <c r="E1842" t="s">
        <v>2257</v>
      </c>
      <c r="F1842" t="s">
        <v>2306</v>
      </c>
      <c r="G1842" t="s">
        <v>4143</v>
      </c>
      <c r="H1842" t="s">
        <v>108</v>
      </c>
    </row>
    <row r="1843" spans="1:9">
      <c r="A1843" s="93" t="s">
        <v>4171</v>
      </c>
      <c r="B1843" t="s">
        <v>3926</v>
      </c>
      <c r="C1843" t="s">
        <v>2347</v>
      </c>
      <c r="D1843" t="s">
        <v>2213</v>
      </c>
      <c r="E1843" t="s">
        <v>2348</v>
      </c>
      <c r="F1843" t="s">
        <v>2296</v>
      </c>
      <c r="G1843" t="s">
        <v>4143</v>
      </c>
      <c r="H1843" t="s">
        <v>2348</v>
      </c>
    </row>
    <row r="1844" spans="1:9">
      <c r="A1844" s="93" t="s">
        <v>4173</v>
      </c>
      <c r="B1844" t="s">
        <v>1860</v>
      </c>
      <c r="C1844" t="s">
        <v>2532</v>
      </c>
      <c r="D1844" t="s">
        <v>2533</v>
      </c>
      <c r="E1844" t="s">
        <v>1559</v>
      </c>
      <c r="F1844" t="s">
        <v>2535</v>
      </c>
      <c r="G1844" t="s">
        <v>4143</v>
      </c>
      <c r="H1844" t="s">
        <v>1559</v>
      </c>
      <c r="I1844" t="s">
        <v>3953</v>
      </c>
    </row>
    <row r="1845" spans="1:9">
      <c r="A1845" s="93" t="s">
        <v>4173</v>
      </c>
      <c r="B1845" t="s">
        <v>1860</v>
      </c>
      <c r="C1845" t="s">
        <v>2536</v>
      </c>
      <c r="D1845" t="s">
        <v>2537</v>
      </c>
      <c r="E1845" t="s">
        <v>2538</v>
      </c>
      <c r="F1845" t="s">
        <v>2539</v>
      </c>
      <c r="G1845" t="s">
        <v>4143</v>
      </c>
      <c r="H1845" t="s">
        <v>2504</v>
      </c>
      <c r="I1845" t="s">
        <v>3953</v>
      </c>
    </row>
    <row r="1846" spans="1:9">
      <c r="A1846" s="93" t="s">
        <v>4173</v>
      </c>
      <c r="B1846" t="s">
        <v>1860</v>
      </c>
      <c r="C1846" t="s">
        <v>2540</v>
      </c>
      <c r="D1846" t="s">
        <v>2537</v>
      </c>
      <c r="E1846" t="s">
        <v>2193</v>
      </c>
      <c r="F1846" t="s">
        <v>2541</v>
      </c>
      <c r="G1846" t="s">
        <v>4143</v>
      </c>
      <c r="H1846" t="s">
        <v>2193</v>
      </c>
      <c r="I1846" t="s">
        <v>3953</v>
      </c>
    </row>
    <row r="1847" spans="1:9">
      <c r="A1847" s="93" t="s">
        <v>4173</v>
      </c>
      <c r="B1847" t="s">
        <v>1860</v>
      </c>
      <c r="C1847" t="s">
        <v>2542</v>
      </c>
      <c r="D1847" t="s">
        <v>2533</v>
      </c>
      <c r="E1847" t="s">
        <v>108</v>
      </c>
      <c r="F1847" t="s">
        <v>2543</v>
      </c>
      <c r="G1847" t="s">
        <v>4143</v>
      </c>
      <c r="H1847" t="s">
        <v>108</v>
      </c>
      <c r="I1847" t="s">
        <v>3953</v>
      </c>
    </row>
    <row r="1848" spans="1:9">
      <c r="A1848" s="93" t="s">
        <v>4173</v>
      </c>
      <c r="B1848" t="s">
        <v>1860</v>
      </c>
      <c r="C1848" t="s">
        <v>2544</v>
      </c>
      <c r="D1848" t="s">
        <v>2545</v>
      </c>
      <c r="E1848" t="s">
        <v>2193</v>
      </c>
      <c r="F1848" t="s">
        <v>2541</v>
      </c>
      <c r="G1848" t="s">
        <v>4143</v>
      </c>
      <c r="H1848" t="s">
        <v>2193</v>
      </c>
      <c r="I1848" t="s">
        <v>3953</v>
      </c>
    </row>
    <row r="1849" spans="1:9">
      <c r="A1849" s="93" t="s">
        <v>4173</v>
      </c>
      <c r="B1849" t="s">
        <v>1860</v>
      </c>
      <c r="C1849" t="s">
        <v>2546</v>
      </c>
      <c r="D1849" t="s">
        <v>2546</v>
      </c>
      <c r="E1849" t="s">
        <v>2135</v>
      </c>
      <c r="F1849" t="s">
        <v>2547</v>
      </c>
      <c r="G1849" t="s">
        <v>4143</v>
      </c>
      <c r="H1849" t="s">
        <v>2355</v>
      </c>
      <c r="I1849" t="s">
        <v>3953</v>
      </c>
    </row>
    <row r="1850" spans="1:9">
      <c r="A1850" s="93" t="s">
        <v>4173</v>
      </c>
      <c r="B1850" t="s">
        <v>1860</v>
      </c>
      <c r="C1850" t="s">
        <v>2832</v>
      </c>
      <c r="D1850" t="s">
        <v>2591</v>
      </c>
      <c r="E1850" t="s">
        <v>543</v>
      </c>
      <c r="F1850" t="s">
        <v>2833</v>
      </c>
      <c r="G1850" t="s">
        <v>4143</v>
      </c>
      <c r="H1850" t="s">
        <v>543</v>
      </c>
      <c r="I1850" t="s">
        <v>3953</v>
      </c>
    </row>
    <row r="1851" spans="1:9">
      <c r="A1851" s="93" t="s">
        <v>4173</v>
      </c>
      <c r="B1851" t="s">
        <v>1860</v>
      </c>
      <c r="C1851" t="s">
        <v>2834</v>
      </c>
      <c r="D1851" t="s">
        <v>2554</v>
      </c>
      <c r="E1851" t="s">
        <v>543</v>
      </c>
      <c r="F1851" t="s">
        <v>2835</v>
      </c>
      <c r="G1851" t="s">
        <v>4143</v>
      </c>
      <c r="H1851" t="s">
        <v>543</v>
      </c>
      <c r="I1851" t="s">
        <v>3953</v>
      </c>
    </row>
    <row r="1852" spans="1:9">
      <c r="A1852" s="93" t="s">
        <v>4173</v>
      </c>
      <c r="B1852" t="s">
        <v>1861</v>
      </c>
      <c r="C1852" t="s">
        <v>2549</v>
      </c>
      <c r="D1852" t="s">
        <v>2537</v>
      </c>
      <c r="E1852" t="s">
        <v>2288</v>
      </c>
      <c r="F1852" t="s">
        <v>2550</v>
      </c>
      <c r="G1852" t="s">
        <v>4143</v>
      </c>
      <c r="H1852" t="s">
        <v>2288</v>
      </c>
      <c r="I1852" t="s">
        <v>3957</v>
      </c>
    </row>
    <row r="1853" spans="1:9">
      <c r="A1853" s="93" t="s">
        <v>4173</v>
      </c>
      <c r="B1853" t="s">
        <v>1861</v>
      </c>
      <c r="C1853" t="s">
        <v>2551</v>
      </c>
      <c r="D1853" t="s">
        <v>2537</v>
      </c>
      <c r="E1853" t="s">
        <v>2135</v>
      </c>
      <c r="F1853" t="s">
        <v>2552</v>
      </c>
      <c r="G1853" t="s">
        <v>4143</v>
      </c>
      <c r="H1853" t="s">
        <v>2355</v>
      </c>
      <c r="I1853" t="s">
        <v>3957</v>
      </c>
    </row>
    <row r="1854" spans="1:9">
      <c r="A1854" s="93" t="s">
        <v>4173</v>
      </c>
      <c r="B1854" t="s">
        <v>1861</v>
      </c>
      <c r="C1854" t="s">
        <v>2553</v>
      </c>
      <c r="D1854" t="s">
        <v>2554</v>
      </c>
      <c r="E1854" t="s">
        <v>2135</v>
      </c>
      <c r="F1854" t="s">
        <v>2555</v>
      </c>
      <c r="G1854" t="s">
        <v>4143</v>
      </c>
      <c r="H1854" t="s">
        <v>2355</v>
      </c>
      <c r="I1854" t="s">
        <v>3957</v>
      </c>
    </row>
    <row r="1855" spans="1:9">
      <c r="A1855" s="93" t="s">
        <v>4173</v>
      </c>
      <c r="B1855" t="s">
        <v>1861</v>
      </c>
      <c r="C1855" t="s">
        <v>2837</v>
      </c>
      <c r="D1855" t="s">
        <v>2537</v>
      </c>
      <c r="E1855" t="s">
        <v>2838</v>
      </c>
      <c r="F1855" t="s">
        <v>2839</v>
      </c>
      <c r="G1855" t="s">
        <v>4143</v>
      </c>
      <c r="H1855" t="s">
        <v>543</v>
      </c>
      <c r="I1855" t="s">
        <v>3957</v>
      </c>
    </row>
    <row r="1856" spans="1:9">
      <c r="A1856" s="93" t="s">
        <v>4173</v>
      </c>
      <c r="B1856" t="s">
        <v>1861</v>
      </c>
      <c r="C1856" t="s">
        <v>2556</v>
      </c>
      <c r="D1856" t="s">
        <v>2533</v>
      </c>
      <c r="E1856" t="s">
        <v>2288</v>
      </c>
      <c r="F1856" t="s">
        <v>2557</v>
      </c>
      <c r="G1856" t="s">
        <v>4143</v>
      </c>
      <c r="H1856" t="s">
        <v>2288</v>
      </c>
      <c r="I1856" t="s">
        <v>3957</v>
      </c>
    </row>
    <row r="1857" spans="1:9">
      <c r="A1857" s="93" t="s">
        <v>4173</v>
      </c>
      <c r="B1857" t="s">
        <v>1861</v>
      </c>
      <c r="C1857" t="s">
        <v>2840</v>
      </c>
      <c r="D1857" t="s">
        <v>2563</v>
      </c>
      <c r="E1857" t="s">
        <v>543</v>
      </c>
      <c r="G1857" t="s">
        <v>4143</v>
      </c>
      <c r="H1857" t="s">
        <v>543</v>
      </c>
      <c r="I1857" t="s">
        <v>3957</v>
      </c>
    </row>
    <row r="1858" spans="1:9">
      <c r="A1858" s="93" t="s">
        <v>4173</v>
      </c>
      <c r="B1858" t="s">
        <v>1861</v>
      </c>
      <c r="C1858" t="s">
        <v>2558</v>
      </c>
      <c r="D1858" t="s">
        <v>2559</v>
      </c>
      <c r="E1858" t="s">
        <v>2560</v>
      </c>
      <c r="F1858" t="s">
        <v>2561</v>
      </c>
      <c r="G1858" t="s">
        <v>4143</v>
      </c>
      <c r="H1858" t="s">
        <v>2288</v>
      </c>
      <c r="I1858" t="s">
        <v>3957</v>
      </c>
    </row>
    <row r="1859" spans="1:9">
      <c r="A1859" s="93" t="s">
        <v>4173</v>
      </c>
      <c r="B1859" t="s">
        <v>1861</v>
      </c>
      <c r="C1859" t="s">
        <v>2562</v>
      </c>
      <c r="D1859" t="s">
        <v>2563</v>
      </c>
      <c r="E1859" t="s">
        <v>2564</v>
      </c>
      <c r="F1859" t="s">
        <v>2565</v>
      </c>
      <c r="G1859" t="s">
        <v>4143</v>
      </c>
      <c r="H1859" t="s">
        <v>1201</v>
      </c>
      <c r="I1859" t="s">
        <v>3957</v>
      </c>
    </row>
    <row r="1860" spans="1:9">
      <c r="A1860" s="93" t="s">
        <v>4173</v>
      </c>
      <c r="B1860" t="s">
        <v>1861</v>
      </c>
      <c r="C1860" t="s">
        <v>2566</v>
      </c>
      <c r="D1860" t="s">
        <v>2545</v>
      </c>
      <c r="E1860" t="s">
        <v>2567</v>
      </c>
      <c r="F1860" t="s">
        <v>2569</v>
      </c>
      <c r="G1860" t="s">
        <v>4143</v>
      </c>
      <c r="H1860" t="s">
        <v>108</v>
      </c>
      <c r="I1860" t="s">
        <v>3957</v>
      </c>
    </row>
    <row r="1861" spans="1:9">
      <c r="A1861" s="93" t="s">
        <v>4173</v>
      </c>
      <c r="B1861" t="s">
        <v>1861</v>
      </c>
      <c r="C1861" t="s">
        <v>2570</v>
      </c>
      <c r="D1861" t="s">
        <v>2571</v>
      </c>
      <c r="E1861" t="s">
        <v>2135</v>
      </c>
      <c r="G1861" t="s">
        <v>4143</v>
      </c>
      <c r="H1861" t="s">
        <v>2355</v>
      </c>
      <c r="I1861" t="s">
        <v>3957</v>
      </c>
    </row>
    <row r="1862" spans="1:9">
      <c r="A1862" s="93" t="s">
        <v>4173</v>
      </c>
      <c r="B1862" t="s">
        <v>1861</v>
      </c>
      <c r="C1862" t="s">
        <v>2575</v>
      </c>
      <c r="D1862" t="s">
        <v>2533</v>
      </c>
      <c r="E1862" t="s">
        <v>2135</v>
      </c>
      <c r="G1862" t="s">
        <v>4143</v>
      </c>
      <c r="H1862" t="s">
        <v>2355</v>
      </c>
      <c r="I1862" t="s">
        <v>3957</v>
      </c>
    </row>
    <row r="1863" spans="1:9">
      <c r="A1863" s="93" t="s">
        <v>4173</v>
      </c>
      <c r="B1863" t="s">
        <v>1861</v>
      </c>
      <c r="C1863" t="s">
        <v>2576</v>
      </c>
      <c r="D1863" t="s">
        <v>2571</v>
      </c>
      <c r="E1863" t="s">
        <v>108</v>
      </c>
      <c r="F1863" t="s">
        <v>2577</v>
      </c>
      <c r="G1863" t="s">
        <v>4143</v>
      </c>
      <c r="H1863" t="s">
        <v>108</v>
      </c>
      <c r="I1863" t="s">
        <v>3957</v>
      </c>
    </row>
    <row r="1864" spans="1:9">
      <c r="A1864" s="93" t="s">
        <v>4173</v>
      </c>
      <c r="B1864" t="s">
        <v>1861</v>
      </c>
      <c r="C1864" t="s">
        <v>2578</v>
      </c>
      <c r="D1864" t="s">
        <v>2579</v>
      </c>
      <c r="E1864" t="s">
        <v>2564</v>
      </c>
      <c r="F1864" t="s">
        <v>2565</v>
      </c>
      <c r="G1864" t="s">
        <v>4143</v>
      </c>
      <c r="H1864" t="s">
        <v>1201</v>
      </c>
      <c r="I1864" t="s">
        <v>3957</v>
      </c>
    </row>
    <row r="1865" spans="1:9">
      <c r="A1865" s="93" t="s">
        <v>4173</v>
      </c>
      <c r="B1865" t="s">
        <v>1861</v>
      </c>
      <c r="C1865" t="s">
        <v>2546</v>
      </c>
      <c r="D1865" t="s">
        <v>2546</v>
      </c>
      <c r="E1865" t="s">
        <v>2135</v>
      </c>
      <c r="F1865" t="s">
        <v>2580</v>
      </c>
      <c r="G1865" t="s">
        <v>4143</v>
      </c>
      <c r="H1865" t="s">
        <v>2355</v>
      </c>
      <c r="I1865" t="s">
        <v>3957</v>
      </c>
    </row>
    <row r="1866" spans="1:9">
      <c r="A1866" s="93" t="s">
        <v>4173</v>
      </c>
      <c r="B1866" t="s">
        <v>1861</v>
      </c>
      <c r="C1866" t="s">
        <v>2581</v>
      </c>
      <c r="D1866" t="s">
        <v>2582</v>
      </c>
      <c r="E1866" t="s">
        <v>2135</v>
      </c>
      <c r="F1866" t="s">
        <v>2583</v>
      </c>
      <c r="G1866" t="s">
        <v>4143</v>
      </c>
      <c r="H1866" t="s">
        <v>2355</v>
      </c>
      <c r="I1866" t="s">
        <v>3957</v>
      </c>
    </row>
    <row r="1867" spans="1:9">
      <c r="A1867" s="93" t="s">
        <v>4173</v>
      </c>
      <c r="B1867" t="s">
        <v>1861</v>
      </c>
      <c r="C1867" t="s">
        <v>2841</v>
      </c>
      <c r="D1867" t="s">
        <v>2554</v>
      </c>
      <c r="E1867" t="s">
        <v>543</v>
      </c>
      <c r="F1867" t="s">
        <v>2842</v>
      </c>
      <c r="G1867" t="s">
        <v>4143</v>
      </c>
      <c r="H1867" t="s">
        <v>543</v>
      </c>
      <c r="I1867" t="s">
        <v>3957</v>
      </c>
    </row>
    <row r="1868" spans="1:9">
      <c r="A1868" s="93" t="s">
        <v>4173</v>
      </c>
      <c r="B1868" t="s">
        <v>1861</v>
      </c>
      <c r="C1868" t="s">
        <v>2584</v>
      </c>
      <c r="D1868" t="s">
        <v>2545</v>
      </c>
      <c r="E1868" t="s">
        <v>2585</v>
      </c>
      <c r="F1868" t="s">
        <v>2586</v>
      </c>
      <c r="G1868" t="s">
        <v>4143</v>
      </c>
      <c r="H1868" t="s">
        <v>2843</v>
      </c>
      <c r="I1868" t="s">
        <v>3957</v>
      </c>
    </row>
    <row r="1869" spans="1:9">
      <c r="A1869" s="93" t="s">
        <v>4173</v>
      </c>
      <c r="B1869" t="s">
        <v>1861</v>
      </c>
      <c r="C1869" t="s">
        <v>2587</v>
      </c>
      <c r="D1869" t="s">
        <v>2554</v>
      </c>
      <c r="E1869" t="s">
        <v>2288</v>
      </c>
      <c r="F1869" t="s">
        <v>2588</v>
      </c>
      <c r="G1869" t="s">
        <v>4143</v>
      </c>
      <c r="H1869" t="s">
        <v>2288</v>
      </c>
      <c r="I1869" t="s">
        <v>3957</v>
      </c>
    </row>
    <row r="1870" spans="1:9">
      <c r="A1870" s="93" t="s">
        <v>4173</v>
      </c>
      <c r="B1870" t="s">
        <v>1861</v>
      </c>
      <c r="C1870" t="s">
        <v>2844</v>
      </c>
      <c r="D1870" t="s">
        <v>2554</v>
      </c>
      <c r="E1870" t="s">
        <v>2845</v>
      </c>
      <c r="F1870" t="s">
        <v>2846</v>
      </c>
      <c r="G1870" t="s">
        <v>4143</v>
      </c>
      <c r="H1870" t="s">
        <v>543</v>
      </c>
      <c r="I1870" t="s">
        <v>3957</v>
      </c>
    </row>
    <row r="1871" spans="1:9">
      <c r="A1871" s="93" t="s">
        <v>4173</v>
      </c>
      <c r="B1871" t="s">
        <v>1862</v>
      </c>
      <c r="C1871" t="s">
        <v>2546</v>
      </c>
      <c r="D1871" t="s">
        <v>2546</v>
      </c>
      <c r="E1871" t="s">
        <v>2135</v>
      </c>
      <c r="F1871" t="s">
        <v>2547</v>
      </c>
      <c r="G1871" t="s">
        <v>4143</v>
      </c>
      <c r="H1871" t="s">
        <v>2355</v>
      </c>
      <c r="I1871" t="s">
        <v>3961</v>
      </c>
    </row>
    <row r="1872" spans="1:9">
      <c r="A1872" s="93" t="s">
        <v>4173</v>
      </c>
      <c r="B1872" t="s">
        <v>1862</v>
      </c>
      <c r="C1872" t="s">
        <v>2590</v>
      </c>
      <c r="D1872" t="s">
        <v>2591</v>
      </c>
      <c r="E1872" t="s">
        <v>2592</v>
      </c>
      <c r="F1872" t="s">
        <v>2593</v>
      </c>
      <c r="G1872" t="s">
        <v>4143</v>
      </c>
      <c r="H1872" t="s">
        <v>2288</v>
      </c>
      <c r="I1872" t="s">
        <v>3961</v>
      </c>
    </row>
    <row r="1873" spans="1:9">
      <c r="A1873" s="93" t="s">
        <v>4173</v>
      </c>
      <c r="B1873" t="s">
        <v>1862</v>
      </c>
      <c r="C1873" t="s">
        <v>2848</v>
      </c>
      <c r="D1873" t="s">
        <v>2545</v>
      </c>
      <c r="E1873" t="s">
        <v>543</v>
      </c>
      <c r="F1873" t="s">
        <v>2849</v>
      </c>
      <c r="G1873" t="s">
        <v>4143</v>
      </c>
      <c r="H1873" t="s">
        <v>543</v>
      </c>
      <c r="I1873" t="s">
        <v>3961</v>
      </c>
    </row>
    <row r="1874" spans="1:9">
      <c r="A1874" s="93" t="s">
        <v>4173</v>
      </c>
      <c r="B1874" t="s">
        <v>1862</v>
      </c>
      <c r="C1874" t="s">
        <v>2594</v>
      </c>
      <c r="D1874" t="s">
        <v>2533</v>
      </c>
      <c r="E1874" t="s">
        <v>2288</v>
      </c>
      <c r="F1874" t="s">
        <v>2595</v>
      </c>
      <c r="G1874" t="s">
        <v>4143</v>
      </c>
      <c r="H1874" t="s">
        <v>2288</v>
      </c>
      <c r="I1874" t="s">
        <v>3961</v>
      </c>
    </row>
    <row r="1875" spans="1:9">
      <c r="A1875" s="93" t="s">
        <v>4173</v>
      </c>
      <c r="B1875" t="s">
        <v>1862</v>
      </c>
      <c r="C1875" t="s">
        <v>2596</v>
      </c>
      <c r="D1875" t="s">
        <v>2582</v>
      </c>
      <c r="E1875" t="s">
        <v>108</v>
      </c>
      <c r="G1875" t="s">
        <v>4143</v>
      </c>
      <c r="H1875" t="s">
        <v>108</v>
      </c>
      <c r="I1875" t="s">
        <v>3961</v>
      </c>
    </row>
    <row r="1876" spans="1:9">
      <c r="A1876" s="93" t="s">
        <v>4173</v>
      </c>
      <c r="B1876" t="s">
        <v>1862</v>
      </c>
      <c r="C1876" t="s">
        <v>2597</v>
      </c>
      <c r="D1876" t="s">
        <v>2537</v>
      </c>
      <c r="E1876" t="s">
        <v>108</v>
      </c>
      <c r="F1876" t="s">
        <v>2598</v>
      </c>
      <c r="G1876" t="s">
        <v>4143</v>
      </c>
      <c r="H1876" t="s">
        <v>108</v>
      </c>
      <c r="I1876" t="s">
        <v>3961</v>
      </c>
    </row>
    <row r="1877" spans="1:9">
      <c r="A1877" s="93" t="s">
        <v>4173</v>
      </c>
      <c r="B1877" t="s">
        <v>1862</v>
      </c>
      <c r="C1877" t="s">
        <v>2599</v>
      </c>
      <c r="D1877" t="s">
        <v>2559</v>
      </c>
      <c r="E1877" t="s">
        <v>2288</v>
      </c>
      <c r="F1877" t="s">
        <v>2600</v>
      </c>
      <c r="G1877" t="s">
        <v>4143</v>
      </c>
      <c r="H1877" t="s">
        <v>2288</v>
      </c>
      <c r="I1877" t="s">
        <v>3961</v>
      </c>
    </row>
    <row r="1878" spans="1:9">
      <c r="A1878" s="93" t="s">
        <v>4173</v>
      </c>
      <c r="B1878" t="s">
        <v>1862</v>
      </c>
      <c r="C1878" t="s">
        <v>2601</v>
      </c>
      <c r="D1878" t="s">
        <v>2533</v>
      </c>
      <c r="E1878" t="s">
        <v>2288</v>
      </c>
      <c r="F1878" t="s">
        <v>2602</v>
      </c>
      <c r="G1878" t="s">
        <v>4143</v>
      </c>
      <c r="H1878" t="s">
        <v>2288</v>
      </c>
      <c r="I1878" t="s">
        <v>3961</v>
      </c>
    </row>
    <row r="1879" spans="1:9">
      <c r="A1879" s="93" t="s">
        <v>4173</v>
      </c>
      <c r="B1879" t="s">
        <v>1862</v>
      </c>
      <c r="C1879" t="s">
        <v>2603</v>
      </c>
      <c r="D1879" t="s">
        <v>2559</v>
      </c>
      <c r="E1879" t="s">
        <v>2604</v>
      </c>
      <c r="F1879" t="s">
        <v>2606</v>
      </c>
      <c r="G1879" t="s">
        <v>4143</v>
      </c>
      <c r="H1879" t="s">
        <v>2193</v>
      </c>
      <c r="I1879" t="s">
        <v>3961</v>
      </c>
    </row>
    <row r="1880" spans="1:9">
      <c r="A1880" s="93" t="s">
        <v>4173</v>
      </c>
      <c r="B1880" t="s">
        <v>1862</v>
      </c>
      <c r="C1880" t="s">
        <v>2607</v>
      </c>
      <c r="D1880" t="s">
        <v>2563</v>
      </c>
      <c r="E1880" t="s">
        <v>2608</v>
      </c>
      <c r="F1880" t="s">
        <v>2609</v>
      </c>
      <c r="G1880" t="s">
        <v>4143</v>
      </c>
      <c r="H1880" t="s">
        <v>2288</v>
      </c>
      <c r="I1880" t="s">
        <v>3961</v>
      </c>
    </row>
    <row r="1881" spans="1:9">
      <c r="A1881" s="93" t="s">
        <v>4173</v>
      </c>
      <c r="B1881" t="s">
        <v>1862</v>
      </c>
      <c r="C1881" t="s">
        <v>2610</v>
      </c>
      <c r="D1881" t="s">
        <v>2545</v>
      </c>
      <c r="E1881" t="s">
        <v>108</v>
      </c>
      <c r="G1881" t="s">
        <v>4143</v>
      </c>
      <c r="H1881" t="s">
        <v>108</v>
      </c>
      <c r="I1881" t="s">
        <v>3961</v>
      </c>
    </row>
    <row r="1882" spans="1:9">
      <c r="A1882" s="93" t="s">
        <v>4173</v>
      </c>
      <c r="B1882" t="s">
        <v>1862</v>
      </c>
      <c r="C1882" t="s">
        <v>2850</v>
      </c>
      <c r="D1882" t="s">
        <v>2545</v>
      </c>
      <c r="E1882" t="s">
        <v>543</v>
      </c>
      <c r="F1882" t="s">
        <v>2851</v>
      </c>
      <c r="G1882" t="s">
        <v>4143</v>
      </c>
      <c r="H1882" t="s">
        <v>543</v>
      </c>
      <c r="I1882" t="s">
        <v>3961</v>
      </c>
    </row>
    <row r="1883" spans="1:9">
      <c r="A1883" s="93" t="s">
        <v>4173</v>
      </c>
      <c r="B1883" t="s">
        <v>1862</v>
      </c>
      <c r="C1883" t="s">
        <v>2611</v>
      </c>
      <c r="D1883" t="s">
        <v>2545</v>
      </c>
      <c r="E1883" t="s">
        <v>2288</v>
      </c>
      <c r="F1883" t="s">
        <v>2612</v>
      </c>
      <c r="G1883" t="s">
        <v>4143</v>
      </c>
      <c r="H1883" t="s">
        <v>2288</v>
      </c>
      <c r="I1883" t="s">
        <v>3961</v>
      </c>
    </row>
    <row r="1884" spans="1:9">
      <c r="A1884" s="93" t="s">
        <v>4173</v>
      </c>
      <c r="B1884" t="s">
        <v>1864</v>
      </c>
      <c r="C1884" t="s">
        <v>2546</v>
      </c>
      <c r="D1884" t="s">
        <v>2546</v>
      </c>
      <c r="E1884" t="s">
        <v>2135</v>
      </c>
      <c r="F1884" t="s">
        <v>2614</v>
      </c>
      <c r="G1884" t="s">
        <v>4143</v>
      </c>
      <c r="H1884" t="s">
        <v>2355</v>
      </c>
      <c r="I1884" t="s">
        <v>3965</v>
      </c>
    </row>
    <row r="1885" spans="1:9">
      <c r="A1885" s="93" t="s">
        <v>4173</v>
      </c>
      <c r="B1885" t="s">
        <v>1864</v>
      </c>
      <c r="C1885" t="s">
        <v>2615</v>
      </c>
      <c r="D1885" t="s">
        <v>2537</v>
      </c>
      <c r="E1885" t="s">
        <v>2616</v>
      </c>
      <c r="F1885" t="s">
        <v>2617</v>
      </c>
      <c r="G1885" t="s">
        <v>4143</v>
      </c>
      <c r="H1885" t="s">
        <v>2288</v>
      </c>
      <c r="I1885" t="s">
        <v>3965</v>
      </c>
    </row>
    <row r="1886" spans="1:9">
      <c r="A1886" s="93" t="s">
        <v>4173</v>
      </c>
      <c r="B1886" t="s">
        <v>1864</v>
      </c>
      <c r="C1886" t="s">
        <v>2618</v>
      </c>
      <c r="D1886" t="s">
        <v>2619</v>
      </c>
      <c r="E1886" t="s">
        <v>2135</v>
      </c>
      <c r="G1886" t="s">
        <v>4143</v>
      </c>
      <c r="H1886" t="s">
        <v>2355</v>
      </c>
      <c r="I1886" t="s">
        <v>3965</v>
      </c>
    </row>
    <row r="1887" spans="1:9">
      <c r="A1887" s="93" t="s">
        <v>4173</v>
      </c>
      <c r="B1887" t="s">
        <v>1864</v>
      </c>
      <c r="C1887" t="s">
        <v>2620</v>
      </c>
      <c r="D1887" t="s">
        <v>2554</v>
      </c>
      <c r="E1887" t="s">
        <v>2288</v>
      </c>
      <c r="F1887" t="s">
        <v>2621</v>
      </c>
      <c r="G1887" t="s">
        <v>4143</v>
      </c>
      <c r="H1887" t="s">
        <v>2288</v>
      </c>
      <c r="I1887" t="s">
        <v>3965</v>
      </c>
    </row>
    <row r="1888" spans="1:9">
      <c r="A1888" s="93" t="s">
        <v>4173</v>
      </c>
      <c r="B1888" t="s">
        <v>1864</v>
      </c>
      <c r="C1888" t="s">
        <v>2622</v>
      </c>
      <c r="D1888" t="s">
        <v>2582</v>
      </c>
      <c r="E1888" t="s">
        <v>2135</v>
      </c>
      <c r="G1888" t="s">
        <v>4143</v>
      </c>
      <c r="H1888" t="s">
        <v>2355</v>
      </c>
      <c r="I1888" t="s">
        <v>3965</v>
      </c>
    </row>
    <row r="1889" spans="1:9">
      <c r="A1889" s="93" t="s">
        <v>4173</v>
      </c>
      <c r="B1889" t="s">
        <v>1864</v>
      </c>
      <c r="C1889" t="s">
        <v>2853</v>
      </c>
      <c r="D1889" t="s">
        <v>2571</v>
      </c>
      <c r="E1889" t="s">
        <v>543</v>
      </c>
      <c r="F1889" t="s">
        <v>2854</v>
      </c>
      <c r="G1889" t="s">
        <v>4143</v>
      </c>
      <c r="H1889" t="s">
        <v>543</v>
      </c>
      <c r="I1889" t="s">
        <v>3965</v>
      </c>
    </row>
    <row r="1890" spans="1:9">
      <c r="A1890" s="93" t="s">
        <v>4173</v>
      </c>
      <c r="B1890" t="s">
        <v>1864</v>
      </c>
      <c r="C1890" t="s">
        <v>2623</v>
      </c>
      <c r="D1890" t="s">
        <v>2533</v>
      </c>
      <c r="E1890" t="s">
        <v>2288</v>
      </c>
      <c r="F1890" t="s">
        <v>2624</v>
      </c>
      <c r="G1890" t="s">
        <v>4143</v>
      </c>
      <c r="H1890" t="s">
        <v>2288</v>
      </c>
      <c r="I1890" t="s">
        <v>3965</v>
      </c>
    </row>
    <row r="1891" spans="1:9">
      <c r="A1891" s="93" t="s">
        <v>4173</v>
      </c>
      <c r="B1891" t="s">
        <v>1864</v>
      </c>
      <c r="C1891" t="s">
        <v>2855</v>
      </c>
      <c r="D1891" t="s">
        <v>2582</v>
      </c>
      <c r="E1891" t="s">
        <v>543</v>
      </c>
      <c r="F1891" t="s">
        <v>2856</v>
      </c>
      <c r="G1891" t="s">
        <v>4143</v>
      </c>
      <c r="H1891" t="s">
        <v>543</v>
      </c>
      <c r="I1891" t="s">
        <v>3965</v>
      </c>
    </row>
    <row r="1892" spans="1:9">
      <c r="A1892" s="93" t="s">
        <v>4173</v>
      </c>
      <c r="B1892" t="s">
        <v>1864</v>
      </c>
      <c r="C1892" t="s">
        <v>2625</v>
      </c>
      <c r="D1892" t="s">
        <v>2533</v>
      </c>
      <c r="E1892" t="s">
        <v>2288</v>
      </c>
      <c r="G1892" t="s">
        <v>4143</v>
      </c>
      <c r="H1892" t="s">
        <v>2288</v>
      </c>
      <c r="I1892" t="s">
        <v>3965</v>
      </c>
    </row>
    <row r="1893" spans="1:9">
      <c r="A1893" s="93" t="s">
        <v>4173</v>
      </c>
      <c r="B1893" t="s">
        <v>1864</v>
      </c>
      <c r="C1893" t="s">
        <v>2626</v>
      </c>
      <c r="D1893" t="s">
        <v>2579</v>
      </c>
      <c r="E1893" t="s">
        <v>1201</v>
      </c>
      <c r="F1893" t="s">
        <v>2627</v>
      </c>
      <c r="G1893" t="s">
        <v>4143</v>
      </c>
      <c r="H1893" t="s">
        <v>1201</v>
      </c>
      <c r="I1893" t="s">
        <v>3965</v>
      </c>
    </row>
    <row r="1894" spans="1:9">
      <c r="A1894" s="93" t="s">
        <v>4173</v>
      </c>
      <c r="B1894" t="s">
        <v>1864</v>
      </c>
      <c r="C1894" t="s">
        <v>2628</v>
      </c>
      <c r="D1894" t="s">
        <v>2533</v>
      </c>
      <c r="E1894" t="s">
        <v>2629</v>
      </c>
      <c r="F1894" t="s">
        <v>2630</v>
      </c>
      <c r="G1894" t="s">
        <v>4143</v>
      </c>
      <c r="H1894" t="s">
        <v>2629</v>
      </c>
      <c r="I1894" t="s">
        <v>3965</v>
      </c>
    </row>
    <row r="1895" spans="1:9">
      <c r="A1895" s="93" t="s">
        <v>4173</v>
      </c>
      <c r="B1895" t="s">
        <v>1864</v>
      </c>
      <c r="C1895" t="s">
        <v>2631</v>
      </c>
      <c r="D1895" t="s">
        <v>2537</v>
      </c>
      <c r="E1895" t="s">
        <v>2135</v>
      </c>
      <c r="F1895" t="s">
        <v>2632</v>
      </c>
      <c r="G1895" t="s">
        <v>4143</v>
      </c>
      <c r="H1895" t="s">
        <v>2355</v>
      </c>
      <c r="I1895" t="s">
        <v>3965</v>
      </c>
    </row>
    <row r="1896" spans="1:9">
      <c r="A1896" s="93" t="s">
        <v>4173</v>
      </c>
      <c r="B1896" t="s">
        <v>1864</v>
      </c>
      <c r="C1896" t="s">
        <v>2633</v>
      </c>
      <c r="D1896" t="s">
        <v>2571</v>
      </c>
      <c r="E1896" t="s">
        <v>2135</v>
      </c>
      <c r="F1896" t="s">
        <v>2632</v>
      </c>
      <c r="G1896" t="s">
        <v>4143</v>
      </c>
      <c r="H1896" t="s">
        <v>2355</v>
      </c>
      <c r="I1896" t="s">
        <v>3965</v>
      </c>
    </row>
    <row r="1897" spans="1:9">
      <c r="A1897" s="93" t="s">
        <v>4173</v>
      </c>
      <c r="B1897" t="s">
        <v>1864</v>
      </c>
      <c r="C1897" t="s">
        <v>2634</v>
      </c>
      <c r="D1897" t="s">
        <v>2563</v>
      </c>
      <c r="E1897" t="s">
        <v>2288</v>
      </c>
      <c r="F1897" t="s">
        <v>2635</v>
      </c>
      <c r="G1897" t="s">
        <v>4143</v>
      </c>
      <c r="H1897" t="s">
        <v>2288</v>
      </c>
      <c r="I1897" t="s">
        <v>3965</v>
      </c>
    </row>
    <row r="1898" spans="1:9">
      <c r="A1898" s="93" t="s">
        <v>4173</v>
      </c>
      <c r="B1898" t="s">
        <v>1864</v>
      </c>
      <c r="C1898" t="s">
        <v>2857</v>
      </c>
      <c r="D1898" t="s">
        <v>2533</v>
      </c>
      <c r="E1898" t="s">
        <v>2858</v>
      </c>
      <c r="F1898" t="s">
        <v>2859</v>
      </c>
      <c r="G1898" t="s">
        <v>4143</v>
      </c>
      <c r="H1898" t="s">
        <v>543</v>
      </c>
      <c r="I1898" t="s">
        <v>3965</v>
      </c>
    </row>
    <row r="1899" spans="1:9">
      <c r="A1899" s="93" t="s">
        <v>4173</v>
      </c>
      <c r="B1899" t="s">
        <v>1864</v>
      </c>
      <c r="C1899" t="s">
        <v>2860</v>
      </c>
      <c r="D1899" t="s">
        <v>2591</v>
      </c>
      <c r="E1899" t="s">
        <v>2861</v>
      </c>
      <c r="F1899" t="s">
        <v>2862</v>
      </c>
      <c r="G1899" t="s">
        <v>4143</v>
      </c>
      <c r="H1899" t="s">
        <v>543</v>
      </c>
      <c r="I1899" t="s">
        <v>3965</v>
      </c>
    </row>
    <row r="1900" spans="1:9">
      <c r="A1900" s="93" t="s">
        <v>4173</v>
      </c>
      <c r="B1900" t="s">
        <v>1864</v>
      </c>
      <c r="C1900" t="s">
        <v>2863</v>
      </c>
      <c r="D1900" t="s">
        <v>2533</v>
      </c>
      <c r="E1900" t="s">
        <v>543</v>
      </c>
      <c r="F1900" t="s">
        <v>2864</v>
      </c>
      <c r="G1900" t="s">
        <v>4143</v>
      </c>
      <c r="H1900" t="s">
        <v>543</v>
      </c>
      <c r="I1900" t="s">
        <v>3965</v>
      </c>
    </row>
    <row r="1901" spans="1:9">
      <c r="A1901" s="93" t="s">
        <v>4173</v>
      </c>
      <c r="B1901" t="s">
        <v>1864</v>
      </c>
      <c r="C1901" t="s">
        <v>2636</v>
      </c>
      <c r="D1901" t="s">
        <v>2582</v>
      </c>
      <c r="E1901" t="s">
        <v>2135</v>
      </c>
      <c r="G1901" t="s">
        <v>4143</v>
      </c>
      <c r="H1901" t="s">
        <v>2355</v>
      </c>
      <c r="I1901" t="s">
        <v>3965</v>
      </c>
    </row>
    <row r="1902" spans="1:9">
      <c r="A1902" s="93" t="s">
        <v>4173</v>
      </c>
      <c r="B1902" t="s">
        <v>1864</v>
      </c>
      <c r="C1902" t="s">
        <v>2637</v>
      </c>
      <c r="D1902" t="s">
        <v>2619</v>
      </c>
      <c r="E1902" t="s">
        <v>2338</v>
      </c>
      <c r="G1902" t="s">
        <v>4143</v>
      </c>
      <c r="H1902" t="s">
        <v>2379</v>
      </c>
      <c r="I1902" t="s">
        <v>3965</v>
      </c>
    </row>
    <row r="1903" spans="1:9">
      <c r="A1903" s="93" t="s">
        <v>4173</v>
      </c>
      <c r="B1903" t="s">
        <v>1864</v>
      </c>
      <c r="C1903" t="s">
        <v>2638</v>
      </c>
      <c r="D1903" t="s">
        <v>2537</v>
      </c>
      <c r="E1903" t="s">
        <v>2338</v>
      </c>
      <c r="F1903" t="s">
        <v>2639</v>
      </c>
      <c r="G1903" t="s">
        <v>4143</v>
      </c>
      <c r="H1903" t="s">
        <v>2379</v>
      </c>
      <c r="I1903" t="s">
        <v>3965</v>
      </c>
    </row>
    <row r="1904" spans="1:9">
      <c r="A1904" s="93" t="s">
        <v>4173</v>
      </c>
      <c r="B1904" t="s">
        <v>1866</v>
      </c>
      <c r="C1904" t="s">
        <v>2546</v>
      </c>
      <c r="D1904" t="s">
        <v>2546</v>
      </c>
      <c r="E1904" t="s">
        <v>2135</v>
      </c>
      <c r="F1904" t="s">
        <v>2580</v>
      </c>
      <c r="G1904" t="s">
        <v>4143</v>
      </c>
      <c r="H1904" t="s">
        <v>2355</v>
      </c>
      <c r="I1904" t="s">
        <v>3969</v>
      </c>
    </row>
    <row r="1905" spans="1:9">
      <c r="A1905" s="93" t="s">
        <v>4173</v>
      </c>
      <c r="B1905" t="s">
        <v>1866</v>
      </c>
      <c r="C1905" t="s">
        <v>2643</v>
      </c>
      <c r="D1905" t="s">
        <v>2579</v>
      </c>
      <c r="E1905" t="s">
        <v>2288</v>
      </c>
      <c r="F1905" t="s">
        <v>2644</v>
      </c>
      <c r="G1905" t="s">
        <v>4143</v>
      </c>
      <c r="H1905" t="s">
        <v>2288</v>
      </c>
      <c r="I1905" t="s">
        <v>3969</v>
      </c>
    </row>
    <row r="1906" spans="1:9">
      <c r="A1906" s="93" t="s">
        <v>4173</v>
      </c>
      <c r="B1906" t="s">
        <v>1866</v>
      </c>
      <c r="C1906" t="s">
        <v>2645</v>
      </c>
      <c r="D1906" t="s">
        <v>2537</v>
      </c>
      <c r="E1906" t="s">
        <v>2288</v>
      </c>
      <c r="F1906" t="s">
        <v>2646</v>
      </c>
      <c r="G1906" t="s">
        <v>4143</v>
      </c>
      <c r="H1906" t="s">
        <v>2288</v>
      </c>
      <c r="I1906" t="s">
        <v>3969</v>
      </c>
    </row>
    <row r="1907" spans="1:9">
      <c r="A1907" s="93" t="s">
        <v>4173</v>
      </c>
      <c r="B1907" t="s">
        <v>1866</v>
      </c>
      <c r="C1907" t="s">
        <v>2647</v>
      </c>
      <c r="D1907" t="s">
        <v>2591</v>
      </c>
      <c r="E1907" t="s">
        <v>2135</v>
      </c>
      <c r="G1907" t="s">
        <v>4143</v>
      </c>
      <c r="H1907" t="s">
        <v>2355</v>
      </c>
      <c r="I1907" t="s">
        <v>3969</v>
      </c>
    </row>
    <row r="1908" spans="1:9">
      <c r="A1908" s="93" t="s">
        <v>4173</v>
      </c>
      <c r="B1908" t="s">
        <v>1866</v>
      </c>
      <c r="C1908" t="s">
        <v>2648</v>
      </c>
      <c r="D1908" t="s">
        <v>2591</v>
      </c>
      <c r="E1908" t="s">
        <v>2288</v>
      </c>
      <c r="F1908" t="s">
        <v>2649</v>
      </c>
      <c r="G1908" t="s">
        <v>4143</v>
      </c>
      <c r="H1908" t="s">
        <v>2288</v>
      </c>
      <c r="I1908" t="s">
        <v>3969</v>
      </c>
    </row>
    <row r="1909" spans="1:9">
      <c r="A1909" s="93" t="s">
        <v>4173</v>
      </c>
      <c r="B1909" t="s">
        <v>1866</v>
      </c>
      <c r="C1909" t="s">
        <v>2650</v>
      </c>
      <c r="D1909" t="s">
        <v>2571</v>
      </c>
      <c r="E1909" t="s">
        <v>2651</v>
      </c>
      <c r="F1909" t="s">
        <v>2652</v>
      </c>
      <c r="G1909" t="s">
        <v>4143</v>
      </c>
      <c r="H1909" t="s">
        <v>2288</v>
      </c>
      <c r="I1909" t="s">
        <v>3969</v>
      </c>
    </row>
    <row r="1910" spans="1:9">
      <c r="A1910" s="93" t="s">
        <v>4173</v>
      </c>
      <c r="B1910" t="s">
        <v>1866</v>
      </c>
      <c r="C1910" t="s">
        <v>2866</v>
      </c>
      <c r="D1910" t="s">
        <v>2591</v>
      </c>
      <c r="E1910" t="s">
        <v>543</v>
      </c>
      <c r="F1910" t="s">
        <v>2867</v>
      </c>
      <c r="G1910" t="s">
        <v>4143</v>
      </c>
      <c r="H1910" t="s">
        <v>543</v>
      </c>
      <c r="I1910" t="s">
        <v>3969</v>
      </c>
    </row>
    <row r="1911" spans="1:9">
      <c r="A1911" s="93" t="s">
        <v>4173</v>
      </c>
      <c r="B1911" t="s">
        <v>1866</v>
      </c>
      <c r="C1911" t="s">
        <v>2653</v>
      </c>
      <c r="D1911" t="s">
        <v>2533</v>
      </c>
      <c r="E1911" t="s">
        <v>2288</v>
      </c>
      <c r="F1911" t="s">
        <v>2654</v>
      </c>
      <c r="G1911" t="s">
        <v>4143</v>
      </c>
      <c r="H1911" t="s">
        <v>2288</v>
      </c>
      <c r="I1911" t="s">
        <v>3969</v>
      </c>
    </row>
    <row r="1912" spans="1:9">
      <c r="A1912" s="93" t="s">
        <v>4173</v>
      </c>
      <c r="B1912" t="s">
        <v>1866</v>
      </c>
      <c r="C1912" t="s">
        <v>2655</v>
      </c>
      <c r="D1912" t="s">
        <v>2571</v>
      </c>
      <c r="E1912" t="s">
        <v>2288</v>
      </c>
      <c r="F1912" t="s">
        <v>2656</v>
      </c>
      <c r="G1912" t="s">
        <v>4143</v>
      </c>
      <c r="H1912" t="s">
        <v>2288</v>
      </c>
      <c r="I1912" t="s">
        <v>3969</v>
      </c>
    </row>
    <row r="1913" spans="1:9">
      <c r="A1913" s="93" t="s">
        <v>4173</v>
      </c>
      <c r="B1913" t="s">
        <v>1866</v>
      </c>
      <c r="C1913" t="s">
        <v>2657</v>
      </c>
      <c r="D1913" t="s">
        <v>2533</v>
      </c>
      <c r="E1913" t="s">
        <v>2288</v>
      </c>
      <c r="F1913" t="s">
        <v>2658</v>
      </c>
      <c r="G1913" t="s">
        <v>4143</v>
      </c>
      <c r="H1913" t="s">
        <v>2288</v>
      </c>
      <c r="I1913" t="s">
        <v>3969</v>
      </c>
    </row>
    <row r="1914" spans="1:9">
      <c r="A1914" s="93" t="s">
        <v>4173</v>
      </c>
      <c r="B1914" t="s">
        <v>1866</v>
      </c>
      <c r="C1914" t="s">
        <v>2659</v>
      </c>
      <c r="D1914" t="s">
        <v>2559</v>
      </c>
      <c r="E1914" t="s">
        <v>2288</v>
      </c>
      <c r="F1914" t="s">
        <v>2660</v>
      </c>
      <c r="G1914" t="s">
        <v>4143</v>
      </c>
      <c r="H1914" t="s">
        <v>2288</v>
      </c>
      <c r="I1914" t="s">
        <v>3969</v>
      </c>
    </row>
    <row r="1915" spans="1:9">
      <c r="A1915" s="93" t="s">
        <v>4173</v>
      </c>
      <c r="B1915" t="s">
        <v>1866</v>
      </c>
      <c r="C1915" t="s">
        <v>2661</v>
      </c>
      <c r="D1915" t="s">
        <v>2559</v>
      </c>
      <c r="E1915" t="s">
        <v>2135</v>
      </c>
      <c r="F1915" t="s">
        <v>2662</v>
      </c>
      <c r="G1915" t="s">
        <v>4143</v>
      </c>
      <c r="H1915" t="s">
        <v>2355</v>
      </c>
      <c r="I1915" t="s">
        <v>3969</v>
      </c>
    </row>
    <row r="1916" spans="1:9">
      <c r="A1916" s="93" t="s">
        <v>4173</v>
      </c>
      <c r="B1916" t="s">
        <v>1866</v>
      </c>
      <c r="C1916" t="s">
        <v>2663</v>
      </c>
      <c r="D1916" t="s">
        <v>2559</v>
      </c>
      <c r="E1916" t="s">
        <v>2288</v>
      </c>
      <c r="F1916" t="s">
        <v>2664</v>
      </c>
      <c r="G1916" t="s">
        <v>4143</v>
      </c>
      <c r="H1916" t="s">
        <v>2288</v>
      </c>
      <c r="I1916" t="s">
        <v>3969</v>
      </c>
    </row>
    <row r="1917" spans="1:9">
      <c r="A1917" s="93" t="s">
        <v>4173</v>
      </c>
      <c r="B1917" t="s">
        <v>1866</v>
      </c>
      <c r="C1917" t="s">
        <v>2665</v>
      </c>
      <c r="D1917" t="s">
        <v>2563</v>
      </c>
      <c r="E1917" t="s">
        <v>2288</v>
      </c>
      <c r="F1917" t="s">
        <v>2666</v>
      </c>
      <c r="G1917" t="s">
        <v>4143</v>
      </c>
      <c r="H1917" t="s">
        <v>2288</v>
      </c>
      <c r="I1917" t="s">
        <v>3969</v>
      </c>
    </row>
    <row r="1918" spans="1:9">
      <c r="A1918" s="93" t="s">
        <v>4173</v>
      </c>
      <c r="B1918" t="s">
        <v>1866</v>
      </c>
      <c r="C1918" t="s">
        <v>2667</v>
      </c>
      <c r="D1918" t="s">
        <v>2571</v>
      </c>
      <c r="E1918" t="s">
        <v>2668</v>
      </c>
      <c r="F1918" t="s">
        <v>2670</v>
      </c>
      <c r="G1918" t="s">
        <v>4143</v>
      </c>
      <c r="H1918" t="s">
        <v>2669</v>
      </c>
      <c r="I1918" t="s">
        <v>3969</v>
      </c>
    </row>
    <row r="1919" spans="1:9">
      <c r="A1919" s="93" t="s">
        <v>4173</v>
      </c>
      <c r="B1919" t="s">
        <v>1866</v>
      </c>
      <c r="C1919" t="s">
        <v>2671</v>
      </c>
      <c r="D1919" t="s">
        <v>2591</v>
      </c>
      <c r="E1919" t="s">
        <v>2288</v>
      </c>
      <c r="F1919" t="s">
        <v>2672</v>
      </c>
      <c r="G1919" t="s">
        <v>4143</v>
      </c>
      <c r="H1919" t="s">
        <v>2288</v>
      </c>
      <c r="I1919" t="s">
        <v>3969</v>
      </c>
    </row>
    <row r="1920" spans="1:9">
      <c r="A1920" s="93" t="s">
        <v>4173</v>
      </c>
      <c r="B1920" t="s">
        <v>1866</v>
      </c>
      <c r="C1920" t="s">
        <v>2868</v>
      </c>
      <c r="D1920" t="s">
        <v>2563</v>
      </c>
      <c r="E1920" t="s">
        <v>543</v>
      </c>
      <c r="F1920" t="s">
        <v>2869</v>
      </c>
      <c r="G1920" t="s">
        <v>4143</v>
      </c>
      <c r="H1920" t="s">
        <v>543</v>
      </c>
      <c r="I1920" t="s">
        <v>3969</v>
      </c>
    </row>
    <row r="1921" spans="1:9">
      <c r="A1921" s="93" t="s">
        <v>4173</v>
      </c>
      <c r="B1921" t="s">
        <v>1866</v>
      </c>
      <c r="C1921" t="s">
        <v>2673</v>
      </c>
      <c r="D1921" t="s">
        <v>2537</v>
      </c>
      <c r="E1921" t="s">
        <v>2338</v>
      </c>
      <c r="G1921" t="s">
        <v>4143</v>
      </c>
      <c r="H1921" t="s">
        <v>2379</v>
      </c>
      <c r="I1921" t="s">
        <v>3969</v>
      </c>
    </row>
    <row r="1922" spans="1:9">
      <c r="A1922" s="93" t="s">
        <v>4173</v>
      </c>
      <c r="B1922" t="s">
        <v>1866</v>
      </c>
      <c r="C1922" t="s">
        <v>2674</v>
      </c>
      <c r="D1922" t="s">
        <v>2533</v>
      </c>
      <c r="E1922" t="s">
        <v>1201</v>
      </c>
      <c r="F1922" t="s">
        <v>2675</v>
      </c>
      <c r="G1922" t="s">
        <v>4143</v>
      </c>
      <c r="H1922" t="s">
        <v>1201</v>
      </c>
      <c r="I1922" t="s">
        <v>3969</v>
      </c>
    </row>
    <row r="1923" spans="1:9">
      <c r="A1923" s="93" t="s">
        <v>4173</v>
      </c>
      <c r="B1923" t="s">
        <v>1870</v>
      </c>
      <c r="C1923" t="s">
        <v>2546</v>
      </c>
      <c r="D1923" t="s">
        <v>2546</v>
      </c>
      <c r="E1923" t="s">
        <v>2135</v>
      </c>
      <c r="F1923" t="s">
        <v>2580</v>
      </c>
      <c r="G1923" t="s">
        <v>4143</v>
      </c>
      <c r="H1923" t="s">
        <v>2355</v>
      </c>
      <c r="I1923" t="s">
        <v>3973</v>
      </c>
    </row>
    <row r="1924" spans="1:9">
      <c r="A1924" s="93" t="s">
        <v>4173</v>
      </c>
      <c r="B1924" t="s">
        <v>1870</v>
      </c>
      <c r="C1924" t="s">
        <v>2677</v>
      </c>
      <c r="D1924" t="s">
        <v>2533</v>
      </c>
      <c r="E1924" t="s">
        <v>2288</v>
      </c>
      <c r="F1924" t="s">
        <v>2678</v>
      </c>
      <c r="G1924" t="s">
        <v>4143</v>
      </c>
      <c r="H1924" t="s">
        <v>2288</v>
      </c>
      <c r="I1924" t="s">
        <v>3973</v>
      </c>
    </row>
    <row r="1925" spans="1:9">
      <c r="A1925" s="93" t="s">
        <v>4173</v>
      </c>
      <c r="B1925" t="s">
        <v>1870</v>
      </c>
      <c r="C1925" t="s">
        <v>2871</v>
      </c>
      <c r="D1925" t="s">
        <v>2537</v>
      </c>
      <c r="E1925" t="s">
        <v>2872</v>
      </c>
      <c r="F1925" t="s">
        <v>2873</v>
      </c>
      <c r="G1925" t="s">
        <v>4143</v>
      </c>
      <c r="H1925" t="s">
        <v>543</v>
      </c>
      <c r="I1925" t="s">
        <v>3973</v>
      </c>
    </row>
    <row r="1926" spans="1:9">
      <c r="A1926" s="93" t="s">
        <v>4173</v>
      </c>
      <c r="B1926" t="s">
        <v>1870</v>
      </c>
      <c r="C1926" t="s">
        <v>2874</v>
      </c>
      <c r="D1926" t="s">
        <v>2554</v>
      </c>
      <c r="E1926" t="s">
        <v>543</v>
      </c>
      <c r="G1926" t="s">
        <v>4143</v>
      </c>
      <c r="H1926" t="s">
        <v>543</v>
      </c>
      <c r="I1926" t="s">
        <v>3973</v>
      </c>
    </row>
    <row r="1927" spans="1:9">
      <c r="A1927" s="93" t="s">
        <v>4173</v>
      </c>
      <c r="B1927" t="s">
        <v>1870</v>
      </c>
      <c r="C1927" t="s">
        <v>2679</v>
      </c>
      <c r="D1927" t="s">
        <v>2537</v>
      </c>
      <c r="E1927" t="s">
        <v>2288</v>
      </c>
      <c r="F1927" t="s">
        <v>2680</v>
      </c>
      <c r="G1927" t="s">
        <v>4143</v>
      </c>
      <c r="H1927" t="s">
        <v>2288</v>
      </c>
      <c r="I1927" t="s">
        <v>3973</v>
      </c>
    </row>
    <row r="1928" spans="1:9">
      <c r="A1928" s="93" t="s">
        <v>4173</v>
      </c>
      <c r="B1928" t="s">
        <v>1870</v>
      </c>
      <c r="C1928" t="s">
        <v>2681</v>
      </c>
      <c r="D1928" t="s">
        <v>2563</v>
      </c>
      <c r="E1928" t="s">
        <v>108</v>
      </c>
      <c r="F1928" t="s">
        <v>2682</v>
      </c>
      <c r="G1928" t="s">
        <v>4143</v>
      </c>
      <c r="H1928" t="s">
        <v>108</v>
      </c>
      <c r="I1928" t="s">
        <v>3973</v>
      </c>
    </row>
    <row r="1929" spans="1:9">
      <c r="A1929" s="93" t="s">
        <v>4173</v>
      </c>
      <c r="B1929" t="s">
        <v>1870</v>
      </c>
      <c r="C1929" t="s">
        <v>2683</v>
      </c>
      <c r="D1929" t="s">
        <v>2537</v>
      </c>
      <c r="E1929" t="s">
        <v>2684</v>
      </c>
      <c r="F1929" t="s">
        <v>2686</v>
      </c>
      <c r="G1929" t="s">
        <v>4143</v>
      </c>
      <c r="H1929" t="s">
        <v>2875</v>
      </c>
      <c r="I1929" t="s">
        <v>3973</v>
      </c>
    </row>
    <row r="1930" spans="1:9">
      <c r="A1930" s="93" t="s">
        <v>4173</v>
      </c>
      <c r="B1930" t="s">
        <v>1870</v>
      </c>
      <c r="C1930" t="s">
        <v>2687</v>
      </c>
      <c r="D1930" t="s">
        <v>2554</v>
      </c>
      <c r="E1930" t="s">
        <v>2288</v>
      </c>
      <c r="F1930" t="s">
        <v>2688</v>
      </c>
      <c r="G1930" t="s">
        <v>4143</v>
      </c>
      <c r="H1930" t="s">
        <v>2288</v>
      </c>
      <c r="I1930" t="s">
        <v>3973</v>
      </c>
    </row>
    <row r="1931" spans="1:9">
      <c r="A1931" s="93" t="s">
        <v>4173</v>
      </c>
      <c r="B1931" t="s">
        <v>1870</v>
      </c>
      <c r="C1931" t="s">
        <v>2876</v>
      </c>
      <c r="D1931" t="s">
        <v>2554</v>
      </c>
      <c r="E1931" t="s">
        <v>2877</v>
      </c>
      <c r="F1931" t="s">
        <v>2878</v>
      </c>
      <c r="G1931" t="s">
        <v>4143</v>
      </c>
      <c r="H1931" t="s">
        <v>543</v>
      </c>
      <c r="I1931" t="s">
        <v>3973</v>
      </c>
    </row>
    <row r="1932" spans="1:9">
      <c r="A1932" s="93" t="s">
        <v>4173</v>
      </c>
      <c r="B1932" t="s">
        <v>1870</v>
      </c>
      <c r="C1932" t="s">
        <v>2689</v>
      </c>
      <c r="D1932" t="s">
        <v>2554</v>
      </c>
      <c r="E1932" t="s">
        <v>2288</v>
      </c>
      <c r="F1932" t="s">
        <v>2690</v>
      </c>
      <c r="G1932" t="s">
        <v>4143</v>
      </c>
      <c r="H1932" t="s">
        <v>2288</v>
      </c>
      <c r="I1932" t="s">
        <v>3973</v>
      </c>
    </row>
    <row r="1933" spans="1:9">
      <c r="A1933" s="93" t="s">
        <v>4173</v>
      </c>
      <c r="B1933" t="s">
        <v>1870</v>
      </c>
      <c r="C1933" t="s">
        <v>2879</v>
      </c>
      <c r="D1933" t="s">
        <v>2537</v>
      </c>
      <c r="E1933" t="s">
        <v>543</v>
      </c>
      <c r="F1933" t="s">
        <v>2880</v>
      </c>
      <c r="G1933" t="s">
        <v>4143</v>
      </c>
      <c r="H1933" t="s">
        <v>543</v>
      </c>
      <c r="I1933" t="s">
        <v>3973</v>
      </c>
    </row>
    <row r="1934" spans="1:9">
      <c r="A1934" s="93" t="s">
        <v>4173</v>
      </c>
      <c r="B1934" t="s">
        <v>1870</v>
      </c>
      <c r="C1934" t="s">
        <v>2691</v>
      </c>
      <c r="D1934" t="s">
        <v>2533</v>
      </c>
      <c r="E1934" t="s">
        <v>2135</v>
      </c>
      <c r="F1934" t="s">
        <v>2692</v>
      </c>
      <c r="G1934" t="s">
        <v>4143</v>
      </c>
      <c r="H1934" t="s">
        <v>2355</v>
      </c>
      <c r="I1934" t="s">
        <v>3973</v>
      </c>
    </row>
    <row r="1935" spans="1:9">
      <c r="A1935" s="93" t="s">
        <v>4173</v>
      </c>
      <c r="B1935" t="s">
        <v>1870</v>
      </c>
      <c r="C1935" t="s">
        <v>2881</v>
      </c>
      <c r="D1935" t="s">
        <v>2591</v>
      </c>
      <c r="E1935" t="s">
        <v>2882</v>
      </c>
      <c r="F1935" t="s">
        <v>2883</v>
      </c>
      <c r="G1935" t="s">
        <v>4143</v>
      </c>
      <c r="H1935" t="s">
        <v>543</v>
      </c>
      <c r="I1935" t="s">
        <v>3973</v>
      </c>
    </row>
    <row r="1936" spans="1:9">
      <c r="A1936" s="93" t="s">
        <v>4173</v>
      </c>
      <c r="B1936" t="s">
        <v>1870</v>
      </c>
      <c r="C1936" t="s">
        <v>2693</v>
      </c>
      <c r="D1936" t="s">
        <v>2533</v>
      </c>
      <c r="E1936" t="s">
        <v>2288</v>
      </c>
      <c r="F1936" t="s">
        <v>2694</v>
      </c>
      <c r="G1936" t="s">
        <v>4143</v>
      </c>
      <c r="H1936" t="s">
        <v>2288</v>
      </c>
      <c r="I1936" t="s">
        <v>3973</v>
      </c>
    </row>
    <row r="1937" spans="1:9">
      <c r="A1937" s="93" t="s">
        <v>4173</v>
      </c>
      <c r="B1937" t="s">
        <v>1870</v>
      </c>
      <c r="C1937" t="s">
        <v>2695</v>
      </c>
      <c r="D1937" t="s">
        <v>2591</v>
      </c>
      <c r="E1937" t="s">
        <v>2288</v>
      </c>
      <c r="F1937" t="s">
        <v>2696</v>
      </c>
      <c r="G1937" t="s">
        <v>4143</v>
      </c>
      <c r="H1937" t="s">
        <v>2288</v>
      </c>
      <c r="I1937" t="s">
        <v>3973</v>
      </c>
    </row>
    <row r="1938" spans="1:9">
      <c r="A1938" s="93" t="s">
        <v>4173</v>
      </c>
      <c r="B1938" t="s">
        <v>1870</v>
      </c>
      <c r="C1938" t="s">
        <v>2697</v>
      </c>
      <c r="D1938" t="s">
        <v>2582</v>
      </c>
      <c r="E1938" t="s">
        <v>2367</v>
      </c>
      <c r="F1938" t="s">
        <v>2698</v>
      </c>
      <c r="G1938" t="s">
        <v>4143</v>
      </c>
      <c r="H1938" t="s">
        <v>2367</v>
      </c>
      <c r="I1938" t="s">
        <v>3973</v>
      </c>
    </row>
    <row r="1939" spans="1:9">
      <c r="A1939" s="93" t="s">
        <v>4173</v>
      </c>
      <c r="B1939" t="s">
        <v>1870</v>
      </c>
      <c r="C1939" t="s">
        <v>2699</v>
      </c>
      <c r="D1939" t="s">
        <v>2571</v>
      </c>
      <c r="E1939" t="s">
        <v>2288</v>
      </c>
      <c r="F1939" t="s">
        <v>2700</v>
      </c>
      <c r="G1939" t="s">
        <v>4143</v>
      </c>
      <c r="H1939" t="s">
        <v>2288</v>
      </c>
      <c r="I1939" t="s">
        <v>3973</v>
      </c>
    </row>
    <row r="1940" spans="1:9">
      <c r="A1940" s="93" t="s">
        <v>4173</v>
      </c>
      <c r="B1940" t="s">
        <v>1870</v>
      </c>
      <c r="C1940" t="s">
        <v>2701</v>
      </c>
      <c r="D1940" t="s">
        <v>2559</v>
      </c>
      <c r="E1940" t="s">
        <v>2193</v>
      </c>
      <c r="F1940" t="s">
        <v>2702</v>
      </c>
      <c r="G1940" t="s">
        <v>4143</v>
      </c>
      <c r="H1940" t="s">
        <v>2193</v>
      </c>
      <c r="I1940" t="s">
        <v>3973</v>
      </c>
    </row>
    <row r="1941" spans="1:9">
      <c r="A1941" s="93" t="s">
        <v>4173</v>
      </c>
      <c r="B1941" t="s">
        <v>1870</v>
      </c>
      <c r="C1941" t="s">
        <v>2703</v>
      </c>
      <c r="D1941" t="s">
        <v>2554</v>
      </c>
      <c r="E1941" t="s">
        <v>2193</v>
      </c>
      <c r="F1941" t="s">
        <v>2704</v>
      </c>
      <c r="G1941" t="s">
        <v>4143</v>
      </c>
      <c r="H1941" t="s">
        <v>2193</v>
      </c>
      <c r="I1941" t="s">
        <v>3973</v>
      </c>
    </row>
    <row r="1942" spans="1:9">
      <c r="A1942" s="93" t="s">
        <v>4173</v>
      </c>
      <c r="B1942" t="s">
        <v>1870</v>
      </c>
      <c r="C1942" t="s">
        <v>2884</v>
      </c>
      <c r="D1942" t="s">
        <v>2591</v>
      </c>
      <c r="E1942" t="s">
        <v>543</v>
      </c>
      <c r="F1942" t="s">
        <v>2885</v>
      </c>
      <c r="G1942" t="s">
        <v>4143</v>
      </c>
      <c r="H1942" t="s">
        <v>543</v>
      </c>
      <c r="I1942" t="s">
        <v>3973</v>
      </c>
    </row>
    <row r="1943" spans="1:9">
      <c r="A1943" s="93" t="s">
        <v>4173</v>
      </c>
      <c r="B1943" t="s">
        <v>1870</v>
      </c>
      <c r="C1943" t="s">
        <v>2705</v>
      </c>
      <c r="D1943" t="s">
        <v>2554</v>
      </c>
      <c r="E1943" t="s">
        <v>2338</v>
      </c>
      <c r="G1943" t="s">
        <v>4143</v>
      </c>
      <c r="H1943" t="s">
        <v>2379</v>
      </c>
      <c r="I1943" t="s">
        <v>3973</v>
      </c>
    </row>
    <row r="1944" spans="1:9">
      <c r="A1944" s="93" t="s">
        <v>4173</v>
      </c>
      <c r="B1944" t="s">
        <v>1870</v>
      </c>
      <c r="C1944" t="s">
        <v>2706</v>
      </c>
      <c r="D1944" t="s">
        <v>2591</v>
      </c>
      <c r="E1944" t="s">
        <v>108</v>
      </c>
      <c r="F1944" t="s">
        <v>2707</v>
      </c>
      <c r="G1944" t="s">
        <v>4143</v>
      </c>
      <c r="H1944" t="s">
        <v>108</v>
      </c>
      <c r="I1944" t="s">
        <v>3973</v>
      </c>
    </row>
    <row r="1945" spans="1:9">
      <c r="A1945" s="93" t="s">
        <v>4173</v>
      </c>
      <c r="B1945" t="s">
        <v>1872</v>
      </c>
      <c r="C1945" t="s">
        <v>2546</v>
      </c>
      <c r="D1945" t="s">
        <v>2546</v>
      </c>
      <c r="E1945" t="s">
        <v>2135</v>
      </c>
      <c r="F1945" t="s">
        <v>2580</v>
      </c>
      <c r="G1945" t="s">
        <v>4143</v>
      </c>
      <c r="H1945" t="s">
        <v>2355</v>
      </c>
      <c r="I1945" t="s">
        <v>3977</v>
      </c>
    </row>
    <row r="1946" spans="1:9">
      <c r="A1946" s="93" t="s">
        <v>4173</v>
      </c>
      <c r="B1946" t="s">
        <v>1872</v>
      </c>
      <c r="C1946" t="s">
        <v>2709</v>
      </c>
      <c r="D1946" t="s">
        <v>2582</v>
      </c>
      <c r="E1946" t="s">
        <v>2710</v>
      </c>
      <c r="G1946" t="s">
        <v>4143</v>
      </c>
      <c r="H1946" t="s">
        <v>2669</v>
      </c>
      <c r="I1946" t="s">
        <v>3977</v>
      </c>
    </row>
    <row r="1947" spans="1:9">
      <c r="A1947" s="93" t="s">
        <v>4173</v>
      </c>
      <c r="B1947" t="s">
        <v>1872</v>
      </c>
      <c r="C1947" t="s">
        <v>2711</v>
      </c>
      <c r="D1947" t="s">
        <v>2579</v>
      </c>
      <c r="E1947" t="s">
        <v>2288</v>
      </c>
      <c r="F1947" t="s">
        <v>2712</v>
      </c>
      <c r="G1947" t="s">
        <v>4143</v>
      </c>
      <c r="H1947" t="s">
        <v>2288</v>
      </c>
      <c r="I1947" t="s">
        <v>3977</v>
      </c>
    </row>
    <row r="1948" spans="1:9">
      <c r="A1948" s="93" t="s">
        <v>4173</v>
      </c>
      <c r="B1948" t="s">
        <v>1872</v>
      </c>
      <c r="C1948" t="s">
        <v>2788</v>
      </c>
      <c r="D1948" t="s">
        <v>2533</v>
      </c>
      <c r="E1948" t="s">
        <v>2789</v>
      </c>
      <c r="F1948" t="s">
        <v>2791</v>
      </c>
      <c r="G1948" t="s">
        <v>4143</v>
      </c>
      <c r="H1948" t="s">
        <v>2790</v>
      </c>
      <c r="I1948" t="s">
        <v>3977</v>
      </c>
    </row>
    <row r="1949" spans="1:9">
      <c r="A1949" s="93" t="s">
        <v>4173</v>
      </c>
      <c r="B1949" t="s">
        <v>1872</v>
      </c>
      <c r="C1949" t="s">
        <v>2713</v>
      </c>
      <c r="D1949" t="s">
        <v>2591</v>
      </c>
      <c r="E1949" t="s">
        <v>2288</v>
      </c>
      <c r="F1949" t="s">
        <v>2714</v>
      </c>
      <c r="G1949" t="s">
        <v>4143</v>
      </c>
      <c r="H1949" t="s">
        <v>2288</v>
      </c>
      <c r="I1949" t="s">
        <v>3977</v>
      </c>
    </row>
    <row r="1950" spans="1:9">
      <c r="A1950" s="93" t="s">
        <v>4173</v>
      </c>
      <c r="B1950" t="s">
        <v>1872</v>
      </c>
      <c r="C1950" t="s">
        <v>2715</v>
      </c>
      <c r="D1950" t="s">
        <v>2571</v>
      </c>
      <c r="E1950" t="s">
        <v>2288</v>
      </c>
      <c r="F1950" t="s">
        <v>2716</v>
      </c>
      <c r="G1950" t="s">
        <v>4143</v>
      </c>
      <c r="H1950" t="s">
        <v>2288</v>
      </c>
      <c r="I1950" t="s">
        <v>3977</v>
      </c>
    </row>
    <row r="1951" spans="1:9">
      <c r="A1951" s="93" t="s">
        <v>4173</v>
      </c>
      <c r="B1951" t="s">
        <v>1872</v>
      </c>
      <c r="C1951" t="s">
        <v>2717</v>
      </c>
      <c r="D1951" t="s">
        <v>2559</v>
      </c>
      <c r="E1951" t="s">
        <v>2288</v>
      </c>
      <c r="F1951" t="s">
        <v>2718</v>
      </c>
      <c r="G1951" t="s">
        <v>4143</v>
      </c>
      <c r="H1951" t="s">
        <v>2288</v>
      </c>
      <c r="I1951" t="s">
        <v>3977</v>
      </c>
    </row>
    <row r="1952" spans="1:9">
      <c r="A1952" s="93" t="s">
        <v>4173</v>
      </c>
      <c r="B1952" t="s">
        <v>1872</v>
      </c>
      <c r="C1952" t="s">
        <v>2719</v>
      </c>
      <c r="D1952" t="s">
        <v>2559</v>
      </c>
      <c r="E1952" t="s">
        <v>108</v>
      </c>
      <c r="F1952" t="s">
        <v>2720</v>
      </c>
      <c r="G1952" t="s">
        <v>4143</v>
      </c>
      <c r="H1952" t="s">
        <v>108</v>
      </c>
      <c r="I1952" t="s">
        <v>3977</v>
      </c>
    </row>
    <row r="1953" spans="1:9">
      <c r="A1953" s="93" t="s">
        <v>4173</v>
      </c>
      <c r="B1953" t="s">
        <v>1872</v>
      </c>
      <c r="C1953" t="s">
        <v>2721</v>
      </c>
      <c r="D1953" t="s">
        <v>2591</v>
      </c>
      <c r="E1953" t="s">
        <v>2288</v>
      </c>
      <c r="F1953" t="s">
        <v>2716</v>
      </c>
      <c r="G1953" t="s">
        <v>4143</v>
      </c>
      <c r="H1953" t="s">
        <v>2288</v>
      </c>
      <c r="I1953" t="s">
        <v>3977</v>
      </c>
    </row>
    <row r="1954" spans="1:9">
      <c r="A1954" s="93" t="s">
        <v>4173</v>
      </c>
      <c r="B1954" t="s">
        <v>1872</v>
      </c>
      <c r="C1954" t="s">
        <v>2725</v>
      </c>
      <c r="D1954" t="s">
        <v>2582</v>
      </c>
      <c r="E1954" t="s">
        <v>2193</v>
      </c>
      <c r="G1954" t="s">
        <v>4143</v>
      </c>
      <c r="H1954" t="s">
        <v>2193</v>
      </c>
      <c r="I1954" t="s">
        <v>3977</v>
      </c>
    </row>
    <row r="1955" spans="1:9">
      <c r="A1955" s="93" t="s">
        <v>4173</v>
      </c>
      <c r="B1955" t="s">
        <v>1872</v>
      </c>
      <c r="C1955" t="s">
        <v>2726</v>
      </c>
      <c r="D1955" t="s">
        <v>2591</v>
      </c>
      <c r="E1955" t="s">
        <v>108</v>
      </c>
      <c r="F1955" t="s">
        <v>2727</v>
      </c>
      <c r="G1955" t="s">
        <v>4143</v>
      </c>
      <c r="H1955" t="s">
        <v>108</v>
      </c>
      <c r="I1955" t="s">
        <v>3977</v>
      </c>
    </row>
    <row r="1956" spans="1:9">
      <c r="A1956" s="93" t="s">
        <v>4173</v>
      </c>
      <c r="B1956" t="s">
        <v>1872</v>
      </c>
      <c r="C1956" t="s">
        <v>2728</v>
      </c>
      <c r="D1956" t="s">
        <v>2545</v>
      </c>
      <c r="E1956" t="s">
        <v>2288</v>
      </c>
      <c r="F1956" t="s">
        <v>2729</v>
      </c>
      <c r="G1956" t="s">
        <v>4143</v>
      </c>
      <c r="H1956" t="s">
        <v>2288</v>
      </c>
      <c r="I1956" t="s">
        <v>3977</v>
      </c>
    </row>
    <row r="1957" spans="1:9">
      <c r="A1957" s="93" t="s">
        <v>4173</v>
      </c>
      <c r="B1957" t="s">
        <v>1872</v>
      </c>
      <c r="C1957" t="s">
        <v>2887</v>
      </c>
      <c r="D1957" t="s">
        <v>2563</v>
      </c>
      <c r="E1957" t="s">
        <v>543</v>
      </c>
      <c r="F1957" t="s">
        <v>2888</v>
      </c>
      <c r="G1957" t="s">
        <v>4143</v>
      </c>
      <c r="H1957" t="s">
        <v>543</v>
      </c>
      <c r="I1957" t="s">
        <v>3977</v>
      </c>
    </row>
    <row r="1958" spans="1:9">
      <c r="A1958" s="93" t="s">
        <v>4173</v>
      </c>
      <c r="B1958" t="s">
        <v>1872</v>
      </c>
      <c r="C1958" t="s">
        <v>2730</v>
      </c>
      <c r="D1958" t="s">
        <v>2545</v>
      </c>
      <c r="E1958" t="s">
        <v>2731</v>
      </c>
      <c r="F1958" t="s">
        <v>2732</v>
      </c>
      <c r="G1958" t="s">
        <v>4143</v>
      </c>
      <c r="H1958" t="s">
        <v>108</v>
      </c>
      <c r="I1958" t="s">
        <v>3977</v>
      </c>
    </row>
    <row r="1959" spans="1:9">
      <c r="A1959" s="93" t="s">
        <v>4173</v>
      </c>
      <c r="B1959" t="s">
        <v>1872</v>
      </c>
      <c r="C1959" t="s">
        <v>2733</v>
      </c>
      <c r="D1959" t="s">
        <v>2591</v>
      </c>
      <c r="E1959" t="s">
        <v>2288</v>
      </c>
      <c r="F1959" t="s">
        <v>2734</v>
      </c>
      <c r="G1959" t="s">
        <v>4143</v>
      </c>
      <c r="H1959" t="s">
        <v>2288</v>
      </c>
      <c r="I1959" t="s">
        <v>3977</v>
      </c>
    </row>
    <row r="1960" spans="1:9">
      <c r="A1960" s="93" t="s">
        <v>4173</v>
      </c>
      <c r="B1960" t="s">
        <v>1873</v>
      </c>
      <c r="C1960" t="s">
        <v>2546</v>
      </c>
      <c r="D1960" t="s">
        <v>2546</v>
      </c>
      <c r="E1960" t="s">
        <v>2135</v>
      </c>
      <c r="F1960" t="s">
        <v>2580</v>
      </c>
      <c r="G1960" t="s">
        <v>4143</v>
      </c>
      <c r="H1960" t="s">
        <v>2355</v>
      </c>
      <c r="I1960" t="s">
        <v>3981</v>
      </c>
    </row>
    <row r="1961" spans="1:9">
      <c r="A1961" s="93" t="s">
        <v>4173</v>
      </c>
      <c r="B1961" t="s">
        <v>1873</v>
      </c>
      <c r="C1961" t="s">
        <v>2736</v>
      </c>
      <c r="D1961" t="s">
        <v>2579</v>
      </c>
      <c r="E1961" t="s">
        <v>2737</v>
      </c>
      <c r="F1961" t="s">
        <v>2739</v>
      </c>
      <c r="G1961" t="s">
        <v>4143</v>
      </c>
      <c r="H1961" t="s">
        <v>2288</v>
      </c>
      <c r="I1961" t="s">
        <v>3981</v>
      </c>
    </row>
    <row r="1962" spans="1:9">
      <c r="A1962" s="93" t="s">
        <v>4173</v>
      </c>
      <c r="B1962" t="s">
        <v>1873</v>
      </c>
      <c r="C1962" t="s">
        <v>2740</v>
      </c>
      <c r="D1962" t="s">
        <v>2559</v>
      </c>
      <c r="E1962" t="s">
        <v>2741</v>
      </c>
      <c r="F1962" t="s">
        <v>2742</v>
      </c>
      <c r="G1962" t="s">
        <v>4143</v>
      </c>
      <c r="H1962" t="s">
        <v>2504</v>
      </c>
      <c r="I1962" t="s">
        <v>3981</v>
      </c>
    </row>
    <row r="1963" spans="1:9">
      <c r="A1963" s="93" t="s">
        <v>4173</v>
      </c>
      <c r="B1963" t="s">
        <v>1873</v>
      </c>
      <c r="C1963" t="s">
        <v>2743</v>
      </c>
      <c r="D1963" t="s">
        <v>2571</v>
      </c>
      <c r="E1963" t="s">
        <v>2744</v>
      </c>
      <c r="F1963" t="s">
        <v>2745</v>
      </c>
      <c r="G1963" t="s">
        <v>4143</v>
      </c>
      <c r="H1963" t="s">
        <v>2288</v>
      </c>
      <c r="I1963" t="s">
        <v>3981</v>
      </c>
    </row>
    <row r="1964" spans="1:9">
      <c r="A1964" s="93" t="s">
        <v>4173</v>
      </c>
      <c r="B1964" t="s">
        <v>1873</v>
      </c>
      <c r="C1964" t="s">
        <v>2746</v>
      </c>
      <c r="D1964" t="s">
        <v>2571</v>
      </c>
      <c r="E1964" t="s">
        <v>2744</v>
      </c>
      <c r="F1964" t="s">
        <v>2745</v>
      </c>
      <c r="G1964" t="s">
        <v>4143</v>
      </c>
      <c r="H1964" t="s">
        <v>2288</v>
      </c>
      <c r="I1964" t="s">
        <v>3981</v>
      </c>
    </row>
    <row r="1965" spans="1:9">
      <c r="A1965" s="93" t="s">
        <v>4173</v>
      </c>
      <c r="B1965" t="s">
        <v>1873</v>
      </c>
      <c r="C1965" t="s">
        <v>2747</v>
      </c>
      <c r="D1965" t="s">
        <v>2533</v>
      </c>
      <c r="E1965" t="s">
        <v>2288</v>
      </c>
      <c r="F1965" t="s">
        <v>2748</v>
      </c>
      <c r="G1965" t="s">
        <v>4143</v>
      </c>
      <c r="H1965" t="s">
        <v>2288</v>
      </c>
      <c r="I1965" t="s">
        <v>3981</v>
      </c>
    </row>
    <row r="1966" spans="1:9">
      <c r="A1966" s="93" t="s">
        <v>4173</v>
      </c>
      <c r="B1966" t="s">
        <v>1873</v>
      </c>
      <c r="C1966" t="s">
        <v>2749</v>
      </c>
      <c r="D1966" t="s">
        <v>2579</v>
      </c>
      <c r="E1966" t="s">
        <v>2288</v>
      </c>
      <c r="F1966" t="s">
        <v>2750</v>
      </c>
      <c r="G1966" t="s">
        <v>4143</v>
      </c>
      <c r="H1966" t="s">
        <v>2288</v>
      </c>
      <c r="I1966" t="s">
        <v>3981</v>
      </c>
    </row>
    <row r="1967" spans="1:9">
      <c r="A1967" s="93" t="s">
        <v>4173</v>
      </c>
      <c r="B1967" t="s">
        <v>1873</v>
      </c>
      <c r="C1967" t="s">
        <v>2751</v>
      </c>
      <c r="D1967" t="s">
        <v>2571</v>
      </c>
      <c r="E1967" t="s">
        <v>2288</v>
      </c>
      <c r="F1967" t="s">
        <v>2752</v>
      </c>
      <c r="G1967" t="s">
        <v>4143</v>
      </c>
      <c r="H1967" t="s">
        <v>2288</v>
      </c>
      <c r="I1967" t="s">
        <v>3981</v>
      </c>
    </row>
    <row r="1968" spans="1:9">
      <c r="A1968" s="93" t="s">
        <v>4173</v>
      </c>
      <c r="B1968" t="s">
        <v>1873</v>
      </c>
      <c r="C1968" t="s">
        <v>2753</v>
      </c>
      <c r="D1968" t="s">
        <v>2537</v>
      </c>
      <c r="E1968" t="s">
        <v>2288</v>
      </c>
      <c r="F1968" t="s">
        <v>2754</v>
      </c>
      <c r="G1968" t="s">
        <v>4143</v>
      </c>
      <c r="H1968" t="s">
        <v>2288</v>
      </c>
      <c r="I1968" t="s">
        <v>3981</v>
      </c>
    </row>
    <row r="1969" spans="1:9">
      <c r="A1969" s="93" t="s">
        <v>4173</v>
      </c>
      <c r="B1969" t="s">
        <v>1873</v>
      </c>
      <c r="C1969" t="s">
        <v>2755</v>
      </c>
      <c r="D1969" t="s">
        <v>2579</v>
      </c>
      <c r="E1969" t="s">
        <v>2288</v>
      </c>
      <c r="F1969" t="s">
        <v>2756</v>
      </c>
      <c r="G1969" t="s">
        <v>4143</v>
      </c>
      <c r="H1969" t="s">
        <v>2288</v>
      </c>
      <c r="I1969" t="s">
        <v>3981</v>
      </c>
    </row>
    <row r="1970" spans="1:9">
      <c r="A1970" s="93" t="s">
        <v>4173</v>
      </c>
      <c r="B1970" t="s">
        <v>1873</v>
      </c>
      <c r="C1970" t="s">
        <v>2757</v>
      </c>
      <c r="D1970" t="s">
        <v>2619</v>
      </c>
      <c r="E1970" t="s">
        <v>2288</v>
      </c>
      <c r="F1970" t="s">
        <v>2758</v>
      </c>
      <c r="G1970" t="s">
        <v>4143</v>
      </c>
      <c r="H1970" t="s">
        <v>2288</v>
      </c>
      <c r="I1970" t="s">
        <v>3981</v>
      </c>
    </row>
    <row r="1971" spans="1:9">
      <c r="A1971" s="93" t="s">
        <v>4173</v>
      </c>
      <c r="B1971" t="s">
        <v>1873</v>
      </c>
      <c r="C1971" t="s">
        <v>2759</v>
      </c>
      <c r="D1971" t="s">
        <v>2537</v>
      </c>
      <c r="E1971" t="s">
        <v>2288</v>
      </c>
      <c r="F1971" t="s">
        <v>2760</v>
      </c>
      <c r="G1971" t="s">
        <v>4143</v>
      </c>
      <c r="H1971" t="s">
        <v>2288</v>
      </c>
      <c r="I1971" t="s">
        <v>3981</v>
      </c>
    </row>
    <row r="1972" spans="1:9">
      <c r="A1972" s="93" t="s">
        <v>4173</v>
      </c>
      <c r="B1972" t="s">
        <v>1873</v>
      </c>
      <c r="C1972" t="s">
        <v>2761</v>
      </c>
      <c r="D1972" t="s">
        <v>2582</v>
      </c>
      <c r="E1972" t="s">
        <v>2762</v>
      </c>
      <c r="F1972" t="s">
        <v>2763</v>
      </c>
      <c r="G1972" t="s">
        <v>4143</v>
      </c>
      <c r="H1972" t="s">
        <v>2504</v>
      </c>
      <c r="I1972" t="s">
        <v>3981</v>
      </c>
    </row>
    <row r="1973" spans="1:9">
      <c r="A1973" s="93" t="s">
        <v>4173</v>
      </c>
      <c r="B1973" t="s">
        <v>1873</v>
      </c>
      <c r="C1973" t="s">
        <v>2764</v>
      </c>
      <c r="D1973" t="s">
        <v>2582</v>
      </c>
      <c r="E1973" t="s">
        <v>1201</v>
      </c>
      <c r="G1973" t="s">
        <v>4143</v>
      </c>
      <c r="H1973" t="s">
        <v>1201</v>
      </c>
      <c r="I1973" t="s">
        <v>3981</v>
      </c>
    </row>
    <row r="1974" spans="1:9">
      <c r="A1974" s="93" t="s">
        <v>4173</v>
      </c>
      <c r="B1974" t="s">
        <v>1873</v>
      </c>
      <c r="C1974" t="s">
        <v>2765</v>
      </c>
      <c r="D1974" t="s">
        <v>2563</v>
      </c>
      <c r="E1974" t="s">
        <v>2288</v>
      </c>
      <c r="F1974" t="s">
        <v>2712</v>
      </c>
      <c r="G1974" t="s">
        <v>4143</v>
      </c>
      <c r="H1974" t="s">
        <v>2288</v>
      </c>
      <c r="I1974" t="s">
        <v>3981</v>
      </c>
    </row>
    <row r="1975" spans="1:9">
      <c r="A1975" s="93" t="s">
        <v>4173</v>
      </c>
      <c r="B1975" t="s">
        <v>1874</v>
      </c>
      <c r="C1975" t="s">
        <v>2114</v>
      </c>
      <c r="D1975" t="s">
        <v>2115</v>
      </c>
      <c r="E1975" t="s">
        <v>1559</v>
      </c>
      <c r="F1975" t="s">
        <v>2117</v>
      </c>
      <c r="G1975" t="s">
        <v>4143</v>
      </c>
      <c r="H1975" t="s">
        <v>2504</v>
      </c>
      <c r="I1975" t="s">
        <v>3984</v>
      </c>
    </row>
    <row r="1976" spans="1:9">
      <c r="A1976" s="93" t="s">
        <v>4173</v>
      </c>
      <c r="B1976" t="s">
        <v>1874</v>
      </c>
      <c r="C1976" t="s">
        <v>2352</v>
      </c>
      <c r="E1976" t="s">
        <v>1201</v>
      </c>
      <c r="G1976" t="s">
        <v>4143</v>
      </c>
      <c r="H1976" t="s">
        <v>1201</v>
      </c>
      <c r="I1976" t="s">
        <v>3984</v>
      </c>
    </row>
    <row r="1977" spans="1:9">
      <c r="A1977" s="93" t="s">
        <v>4173</v>
      </c>
      <c r="B1977" t="s">
        <v>1874</v>
      </c>
      <c r="C1977" t="s">
        <v>2118</v>
      </c>
      <c r="E1977" t="s">
        <v>2119</v>
      </c>
      <c r="G1977" t="s">
        <v>4143</v>
      </c>
      <c r="H1977" t="s">
        <v>2119</v>
      </c>
      <c r="I1977" t="s">
        <v>3984</v>
      </c>
    </row>
    <row r="1978" spans="1:9">
      <c r="A1978" s="93" t="s">
        <v>4173</v>
      </c>
      <c r="B1978" t="s">
        <v>1874</v>
      </c>
      <c r="C1978" t="s">
        <v>2121</v>
      </c>
      <c r="D1978" t="s">
        <v>2122</v>
      </c>
      <c r="E1978" t="s">
        <v>108</v>
      </c>
      <c r="G1978" t="s">
        <v>4143</v>
      </c>
      <c r="H1978" t="s">
        <v>108</v>
      </c>
      <c r="I1978" t="s">
        <v>3984</v>
      </c>
    </row>
    <row r="1979" spans="1:9">
      <c r="A1979" s="93" t="s">
        <v>4173</v>
      </c>
      <c r="B1979" t="s">
        <v>1874</v>
      </c>
      <c r="C1979" t="s">
        <v>2123</v>
      </c>
      <c r="D1979" t="s">
        <v>2124</v>
      </c>
      <c r="E1979" t="s">
        <v>108</v>
      </c>
      <c r="F1979" t="s">
        <v>2125</v>
      </c>
      <c r="G1979" t="s">
        <v>4143</v>
      </c>
      <c r="H1979" t="s">
        <v>108</v>
      </c>
      <c r="I1979" t="s">
        <v>3984</v>
      </c>
    </row>
    <row r="1980" spans="1:9">
      <c r="A1980" s="93" t="s">
        <v>4173</v>
      </c>
      <c r="B1980" t="s">
        <v>1874</v>
      </c>
      <c r="C1980" t="s">
        <v>2126</v>
      </c>
      <c r="E1980" t="s">
        <v>108</v>
      </c>
      <c r="G1980" t="s">
        <v>4143</v>
      </c>
      <c r="H1980" t="s">
        <v>108</v>
      </c>
      <c r="I1980" t="s">
        <v>3984</v>
      </c>
    </row>
    <row r="1981" spans="1:9">
      <c r="A1981" s="93" t="s">
        <v>4173</v>
      </c>
      <c r="B1981" t="s">
        <v>1875</v>
      </c>
      <c r="C1981" t="s">
        <v>2128</v>
      </c>
      <c r="D1981" t="s">
        <v>2129</v>
      </c>
      <c r="E1981" t="s">
        <v>108</v>
      </c>
      <c r="G1981" t="s">
        <v>4143</v>
      </c>
      <c r="H1981" t="s">
        <v>108</v>
      </c>
      <c r="I1981" t="s">
        <v>3988</v>
      </c>
    </row>
    <row r="1982" spans="1:9">
      <c r="A1982" s="93" t="s">
        <v>4173</v>
      </c>
      <c r="B1982" t="s">
        <v>1875</v>
      </c>
      <c r="C1982" t="s">
        <v>2130</v>
      </c>
      <c r="D1982" t="s">
        <v>2131</v>
      </c>
      <c r="E1982" t="s">
        <v>108</v>
      </c>
      <c r="F1982" t="s">
        <v>2132</v>
      </c>
      <c r="G1982" t="s">
        <v>4143</v>
      </c>
      <c r="H1982" t="s">
        <v>108</v>
      </c>
      <c r="I1982" t="s">
        <v>3988</v>
      </c>
    </row>
    <row r="1983" spans="1:9">
      <c r="A1983" s="93" t="s">
        <v>4173</v>
      </c>
      <c r="B1983" t="s">
        <v>1875</v>
      </c>
      <c r="C1983" t="s">
        <v>2133</v>
      </c>
      <c r="D1983" t="s">
        <v>2131</v>
      </c>
      <c r="E1983" t="s">
        <v>108</v>
      </c>
      <c r="G1983" t="s">
        <v>4143</v>
      </c>
      <c r="H1983" t="s">
        <v>108</v>
      </c>
      <c r="I1983" t="s">
        <v>3988</v>
      </c>
    </row>
    <row r="1984" spans="1:9">
      <c r="A1984" s="93" t="s">
        <v>4173</v>
      </c>
      <c r="B1984" t="s">
        <v>1875</v>
      </c>
      <c r="C1984" t="s">
        <v>2134</v>
      </c>
      <c r="E1984" t="s">
        <v>2135</v>
      </c>
      <c r="F1984" t="s">
        <v>2137</v>
      </c>
      <c r="G1984" t="s">
        <v>4143</v>
      </c>
      <c r="H1984" t="s">
        <v>2953</v>
      </c>
      <c r="I1984" t="s">
        <v>3988</v>
      </c>
    </row>
    <row r="1985" spans="1:9">
      <c r="A1985" s="93" t="s">
        <v>4173</v>
      </c>
      <c r="B1985" t="s">
        <v>1875</v>
      </c>
      <c r="C1985" t="s">
        <v>2138</v>
      </c>
      <c r="D1985" t="s">
        <v>2139</v>
      </c>
      <c r="E1985" t="s">
        <v>108</v>
      </c>
      <c r="F1985" t="s">
        <v>2140</v>
      </c>
      <c r="G1985" t="s">
        <v>4143</v>
      </c>
      <c r="H1985" t="s">
        <v>108</v>
      </c>
      <c r="I1985" t="s">
        <v>3988</v>
      </c>
    </row>
    <row r="1986" spans="1:9">
      <c r="A1986" s="93" t="s">
        <v>4173</v>
      </c>
      <c r="B1986" t="s">
        <v>3697</v>
      </c>
      <c r="C1986" t="s">
        <v>2142</v>
      </c>
      <c r="D1986" t="s">
        <v>2143</v>
      </c>
      <c r="E1986" t="s">
        <v>108</v>
      </c>
      <c r="G1986" t="s">
        <v>4143</v>
      </c>
      <c r="H1986" t="s">
        <v>108</v>
      </c>
      <c r="I1986" t="s">
        <v>3992</v>
      </c>
    </row>
    <row r="1987" spans="1:9">
      <c r="A1987" s="93" t="s">
        <v>4173</v>
      </c>
      <c r="B1987" t="s">
        <v>3697</v>
      </c>
      <c r="C1987" t="s">
        <v>2144</v>
      </c>
      <c r="D1987" t="s">
        <v>2143</v>
      </c>
      <c r="E1987" t="s">
        <v>2145</v>
      </c>
      <c r="G1987" t="s">
        <v>4143</v>
      </c>
      <c r="H1987" t="s">
        <v>108</v>
      </c>
      <c r="I1987" t="s">
        <v>3992</v>
      </c>
    </row>
    <row r="1988" spans="1:9">
      <c r="A1988" s="93" t="s">
        <v>4173</v>
      </c>
      <c r="B1988" t="s">
        <v>3697</v>
      </c>
      <c r="C1988" t="s">
        <v>2146</v>
      </c>
      <c r="D1988" t="s">
        <v>2143</v>
      </c>
      <c r="E1988" t="s">
        <v>2147</v>
      </c>
      <c r="F1988" t="s">
        <v>2148</v>
      </c>
      <c r="G1988" t="s">
        <v>4143</v>
      </c>
      <c r="H1988" t="s">
        <v>108</v>
      </c>
      <c r="I1988" t="s">
        <v>3992</v>
      </c>
    </row>
    <row r="1989" spans="1:9">
      <c r="A1989" s="93" t="s">
        <v>4173</v>
      </c>
      <c r="B1989" t="s">
        <v>3697</v>
      </c>
      <c r="C1989" t="s">
        <v>2149</v>
      </c>
      <c r="D1989" t="s">
        <v>2143</v>
      </c>
      <c r="E1989" t="s">
        <v>108</v>
      </c>
      <c r="G1989" t="s">
        <v>4143</v>
      </c>
      <c r="H1989" t="s">
        <v>108</v>
      </c>
      <c r="I1989" t="s">
        <v>3992</v>
      </c>
    </row>
    <row r="1990" spans="1:9">
      <c r="A1990" s="93" t="s">
        <v>4173</v>
      </c>
      <c r="B1990" t="s">
        <v>1881</v>
      </c>
      <c r="C1990" t="s">
        <v>2151</v>
      </c>
      <c r="D1990" t="s">
        <v>2152</v>
      </c>
      <c r="E1990" t="s">
        <v>2153</v>
      </c>
      <c r="G1990" t="s">
        <v>4143</v>
      </c>
      <c r="H1990" t="s">
        <v>108</v>
      </c>
      <c r="I1990" t="s">
        <v>3996</v>
      </c>
    </row>
    <row r="1991" spans="1:9">
      <c r="A1991" s="93" t="s">
        <v>4173</v>
      </c>
      <c r="B1991" t="s">
        <v>1881</v>
      </c>
      <c r="C1991" t="s">
        <v>2358</v>
      </c>
      <c r="E1991" t="s">
        <v>543</v>
      </c>
      <c r="F1991" t="s">
        <v>2359</v>
      </c>
      <c r="G1991" t="s">
        <v>4143</v>
      </c>
      <c r="H1991" t="s">
        <v>543</v>
      </c>
      <c r="I1991" t="s">
        <v>3996</v>
      </c>
    </row>
    <row r="1992" spans="1:9">
      <c r="A1992" s="93" t="s">
        <v>4173</v>
      </c>
      <c r="B1992" t="s">
        <v>1881</v>
      </c>
      <c r="C1992" t="s">
        <v>2360</v>
      </c>
      <c r="D1992" t="s">
        <v>2155</v>
      </c>
      <c r="E1992" t="s">
        <v>543</v>
      </c>
      <c r="F1992" t="s">
        <v>2361</v>
      </c>
      <c r="G1992" t="s">
        <v>4143</v>
      </c>
      <c r="H1992" t="s">
        <v>543</v>
      </c>
      <c r="I1992" t="s">
        <v>3996</v>
      </c>
    </row>
    <row r="1993" spans="1:9">
      <c r="A1993" s="93" t="s">
        <v>4173</v>
      </c>
      <c r="B1993" t="s">
        <v>1881</v>
      </c>
      <c r="C1993" t="s">
        <v>2154</v>
      </c>
      <c r="D1993" t="s">
        <v>2155</v>
      </c>
      <c r="E1993" t="s">
        <v>108</v>
      </c>
      <c r="G1993" t="s">
        <v>4143</v>
      </c>
      <c r="H1993" t="s">
        <v>108</v>
      </c>
      <c r="I1993" t="s">
        <v>3996</v>
      </c>
    </row>
    <row r="1994" spans="1:9">
      <c r="A1994" s="93" t="s">
        <v>4173</v>
      </c>
      <c r="B1994" t="s">
        <v>1881</v>
      </c>
      <c r="C1994" t="s">
        <v>2156</v>
      </c>
      <c r="D1994" t="s">
        <v>2152</v>
      </c>
      <c r="E1994" t="s">
        <v>2157</v>
      </c>
      <c r="G1994" t="s">
        <v>4143</v>
      </c>
      <c r="H1994" t="s">
        <v>108</v>
      </c>
      <c r="I1994" t="s">
        <v>3996</v>
      </c>
    </row>
    <row r="1995" spans="1:9">
      <c r="A1995" s="93" t="s">
        <v>4173</v>
      </c>
      <c r="B1995" t="s">
        <v>1881</v>
      </c>
      <c r="C1995" t="s">
        <v>2158</v>
      </c>
      <c r="D1995" t="s">
        <v>2155</v>
      </c>
      <c r="E1995" t="s">
        <v>2159</v>
      </c>
      <c r="F1995" t="s">
        <v>2160</v>
      </c>
      <c r="G1995" t="s">
        <v>4143</v>
      </c>
      <c r="H1995" t="s">
        <v>2504</v>
      </c>
      <c r="I1995" t="s">
        <v>3996</v>
      </c>
    </row>
    <row r="1996" spans="1:9">
      <c r="A1996" s="93" t="s">
        <v>4173</v>
      </c>
      <c r="B1996" t="s">
        <v>1881</v>
      </c>
      <c r="C1996" t="s">
        <v>2161</v>
      </c>
      <c r="D1996" t="s">
        <v>2162</v>
      </c>
      <c r="E1996" t="s">
        <v>108</v>
      </c>
      <c r="F1996" t="s">
        <v>2163</v>
      </c>
      <c r="G1996" t="s">
        <v>4143</v>
      </c>
      <c r="H1996" t="s">
        <v>108</v>
      </c>
      <c r="I1996" t="s">
        <v>3996</v>
      </c>
    </row>
    <row r="1997" spans="1:9">
      <c r="A1997" s="93" t="s">
        <v>4173</v>
      </c>
      <c r="B1997" t="s">
        <v>1881</v>
      </c>
      <c r="C1997" t="s">
        <v>2164</v>
      </c>
      <c r="D1997" t="s">
        <v>2162</v>
      </c>
      <c r="E1997" t="s">
        <v>108</v>
      </c>
      <c r="G1997" t="s">
        <v>4143</v>
      </c>
      <c r="H1997" t="s">
        <v>108</v>
      </c>
      <c r="I1997" t="s">
        <v>3996</v>
      </c>
    </row>
    <row r="1998" spans="1:9">
      <c r="A1998" s="93" t="s">
        <v>4173</v>
      </c>
      <c r="B1998" t="s">
        <v>1882</v>
      </c>
      <c r="C1998" t="s">
        <v>2166</v>
      </c>
      <c r="D1998" t="s">
        <v>2167</v>
      </c>
      <c r="E1998" t="s">
        <v>108</v>
      </c>
      <c r="F1998" t="s">
        <v>2168</v>
      </c>
      <c r="G1998" t="s">
        <v>4143</v>
      </c>
      <c r="H1998" t="s">
        <v>108</v>
      </c>
      <c r="I1998" t="s">
        <v>4000</v>
      </c>
    </row>
    <row r="1999" spans="1:9">
      <c r="A1999" s="93" t="s">
        <v>4173</v>
      </c>
      <c r="B1999" t="s">
        <v>1882</v>
      </c>
      <c r="C1999" t="s">
        <v>2169</v>
      </c>
      <c r="D1999" t="s">
        <v>2129</v>
      </c>
      <c r="E1999" t="s">
        <v>2170</v>
      </c>
      <c r="G1999" t="s">
        <v>4143</v>
      </c>
      <c r="H1999" t="s">
        <v>2953</v>
      </c>
      <c r="I1999" t="s">
        <v>4000</v>
      </c>
    </row>
    <row r="2000" spans="1:9">
      <c r="A2000" s="93" t="s">
        <v>4173</v>
      </c>
      <c r="B2000" t="s">
        <v>1882</v>
      </c>
      <c r="C2000" t="s">
        <v>2171</v>
      </c>
      <c r="D2000" t="s">
        <v>2129</v>
      </c>
      <c r="E2000" t="s">
        <v>2135</v>
      </c>
      <c r="G2000" t="s">
        <v>4143</v>
      </c>
      <c r="H2000" t="s">
        <v>2953</v>
      </c>
      <c r="I2000" t="s">
        <v>4000</v>
      </c>
    </row>
    <row r="2001" spans="1:9">
      <c r="A2001" s="93" t="s">
        <v>4173</v>
      </c>
      <c r="B2001" t="s">
        <v>1882</v>
      </c>
      <c r="C2001" t="s">
        <v>2172</v>
      </c>
      <c r="D2001" t="s">
        <v>2129</v>
      </c>
      <c r="E2001" t="s">
        <v>2135</v>
      </c>
      <c r="G2001" t="s">
        <v>4143</v>
      </c>
      <c r="H2001" t="s">
        <v>2953</v>
      </c>
      <c r="I2001" t="s">
        <v>4000</v>
      </c>
    </row>
    <row r="2002" spans="1:9">
      <c r="A2002" s="93" t="s">
        <v>4173</v>
      </c>
      <c r="B2002" t="s">
        <v>1882</v>
      </c>
      <c r="C2002" t="s">
        <v>2173</v>
      </c>
      <c r="D2002" t="s">
        <v>2174</v>
      </c>
      <c r="E2002" t="s">
        <v>2135</v>
      </c>
      <c r="G2002" t="s">
        <v>4143</v>
      </c>
      <c r="H2002" t="s">
        <v>2953</v>
      </c>
      <c r="I2002" t="s">
        <v>4000</v>
      </c>
    </row>
    <row r="2003" spans="1:9">
      <c r="A2003" s="93" t="s">
        <v>4173</v>
      </c>
      <c r="B2003" t="s">
        <v>1882</v>
      </c>
      <c r="C2003" t="s">
        <v>2175</v>
      </c>
      <c r="E2003" t="s">
        <v>2135</v>
      </c>
      <c r="G2003" t="s">
        <v>4143</v>
      </c>
      <c r="H2003" t="s">
        <v>2953</v>
      </c>
      <c r="I2003" t="s">
        <v>4000</v>
      </c>
    </row>
    <row r="2004" spans="1:9">
      <c r="A2004" s="93" t="s">
        <v>4173</v>
      </c>
      <c r="B2004" t="s">
        <v>1882</v>
      </c>
      <c r="C2004" t="s">
        <v>2176</v>
      </c>
      <c r="E2004" t="s">
        <v>2135</v>
      </c>
      <c r="G2004" t="s">
        <v>4143</v>
      </c>
      <c r="H2004" t="s">
        <v>2953</v>
      </c>
      <c r="I2004" t="s">
        <v>4000</v>
      </c>
    </row>
    <row r="2005" spans="1:9">
      <c r="A2005" s="93" t="s">
        <v>4173</v>
      </c>
      <c r="B2005" t="s">
        <v>1882</v>
      </c>
      <c r="C2005" t="s">
        <v>2177</v>
      </c>
      <c r="E2005" t="s">
        <v>2135</v>
      </c>
      <c r="G2005" t="s">
        <v>4143</v>
      </c>
      <c r="H2005" t="s">
        <v>2953</v>
      </c>
      <c r="I2005" t="s">
        <v>4000</v>
      </c>
    </row>
    <row r="2006" spans="1:9">
      <c r="A2006" s="93" t="s">
        <v>4173</v>
      </c>
      <c r="B2006" t="s">
        <v>1884</v>
      </c>
      <c r="C2006" t="s">
        <v>2179</v>
      </c>
      <c r="D2006" t="s">
        <v>2180</v>
      </c>
      <c r="E2006" t="s">
        <v>108</v>
      </c>
      <c r="G2006" t="s">
        <v>4143</v>
      </c>
      <c r="H2006" t="s">
        <v>108</v>
      </c>
      <c r="I2006" t="s">
        <v>4002</v>
      </c>
    </row>
    <row r="2007" spans="1:9">
      <c r="A2007" s="93" t="s">
        <v>4173</v>
      </c>
      <c r="B2007" t="s">
        <v>1884</v>
      </c>
      <c r="C2007" t="s">
        <v>2181</v>
      </c>
      <c r="D2007" t="s">
        <v>2182</v>
      </c>
      <c r="E2007" t="s">
        <v>108</v>
      </c>
      <c r="G2007" t="s">
        <v>4143</v>
      </c>
      <c r="H2007" t="s">
        <v>108</v>
      </c>
      <c r="I2007" t="s">
        <v>4002</v>
      </c>
    </row>
    <row r="2008" spans="1:9">
      <c r="A2008" s="93" t="s">
        <v>4173</v>
      </c>
      <c r="B2008" t="s">
        <v>1884</v>
      </c>
      <c r="C2008" t="s">
        <v>2183</v>
      </c>
      <c r="D2008" t="s">
        <v>2182</v>
      </c>
      <c r="E2008" t="s">
        <v>2184</v>
      </c>
      <c r="F2008" t="s">
        <v>2185</v>
      </c>
      <c r="G2008" t="s">
        <v>4143</v>
      </c>
      <c r="H2008" t="s">
        <v>108</v>
      </c>
      <c r="I2008" t="s">
        <v>4002</v>
      </c>
    </row>
    <row r="2009" spans="1:9">
      <c r="A2009" s="93" t="s">
        <v>4173</v>
      </c>
      <c r="B2009" t="s">
        <v>1884</v>
      </c>
      <c r="C2009" t="s">
        <v>2186</v>
      </c>
      <c r="D2009" t="s">
        <v>2187</v>
      </c>
      <c r="E2009" t="s">
        <v>108</v>
      </c>
      <c r="G2009" t="s">
        <v>4143</v>
      </c>
      <c r="H2009" t="s">
        <v>108</v>
      </c>
      <c r="I2009" t="s">
        <v>4002</v>
      </c>
    </row>
    <row r="2010" spans="1:9">
      <c r="A2010" s="93" t="s">
        <v>4173</v>
      </c>
      <c r="B2010" t="s">
        <v>1884</v>
      </c>
      <c r="C2010" t="s">
        <v>2188</v>
      </c>
      <c r="E2010" t="s">
        <v>2189</v>
      </c>
      <c r="G2010" t="s">
        <v>4143</v>
      </c>
      <c r="H2010" t="s">
        <v>108</v>
      </c>
      <c r="I2010" t="s">
        <v>4002</v>
      </c>
    </row>
    <row r="2011" spans="1:9">
      <c r="A2011" s="93" t="s">
        <v>4173</v>
      </c>
      <c r="B2011" t="s">
        <v>1884</v>
      </c>
      <c r="C2011" t="s">
        <v>2190</v>
      </c>
      <c r="E2011" t="s">
        <v>2135</v>
      </c>
      <c r="G2011" t="s">
        <v>4143</v>
      </c>
      <c r="H2011" t="s">
        <v>2953</v>
      </c>
      <c r="I2011" t="s">
        <v>4002</v>
      </c>
    </row>
    <row r="2012" spans="1:9">
      <c r="A2012" s="93" t="s">
        <v>4173</v>
      </c>
      <c r="B2012" t="s">
        <v>1884</v>
      </c>
      <c r="C2012" t="s">
        <v>2191</v>
      </c>
      <c r="E2012" t="s">
        <v>2135</v>
      </c>
      <c r="G2012" t="s">
        <v>4143</v>
      </c>
      <c r="H2012" t="s">
        <v>2953</v>
      </c>
      <c r="I2012" t="s">
        <v>4002</v>
      </c>
    </row>
    <row r="2013" spans="1:9">
      <c r="A2013" s="93" t="s">
        <v>4173</v>
      </c>
      <c r="B2013" t="s">
        <v>1884</v>
      </c>
      <c r="C2013" t="s">
        <v>2192</v>
      </c>
      <c r="D2013" t="s">
        <v>2182</v>
      </c>
      <c r="E2013" t="s">
        <v>2193</v>
      </c>
      <c r="G2013" t="s">
        <v>4143</v>
      </c>
      <c r="H2013" t="s">
        <v>2193</v>
      </c>
      <c r="I2013" t="s">
        <v>4002</v>
      </c>
    </row>
    <row r="2014" spans="1:9">
      <c r="A2014" s="93" t="s">
        <v>4173</v>
      </c>
      <c r="B2014" t="s">
        <v>1884</v>
      </c>
      <c r="C2014" t="s">
        <v>2194</v>
      </c>
      <c r="D2014" t="s">
        <v>2187</v>
      </c>
      <c r="E2014" t="s">
        <v>108</v>
      </c>
      <c r="G2014" t="s">
        <v>4143</v>
      </c>
      <c r="H2014" t="s">
        <v>108</v>
      </c>
      <c r="I2014" t="s">
        <v>4002</v>
      </c>
    </row>
    <row r="2015" spans="1:9">
      <c r="A2015" s="93" t="s">
        <v>4173</v>
      </c>
      <c r="B2015" t="s">
        <v>1884</v>
      </c>
      <c r="C2015" t="s">
        <v>2364</v>
      </c>
      <c r="E2015" t="s">
        <v>543</v>
      </c>
      <c r="F2015" t="s">
        <v>2365</v>
      </c>
      <c r="G2015" t="s">
        <v>4143</v>
      </c>
      <c r="H2015" t="s">
        <v>543</v>
      </c>
      <c r="I2015" t="s">
        <v>4002</v>
      </c>
    </row>
    <row r="2016" spans="1:9">
      <c r="A2016" s="93" t="s">
        <v>4173</v>
      </c>
      <c r="B2016" t="s">
        <v>1889</v>
      </c>
      <c r="C2016" t="s">
        <v>2196</v>
      </c>
      <c r="E2016" t="s">
        <v>2193</v>
      </c>
      <c r="G2016" t="s">
        <v>4143</v>
      </c>
      <c r="H2016" t="s">
        <v>2193</v>
      </c>
      <c r="I2016" t="s">
        <v>4004</v>
      </c>
    </row>
    <row r="2017" spans="1:9">
      <c r="A2017" s="93" t="s">
        <v>4173</v>
      </c>
      <c r="B2017" t="s">
        <v>1889</v>
      </c>
      <c r="C2017" t="s">
        <v>2197</v>
      </c>
      <c r="E2017" t="s">
        <v>2193</v>
      </c>
      <c r="G2017" t="s">
        <v>4143</v>
      </c>
      <c r="H2017" t="s">
        <v>2193</v>
      </c>
      <c r="I2017" t="s">
        <v>4004</v>
      </c>
    </row>
    <row r="2018" spans="1:9">
      <c r="A2018" s="93" t="s">
        <v>4173</v>
      </c>
      <c r="B2018" t="s">
        <v>1889</v>
      </c>
      <c r="C2018" t="s">
        <v>2198</v>
      </c>
      <c r="E2018" t="s">
        <v>2199</v>
      </c>
      <c r="G2018" t="s">
        <v>4143</v>
      </c>
      <c r="H2018" t="s">
        <v>2199</v>
      </c>
      <c r="I2018" t="s">
        <v>4004</v>
      </c>
    </row>
    <row r="2019" spans="1:9">
      <c r="A2019" s="93" t="s">
        <v>4173</v>
      </c>
      <c r="B2019" t="s">
        <v>1889</v>
      </c>
      <c r="C2019" t="s">
        <v>2200</v>
      </c>
      <c r="D2019" t="s">
        <v>2182</v>
      </c>
      <c r="E2019" t="s">
        <v>108</v>
      </c>
      <c r="G2019" t="s">
        <v>4143</v>
      </c>
      <c r="H2019" t="s">
        <v>108</v>
      </c>
      <c r="I2019" t="s">
        <v>4004</v>
      </c>
    </row>
    <row r="2020" spans="1:9">
      <c r="A2020" s="93" t="s">
        <v>4173</v>
      </c>
      <c r="B2020" t="s">
        <v>1889</v>
      </c>
      <c r="C2020" t="s">
        <v>2201</v>
      </c>
      <c r="D2020" t="s">
        <v>2182</v>
      </c>
      <c r="E2020" t="s">
        <v>108</v>
      </c>
      <c r="G2020" t="s">
        <v>4143</v>
      </c>
      <c r="H2020" t="s">
        <v>108</v>
      </c>
      <c r="I2020" t="s">
        <v>4004</v>
      </c>
    </row>
    <row r="2021" spans="1:9">
      <c r="A2021" s="93" t="s">
        <v>4173</v>
      </c>
      <c r="B2021" t="s">
        <v>1889</v>
      </c>
      <c r="C2021" t="s">
        <v>2202</v>
      </c>
      <c r="D2021" t="s">
        <v>2174</v>
      </c>
      <c r="E2021" t="s">
        <v>108</v>
      </c>
      <c r="G2021" t="s">
        <v>4143</v>
      </c>
      <c r="H2021" t="s">
        <v>108</v>
      </c>
      <c r="I2021" t="s">
        <v>4004</v>
      </c>
    </row>
    <row r="2022" spans="1:9">
      <c r="A2022" s="93" t="s">
        <v>4173</v>
      </c>
      <c r="B2022" t="s">
        <v>1889</v>
      </c>
      <c r="C2022" t="s">
        <v>2203</v>
      </c>
      <c r="D2022" t="s">
        <v>2204</v>
      </c>
      <c r="E2022" t="s">
        <v>2193</v>
      </c>
      <c r="G2022" t="s">
        <v>4143</v>
      </c>
      <c r="H2022" t="s">
        <v>2193</v>
      </c>
      <c r="I2022" t="s">
        <v>4004</v>
      </c>
    </row>
    <row r="2023" spans="1:9">
      <c r="A2023" s="93" t="s">
        <v>4173</v>
      </c>
      <c r="B2023" t="s">
        <v>1889</v>
      </c>
      <c r="C2023" t="s">
        <v>2205</v>
      </c>
      <c r="D2023" t="s">
        <v>2204</v>
      </c>
      <c r="E2023" t="s">
        <v>2193</v>
      </c>
      <c r="G2023" t="s">
        <v>4143</v>
      </c>
      <c r="H2023" t="s">
        <v>2193</v>
      </c>
      <c r="I2023" t="s">
        <v>4004</v>
      </c>
    </row>
    <row r="2024" spans="1:9">
      <c r="A2024" s="93" t="s">
        <v>4173</v>
      </c>
      <c r="B2024" t="s">
        <v>1889</v>
      </c>
      <c r="C2024" t="s">
        <v>2206</v>
      </c>
      <c r="E2024" t="s">
        <v>2135</v>
      </c>
      <c r="G2024" t="s">
        <v>4143</v>
      </c>
      <c r="H2024" t="s">
        <v>2953</v>
      </c>
      <c r="I2024" t="s">
        <v>4004</v>
      </c>
    </row>
    <row r="2025" spans="1:9">
      <c r="A2025" s="93" t="s">
        <v>4173</v>
      </c>
      <c r="B2025" t="s">
        <v>1889</v>
      </c>
      <c r="C2025" t="s">
        <v>2207</v>
      </c>
      <c r="D2025" t="s">
        <v>2204</v>
      </c>
      <c r="E2025" t="s">
        <v>108</v>
      </c>
      <c r="F2025" t="s">
        <v>2208</v>
      </c>
      <c r="G2025" t="s">
        <v>4143</v>
      </c>
      <c r="H2025" t="s">
        <v>108</v>
      </c>
      <c r="I2025" t="s">
        <v>4004</v>
      </c>
    </row>
    <row r="2026" spans="1:9">
      <c r="A2026" s="93" t="s">
        <v>4173</v>
      </c>
      <c r="B2026" t="s">
        <v>1891</v>
      </c>
      <c r="C2026" t="s">
        <v>2210</v>
      </c>
      <c r="D2026" t="s">
        <v>2211</v>
      </c>
      <c r="E2026" t="s">
        <v>108</v>
      </c>
      <c r="G2026" t="s">
        <v>4143</v>
      </c>
      <c r="H2026" t="s">
        <v>108</v>
      </c>
      <c r="I2026" t="s">
        <v>4008</v>
      </c>
    </row>
    <row r="2027" spans="1:9">
      <c r="A2027" s="93" t="s">
        <v>4173</v>
      </c>
      <c r="B2027" t="s">
        <v>1891</v>
      </c>
      <c r="C2027" t="s">
        <v>2212</v>
      </c>
      <c r="D2027" t="s">
        <v>2213</v>
      </c>
      <c r="E2027" t="s">
        <v>108</v>
      </c>
      <c r="G2027" t="s">
        <v>4143</v>
      </c>
      <c r="H2027" t="s">
        <v>108</v>
      </c>
      <c r="I2027" t="s">
        <v>4008</v>
      </c>
    </row>
    <row r="2028" spans="1:9">
      <c r="A2028" s="93" t="s">
        <v>4173</v>
      </c>
      <c r="B2028" t="s">
        <v>1891</v>
      </c>
      <c r="C2028" t="s">
        <v>2214</v>
      </c>
      <c r="D2028" t="s">
        <v>2213</v>
      </c>
      <c r="E2028" t="s">
        <v>108</v>
      </c>
      <c r="G2028" t="s">
        <v>4143</v>
      </c>
      <c r="H2028" t="s">
        <v>108</v>
      </c>
      <c r="I2028" t="s">
        <v>4008</v>
      </c>
    </row>
    <row r="2029" spans="1:9">
      <c r="A2029" s="93" t="s">
        <v>4173</v>
      </c>
      <c r="B2029" t="s">
        <v>1893</v>
      </c>
      <c r="C2029" t="s">
        <v>2370</v>
      </c>
      <c r="D2029" t="s">
        <v>2223</v>
      </c>
      <c r="E2029" t="s">
        <v>543</v>
      </c>
      <c r="F2029" t="s">
        <v>2371</v>
      </c>
      <c r="G2029" t="s">
        <v>4143</v>
      </c>
      <c r="H2029" t="s">
        <v>543</v>
      </c>
      <c r="I2029" t="s">
        <v>4012</v>
      </c>
    </row>
    <row r="2030" spans="1:9">
      <c r="A2030" s="93" t="s">
        <v>4173</v>
      </c>
      <c r="B2030" t="s">
        <v>1893</v>
      </c>
      <c r="C2030" t="s">
        <v>2372</v>
      </c>
      <c r="D2030" t="s">
        <v>2220</v>
      </c>
      <c r="E2030" t="s">
        <v>2373</v>
      </c>
      <c r="F2030" t="s">
        <v>2374</v>
      </c>
      <c r="G2030" t="s">
        <v>4143</v>
      </c>
      <c r="H2030" t="s">
        <v>543</v>
      </c>
      <c r="I2030" t="s">
        <v>4012</v>
      </c>
    </row>
    <row r="2031" spans="1:9">
      <c r="A2031" s="93" t="s">
        <v>4173</v>
      </c>
      <c r="B2031" t="s">
        <v>1893</v>
      </c>
      <c r="C2031" t="s">
        <v>2216</v>
      </c>
      <c r="D2031" t="s">
        <v>2217</v>
      </c>
      <c r="E2031" t="s">
        <v>2193</v>
      </c>
      <c r="F2031" t="s">
        <v>2218</v>
      </c>
      <c r="G2031" t="s">
        <v>4143</v>
      </c>
      <c r="H2031" t="s">
        <v>2193</v>
      </c>
      <c r="I2031" t="s">
        <v>4012</v>
      </c>
    </row>
    <row r="2032" spans="1:9">
      <c r="A2032" s="93" t="s">
        <v>4173</v>
      </c>
      <c r="B2032" t="s">
        <v>1893</v>
      </c>
      <c r="C2032" t="s">
        <v>2219</v>
      </c>
      <c r="D2032" t="s">
        <v>2220</v>
      </c>
      <c r="E2032" t="s">
        <v>108</v>
      </c>
      <c r="F2032" t="s">
        <v>2221</v>
      </c>
      <c r="G2032" t="s">
        <v>4143</v>
      </c>
      <c r="H2032" t="s">
        <v>108</v>
      </c>
      <c r="I2032" t="s">
        <v>4012</v>
      </c>
    </row>
    <row r="2033" spans="1:9">
      <c r="A2033" s="93" t="s">
        <v>4173</v>
      </c>
      <c r="B2033" t="s">
        <v>1893</v>
      </c>
      <c r="C2033" t="s">
        <v>2222</v>
      </c>
      <c r="D2033" t="s">
        <v>2223</v>
      </c>
      <c r="E2033" t="s">
        <v>108</v>
      </c>
      <c r="F2033" t="s">
        <v>2224</v>
      </c>
      <c r="G2033" t="s">
        <v>4143</v>
      </c>
      <c r="H2033" t="s">
        <v>108</v>
      </c>
      <c r="I2033" t="s">
        <v>4012</v>
      </c>
    </row>
    <row r="2034" spans="1:9">
      <c r="A2034" s="93" t="s">
        <v>4173</v>
      </c>
      <c r="B2034" t="s">
        <v>1893</v>
      </c>
      <c r="C2034" t="s">
        <v>2225</v>
      </c>
      <c r="D2034" t="s">
        <v>2226</v>
      </c>
      <c r="E2034" t="s">
        <v>108</v>
      </c>
      <c r="F2034" t="s">
        <v>2227</v>
      </c>
      <c r="G2034" t="s">
        <v>4143</v>
      </c>
      <c r="H2034" t="s">
        <v>108</v>
      </c>
      <c r="I2034" t="s">
        <v>4012</v>
      </c>
    </row>
    <row r="2035" spans="1:9">
      <c r="A2035" s="93" t="s">
        <v>4173</v>
      </c>
      <c r="B2035" t="s">
        <v>1893</v>
      </c>
      <c r="C2035" t="s">
        <v>2228</v>
      </c>
      <c r="E2035" t="s">
        <v>2135</v>
      </c>
      <c r="G2035" t="s">
        <v>4143</v>
      </c>
      <c r="H2035" t="s">
        <v>2953</v>
      </c>
      <c r="I2035" t="s">
        <v>4012</v>
      </c>
    </row>
    <row r="2036" spans="1:9">
      <c r="A2036" s="93" t="s">
        <v>4173</v>
      </c>
      <c r="B2036" t="s">
        <v>1896</v>
      </c>
      <c r="C2036" t="s">
        <v>2376</v>
      </c>
      <c r="D2036" t="s">
        <v>2237</v>
      </c>
      <c r="E2036" t="s">
        <v>543</v>
      </c>
      <c r="G2036" t="s">
        <v>4143</v>
      </c>
      <c r="H2036" t="s">
        <v>543</v>
      </c>
      <c r="I2036" t="s">
        <v>4016</v>
      </c>
    </row>
    <row r="2037" spans="1:9">
      <c r="A2037" s="93" t="s">
        <v>4173</v>
      </c>
      <c r="B2037" t="s">
        <v>1896</v>
      </c>
      <c r="C2037" t="s">
        <v>2230</v>
      </c>
      <c r="D2037" t="s">
        <v>2220</v>
      </c>
      <c r="E2037" t="s">
        <v>108</v>
      </c>
      <c r="F2037" t="s">
        <v>2231</v>
      </c>
      <c r="G2037" t="s">
        <v>4143</v>
      </c>
      <c r="H2037" t="s">
        <v>108</v>
      </c>
      <c r="I2037" t="s">
        <v>4016</v>
      </c>
    </row>
    <row r="2038" spans="1:9">
      <c r="A2038" s="93" t="s">
        <v>4173</v>
      </c>
      <c r="B2038" t="s">
        <v>1896</v>
      </c>
      <c r="C2038" t="s">
        <v>2232</v>
      </c>
      <c r="D2038" t="s">
        <v>2220</v>
      </c>
      <c r="E2038" t="s">
        <v>108</v>
      </c>
      <c r="G2038" t="s">
        <v>4143</v>
      </c>
      <c r="H2038" t="s">
        <v>108</v>
      </c>
      <c r="I2038" t="s">
        <v>4016</v>
      </c>
    </row>
    <row r="2039" spans="1:9">
      <c r="A2039" s="93" t="s">
        <v>4173</v>
      </c>
      <c r="B2039" t="s">
        <v>1896</v>
      </c>
      <c r="C2039" t="s">
        <v>2233</v>
      </c>
      <c r="D2039" t="s">
        <v>2234</v>
      </c>
      <c r="E2039" t="s">
        <v>108</v>
      </c>
      <c r="F2039" t="s">
        <v>2235</v>
      </c>
      <c r="G2039" t="s">
        <v>4143</v>
      </c>
      <c r="H2039" t="s">
        <v>108</v>
      </c>
      <c r="I2039" t="s">
        <v>4016</v>
      </c>
    </row>
    <row r="2040" spans="1:9">
      <c r="A2040" s="93" t="s">
        <v>4173</v>
      </c>
      <c r="B2040" t="s">
        <v>1896</v>
      </c>
      <c r="C2040" t="s">
        <v>2236</v>
      </c>
      <c r="D2040" t="s">
        <v>2237</v>
      </c>
      <c r="E2040" t="s">
        <v>108</v>
      </c>
      <c r="F2040" t="s">
        <v>2231</v>
      </c>
      <c r="G2040" t="s">
        <v>4143</v>
      </c>
      <c r="H2040" t="s">
        <v>108</v>
      </c>
      <c r="I2040" t="s">
        <v>4016</v>
      </c>
    </row>
    <row r="2041" spans="1:9">
      <c r="A2041" s="93" t="s">
        <v>4173</v>
      </c>
      <c r="B2041" t="s">
        <v>1896</v>
      </c>
      <c r="C2041" t="s">
        <v>2238</v>
      </c>
      <c r="D2041" t="s">
        <v>2237</v>
      </c>
      <c r="E2041" t="s">
        <v>108</v>
      </c>
      <c r="F2041" t="s">
        <v>2239</v>
      </c>
      <c r="G2041" t="s">
        <v>4143</v>
      </c>
      <c r="H2041" t="s">
        <v>108</v>
      </c>
      <c r="I2041" t="s">
        <v>4016</v>
      </c>
    </row>
    <row r="2042" spans="1:9">
      <c r="A2042" s="93" t="s">
        <v>4173</v>
      </c>
      <c r="B2042" t="s">
        <v>1896</v>
      </c>
      <c r="C2042" t="s">
        <v>2240</v>
      </c>
      <c r="D2042" t="s">
        <v>2241</v>
      </c>
      <c r="E2042" t="s">
        <v>2193</v>
      </c>
      <c r="G2042" t="s">
        <v>4143</v>
      </c>
      <c r="H2042" t="s">
        <v>2193</v>
      </c>
      <c r="I2042" t="s">
        <v>4016</v>
      </c>
    </row>
    <row r="2043" spans="1:9">
      <c r="A2043" s="93" t="s">
        <v>4173</v>
      </c>
      <c r="B2043" t="s">
        <v>1896</v>
      </c>
      <c r="C2043" t="s">
        <v>2242</v>
      </c>
      <c r="D2043" t="s">
        <v>2220</v>
      </c>
      <c r="E2043" t="s">
        <v>2243</v>
      </c>
      <c r="F2043" t="s">
        <v>2244</v>
      </c>
      <c r="G2043" t="s">
        <v>4143</v>
      </c>
      <c r="H2043" t="s">
        <v>2962</v>
      </c>
      <c r="I2043" t="s">
        <v>4016</v>
      </c>
    </row>
    <row r="2044" spans="1:9">
      <c r="A2044" s="93" t="s">
        <v>4173</v>
      </c>
      <c r="B2044" t="s">
        <v>1896</v>
      </c>
      <c r="C2044" t="s">
        <v>2245</v>
      </c>
      <c r="D2044" t="s">
        <v>2241</v>
      </c>
      <c r="E2044" t="s">
        <v>2246</v>
      </c>
      <c r="G2044" t="s">
        <v>4143</v>
      </c>
      <c r="H2044" t="s">
        <v>108</v>
      </c>
      <c r="I2044" t="s">
        <v>4016</v>
      </c>
    </row>
    <row r="2045" spans="1:9">
      <c r="A2045" s="93" t="s">
        <v>4173</v>
      </c>
      <c r="B2045" t="s">
        <v>1896</v>
      </c>
      <c r="C2045" t="s">
        <v>2378</v>
      </c>
      <c r="E2045" t="s">
        <v>543</v>
      </c>
      <c r="F2045" t="s">
        <v>2336</v>
      </c>
      <c r="G2045" t="s">
        <v>4143</v>
      </c>
      <c r="H2045" t="s">
        <v>543</v>
      </c>
      <c r="I2045" t="s">
        <v>4016</v>
      </c>
    </row>
    <row r="2046" spans="1:9">
      <c r="A2046" s="93" t="s">
        <v>4173</v>
      </c>
      <c r="B2046" t="s">
        <v>1896</v>
      </c>
      <c r="C2046" t="s">
        <v>2247</v>
      </c>
      <c r="D2046" t="s">
        <v>2248</v>
      </c>
      <c r="E2046" t="s">
        <v>108</v>
      </c>
      <c r="F2046" t="s">
        <v>2249</v>
      </c>
      <c r="G2046" t="s">
        <v>4143</v>
      </c>
      <c r="H2046" t="s">
        <v>108</v>
      </c>
      <c r="I2046" t="s">
        <v>4016</v>
      </c>
    </row>
    <row r="2047" spans="1:9">
      <c r="A2047" s="93" t="s">
        <v>4173</v>
      </c>
      <c r="B2047" t="s">
        <v>1896</v>
      </c>
      <c r="C2047" t="s">
        <v>2337</v>
      </c>
      <c r="D2047" t="s">
        <v>2248</v>
      </c>
      <c r="E2047" t="s">
        <v>2338</v>
      </c>
      <c r="G2047" t="s">
        <v>4143</v>
      </c>
      <c r="H2047" t="s">
        <v>2379</v>
      </c>
      <c r="I2047" t="s">
        <v>4016</v>
      </c>
    </row>
    <row r="2048" spans="1:9">
      <c r="A2048" s="93" t="s">
        <v>4173</v>
      </c>
      <c r="B2048" t="s">
        <v>1898</v>
      </c>
      <c r="C2048" t="s">
        <v>2381</v>
      </c>
      <c r="E2048" t="s">
        <v>543</v>
      </c>
      <c r="G2048" t="s">
        <v>4143</v>
      </c>
      <c r="H2048" t="s">
        <v>543</v>
      </c>
      <c r="I2048" t="s">
        <v>4020</v>
      </c>
    </row>
    <row r="2049" spans="1:9">
      <c r="A2049" s="93" t="s">
        <v>4173</v>
      </c>
      <c r="B2049" t="s">
        <v>1898</v>
      </c>
      <c r="C2049" t="s">
        <v>2251</v>
      </c>
      <c r="D2049" t="s">
        <v>2252</v>
      </c>
      <c r="E2049" t="s">
        <v>108</v>
      </c>
      <c r="G2049" t="s">
        <v>4143</v>
      </c>
      <c r="H2049" t="s">
        <v>108</v>
      </c>
      <c r="I2049" t="s">
        <v>4020</v>
      </c>
    </row>
    <row r="2050" spans="1:9">
      <c r="A2050" s="93" t="s">
        <v>4173</v>
      </c>
      <c r="B2050" t="s">
        <v>1898</v>
      </c>
      <c r="C2050" t="s">
        <v>2253</v>
      </c>
      <c r="D2050" t="s">
        <v>2252</v>
      </c>
      <c r="E2050" t="s">
        <v>2193</v>
      </c>
      <c r="F2050" t="s">
        <v>2254</v>
      </c>
      <c r="G2050" t="s">
        <v>4143</v>
      </c>
      <c r="H2050" t="s">
        <v>2193</v>
      </c>
      <c r="I2050" t="s">
        <v>4020</v>
      </c>
    </row>
    <row r="2051" spans="1:9">
      <c r="A2051" s="93" t="s">
        <v>4173</v>
      </c>
      <c r="B2051" t="s">
        <v>1898</v>
      </c>
      <c r="C2051" t="s">
        <v>2255</v>
      </c>
      <c r="D2051" t="s">
        <v>2256</v>
      </c>
      <c r="E2051" t="s">
        <v>2257</v>
      </c>
      <c r="G2051" t="s">
        <v>4143</v>
      </c>
      <c r="H2051" t="s">
        <v>108</v>
      </c>
      <c r="I2051" t="s">
        <v>4020</v>
      </c>
    </row>
    <row r="2052" spans="1:9">
      <c r="A2052" s="93" t="s">
        <v>4173</v>
      </c>
      <c r="B2052" t="s">
        <v>1898</v>
      </c>
      <c r="C2052" t="s">
        <v>2258</v>
      </c>
      <c r="D2052" t="s">
        <v>2259</v>
      </c>
      <c r="E2052" t="s">
        <v>2260</v>
      </c>
      <c r="F2052" t="s">
        <v>2261</v>
      </c>
      <c r="G2052" t="s">
        <v>4143</v>
      </c>
      <c r="H2052" t="s">
        <v>2964</v>
      </c>
      <c r="I2052" t="s">
        <v>4020</v>
      </c>
    </row>
    <row r="2053" spans="1:9">
      <c r="A2053" s="93" t="s">
        <v>4173</v>
      </c>
      <c r="B2053" t="s">
        <v>1898</v>
      </c>
      <c r="C2053" t="s">
        <v>2262</v>
      </c>
      <c r="D2053" t="s">
        <v>2259</v>
      </c>
      <c r="E2053" t="s">
        <v>2147</v>
      </c>
      <c r="F2053" t="s">
        <v>2263</v>
      </c>
      <c r="G2053" t="s">
        <v>4143</v>
      </c>
      <c r="H2053" t="s">
        <v>108</v>
      </c>
      <c r="I2053" t="s">
        <v>4020</v>
      </c>
    </row>
    <row r="2054" spans="1:9">
      <c r="A2054" s="93" t="s">
        <v>4173</v>
      </c>
      <c r="B2054" t="s">
        <v>1898</v>
      </c>
      <c r="C2054" t="s">
        <v>2264</v>
      </c>
      <c r="D2054" t="s">
        <v>2252</v>
      </c>
      <c r="E2054" t="s">
        <v>2265</v>
      </c>
      <c r="G2054" t="s">
        <v>4143</v>
      </c>
      <c r="H2054" t="s">
        <v>108</v>
      </c>
      <c r="I2054" t="s">
        <v>4020</v>
      </c>
    </row>
    <row r="2055" spans="1:9">
      <c r="A2055" s="93" t="s">
        <v>4173</v>
      </c>
      <c r="B2055" t="s">
        <v>1898</v>
      </c>
      <c r="C2055" t="s">
        <v>2266</v>
      </c>
      <c r="D2055" t="s">
        <v>2252</v>
      </c>
      <c r="E2055" t="s">
        <v>2267</v>
      </c>
      <c r="F2055" t="s">
        <v>2268</v>
      </c>
      <c r="G2055" t="s">
        <v>4143</v>
      </c>
      <c r="H2055" t="s">
        <v>108</v>
      </c>
      <c r="I2055" t="s">
        <v>4020</v>
      </c>
    </row>
    <row r="2056" spans="1:9">
      <c r="A2056" s="93" t="s">
        <v>4173</v>
      </c>
      <c r="B2056" t="s">
        <v>1898</v>
      </c>
      <c r="C2056" t="s">
        <v>2269</v>
      </c>
      <c r="D2056" t="s">
        <v>2252</v>
      </c>
      <c r="E2056" t="s">
        <v>2270</v>
      </c>
      <c r="G2056" t="s">
        <v>4143</v>
      </c>
      <c r="H2056" t="s">
        <v>108</v>
      </c>
      <c r="I2056" t="s">
        <v>4020</v>
      </c>
    </row>
    <row r="2057" spans="1:9">
      <c r="A2057" s="93" t="s">
        <v>4173</v>
      </c>
      <c r="B2057" t="s">
        <v>1902</v>
      </c>
      <c r="C2057" t="s">
        <v>2272</v>
      </c>
      <c r="D2057" t="s">
        <v>2273</v>
      </c>
      <c r="E2057" t="s">
        <v>2274</v>
      </c>
      <c r="F2057" t="s">
        <v>2275</v>
      </c>
      <c r="G2057" t="s">
        <v>4143</v>
      </c>
      <c r="H2057" t="s">
        <v>2504</v>
      </c>
      <c r="I2057" t="s">
        <v>4024</v>
      </c>
    </row>
    <row r="2058" spans="1:9">
      <c r="A2058" s="93" t="s">
        <v>4173</v>
      </c>
      <c r="B2058" t="s">
        <v>1902</v>
      </c>
      <c r="C2058" t="s">
        <v>2276</v>
      </c>
      <c r="D2058" t="s">
        <v>2248</v>
      </c>
      <c r="E2058" t="s">
        <v>2277</v>
      </c>
      <c r="F2058" t="s">
        <v>2278</v>
      </c>
      <c r="G2058" t="s">
        <v>4143</v>
      </c>
      <c r="H2058" t="s">
        <v>108</v>
      </c>
      <c r="I2058" t="s">
        <v>4024</v>
      </c>
    </row>
    <row r="2059" spans="1:9">
      <c r="A2059" s="93" t="s">
        <v>4173</v>
      </c>
      <c r="B2059" t="s">
        <v>1902</v>
      </c>
      <c r="C2059" t="s">
        <v>2279</v>
      </c>
      <c r="D2059" t="s">
        <v>2280</v>
      </c>
      <c r="E2059" t="s">
        <v>2281</v>
      </c>
      <c r="F2059" t="s">
        <v>2282</v>
      </c>
      <c r="G2059" t="s">
        <v>4143</v>
      </c>
      <c r="H2059" t="s">
        <v>108</v>
      </c>
      <c r="I2059" t="s">
        <v>4024</v>
      </c>
    </row>
    <row r="2060" spans="1:9">
      <c r="A2060" s="93" t="s">
        <v>4173</v>
      </c>
      <c r="B2060" t="s">
        <v>1902</v>
      </c>
      <c r="C2060" t="s">
        <v>2283</v>
      </c>
      <c r="D2060" t="s">
        <v>2273</v>
      </c>
      <c r="E2060" t="s">
        <v>108</v>
      </c>
      <c r="F2060" t="s">
        <v>2284</v>
      </c>
      <c r="G2060" t="s">
        <v>4143</v>
      </c>
      <c r="H2060" t="s">
        <v>108</v>
      </c>
      <c r="I2060" t="s">
        <v>4024</v>
      </c>
    </row>
    <row r="2061" spans="1:9">
      <c r="A2061" s="93" t="s">
        <v>4173</v>
      </c>
      <c r="B2061" t="s">
        <v>1902</v>
      </c>
      <c r="C2061" t="s">
        <v>2285</v>
      </c>
      <c r="E2061" t="s">
        <v>2135</v>
      </c>
      <c r="G2061" t="s">
        <v>4143</v>
      </c>
      <c r="H2061" t="s">
        <v>2953</v>
      </c>
      <c r="I2061" t="s">
        <v>4024</v>
      </c>
    </row>
    <row r="2062" spans="1:9">
      <c r="A2062" s="93" t="s">
        <v>4173</v>
      </c>
      <c r="B2062" t="s">
        <v>1902</v>
      </c>
      <c r="C2062" t="s">
        <v>2286</v>
      </c>
      <c r="E2062" t="s">
        <v>108</v>
      </c>
      <c r="G2062" t="s">
        <v>4143</v>
      </c>
      <c r="H2062" t="s">
        <v>108</v>
      </c>
      <c r="I2062" t="s">
        <v>4024</v>
      </c>
    </row>
    <row r="2063" spans="1:9">
      <c r="A2063" s="93" t="s">
        <v>4173</v>
      </c>
      <c r="B2063" t="s">
        <v>1902</v>
      </c>
      <c r="C2063" t="s">
        <v>2287</v>
      </c>
      <c r="D2063" t="s">
        <v>2273</v>
      </c>
      <c r="E2063" t="s">
        <v>2288</v>
      </c>
      <c r="F2063" t="s">
        <v>2289</v>
      </c>
      <c r="G2063" t="s">
        <v>4143</v>
      </c>
      <c r="H2063" t="s">
        <v>2288</v>
      </c>
      <c r="I2063" t="s">
        <v>4024</v>
      </c>
    </row>
    <row r="2064" spans="1:9">
      <c r="A2064" s="93" t="s">
        <v>4173</v>
      </c>
      <c r="B2064" t="s">
        <v>3926</v>
      </c>
      <c r="C2064" t="s">
        <v>2291</v>
      </c>
      <c r="E2064" t="s">
        <v>2135</v>
      </c>
      <c r="F2064" t="s">
        <v>2292</v>
      </c>
      <c r="G2064" t="s">
        <v>4143</v>
      </c>
      <c r="H2064" t="s">
        <v>2953</v>
      </c>
    </row>
    <row r="2065" spans="1:8">
      <c r="A2065" s="93" t="s">
        <v>4173</v>
      </c>
      <c r="B2065" t="s">
        <v>3926</v>
      </c>
      <c r="C2065" t="s">
        <v>2293</v>
      </c>
      <c r="D2065" t="s">
        <v>2294</v>
      </c>
      <c r="E2065" t="s">
        <v>2295</v>
      </c>
      <c r="F2065" t="s">
        <v>2296</v>
      </c>
      <c r="G2065" t="s">
        <v>4143</v>
      </c>
      <c r="H2065" t="s">
        <v>108</v>
      </c>
    </row>
    <row r="2066" spans="1:8">
      <c r="A2066" s="93" t="s">
        <v>4173</v>
      </c>
      <c r="B2066" t="s">
        <v>3926</v>
      </c>
      <c r="C2066" t="s">
        <v>2385</v>
      </c>
      <c r="D2066" t="s">
        <v>2298</v>
      </c>
      <c r="E2066" t="s">
        <v>543</v>
      </c>
      <c r="F2066" t="s">
        <v>2386</v>
      </c>
      <c r="G2066" t="s">
        <v>4143</v>
      </c>
      <c r="H2066" t="s">
        <v>543</v>
      </c>
    </row>
    <row r="2067" spans="1:8">
      <c r="A2067" s="93" t="s">
        <v>4173</v>
      </c>
      <c r="B2067" t="s">
        <v>3926</v>
      </c>
      <c r="C2067" t="s">
        <v>2297</v>
      </c>
      <c r="D2067" t="s">
        <v>2298</v>
      </c>
      <c r="E2067" t="s">
        <v>108</v>
      </c>
      <c r="F2067" t="s">
        <v>2299</v>
      </c>
      <c r="G2067" t="s">
        <v>4143</v>
      </c>
      <c r="H2067" t="s">
        <v>108</v>
      </c>
    </row>
    <row r="2068" spans="1:8">
      <c r="A2068" s="93" t="s">
        <v>4173</v>
      </c>
      <c r="B2068" t="s">
        <v>3926</v>
      </c>
      <c r="C2068" t="s">
        <v>2300</v>
      </c>
      <c r="D2068" t="s">
        <v>2294</v>
      </c>
      <c r="E2068" t="s">
        <v>108</v>
      </c>
      <c r="F2068" t="s">
        <v>2299</v>
      </c>
      <c r="G2068" t="s">
        <v>4143</v>
      </c>
      <c r="H2068" t="s">
        <v>108</v>
      </c>
    </row>
    <row r="2069" spans="1:8">
      <c r="A2069" s="93" t="s">
        <v>4173</v>
      </c>
      <c r="B2069" t="s">
        <v>3926</v>
      </c>
      <c r="C2069" t="s">
        <v>2301</v>
      </c>
      <c r="D2069" t="s">
        <v>2302</v>
      </c>
      <c r="E2069" t="s">
        <v>2193</v>
      </c>
      <c r="F2069" t="s">
        <v>2303</v>
      </c>
      <c r="G2069" t="s">
        <v>4143</v>
      </c>
      <c r="H2069" t="s">
        <v>2193</v>
      </c>
    </row>
    <row r="2070" spans="1:8">
      <c r="A2070" s="93" t="s">
        <v>4173</v>
      </c>
      <c r="B2070" t="s">
        <v>3926</v>
      </c>
      <c r="C2070" t="s">
        <v>2304</v>
      </c>
      <c r="D2070" t="s">
        <v>2305</v>
      </c>
      <c r="E2070" t="s">
        <v>2257</v>
      </c>
      <c r="F2070" t="s">
        <v>2306</v>
      </c>
      <c r="G2070" t="s">
        <v>4143</v>
      </c>
      <c r="H2070" t="s">
        <v>108</v>
      </c>
    </row>
    <row r="2071" spans="1:8">
      <c r="A2071" s="93" t="s">
        <v>4173</v>
      </c>
      <c r="B2071" t="s">
        <v>3926</v>
      </c>
      <c r="C2071" t="s">
        <v>2347</v>
      </c>
      <c r="D2071" t="s">
        <v>2213</v>
      </c>
      <c r="E2071" t="s">
        <v>2348</v>
      </c>
      <c r="F2071" t="s">
        <v>2296</v>
      </c>
      <c r="G2071" t="s">
        <v>4143</v>
      </c>
      <c r="H2071" t="s">
        <v>2348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002"/>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3019</v>
      </c>
      <c r="C1" t="s">
        <v>2107</v>
      </c>
      <c r="D1" t="s">
        <v>2108</v>
      </c>
      <c r="E1" t="s">
        <v>2109</v>
      </c>
      <c r="F1" t="s">
        <v>1452</v>
      </c>
      <c r="G1" t="s">
        <v>3022</v>
      </c>
      <c r="H1" t="s">
        <v>2111</v>
      </c>
      <c r="I1" t="s">
        <v>4135</v>
      </c>
    </row>
    <row r="2" spans="1:9">
      <c r="A2" s="93" t="s">
        <v>4136</v>
      </c>
      <c r="B2" t="s">
        <v>1874</v>
      </c>
      <c r="C2" t="s">
        <v>2352</v>
      </c>
      <c r="E2" t="s">
        <v>1201</v>
      </c>
      <c r="G2" t="s">
        <v>2970</v>
      </c>
      <c r="H2" t="s">
        <v>1201</v>
      </c>
      <c r="I2" t="s">
        <v>3984</v>
      </c>
    </row>
    <row r="3" spans="1:9">
      <c r="A3" s="93" t="s">
        <v>4136</v>
      </c>
      <c r="B3" t="s">
        <v>1874</v>
      </c>
      <c r="C3" t="s">
        <v>2118</v>
      </c>
      <c r="E3" t="s">
        <v>2119</v>
      </c>
      <c r="G3" t="s">
        <v>2970</v>
      </c>
      <c r="H3" t="s">
        <v>1201</v>
      </c>
      <c r="I3" t="s">
        <v>3984</v>
      </c>
    </row>
    <row r="4" spans="1:9">
      <c r="A4" s="93" t="s">
        <v>4136</v>
      </c>
      <c r="B4" t="s">
        <v>3697</v>
      </c>
      <c r="C4" t="s">
        <v>2144</v>
      </c>
      <c r="D4" t="s">
        <v>2143</v>
      </c>
      <c r="E4" t="s">
        <v>2145</v>
      </c>
      <c r="G4" t="s">
        <v>2970</v>
      </c>
      <c r="H4" t="s">
        <v>2463</v>
      </c>
      <c r="I4" t="s">
        <v>3992</v>
      </c>
    </row>
    <row r="5" spans="1:9">
      <c r="A5" s="93" t="s">
        <v>4136</v>
      </c>
      <c r="B5" t="s">
        <v>1881</v>
      </c>
      <c r="C5" t="s">
        <v>2465</v>
      </c>
      <c r="D5" t="s">
        <v>2248</v>
      </c>
      <c r="E5" t="s">
        <v>2466</v>
      </c>
      <c r="G5" t="s">
        <v>2970</v>
      </c>
      <c r="H5" t="s">
        <v>2463</v>
      </c>
      <c r="I5" t="s">
        <v>3996</v>
      </c>
    </row>
    <row r="6" spans="1:9">
      <c r="A6" s="93" t="s">
        <v>4136</v>
      </c>
      <c r="B6" t="s">
        <v>1881</v>
      </c>
      <c r="C6" t="s">
        <v>2158</v>
      </c>
      <c r="D6" t="s">
        <v>2155</v>
      </c>
      <c r="E6" t="s">
        <v>2159</v>
      </c>
      <c r="F6" t="s">
        <v>2160</v>
      </c>
      <c r="G6" t="s">
        <v>2970</v>
      </c>
      <c r="H6" t="s">
        <v>2463</v>
      </c>
      <c r="I6" t="s">
        <v>3996</v>
      </c>
    </row>
    <row r="7" spans="1:9">
      <c r="A7" s="93" t="s">
        <v>4136</v>
      </c>
      <c r="B7" t="s">
        <v>1896</v>
      </c>
      <c r="C7" t="s">
        <v>2242</v>
      </c>
      <c r="D7" t="s">
        <v>2220</v>
      </c>
      <c r="E7" t="s">
        <v>2243</v>
      </c>
      <c r="F7" t="s">
        <v>2244</v>
      </c>
      <c r="G7" t="s">
        <v>2970</v>
      </c>
      <c r="H7" t="s">
        <v>2971</v>
      </c>
      <c r="I7" t="s">
        <v>4016</v>
      </c>
    </row>
    <row r="8" spans="1:9">
      <c r="A8" s="93" t="s">
        <v>4136</v>
      </c>
      <c r="B8" t="s">
        <v>1898</v>
      </c>
      <c r="C8" t="s">
        <v>2255</v>
      </c>
      <c r="D8" t="s">
        <v>2256</v>
      </c>
      <c r="E8" t="s">
        <v>2257</v>
      </c>
      <c r="G8" t="s">
        <v>2970</v>
      </c>
      <c r="H8" t="s">
        <v>2463</v>
      </c>
      <c r="I8" t="s">
        <v>4020</v>
      </c>
    </row>
    <row r="9" spans="1:9">
      <c r="A9" s="93" t="s">
        <v>4136</v>
      </c>
      <c r="B9" t="s">
        <v>1898</v>
      </c>
      <c r="C9" t="s">
        <v>2258</v>
      </c>
      <c r="D9" t="s">
        <v>2259</v>
      </c>
      <c r="E9" t="s">
        <v>2260</v>
      </c>
      <c r="F9" t="s">
        <v>2261</v>
      </c>
      <c r="G9" t="s">
        <v>2970</v>
      </c>
      <c r="H9" t="s">
        <v>2775</v>
      </c>
      <c r="I9" t="s">
        <v>4020</v>
      </c>
    </row>
    <row r="10" spans="1:9">
      <c r="A10" s="93" t="s">
        <v>4136</v>
      </c>
      <c r="B10" t="s">
        <v>3926</v>
      </c>
      <c r="C10" t="s">
        <v>2304</v>
      </c>
      <c r="D10" t="s">
        <v>2305</v>
      </c>
      <c r="E10" t="s">
        <v>2257</v>
      </c>
      <c r="F10" t="s">
        <v>2306</v>
      </c>
      <c r="G10" t="s">
        <v>2970</v>
      </c>
      <c r="H10" t="s">
        <v>2463</v>
      </c>
    </row>
    <row r="11" spans="1:9">
      <c r="A11" s="93" t="s">
        <v>4136</v>
      </c>
      <c r="B11" t="s">
        <v>3926</v>
      </c>
      <c r="C11" t="s">
        <v>2477</v>
      </c>
      <c r="D11" t="s">
        <v>2213</v>
      </c>
      <c r="E11" t="s">
        <v>2463</v>
      </c>
      <c r="F11" t="s">
        <v>2292</v>
      </c>
      <c r="G11" t="s">
        <v>2970</v>
      </c>
      <c r="H11" t="s">
        <v>2463</v>
      </c>
    </row>
    <row r="12" spans="1:9">
      <c r="A12" s="93" t="s">
        <v>4140</v>
      </c>
      <c r="B12" t="s">
        <v>1874</v>
      </c>
      <c r="C12" t="s">
        <v>2114</v>
      </c>
      <c r="D12" t="s">
        <v>2115</v>
      </c>
      <c r="E12" t="s">
        <v>1559</v>
      </c>
      <c r="F12" t="s">
        <v>2117</v>
      </c>
      <c r="G12" t="s">
        <v>2970</v>
      </c>
      <c r="H12" t="s">
        <v>108</v>
      </c>
      <c r="I12" t="s">
        <v>3984</v>
      </c>
    </row>
    <row r="13" spans="1:9">
      <c r="A13" s="93" t="s">
        <v>4140</v>
      </c>
      <c r="B13" t="s">
        <v>1874</v>
      </c>
      <c r="C13" t="s">
        <v>2352</v>
      </c>
      <c r="E13" t="s">
        <v>1201</v>
      </c>
      <c r="G13" t="s">
        <v>2970</v>
      </c>
      <c r="H13" t="s">
        <v>1201</v>
      </c>
      <c r="I13" t="s">
        <v>3984</v>
      </c>
    </row>
    <row r="14" spans="1:9">
      <c r="A14" s="93" t="s">
        <v>4140</v>
      </c>
      <c r="B14" t="s">
        <v>1874</v>
      </c>
      <c r="C14" t="s">
        <v>2118</v>
      </c>
      <c r="E14" t="s">
        <v>2119</v>
      </c>
      <c r="G14" t="s">
        <v>2970</v>
      </c>
      <c r="H14" t="s">
        <v>2119</v>
      </c>
      <c r="I14" t="s">
        <v>3984</v>
      </c>
    </row>
    <row r="15" spans="1:9">
      <c r="A15" s="93" t="s">
        <v>4140</v>
      </c>
      <c r="B15" t="s">
        <v>1874</v>
      </c>
      <c r="C15" t="s">
        <v>2121</v>
      </c>
      <c r="D15" t="s">
        <v>2122</v>
      </c>
      <c r="E15" t="s">
        <v>108</v>
      </c>
      <c r="G15" t="s">
        <v>2970</v>
      </c>
      <c r="H15" t="s">
        <v>108</v>
      </c>
      <c r="I15" t="s">
        <v>3984</v>
      </c>
    </row>
    <row r="16" spans="1:9">
      <c r="A16" s="93" t="s">
        <v>4140</v>
      </c>
      <c r="B16" t="s">
        <v>1874</v>
      </c>
      <c r="C16" t="s">
        <v>2123</v>
      </c>
      <c r="D16" t="s">
        <v>2124</v>
      </c>
      <c r="E16" t="s">
        <v>108</v>
      </c>
      <c r="F16" t="s">
        <v>2125</v>
      </c>
      <c r="G16" t="s">
        <v>2970</v>
      </c>
      <c r="H16" t="s">
        <v>108</v>
      </c>
      <c r="I16" t="s">
        <v>3984</v>
      </c>
    </row>
    <row r="17" spans="1:9">
      <c r="A17" s="93" t="s">
        <v>4140</v>
      </c>
      <c r="B17" t="s">
        <v>1874</v>
      </c>
      <c r="C17" t="s">
        <v>2126</v>
      </c>
      <c r="E17" t="s">
        <v>108</v>
      </c>
      <c r="G17" t="s">
        <v>2970</v>
      </c>
      <c r="H17" t="s">
        <v>108</v>
      </c>
      <c r="I17" t="s">
        <v>3984</v>
      </c>
    </row>
    <row r="18" spans="1:9">
      <c r="A18" s="93" t="s">
        <v>4140</v>
      </c>
      <c r="B18" t="s">
        <v>1875</v>
      </c>
      <c r="C18" t="s">
        <v>2128</v>
      </c>
      <c r="D18" t="s">
        <v>2129</v>
      </c>
      <c r="E18" t="s">
        <v>108</v>
      </c>
      <c r="G18" t="s">
        <v>2970</v>
      </c>
      <c r="H18" t="s">
        <v>108</v>
      </c>
      <c r="I18" t="s">
        <v>3988</v>
      </c>
    </row>
    <row r="19" spans="1:9">
      <c r="A19" s="93" t="s">
        <v>4140</v>
      </c>
      <c r="B19" t="s">
        <v>1875</v>
      </c>
      <c r="C19" t="s">
        <v>2130</v>
      </c>
      <c r="D19" t="s">
        <v>2131</v>
      </c>
      <c r="E19" t="s">
        <v>108</v>
      </c>
      <c r="F19" t="s">
        <v>2132</v>
      </c>
      <c r="G19" t="s">
        <v>2970</v>
      </c>
      <c r="H19" t="s">
        <v>108</v>
      </c>
      <c r="I19" t="s">
        <v>3988</v>
      </c>
    </row>
    <row r="20" spans="1:9">
      <c r="A20" s="93" t="s">
        <v>4140</v>
      </c>
      <c r="B20" t="s">
        <v>1875</v>
      </c>
      <c r="C20" t="s">
        <v>2133</v>
      </c>
      <c r="D20" t="s">
        <v>2131</v>
      </c>
      <c r="E20" t="s">
        <v>108</v>
      </c>
      <c r="G20" t="s">
        <v>2970</v>
      </c>
      <c r="H20" t="s">
        <v>108</v>
      </c>
      <c r="I20" t="s">
        <v>3988</v>
      </c>
    </row>
    <row r="21" spans="1:9">
      <c r="A21" s="93" t="s">
        <v>4140</v>
      </c>
      <c r="B21" t="s">
        <v>1875</v>
      </c>
      <c r="C21" t="s">
        <v>2134</v>
      </c>
      <c r="E21" t="s">
        <v>2135</v>
      </c>
      <c r="F21" t="s">
        <v>2137</v>
      </c>
      <c r="G21" t="s">
        <v>2970</v>
      </c>
      <c r="H21" t="s">
        <v>2136</v>
      </c>
      <c r="I21" t="s">
        <v>3988</v>
      </c>
    </row>
    <row r="22" spans="1:9">
      <c r="A22" s="93" t="s">
        <v>4140</v>
      </c>
      <c r="B22" t="s">
        <v>1875</v>
      </c>
      <c r="C22" t="s">
        <v>2138</v>
      </c>
      <c r="D22" t="s">
        <v>2139</v>
      </c>
      <c r="E22" t="s">
        <v>108</v>
      </c>
      <c r="F22" t="s">
        <v>2140</v>
      </c>
      <c r="G22" t="s">
        <v>2970</v>
      </c>
      <c r="H22" t="s">
        <v>108</v>
      </c>
      <c r="I22" t="s">
        <v>3988</v>
      </c>
    </row>
    <row r="23" spans="1:9">
      <c r="A23" s="93" t="s">
        <v>4140</v>
      </c>
      <c r="B23" t="s">
        <v>3697</v>
      </c>
      <c r="C23" t="s">
        <v>2142</v>
      </c>
      <c r="D23" t="s">
        <v>2143</v>
      </c>
      <c r="E23" t="s">
        <v>108</v>
      </c>
      <c r="G23" t="s">
        <v>2970</v>
      </c>
      <c r="H23" t="s">
        <v>108</v>
      </c>
      <c r="I23" t="s">
        <v>3992</v>
      </c>
    </row>
    <row r="24" spans="1:9">
      <c r="A24" s="93" t="s">
        <v>4140</v>
      </c>
      <c r="B24" t="s">
        <v>3697</v>
      </c>
      <c r="C24" t="s">
        <v>2144</v>
      </c>
      <c r="D24" t="s">
        <v>2143</v>
      </c>
      <c r="E24" t="s">
        <v>2145</v>
      </c>
      <c r="G24" t="s">
        <v>2970</v>
      </c>
      <c r="H24" t="s">
        <v>108</v>
      </c>
      <c r="I24" t="s">
        <v>3992</v>
      </c>
    </row>
    <row r="25" spans="1:9">
      <c r="A25" s="93" t="s">
        <v>4140</v>
      </c>
      <c r="B25" t="s">
        <v>3697</v>
      </c>
      <c r="C25" t="s">
        <v>2146</v>
      </c>
      <c r="D25" t="s">
        <v>2143</v>
      </c>
      <c r="E25" t="s">
        <v>2147</v>
      </c>
      <c r="F25" t="s">
        <v>2148</v>
      </c>
      <c r="G25" t="s">
        <v>2970</v>
      </c>
      <c r="H25" t="s">
        <v>108</v>
      </c>
      <c r="I25" t="s">
        <v>3992</v>
      </c>
    </row>
    <row r="26" spans="1:9">
      <c r="A26" s="93" t="s">
        <v>4140</v>
      </c>
      <c r="B26" t="s">
        <v>3697</v>
      </c>
      <c r="C26" t="s">
        <v>2149</v>
      </c>
      <c r="D26" t="s">
        <v>2143</v>
      </c>
      <c r="E26" t="s">
        <v>108</v>
      </c>
      <c r="G26" t="s">
        <v>2970</v>
      </c>
      <c r="H26" t="s">
        <v>108</v>
      </c>
      <c r="I26" t="s">
        <v>3992</v>
      </c>
    </row>
    <row r="27" spans="1:9">
      <c r="A27" s="93" t="s">
        <v>4140</v>
      </c>
      <c r="B27" t="s">
        <v>1881</v>
      </c>
      <c r="C27" t="s">
        <v>2151</v>
      </c>
      <c r="D27" t="s">
        <v>2152</v>
      </c>
      <c r="E27" t="s">
        <v>2153</v>
      </c>
      <c r="G27" t="s">
        <v>2970</v>
      </c>
      <c r="H27" t="s">
        <v>108</v>
      </c>
      <c r="I27" t="s">
        <v>3996</v>
      </c>
    </row>
    <row r="28" spans="1:9">
      <c r="A28" s="93" t="s">
        <v>4140</v>
      </c>
      <c r="B28" t="s">
        <v>1881</v>
      </c>
      <c r="C28" t="s">
        <v>2154</v>
      </c>
      <c r="D28" t="s">
        <v>2155</v>
      </c>
      <c r="E28" t="s">
        <v>108</v>
      </c>
      <c r="G28" t="s">
        <v>2970</v>
      </c>
      <c r="H28" t="s">
        <v>108</v>
      </c>
      <c r="I28" t="s">
        <v>3996</v>
      </c>
    </row>
    <row r="29" spans="1:9">
      <c r="A29" s="93" t="s">
        <v>4140</v>
      </c>
      <c r="B29" t="s">
        <v>1881</v>
      </c>
      <c r="C29" t="s">
        <v>2156</v>
      </c>
      <c r="D29" t="s">
        <v>2152</v>
      </c>
      <c r="E29" t="s">
        <v>2157</v>
      </c>
      <c r="G29" t="s">
        <v>2970</v>
      </c>
      <c r="H29" t="s">
        <v>108</v>
      </c>
      <c r="I29" t="s">
        <v>3996</v>
      </c>
    </row>
    <row r="30" spans="1:9">
      <c r="A30" s="93" t="s">
        <v>4140</v>
      </c>
      <c r="B30" t="s">
        <v>1881</v>
      </c>
      <c r="C30" t="s">
        <v>2158</v>
      </c>
      <c r="D30" t="s">
        <v>2155</v>
      </c>
      <c r="E30" t="s">
        <v>2159</v>
      </c>
      <c r="F30" t="s">
        <v>2160</v>
      </c>
      <c r="G30" t="s">
        <v>2970</v>
      </c>
      <c r="H30" t="s">
        <v>108</v>
      </c>
      <c r="I30" t="s">
        <v>3996</v>
      </c>
    </row>
    <row r="31" spans="1:9">
      <c r="A31" s="93" t="s">
        <v>4140</v>
      </c>
      <c r="B31" t="s">
        <v>1881</v>
      </c>
      <c r="C31" t="s">
        <v>2161</v>
      </c>
      <c r="D31" t="s">
        <v>2162</v>
      </c>
      <c r="E31" t="s">
        <v>108</v>
      </c>
      <c r="F31" t="s">
        <v>2163</v>
      </c>
      <c r="G31" t="s">
        <v>2970</v>
      </c>
      <c r="H31" t="s">
        <v>108</v>
      </c>
      <c r="I31" t="s">
        <v>3996</v>
      </c>
    </row>
    <row r="32" spans="1:9">
      <c r="A32" s="93" t="s">
        <v>4140</v>
      </c>
      <c r="B32" t="s">
        <v>1881</v>
      </c>
      <c r="C32" t="s">
        <v>2164</v>
      </c>
      <c r="D32" t="s">
        <v>2162</v>
      </c>
      <c r="E32" t="s">
        <v>108</v>
      </c>
      <c r="G32" t="s">
        <v>2970</v>
      </c>
      <c r="H32" t="s">
        <v>108</v>
      </c>
      <c r="I32" t="s">
        <v>3996</v>
      </c>
    </row>
    <row r="33" spans="1:9">
      <c r="A33" s="93" t="s">
        <v>4140</v>
      </c>
      <c r="B33" t="s">
        <v>1882</v>
      </c>
      <c r="C33" t="s">
        <v>2166</v>
      </c>
      <c r="D33" t="s">
        <v>2167</v>
      </c>
      <c r="E33" t="s">
        <v>108</v>
      </c>
      <c r="F33" t="s">
        <v>2168</v>
      </c>
      <c r="G33" t="s">
        <v>2970</v>
      </c>
      <c r="H33" t="s">
        <v>108</v>
      </c>
      <c r="I33" t="s">
        <v>4000</v>
      </c>
    </row>
    <row r="34" spans="1:9">
      <c r="A34" s="93" t="s">
        <v>4140</v>
      </c>
      <c r="B34" t="s">
        <v>1882</v>
      </c>
      <c r="C34" t="s">
        <v>2169</v>
      </c>
      <c r="D34" t="s">
        <v>2129</v>
      </c>
      <c r="E34" t="s">
        <v>2170</v>
      </c>
      <c r="G34" t="s">
        <v>2970</v>
      </c>
      <c r="H34" t="s">
        <v>2136</v>
      </c>
      <c r="I34" t="s">
        <v>4000</v>
      </c>
    </row>
    <row r="35" spans="1:9">
      <c r="A35" s="93" t="s">
        <v>4140</v>
      </c>
      <c r="B35" t="s">
        <v>1882</v>
      </c>
      <c r="C35" t="s">
        <v>2171</v>
      </c>
      <c r="D35" t="s">
        <v>2129</v>
      </c>
      <c r="E35" t="s">
        <v>2135</v>
      </c>
      <c r="G35" t="s">
        <v>2970</v>
      </c>
      <c r="H35" t="s">
        <v>2136</v>
      </c>
      <c r="I35" t="s">
        <v>4000</v>
      </c>
    </row>
    <row r="36" spans="1:9">
      <c r="A36" s="93" t="s">
        <v>4140</v>
      </c>
      <c r="B36" t="s">
        <v>1882</v>
      </c>
      <c r="C36" t="s">
        <v>2172</v>
      </c>
      <c r="D36" t="s">
        <v>2129</v>
      </c>
      <c r="E36" t="s">
        <v>2135</v>
      </c>
      <c r="G36" t="s">
        <v>2970</v>
      </c>
      <c r="H36" t="s">
        <v>2136</v>
      </c>
      <c r="I36" t="s">
        <v>4000</v>
      </c>
    </row>
    <row r="37" spans="1:9">
      <c r="A37" s="93" t="s">
        <v>4140</v>
      </c>
      <c r="B37" t="s">
        <v>1882</v>
      </c>
      <c r="C37" t="s">
        <v>2173</v>
      </c>
      <c r="D37" t="s">
        <v>2174</v>
      </c>
      <c r="E37" t="s">
        <v>2135</v>
      </c>
      <c r="G37" t="s">
        <v>2970</v>
      </c>
      <c r="H37" t="s">
        <v>2136</v>
      </c>
      <c r="I37" t="s">
        <v>4000</v>
      </c>
    </row>
    <row r="38" spans="1:9">
      <c r="A38" s="93" t="s">
        <v>4140</v>
      </c>
      <c r="B38" t="s">
        <v>1882</v>
      </c>
      <c r="C38" t="s">
        <v>2175</v>
      </c>
      <c r="E38" t="s">
        <v>2135</v>
      </c>
      <c r="G38" t="s">
        <v>2970</v>
      </c>
      <c r="H38" t="s">
        <v>2136</v>
      </c>
      <c r="I38" t="s">
        <v>4000</v>
      </c>
    </row>
    <row r="39" spans="1:9">
      <c r="A39" s="93" t="s">
        <v>4140</v>
      </c>
      <c r="B39" t="s">
        <v>1882</v>
      </c>
      <c r="C39" t="s">
        <v>2176</v>
      </c>
      <c r="E39" t="s">
        <v>2135</v>
      </c>
      <c r="G39" t="s">
        <v>2970</v>
      </c>
      <c r="H39" t="s">
        <v>2136</v>
      </c>
      <c r="I39" t="s">
        <v>4000</v>
      </c>
    </row>
    <row r="40" spans="1:9">
      <c r="A40" s="93" t="s">
        <v>4140</v>
      </c>
      <c r="B40" t="s">
        <v>1882</v>
      </c>
      <c r="C40" t="s">
        <v>2177</v>
      </c>
      <c r="E40" t="s">
        <v>2135</v>
      </c>
      <c r="G40" t="s">
        <v>2970</v>
      </c>
      <c r="H40" t="s">
        <v>2136</v>
      </c>
      <c r="I40" t="s">
        <v>4000</v>
      </c>
    </row>
    <row r="41" spans="1:9">
      <c r="A41" s="93" t="s">
        <v>4140</v>
      </c>
      <c r="B41" t="s">
        <v>1884</v>
      </c>
      <c r="C41" t="s">
        <v>2179</v>
      </c>
      <c r="D41" t="s">
        <v>2180</v>
      </c>
      <c r="E41" t="s">
        <v>108</v>
      </c>
      <c r="G41" t="s">
        <v>2970</v>
      </c>
      <c r="H41" t="s">
        <v>108</v>
      </c>
      <c r="I41" t="s">
        <v>4002</v>
      </c>
    </row>
    <row r="42" spans="1:9">
      <c r="A42" s="93" t="s">
        <v>4140</v>
      </c>
      <c r="B42" t="s">
        <v>1884</v>
      </c>
      <c r="C42" t="s">
        <v>2181</v>
      </c>
      <c r="D42" t="s">
        <v>2182</v>
      </c>
      <c r="E42" t="s">
        <v>108</v>
      </c>
      <c r="G42" t="s">
        <v>2970</v>
      </c>
      <c r="H42" t="s">
        <v>108</v>
      </c>
      <c r="I42" t="s">
        <v>4002</v>
      </c>
    </row>
    <row r="43" spans="1:9">
      <c r="A43" s="93" t="s">
        <v>4140</v>
      </c>
      <c r="B43" t="s">
        <v>1884</v>
      </c>
      <c r="C43" t="s">
        <v>2183</v>
      </c>
      <c r="D43" t="s">
        <v>2182</v>
      </c>
      <c r="E43" t="s">
        <v>2184</v>
      </c>
      <c r="F43" t="s">
        <v>2185</v>
      </c>
      <c r="G43" t="s">
        <v>2970</v>
      </c>
      <c r="H43" t="s">
        <v>108</v>
      </c>
      <c r="I43" t="s">
        <v>4002</v>
      </c>
    </row>
    <row r="44" spans="1:9">
      <c r="A44" s="93" t="s">
        <v>4140</v>
      </c>
      <c r="B44" t="s">
        <v>1884</v>
      </c>
      <c r="C44" t="s">
        <v>2186</v>
      </c>
      <c r="D44" t="s">
        <v>2187</v>
      </c>
      <c r="E44" t="s">
        <v>108</v>
      </c>
      <c r="G44" t="s">
        <v>2970</v>
      </c>
      <c r="H44" t="s">
        <v>108</v>
      </c>
      <c r="I44" t="s">
        <v>4002</v>
      </c>
    </row>
    <row r="45" spans="1:9">
      <c r="A45" s="93" t="s">
        <v>4140</v>
      </c>
      <c r="B45" t="s">
        <v>1884</v>
      </c>
      <c r="C45" t="s">
        <v>2188</v>
      </c>
      <c r="E45" t="s">
        <v>2189</v>
      </c>
      <c r="G45" t="s">
        <v>2970</v>
      </c>
      <c r="H45" t="s">
        <v>108</v>
      </c>
      <c r="I45" t="s">
        <v>4002</v>
      </c>
    </row>
    <row r="46" spans="1:9">
      <c r="A46" s="93" t="s">
        <v>4140</v>
      </c>
      <c r="B46" t="s">
        <v>1884</v>
      </c>
      <c r="C46" t="s">
        <v>2190</v>
      </c>
      <c r="E46" t="s">
        <v>2135</v>
      </c>
      <c r="G46" t="s">
        <v>2970</v>
      </c>
      <c r="H46" t="s">
        <v>2136</v>
      </c>
      <c r="I46" t="s">
        <v>4002</v>
      </c>
    </row>
    <row r="47" spans="1:9">
      <c r="A47" s="93" t="s">
        <v>4140</v>
      </c>
      <c r="B47" t="s">
        <v>1884</v>
      </c>
      <c r="C47" t="s">
        <v>2191</v>
      </c>
      <c r="E47" t="s">
        <v>2135</v>
      </c>
      <c r="G47" t="s">
        <v>2970</v>
      </c>
      <c r="H47" t="s">
        <v>2136</v>
      </c>
      <c r="I47" t="s">
        <v>4002</v>
      </c>
    </row>
    <row r="48" spans="1:9">
      <c r="A48" s="93" t="s">
        <v>4140</v>
      </c>
      <c r="B48" t="s">
        <v>1884</v>
      </c>
      <c r="C48" t="s">
        <v>2192</v>
      </c>
      <c r="D48" t="s">
        <v>2182</v>
      </c>
      <c r="E48" t="s">
        <v>2193</v>
      </c>
      <c r="G48" t="s">
        <v>2970</v>
      </c>
      <c r="H48" t="s">
        <v>2193</v>
      </c>
      <c r="I48" t="s">
        <v>4002</v>
      </c>
    </row>
    <row r="49" spans="1:9">
      <c r="A49" s="93" t="s">
        <v>4140</v>
      </c>
      <c r="B49" t="s">
        <v>1884</v>
      </c>
      <c r="C49" t="s">
        <v>2194</v>
      </c>
      <c r="D49" t="s">
        <v>2187</v>
      </c>
      <c r="E49" t="s">
        <v>108</v>
      </c>
      <c r="G49" t="s">
        <v>2970</v>
      </c>
      <c r="H49" t="s">
        <v>108</v>
      </c>
      <c r="I49" t="s">
        <v>4002</v>
      </c>
    </row>
    <row r="50" spans="1:9">
      <c r="A50" s="93" t="s">
        <v>4140</v>
      </c>
      <c r="B50" t="s">
        <v>1889</v>
      </c>
      <c r="C50" t="s">
        <v>2196</v>
      </c>
      <c r="E50" t="s">
        <v>2193</v>
      </c>
      <c r="G50" t="s">
        <v>2970</v>
      </c>
      <c r="H50" t="s">
        <v>2193</v>
      </c>
      <c r="I50" t="s">
        <v>4004</v>
      </c>
    </row>
    <row r="51" spans="1:9">
      <c r="A51" s="93" t="s">
        <v>4140</v>
      </c>
      <c r="B51" t="s">
        <v>1889</v>
      </c>
      <c r="C51" t="s">
        <v>2197</v>
      </c>
      <c r="E51" t="s">
        <v>2193</v>
      </c>
      <c r="G51" t="s">
        <v>2970</v>
      </c>
      <c r="H51" t="s">
        <v>2193</v>
      </c>
      <c r="I51" t="s">
        <v>4004</v>
      </c>
    </row>
    <row r="52" spans="1:9">
      <c r="A52" s="93" t="s">
        <v>4140</v>
      </c>
      <c r="B52" t="s">
        <v>1889</v>
      </c>
      <c r="C52" t="s">
        <v>2198</v>
      </c>
      <c r="E52" t="s">
        <v>2199</v>
      </c>
      <c r="G52" t="s">
        <v>2970</v>
      </c>
      <c r="H52" t="s">
        <v>2193</v>
      </c>
      <c r="I52" t="s">
        <v>4004</v>
      </c>
    </row>
    <row r="53" spans="1:9">
      <c r="A53" s="93" t="s">
        <v>4140</v>
      </c>
      <c r="B53" t="s">
        <v>1889</v>
      </c>
      <c r="C53" t="s">
        <v>2200</v>
      </c>
      <c r="D53" t="s">
        <v>2182</v>
      </c>
      <c r="E53" t="s">
        <v>108</v>
      </c>
      <c r="G53" t="s">
        <v>2970</v>
      </c>
      <c r="H53" t="s">
        <v>108</v>
      </c>
      <c r="I53" t="s">
        <v>4004</v>
      </c>
    </row>
    <row r="54" spans="1:9">
      <c r="A54" s="93" t="s">
        <v>4140</v>
      </c>
      <c r="B54" t="s">
        <v>1889</v>
      </c>
      <c r="C54" t="s">
        <v>2201</v>
      </c>
      <c r="D54" t="s">
        <v>2182</v>
      </c>
      <c r="E54" t="s">
        <v>108</v>
      </c>
      <c r="G54" t="s">
        <v>2970</v>
      </c>
      <c r="H54" t="s">
        <v>108</v>
      </c>
      <c r="I54" t="s">
        <v>4004</v>
      </c>
    </row>
    <row r="55" spans="1:9">
      <c r="A55" s="93" t="s">
        <v>4140</v>
      </c>
      <c r="B55" t="s">
        <v>1889</v>
      </c>
      <c r="C55" t="s">
        <v>2202</v>
      </c>
      <c r="D55" t="s">
        <v>2174</v>
      </c>
      <c r="E55" t="s">
        <v>108</v>
      </c>
      <c r="G55" t="s">
        <v>2970</v>
      </c>
      <c r="H55" t="s">
        <v>108</v>
      </c>
      <c r="I55" t="s">
        <v>4004</v>
      </c>
    </row>
    <row r="56" spans="1:9">
      <c r="A56" s="93" t="s">
        <v>4140</v>
      </c>
      <c r="B56" t="s">
        <v>1889</v>
      </c>
      <c r="C56" t="s">
        <v>2203</v>
      </c>
      <c r="D56" t="s">
        <v>2204</v>
      </c>
      <c r="E56" t="s">
        <v>2193</v>
      </c>
      <c r="G56" t="s">
        <v>2970</v>
      </c>
      <c r="H56" t="s">
        <v>2193</v>
      </c>
      <c r="I56" t="s">
        <v>4004</v>
      </c>
    </row>
    <row r="57" spans="1:9">
      <c r="A57" s="93" t="s">
        <v>4140</v>
      </c>
      <c r="B57" t="s">
        <v>1889</v>
      </c>
      <c r="C57" t="s">
        <v>2205</v>
      </c>
      <c r="D57" t="s">
        <v>2204</v>
      </c>
      <c r="E57" t="s">
        <v>2193</v>
      </c>
      <c r="G57" t="s">
        <v>2970</v>
      </c>
      <c r="H57" t="s">
        <v>2193</v>
      </c>
      <c r="I57" t="s">
        <v>4004</v>
      </c>
    </row>
    <row r="58" spans="1:9">
      <c r="A58" s="93" t="s">
        <v>4140</v>
      </c>
      <c r="B58" t="s">
        <v>1889</v>
      </c>
      <c r="C58" t="s">
        <v>2206</v>
      </c>
      <c r="E58" t="s">
        <v>2135</v>
      </c>
      <c r="G58" t="s">
        <v>2970</v>
      </c>
      <c r="H58" t="s">
        <v>2136</v>
      </c>
      <c r="I58" t="s">
        <v>4004</v>
      </c>
    </row>
    <row r="59" spans="1:9">
      <c r="A59" s="93" t="s">
        <v>4140</v>
      </c>
      <c r="B59" t="s">
        <v>1889</v>
      </c>
      <c r="C59" t="s">
        <v>2207</v>
      </c>
      <c r="D59" t="s">
        <v>2204</v>
      </c>
      <c r="E59" t="s">
        <v>108</v>
      </c>
      <c r="F59" t="s">
        <v>2208</v>
      </c>
      <c r="G59" t="s">
        <v>2970</v>
      </c>
      <c r="H59" t="s">
        <v>108</v>
      </c>
      <c r="I59" t="s">
        <v>4004</v>
      </c>
    </row>
    <row r="60" spans="1:9">
      <c r="A60" s="93" t="s">
        <v>4140</v>
      </c>
      <c r="B60" t="s">
        <v>1891</v>
      </c>
      <c r="C60" t="s">
        <v>2210</v>
      </c>
      <c r="D60" t="s">
        <v>2211</v>
      </c>
      <c r="E60" t="s">
        <v>108</v>
      </c>
      <c r="G60" t="s">
        <v>2970</v>
      </c>
      <c r="H60" t="s">
        <v>108</v>
      </c>
      <c r="I60" t="s">
        <v>4008</v>
      </c>
    </row>
    <row r="61" spans="1:9">
      <c r="A61" s="93" t="s">
        <v>4140</v>
      </c>
      <c r="B61" t="s">
        <v>1891</v>
      </c>
      <c r="C61" t="s">
        <v>2212</v>
      </c>
      <c r="D61" t="s">
        <v>2213</v>
      </c>
      <c r="E61" t="s">
        <v>108</v>
      </c>
      <c r="G61" t="s">
        <v>2970</v>
      </c>
      <c r="H61" t="s">
        <v>108</v>
      </c>
      <c r="I61" t="s">
        <v>4008</v>
      </c>
    </row>
    <row r="62" spans="1:9">
      <c r="A62" s="93" t="s">
        <v>4140</v>
      </c>
      <c r="B62" t="s">
        <v>1891</v>
      </c>
      <c r="C62" t="s">
        <v>2214</v>
      </c>
      <c r="D62" t="s">
        <v>2213</v>
      </c>
      <c r="E62" t="s">
        <v>108</v>
      </c>
      <c r="G62" t="s">
        <v>2970</v>
      </c>
      <c r="H62" t="s">
        <v>108</v>
      </c>
      <c r="I62" t="s">
        <v>4008</v>
      </c>
    </row>
    <row r="63" spans="1:9">
      <c r="A63" s="93" t="s">
        <v>4140</v>
      </c>
      <c r="B63" t="s">
        <v>1893</v>
      </c>
      <c r="C63" t="s">
        <v>2216</v>
      </c>
      <c r="D63" t="s">
        <v>2217</v>
      </c>
      <c r="E63" t="s">
        <v>2193</v>
      </c>
      <c r="F63" t="s">
        <v>2218</v>
      </c>
      <c r="G63" t="s">
        <v>2970</v>
      </c>
      <c r="H63" t="s">
        <v>2193</v>
      </c>
      <c r="I63" t="s">
        <v>4012</v>
      </c>
    </row>
    <row r="64" spans="1:9">
      <c r="A64" s="93" t="s">
        <v>4140</v>
      </c>
      <c r="B64" t="s">
        <v>1893</v>
      </c>
      <c r="C64" t="s">
        <v>2219</v>
      </c>
      <c r="D64" t="s">
        <v>2220</v>
      </c>
      <c r="E64" t="s">
        <v>108</v>
      </c>
      <c r="F64" t="s">
        <v>2221</v>
      </c>
      <c r="G64" t="s">
        <v>2970</v>
      </c>
      <c r="H64" t="s">
        <v>108</v>
      </c>
      <c r="I64" t="s">
        <v>4012</v>
      </c>
    </row>
    <row r="65" spans="1:9">
      <c r="A65" s="93" t="s">
        <v>4140</v>
      </c>
      <c r="B65" t="s">
        <v>1893</v>
      </c>
      <c r="C65" t="s">
        <v>2222</v>
      </c>
      <c r="D65" t="s">
        <v>2223</v>
      </c>
      <c r="E65" t="s">
        <v>108</v>
      </c>
      <c r="F65" t="s">
        <v>2224</v>
      </c>
      <c r="G65" t="s">
        <v>2970</v>
      </c>
      <c r="H65" t="s">
        <v>108</v>
      </c>
      <c r="I65" t="s">
        <v>4012</v>
      </c>
    </row>
    <row r="66" spans="1:9">
      <c r="A66" s="93" t="s">
        <v>4140</v>
      </c>
      <c r="B66" t="s">
        <v>1893</v>
      </c>
      <c r="C66" t="s">
        <v>2225</v>
      </c>
      <c r="D66" t="s">
        <v>2226</v>
      </c>
      <c r="E66" t="s">
        <v>108</v>
      </c>
      <c r="F66" t="s">
        <v>2227</v>
      </c>
      <c r="G66" t="s">
        <v>2970</v>
      </c>
      <c r="H66" t="s">
        <v>108</v>
      </c>
      <c r="I66" t="s">
        <v>4012</v>
      </c>
    </row>
    <row r="67" spans="1:9">
      <c r="A67" s="93" t="s">
        <v>4140</v>
      </c>
      <c r="B67" t="s">
        <v>1893</v>
      </c>
      <c r="C67" t="s">
        <v>2228</v>
      </c>
      <c r="E67" t="s">
        <v>2135</v>
      </c>
      <c r="G67" t="s">
        <v>2970</v>
      </c>
      <c r="H67" t="s">
        <v>2136</v>
      </c>
      <c r="I67" t="s">
        <v>4012</v>
      </c>
    </row>
    <row r="68" spans="1:9">
      <c r="A68" s="93" t="s">
        <v>4140</v>
      </c>
      <c r="B68" t="s">
        <v>1896</v>
      </c>
      <c r="C68" t="s">
        <v>2230</v>
      </c>
      <c r="D68" t="s">
        <v>2220</v>
      </c>
      <c r="E68" t="s">
        <v>108</v>
      </c>
      <c r="F68" t="s">
        <v>2231</v>
      </c>
      <c r="G68" t="s">
        <v>2970</v>
      </c>
      <c r="H68" t="s">
        <v>108</v>
      </c>
      <c r="I68" t="s">
        <v>4016</v>
      </c>
    </row>
    <row r="69" spans="1:9">
      <c r="A69" s="93" t="s">
        <v>4140</v>
      </c>
      <c r="B69" t="s">
        <v>1896</v>
      </c>
      <c r="C69" t="s">
        <v>2232</v>
      </c>
      <c r="D69" t="s">
        <v>2220</v>
      </c>
      <c r="E69" t="s">
        <v>108</v>
      </c>
      <c r="G69" t="s">
        <v>2970</v>
      </c>
      <c r="H69" t="s">
        <v>108</v>
      </c>
      <c r="I69" t="s">
        <v>4016</v>
      </c>
    </row>
    <row r="70" spans="1:9">
      <c r="A70" s="93" t="s">
        <v>4140</v>
      </c>
      <c r="B70" t="s">
        <v>1896</v>
      </c>
      <c r="C70" t="s">
        <v>2233</v>
      </c>
      <c r="D70" t="s">
        <v>2234</v>
      </c>
      <c r="E70" t="s">
        <v>108</v>
      </c>
      <c r="F70" t="s">
        <v>2235</v>
      </c>
      <c r="G70" t="s">
        <v>2970</v>
      </c>
      <c r="H70" t="s">
        <v>108</v>
      </c>
      <c r="I70" t="s">
        <v>4016</v>
      </c>
    </row>
    <row r="71" spans="1:9">
      <c r="A71" s="93" t="s">
        <v>4140</v>
      </c>
      <c r="B71" t="s">
        <v>1896</v>
      </c>
      <c r="C71" t="s">
        <v>2236</v>
      </c>
      <c r="D71" t="s">
        <v>2237</v>
      </c>
      <c r="E71" t="s">
        <v>108</v>
      </c>
      <c r="F71" t="s">
        <v>2231</v>
      </c>
      <c r="G71" t="s">
        <v>2970</v>
      </c>
      <c r="H71" t="s">
        <v>108</v>
      </c>
      <c r="I71" t="s">
        <v>4016</v>
      </c>
    </row>
    <row r="72" spans="1:9">
      <c r="A72" s="93" t="s">
        <v>4140</v>
      </c>
      <c r="B72" t="s">
        <v>1896</v>
      </c>
      <c r="C72" t="s">
        <v>2238</v>
      </c>
      <c r="D72" t="s">
        <v>2237</v>
      </c>
      <c r="E72" t="s">
        <v>108</v>
      </c>
      <c r="F72" t="s">
        <v>2239</v>
      </c>
      <c r="G72" t="s">
        <v>2970</v>
      </c>
      <c r="H72" t="s">
        <v>108</v>
      </c>
      <c r="I72" t="s">
        <v>4016</v>
      </c>
    </row>
    <row r="73" spans="1:9">
      <c r="A73" s="93" t="s">
        <v>4140</v>
      </c>
      <c r="B73" t="s">
        <v>1896</v>
      </c>
      <c r="C73" t="s">
        <v>2240</v>
      </c>
      <c r="D73" t="s">
        <v>2241</v>
      </c>
      <c r="E73" t="s">
        <v>2193</v>
      </c>
      <c r="G73" t="s">
        <v>2970</v>
      </c>
      <c r="H73" t="s">
        <v>2193</v>
      </c>
      <c r="I73" t="s">
        <v>4016</v>
      </c>
    </row>
    <row r="74" spans="1:9">
      <c r="A74" s="93" t="s">
        <v>4140</v>
      </c>
      <c r="B74" t="s">
        <v>1896</v>
      </c>
      <c r="C74" t="s">
        <v>2242</v>
      </c>
      <c r="D74" t="s">
        <v>2220</v>
      </c>
      <c r="E74" t="s">
        <v>2243</v>
      </c>
      <c r="F74" t="s">
        <v>2244</v>
      </c>
      <c r="G74" t="s">
        <v>2970</v>
      </c>
      <c r="H74" t="s">
        <v>2962</v>
      </c>
      <c r="I74" t="s">
        <v>4016</v>
      </c>
    </row>
    <row r="75" spans="1:9">
      <c r="A75" s="93" t="s">
        <v>4140</v>
      </c>
      <c r="B75" t="s">
        <v>1896</v>
      </c>
      <c r="C75" t="s">
        <v>2245</v>
      </c>
      <c r="D75" t="s">
        <v>2241</v>
      </c>
      <c r="E75" t="s">
        <v>2246</v>
      </c>
      <c r="G75" t="s">
        <v>2970</v>
      </c>
      <c r="H75" t="s">
        <v>108</v>
      </c>
      <c r="I75" t="s">
        <v>4016</v>
      </c>
    </row>
    <row r="76" spans="1:9">
      <c r="A76" s="93" t="s">
        <v>4140</v>
      </c>
      <c r="B76" t="s">
        <v>1896</v>
      </c>
      <c r="C76" t="s">
        <v>2247</v>
      </c>
      <c r="D76" t="s">
        <v>2248</v>
      </c>
      <c r="E76" t="s">
        <v>108</v>
      </c>
      <c r="F76" t="s">
        <v>2249</v>
      </c>
      <c r="G76" t="s">
        <v>2970</v>
      </c>
      <c r="H76" t="s">
        <v>108</v>
      </c>
      <c r="I76" t="s">
        <v>4016</v>
      </c>
    </row>
    <row r="77" spans="1:9">
      <c r="A77" s="93" t="s">
        <v>4140</v>
      </c>
      <c r="B77" t="s">
        <v>1898</v>
      </c>
      <c r="C77" t="s">
        <v>2251</v>
      </c>
      <c r="D77" t="s">
        <v>2252</v>
      </c>
      <c r="E77" t="s">
        <v>108</v>
      </c>
      <c r="G77" t="s">
        <v>2970</v>
      </c>
      <c r="H77" t="s">
        <v>108</v>
      </c>
      <c r="I77" t="s">
        <v>4020</v>
      </c>
    </row>
    <row r="78" spans="1:9">
      <c r="A78" s="93" t="s">
        <v>4140</v>
      </c>
      <c r="B78" t="s">
        <v>1898</v>
      </c>
      <c r="C78" t="s">
        <v>2253</v>
      </c>
      <c r="D78" t="s">
        <v>2252</v>
      </c>
      <c r="E78" t="s">
        <v>2193</v>
      </c>
      <c r="F78" t="s">
        <v>2254</v>
      </c>
      <c r="G78" t="s">
        <v>2970</v>
      </c>
      <c r="H78" t="s">
        <v>2193</v>
      </c>
      <c r="I78" t="s">
        <v>4020</v>
      </c>
    </row>
    <row r="79" spans="1:9">
      <c r="A79" s="93" t="s">
        <v>4140</v>
      </c>
      <c r="B79" t="s">
        <v>1898</v>
      </c>
      <c r="C79" t="s">
        <v>2255</v>
      </c>
      <c r="D79" t="s">
        <v>2256</v>
      </c>
      <c r="E79" t="s">
        <v>2257</v>
      </c>
      <c r="G79" t="s">
        <v>2970</v>
      </c>
      <c r="H79" t="s">
        <v>108</v>
      </c>
      <c r="I79" t="s">
        <v>4020</v>
      </c>
    </row>
    <row r="80" spans="1:9">
      <c r="A80" s="93" t="s">
        <v>4140</v>
      </c>
      <c r="B80" t="s">
        <v>1898</v>
      </c>
      <c r="C80" t="s">
        <v>2258</v>
      </c>
      <c r="D80" t="s">
        <v>2259</v>
      </c>
      <c r="E80" t="s">
        <v>2260</v>
      </c>
      <c r="F80" t="s">
        <v>2261</v>
      </c>
      <c r="G80" t="s">
        <v>2970</v>
      </c>
      <c r="H80" t="s">
        <v>2964</v>
      </c>
      <c r="I80" t="s">
        <v>4020</v>
      </c>
    </row>
    <row r="81" spans="1:9">
      <c r="A81" s="93" t="s">
        <v>4140</v>
      </c>
      <c r="B81" t="s">
        <v>1898</v>
      </c>
      <c r="C81" t="s">
        <v>2262</v>
      </c>
      <c r="D81" t="s">
        <v>2259</v>
      </c>
      <c r="E81" t="s">
        <v>2147</v>
      </c>
      <c r="F81" t="s">
        <v>2263</v>
      </c>
      <c r="G81" t="s">
        <v>2970</v>
      </c>
      <c r="H81" t="s">
        <v>108</v>
      </c>
      <c r="I81" t="s">
        <v>4020</v>
      </c>
    </row>
    <row r="82" spans="1:9">
      <c r="A82" s="93" t="s">
        <v>4140</v>
      </c>
      <c r="B82" t="s">
        <v>1898</v>
      </c>
      <c r="C82" t="s">
        <v>2264</v>
      </c>
      <c r="D82" t="s">
        <v>2252</v>
      </c>
      <c r="E82" t="s">
        <v>2265</v>
      </c>
      <c r="G82" t="s">
        <v>2970</v>
      </c>
      <c r="H82" t="s">
        <v>108</v>
      </c>
      <c r="I82" t="s">
        <v>4020</v>
      </c>
    </row>
    <row r="83" spans="1:9">
      <c r="A83" s="93" t="s">
        <v>4140</v>
      </c>
      <c r="B83" t="s">
        <v>1898</v>
      </c>
      <c r="C83" t="s">
        <v>2266</v>
      </c>
      <c r="D83" t="s">
        <v>2252</v>
      </c>
      <c r="E83" t="s">
        <v>2267</v>
      </c>
      <c r="F83" t="s">
        <v>2268</v>
      </c>
      <c r="G83" t="s">
        <v>2970</v>
      </c>
      <c r="H83" t="s">
        <v>108</v>
      </c>
      <c r="I83" t="s">
        <v>4020</v>
      </c>
    </row>
    <row r="84" spans="1:9">
      <c r="A84" s="93" t="s">
        <v>4140</v>
      </c>
      <c r="B84" t="s">
        <v>1898</v>
      </c>
      <c r="C84" t="s">
        <v>2269</v>
      </c>
      <c r="D84" t="s">
        <v>2252</v>
      </c>
      <c r="E84" t="s">
        <v>2270</v>
      </c>
      <c r="G84" t="s">
        <v>2970</v>
      </c>
      <c r="H84" t="s">
        <v>108</v>
      </c>
      <c r="I84" t="s">
        <v>4020</v>
      </c>
    </row>
    <row r="85" spans="1:9">
      <c r="A85" s="93" t="s">
        <v>4140</v>
      </c>
      <c r="B85" t="s">
        <v>1902</v>
      </c>
      <c r="C85" t="s">
        <v>2272</v>
      </c>
      <c r="D85" t="s">
        <v>2273</v>
      </c>
      <c r="E85" t="s">
        <v>2274</v>
      </c>
      <c r="F85" t="s">
        <v>2275</v>
      </c>
      <c r="G85" t="s">
        <v>2970</v>
      </c>
      <c r="H85" t="s">
        <v>108</v>
      </c>
      <c r="I85" t="s">
        <v>4024</v>
      </c>
    </row>
    <row r="86" spans="1:9">
      <c r="A86" s="93" t="s">
        <v>4140</v>
      </c>
      <c r="B86" t="s">
        <v>1902</v>
      </c>
      <c r="C86" t="s">
        <v>2276</v>
      </c>
      <c r="D86" t="s">
        <v>2248</v>
      </c>
      <c r="E86" t="s">
        <v>2277</v>
      </c>
      <c r="F86" t="s">
        <v>2278</v>
      </c>
      <c r="G86" t="s">
        <v>2970</v>
      </c>
      <c r="H86" t="s">
        <v>108</v>
      </c>
      <c r="I86" t="s">
        <v>4024</v>
      </c>
    </row>
    <row r="87" spans="1:9">
      <c r="A87" s="93" t="s">
        <v>4140</v>
      </c>
      <c r="B87" t="s">
        <v>1902</v>
      </c>
      <c r="C87" t="s">
        <v>2279</v>
      </c>
      <c r="D87" t="s">
        <v>2280</v>
      </c>
      <c r="E87" t="s">
        <v>2281</v>
      </c>
      <c r="F87" t="s">
        <v>2282</v>
      </c>
      <c r="G87" t="s">
        <v>2970</v>
      </c>
      <c r="H87" t="s">
        <v>108</v>
      </c>
      <c r="I87" t="s">
        <v>4024</v>
      </c>
    </row>
    <row r="88" spans="1:9">
      <c r="A88" s="93" t="s">
        <v>4140</v>
      </c>
      <c r="B88" t="s">
        <v>1902</v>
      </c>
      <c r="C88" t="s">
        <v>2283</v>
      </c>
      <c r="D88" t="s">
        <v>2273</v>
      </c>
      <c r="E88" t="s">
        <v>108</v>
      </c>
      <c r="F88" t="s">
        <v>2284</v>
      </c>
      <c r="G88" t="s">
        <v>2970</v>
      </c>
      <c r="H88" t="s">
        <v>108</v>
      </c>
      <c r="I88" t="s">
        <v>4024</v>
      </c>
    </row>
    <row r="89" spans="1:9">
      <c r="A89" s="93" t="s">
        <v>4140</v>
      </c>
      <c r="B89" t="s">
        <v>1902</v>
      </c>
      <c r="C89" t="s">
        <v>2285</v>
      </c>
      <c r="E89" t="s">
        <v>2135</v>
      </c>
      <c r="G89" t="s">
        <v>2970</v>
      </c>
      <c r="H89" t="s">
        <v>2136</v>
      </c>
      <c r="I89" t="s">
        <v>4024</v>
      </c>
    </row>
    <row r="90" spans="1:9">
      <c r="A90" s="93" t="s">
        <v>4140</v>
      </c>
      <c r="B90" t="s">
        <v>1902</v>
      </c>
      <c r="C90" t="s">
        <v>2286</v>
      </c>
      <c r="E90" t="s">
        <v>108</v>
      </c>
      <c r="G90" t="s">
        <v>2970</v>
      </c>
      <c r="H90" t="s">
        <v>108</v>
      </c>
      <c r="I90" t="s">
        <v>4024</v>
      </c>
    </row>
    <row r="91" spans="1:9">
      <c r="A91" s="93" t="s">
        <v>4140</v>
      </c>
      <c r="B91" t="s">
        <v>1902</v>
      </c>
      <c r="C91" t="s">
        <v>2287</v>
      </c>
      <c r="D91" t="s">
        <v>2273</v>
      </c>
      <c r="E91" t="s">
        <v>2288</v>
      </c>
      <c r="F91" t="s">
        <v>2289</v>
      </c>
      <c r="G91" t="s">
        <v>2970</v>
      </c>
      <c r="H91" t="s">
        <v>2288</v>
      </c>
      <c r="I91" t="s">
        <v>4024</v>
      </c>
    </row>
    <row r="92" spans="1:9">
      <c r="A92" s="93" t="s">
        <v>4140</v>
      </c>
      <c r="B92" t="s">
        <v>3926</v>
      </c>
      <c r="C92" t="s">
        <v>2291</v>
      </c>
      <c r="E92" t="s">
        <v>2135</v>
      </c>
      <c r="F92" t="s">
        <v>2292</v>
      </c>
      <c r="G92" t="s">
        <v>2970</v>
      </c>
      <c r="H92" t="s">
        <v>2136</v>
      </c>
    </row>
    <row r="93" spans="1:9">
      <c r="A93" s="93" t="s">
        <v>4140</v>
      </c>
      <c r="B93" t="s">
        <v>3926</v>
      </c>
      <c r="C93" t="s">
        <v>2293</v>
      </c>
      <c r="D93" t="s">
        <v>2294</v>
      </c>
      <c r="E93" t="s">
        <v>2295</v>
      </c>
      <c r="F93" t="s">
        <v>2296</v>
      </c>
      <c r="G93" t="s">
        <v>2970</v>
      </c>
      <c r="H93" t="s">
        <v>108</v>
      </c>
    </row>
    <row r="94" spans="1:9">
      <c r="A94" s="93" t="s">
        <v>4140</v>
      </c>
      <c r="B94" t="s">
        <v>3926</v>
      </c>
      <c r="C94" t="s">
        <v>2297</v>
      </c>
      <c r="D94" t="s">
        <v>2298</v>
      </c>
      <c r="E94" t="s">
        <v>108</v>
      </c>
      <c r="F94" t="s">
        <v>2299</v>
      </c>
      <c r="G94" t="s">
        <v>2970</v>
      </c>
      <c r="H94" t="s">
        <v>108</v>
      </c>
    </row>
    <row r="95" spans="1:9">
      <c r="A95" s="93" t="s">
        <v>4140</v>
      </c>
      <c r="B95" t="s">
        <v>3926</v>
      </c>
      <c r="C95" t="s">
        <v>2300</v>
      </c>
      <c r="D95" t="s">
        <v>2294</v>
      </c>
      <c r="E95" t="s">
        <v>108</v>
      </c>
      <c r="F95" t="s">
        <v>2299</v>
      </c>
      <c r="G95" t="s">
        <v>2970</v>
      </c>
      <c r="H95" t="s">
        <v>108</v>
      </c>
    </row>
    <row r="96" spans="1:9">
      <c r="A96" s="93" t="s">
        <v>4140</v>
      </c>
      <c r="B96" t="s">
        <v>3926</v>
      </c>
      <c r="C96" t="s">
        <v>2301</v>
      </c>
      <c r="D96" t="s">
        <v>2302</v>
      </c>
      <c r="E96" t="s">
        <v>2193</v>
      </c>
      <c r="F96" t="s">
        <v>2303</v>
      </c>
      <c r="G96" t="s">
        <v>2970</v>
      </c>
      <c r="H96" t="s">
        <v>2193</v>
      </c>
    </row>
    <row r="97" spans="1:9">
      <c r="A97" s="93" t="s">
        <v>4140</v>
      </c>
      <c r="B97" t="s">
        <v>3926</v>
      </c>
      <c r="C97" t="s">
        <v>2304</v>
      </c>
      <c r="D97" t="s">
        <v>2305</v>
      </c>
      <c r="E97" t="s">
        <v>2257</v>
      </c>
      <c r="F97" t="s">
        <v>2306</v>
      </c>
      <c r="G97" t="s">
        <v>2970</v>
      </c>
      <c r="H97" t="s">
        <v>108</v>
      </c>
    </row>
    <row r="98" spans="1:9">
      <c r="A98" s="93" t="s">
        <v>4144</v>
      </c>
      <c r="B98" t="s">
        <v>1874</v>
      </c>
      <c r="C98" t="s">
        <v>2114</v>
      </c>
      <c r="D98" t="s">
        <v>2115</v>
      </c>
      <c r="E98" t="s">
        <v>1559</v>
      </c>
      <c r="F98" t="s">
        <v>2117</v>
      </c>
      <c r="G98" t="s">
        <v>2970</v>
      </c>
      <c r="H98" t="s">
        <v>108</v>
      </c>
      <c r="I98" t="s">
        <v>3984</v>
      </c>
    </row>
    <row r="99" spans="1:9">
      <c r="A99" s="93" t="s">
        <v>4144</v>
      </c>
      <c r="B99" t="s">
        <v>1874</v>
      </c>
      <c r="C99" t="s">
        <v>2352</v>
      </c>
      <c r="E99" t="s">
        <v>1201</v>
      </c>
      <c r="G99" t="s">
        <v>2970</v>
      </c>
      <c r="H99" t="s">
        <v>1201</v>
      </c>
      <c r="I99" t="s">
        <v>3984</v>
      </c>
    </row>
    <row r="100" spans="1:9">
      <c r="A100" s="93" t="s">
        <v>4144</v>
      </c>
      <c r="B100" t="s">
        <v>1874</v>
      </c>
      <c r="C100" t="s">
        <v>2118</v>
      </c>
      <c r="E100" t="s">
        <v>2119</v>
      </c>
      <c r="G100" t="s">
        <v>2970</v>
      </c>
      <c r="H100" t="s">
        <v>2119</v>
      </c>
      <c r="I100" t="s">
        <v>3984</v>
      </c>
    </row>
    <row r="101" spans="1:9">
      <c r="A101" s="93" t="s">
        <v>4144</v>
      </c>
      <c r="B101" t="s">
        <v>1874</v>
      </c>
      <c r="C101" t="s">
        <v>2121</v>
      </c>
      <c r="D101" t="s">
        <v>2122</v>
      </c>
      <c r="E101" t="s">
        <v>108</v>
      </c>
      <c r="G101" t="s">
        <v>2970</v>
      </c>
      <c r="H101" t="s">
        <v>108</v>
      </c>
      <c r="I101" t="s">
        <v>3984</v>
      </c>
    </row>
    <row r="102" spans="1:9">
      <c r="A102" s="93" t="s">
        <v>4144</v>
      </c>
      <c r="B102" t="s">
        <v>1874</v>
      </c>
      <c r="C102" t="s">
        <v>2123</v>
      </c>
      <c r="D102" t="s">
        <v>2124</v>
      </c>
      <c r="E102" t="s">
        <v>108</v>
      </c>
      <c r="F102" t="s">
        <v>2125</v>
      </c>
      <c r="G102" t="s">
        <v>2970</v>
      </c>
      <c r="H102" t="s">
        <v>108</v>
      </c>
      <c r="I102" t="s">
        <v>3984</v>
      </c>
    </row>
    <row r="103" spans="1:9">
      <c r="A103" s="93" t="s">
        <v>4144</v>
      </c>
      <c r="B103" t="s">
        <v>1874</v>
      </c>
      <c r="C103" t="s">
        <v>2126</v>
      </c>
      <c r="E103" t="s">
        <v>108</v>
      </c>
      <c r="G103" t="s">
        <v>2970</v>
      </c>
      <c r="H103" t="s">
        <v>108</v>
      </c>
      <c r="I103" t="s">
        <v>3984</v>
      </c>
    </row>
    <row r="104" spans="1:9">
      <c r="A104" s="93" t="s">
        <v>4144</v>
      </c>
      <c r="B104" t="s">
        <v>1875</v>
      </c>
      <c r="C104" t="s">
        <v>2128</v>
      </c>
      <c r="D104" t="s">
        <v>2129</v>
      </c>
      <c r="E104" t="s">
        <v>108</v>
      </c>
      <c r="G104" t="s">
        <v>2970</v>
      </c>
      <c r="H104" t="s">
        <v>108</v>
      </c>
      <c r="I104" t="s">
        <v>3988</v>
      </c>
    </row>
    <row r="105" spans="1:9">
      <c r="A105" s="93" t="s">
        <v>4144</v>
      </c>
      <c r="B105" t="s">
        <v>1875</v>
      </c>
      <c r="C105" t="s">
        <v>2130</v>
      </c>
      <c r="D105" t="s">
        <v>2131</v>
      </c>
      <c r="E105" t="s">
        <v>108</v>
      </c>
      <c r="F105" t="s">
        <v>2132</v>
      </c>
      <c r="G105" t="s">
        <v>2970</v>
      </c>
      <c r="H105" t="s">
        <v>108</v>
      </c>
      <c r="I105" t="s">
        <v>3988</v>
      </c>
    </row>
    <row r="106" spans="1:9">
      <c r="A106" s="93" t="s">
        <v>4144</v>
      </c>
      <c r="B106" t="s">
        <v>1875</v>
      </c>
      <c r="C106" t="s">
        <v>2133</v>
      </c>
      <c r="D106" t="s">
        <v>2131</v>
      </c>
      <c r="E106" t="s">
        <v>108</v>
      </c>
      <c r="G106" t="s">
        <v>2970</v>
      </c>
      <c r="H106" t="s">
        <v>108</v>
      </c>
      <c r="I106" t="s">
        <v>3988</v>
      </c>
    </row>
    <row r="107" spans="1:9">
      <c r="A107" s="93" t="s">
        <v>4144</v>
      </c>
      <c r="B107" t="s">
        <v>1875</v>
      </c>
      <c r="C107" t="s">
        <v>2134</v>
      </c>
      <c r="E107" t="s">
        <v>2135</v>
      </c>
      <c r="F107" t="s">
        <v>2137</v>
      </c>
      <c r="G107" t="s">
        <v>2970</v>
      </c>
      <c r="H107" t="s">
        <v>2136</v>
      </c>
      <c r="I107" t="s">
        <v>3988</v>
      </c>
    </row>
    <row r="108" spans="1:9">
      <c r="A108" s="93" t="s">
        <v>4144</v>
      </c>
      <c r="B108" t="s">
        <v>1875</v>
      </c>
      <c r="C108" t="s">
        <v>2138</v>
      </c>
      <c r="D108" t="s">
        <v>2139</v>
      </c>
      <c r="E108" t="s">
        <v>108</v>
      </c>
      <c r="F108" t="s">
        <v>2140</v>
      </c>
      <c r="G108" t="s">
        <v>2970</v>
      </c>
      <c r="H108" t="s">
        <v>108</v>
      </c>
      <c r="I108" t="s">
        <v>3988</v>
      </c>
    </row>
    <row r="109" spans="1:9">
      <c r="A109" s="93" t="s">
        <v>4144</v>
      </c>
      <c r="B109" t="s">
        <v>3697</v>
      </c>
      <c r="C109" t="s">
        <v>2142</v>
      </c>
      <c r="D109" t="s">
        <v>2143</v>
      </c>
      <c r="E109" t="s">
        <v>108</v>
      </c>
      <c r="G109" t="s">
        <v>2970</v>
      </c>
      <c r="H109" t="s">
        <v>108</v>
      </c>
      <c r="I109" t="s">
        <v>3992</v>
      </c>
    </row>
    <row r="110" spans="1:9">
      <c r="A110" s="93" t="s">
        <v>4144</v>
      </c>
      <c r="B110" t="s">
        <v>3697</v>
      </c>
      <c r="C110" t="s">
        <v>2144</v>
      </c>
      <c r="D110" t="s">
        <v>2143</v>
      </c>
      <c r="E110" t="s">
        <v>2145</v>
      </c>
      <c r="G110" t="s">
        <v>2970</v>
      </c>
      <c r="H110" t="s">
        <v>108</v>
      </c>
      <c r="I110" t="s">
        <v>3992</v>
      </c>
    </row>
    <row r="111" spans="1:9">
      <c r="A111" s="93" t="s">
        <v>4144</v>
      </c>
      <c r="B111" t="s">
        <v>3697</v>
      </c>
      <c r="C111" t="s">
        <v>2146</v>
      </c>
      <c r="D111" t="s">
        <v>2143</v>
      </c>
      <c r="E111" t="s">
        <v>2147</v>
      </c>
      <c r="F111" t="s">
        <v>2148</v>
      </c>
      <c r="G111" t="s">
        <v>2970</v>
      </c>
      <c r="H111" t="s">
        <v>108</v>
      </c>
      <c r="I111" t="s">
        <v>3992</v>
      </c>
    </row>
    <row r="112" spans="1:9">
      <c r="A112" s="93" t="s">
        <v>4144</v>
      </c>
      <c r="B112" t="s">
        <v>3697</v>
      </c>
      <c r="C112" t="s">
        <v>2149</v>
      </c>
      <c r="D112" t="s">
        <v>2143</v>
      </c>
      <c r="E112" t="s">
        <v>108</v>
      </c>
      <c r="G112" t="s">
        <v>2970</v>
      </c>
      <c r="H112" t="s">
        <v>108</v>
      </c>
      <c r="I112" t="s">
        <v>3992</v>
      </c>
    </row>
    <row r="113" spans="1:9">
      <c r="A113" s="93" t="s">
        <v>4144</v>
      </c>
      <c r="B113" t="s">
        <v>1881</v>
      </c>
      <c r="C113" t="s">
        <v>2151</v>
      </c>
      <c r="D113" t="s">
        <v>2152</v>
      </c>
      <c r="E113" t="s">
        <v>2153</v>
      </c>
      <c r="G113" t="s">
        <v>2970</v>
      </c>
      <c r="H113" t="s">
        <v>108</v>
      </c>
      <c r="I113" t="s">
        <v>3996</v>
      </c>
    </row>
    <row r="114" spans="1:9">
      <c r="A114" s="93" t="s">
        <v>4144</v>
      </c>
      <c r="B114" t="s">
        <v>1881</v>
      </c>
      <c r="C114" t="s">
        <v>2154</v>
      </c>
      <c r="D114" t="s">
        <v>2155</v>
      </c>
      <c r="E114" t="s">
        <v>108</v>
      </c>
      <c r="G114" t="s">
        <v>2970</v>
      </c>
      <c r="H114" t="s">
        <v>108</v>
      </c>
      <c r="I114" t="s">
        <v>3996</v>
      </c>
    </row>
    <row r="115" spans="1:9">
      <c r="A115" s="93" t="s">
        <v>4144</v>
      </c>
      <c r="B115" t="s">
        <v>1881</v>
      </c>
      <c r="C115" t="s">
        <v>2156</v>
      </c>
      <c r="D115" t="s">
        <v>2152</v>
      </c>
      <c r="E115" t="s">
        <v>2157</v>
      </c>
      <c r="G115" t="s">
        <v>2970</v>
      </c>
      <c r="H115" t="s">
        <v>108</v>
      </c>
      <c r="I115" t="s">
        <v>3996</v>
      </c>
    </row>
    <row r="116" spans="1:9">
      <c r="A116" s="93" t="s">
        <v>4144</v>
      </c>
      <c r="B116" t="s">
        <v>1881</v>
      </c>
      <c r="C116" t="s">
        <v>2158</v>
      </c>
      <c r="D116" t="s">
        <v>2155</v>
      </c>
      <c r="E116" t="s">
        <v>2159</v>
      </c>
      <c r="F116" t="s">
        <v>2160</v>
      </c>
      <c r="G116" t="s">
        <v>2970</v>
      </c>
      <c r="H116" t="s">
        <v>108</v>
      </c>
      <c r="I116" t="s">
        <v>3996</v>
      </c>
    </row>
    <row r="117" spans="1:9">
      <c r="A117" s="93" t="s">
        <v>4144</v>
      </c>
      <c r="B117" t="s">
        <v>1881</v>
      </c>
      <c r="C117" t="s">
        <v>2161</v>
      </c>
      <c r="D117" t="s">
        <v>2162</v>
      </c>
      <c r="E117" t="s">
        <v>108</v>
      </c>
      <c r="F117" t="s">
        <v>2163</v>
      </c>
      <c r="G117" t="s">
        <v>2970</v>
      </c>
      <c r="H117" t="s">
        <v>108</v>
      </c>
      <c r="I117" t="s">
        <v>3996</v>
      </c>
    </row>
    <row r="118" spans="1:9">
      <c r="A118" s="93" t="s">
        <v>4144</v>
      </c>
      <c r="B118" t="s">
        <v>1881</v>
      </c>
      <c r="C118" t="s">
        <v>2164</v>
      </c>
      <c r="D118" t="s">
        <v>2162</v>
      </c>
      <c r="E118" t="s">
        <v>108</v>
      </c>
      <c r="G118" t="s">
        <v>2970</v>
      </c>
      <c r="H118" t="s">
        <v>108</v>
      </c>
      <c r="I118" t="s">
        <v>3996</v>
      </c>
    </row>
    <row r="119" spans="1:9">
      <c r="A119" s="93" t="s">
        <v>4144</v>
      </c>
      <c r="B119" t="s">
        <v>1882</v>
      </c>
      <c r="C119" t="s">
        <v>2166</v>
      </c>
      <c r="D119" t="s">
        <v>2167</v>
      </c>
      <c r="E119" t="s">
        <v>108</v>
      </c>
      <c r="F119" t="s">
        <v>2168</v>
      </c>
      <c r="G119" t="s">
        <v>2970</v>
      </c>
      <c r="H119" t="s">
        <v>108</v>
      </c>
      <c r="I119" t="s">
        <v>4000</v>
      </c>
    </row>
    <row r="120" spans="1:9">
      <c r="A120" s="93" t="s">
        <v>4144</v>
      </c>
      <c r="B120" t="s">
        <v>1882</v>
      </c>
      <c r="C120" t="s">
        <v>2169</v>
      </c>
      <c r="D120" t="s">
        <v>2129</v>
      </c>
      <c r="E120" t="s">
        <v>2170</v>
      </c>
      <c r="G120" t="s">
        <v>2970</v>
      </c>
      <c r="H120" t="s">
        <v>2136</v>
      </c>
      <c r="I120" t="s">
        <v>4000</v>
      </c>
    </row>
    <row r="121" spans="1:9">
      <c r="A121" s="93" t="s">
        <v>4144</v>
      </c>
      <c r="B121" t="s">
        <v>1882</v>
      </c>
      <c r="C121" t="s">
        <v>2171</v>
      </c>
      <c r="D121" t="s">
        <v>2129</v>
      </c>
      <c r="E121" t="s">
        <v>2135</v>
      </c>
      <c r="G121" t="s">
        <v>2970</v>
      </c>
      <c r="H121" t="s">
        <v>2136</v>
      </c>
      <c r="I121" t="s">
        <v>4000</v>
      </c>
    </row>
    <row r="122" spans="1:9">
      <c r="A122" s="93" t="s">
        <v>4144</v>
      </c>
      <c r="B122" t="s">
        <v>1882</v>
      </c>
      <c r="C122" t="s">
        <v>2172</v>
      </c>
      <c r="D122" t="s">
        <v>2129</v>
      </c>
      <c r="E122" t="s">
        <v>2135</v>
      </c>
      <c r="G122" t="s">
        <v>2970</v>
      </c>
      <c r="H122" t="s">
        <v>2136</v>
      </c>
      <c r="I122" t="s">
        <v>4000</v>
      </c>
    </row>
    <row r="123" spans="1:9">
      <c r="A123" s="93" t="s">
        <v>4144</v>
      </c>
      <c r="B123" t="s">
        <v>1882</v>
      </c>
      <c r="C123" t="s">
        <v>2173</v>
      </c>
      <c r="D123" t="s">
        <v>2174</v>
      </c>
      <c r="E123" t="s">
        <v>2135</v>
      </c>
      <c r="G123" t="s">
        <v>2970</v>
      </c>
      <c r="H123" t="s">
        <v>2136</v>
      </c>
      <c r="I123" t="s">
        <v>4000</v>
      </c>
    </row>
    <row r="124" spans="1:9">
      <c r="A124" s="93" t="s">
        <v>4144</v>
      </c>
      <c r="B124" t="s">
        <v>1882</v>
      </c>
      <c r="C124" t="s">
        <v>2175</v>
      </c>
      <c r="E124" t="s">
        <v>2135</v>
      </c>
      <c r="G124" t="s">
        <v>2970</v>
      </c>
      <c r="H124" t="s">
        <v>2136</v>
      </c>
      <c r="I124" t="s">
        <v>4000</v>
      </c>
    </row>
    <row r="125" spans="1:9">
      <c r="A125" s="93" t="s">
        <v>4144</v>
      </c>
      <c r="B125" t="s">
        <v>1882</v>
      </c>
      <c r="C125" t="s">
        <v>2176</v>
      </c>
      <c r="E125" t="s">
        <v>2135</v>
      </c>
      <c r="G125" t="s">
        <v>2970</v>
      </c>
      <c r="H125" t="s">
        <v>2136</v>
      </c>
      <c r="I125" t="s">
        <v>4000</v>
      </c>
    </row>
    <row r="126" spans="1:9">
      <c r="A126" s="93" t="s">
        <v>4144</v>
      </c>
      <c r="B126" t="s">
        <v>1882</v>
      </c>
      <c r="C126" t="s">
        <v>2177</v>
      </c>
      <c r="E126" t="s">
        <v>2135</v>
      </c>
      <c r="G126" t="s">
        <v>2970</v>
      </c>
      <c r="H126" t="s">
        <v>2136</v>
      </c>
      <c r="I126" t="s">
        <v>4000</v>
      </c>
    </row>
    <row r="127" spans="1:9">
      <c r="A127" s="93" t="s">
        <v>4144</v>
      </c>
      <c r="B127" t="s">
        <v>1884</v>
      </c>
      <c r="C127" t="s">
        <v>2179</v>
      </c>
      <c r="D127" t="s">
        <v>2180</v>
      </c>
      <c r="E127" t="s">
        <v>108</v>
      </c>
      <c r="G127" t="s">
        <v>2970</v>
      </c>
      <c r="H127" t="s">
        <v>108</v>
      </c>
      <c r="I127" t="s">
        <v>4002</v>
      </c>
    </row>
    <row r="128" spans="1:9">
      <c r="A128" s="93" t="s">
        <v>4144</v>
      </c>
      <c r="B128" t="s">
        <v>1884</v>
      </c>
      <c r="C128" t="s">
        <v>2181</v>
      </c>
      <c r="D128" t="s">
        <v>2182</v>
      </c>
      <c r="E128" t="s">
        <v>108</v>
      </c>
      <c r="G128" t="s">
        <v>2970</v>
      </c>
      <c r="H128" t="s">
        <v>108</v>
      </c>
      <c r="I128" t="s">
        <v>4002</v>
      </c>
    </row>
    <row r="129" spans="1:9">
      <c r="A129" s="93" t="s">
        <v>4144</v>
      </c>
      <c r="B129" t="s">
        <v>1884</v>
      </c>
      <c r="C129" t="s">
        <v>2183</v>
      </c>
      <c r="D129" t="s">
        <v>2182</v>
      </c>
      <c r="E129" t="s">
        <v>2184</v>
      </c>
      <c r="F129" t="s">
        <v>2185</v>
      </c>
      <c r="G129" t="s">
        <v>2970</v>
      </c>
      <c r="H129" t="s">
        <v>108</v>
      </c>
      <c r="I129" t="s">
        <v>4002</v>
      </c>
    </row>
    <row r="130" spans="1:9">
      <c r="A130" s="93" t="s">
        <v>4144</v>
      </c>
      <c r="B130" t="s">
        <v>1884</v>
      </c>
      <c r="C130" t="s">
        <v>2186</v>
      </c>
      <c r="D130" t="s">
        <v>2187</v>
      </c>
      <c r="E130" t="s">
        <v>108</v>
      </c>
      <c r="G130" t="s">
        <v>2970</v>
      </c>
      <c r="H130" t="s">
        <v>108</v>
      </c>
      <c r="I130" t="s">
        <v>4002</v>
      </c>
    </row>
    <row r="131" spans="1:9">
      <c r="A131" s="93" t="s">
        <v>4144</v>
      </c>
      <c r="B131" t="s">
        <v>1884</v>
      </c>
      <c r="C131" t="s">
        <v>2188</v>
      </c>
      <c r="E131" t="s">
        <v>2189</v>
      </c>
      <c r="G131" t="s">
        <v>2970</v>
      </c>
      <c r="H131" t="s">
        <v>108</v>
      </c>
      <c r="I131" t="s">
        <v>4002</v>
      </c>
    </row>
    <row r="132" spans="1:9">
      <c r="A132" s="93" t="s">
        <v>4144</v>
      </c>
      <c r="B132" t="s">
        <v>1884</v>
      </c>
      <c r="C132" t="s">
        <v>2190</v>
      </c>
      <c r="E132" t="s">
        <v>2135</v>
      </c>
      <c r="G132" t="s">
        <v>2970</v>
      </c>
      <c r="H132" t="s">
        <v>2136</v>
      </c>
      <c r="I132" t="s">
        <v>4002</v>
      </c>
    </row>
    <row r="133" spans="1:9">
      <c r="A133" s="93" t="s">
        <v>4144</v>
      </c>
      <c r="B133" t="s">
        <v>1884</v>
      </c>
      <c r="C133" t="s">
        <v>2191</v>
      </c>
      <c r="E133" t="s">
        <v>2135</v>
      </c>
      <c r="G133" t="s">
        <v>2970</v>
      </c>
      <c r="H133" t="s">
        <v>2136</v>
      </c>
      <c r="I133" t="s">
        <v>4002</v>
      </c>
    </row>
    <row r="134" spans="1:9">
      <c r="A134" s="93" t="s">
        <v>4144</v>
      </c>
      <c r="B134" t="s">
        <v>1884</v>
      </c>
      <c r="C134" t="s">
        <v>2192</v>
      </c>
      <c r="D134" t="s">
        <v>2182</v>
      </c>
      <c r="E134" t="s">
        <v>2193</v>
      </c>
      <c r="G134" t="s">
        <v>2970</v>
      </c>
      <c r="H134" t="s">
        <v>2193</v>
      </c>
      <c r="I134" t="s">
        <v>4002</v>
      </c>
    </row>
    <row r="135" spans="1:9">
      <c r="A135" s="93" t="s">
        <v>4144</v>
      </c>
      <c r="B135" t="s">
        <v>1884</v>
      </c>
      <c r="C135" t="s">
        <v>2194</v>
      </c>
      <c r="D135" t="s">
        <v>2187</v>
      </c>
      <c r="E135" t="s">
        <v>108</v>
      </c>
      <c r="G135" t="s">
        <v>2970</v>
      </c>
      <c r="H135" t="s">
        <v>108</v>
      </c>
      <c r="I135" t="s">
        <v>4002</v>
      </c>
    </row>
    <row r="136" spans="1:9">
      <c r="A136" s="93" t="s">
        <v>4144</v>
      </c>
      <c r="B136" t="s">
        <v>1889</v>
      </c>
      <c r="C136" t="s">
        <v>2196</v>
      </c>
      <c r="E136" t="s">
        <v>2193</v>
      </c>
      <c r="G136" t="s">
        <v>2970</v>
      </c>
      <c r="H136" t="s">
        <v>2193</v>
      </c>
      <c r="I136" t="s">
        <v>4004</v>
      </c>
    </row>
    <row r="137" spans="1:9">
      <c r="A137" s="93" t="s">
        <v>4144</v>
      </c>
      <c r="B137" t="s">
        <v>1889</v>
      </c>
      <c r="C137" t="s">
        <v>2197</v>
      </c>
      <c r="E137" t="s">
        <v>2193</v>
      </c>
      <c r="G137" t="s">
        <v>2970</v>
      </c>
      <c r="H137" t="s">
        <v>2193</v>
      </c>
      <c r="I137" t="s">
        <v>4004</v>
      </c>
    </row>
    <row r="138" spans="1:9">
      <c r="A138" s="93" t="s">
        <v>4144</v>
      </c>
      <c r="B138" t="s">
        <v>1889</v>
      </c>
      <c r="C138" t="s">
        <v>2198</v>
      </c>
      <c r="E138" t="s">
        <v>2199</v>
      </c>
      <c r="G138" t="s">
        <v>2970</v>
      </c>
      <c r="H138" t="s">
        <v>2193</v>
      </c>
      <c r="I138" t="s">
        <v>4004</v>
      </c>
    </row>
    <row r="139" spans="1:9">
      <c r="A139" s="93" t="s">
        <v>4144</v>
      </c>
      <c r="B139" t="s">
        <v>1889</v>
      </c>
      <c r="C139" t="s">
        <v>2200</v>
      </c>
      <c r="D139" t="s">
        <v>2182</v>
      </c>
      <c r="E139" t="s">
        <v>108</v>
      </c>
      <c r="G139" t="s">
        <v>2970</v>
      </c>
      <c r="H139" t="s">
        <v>108</v>
      </c>
      <c r="I139" t="s">
        <v>4004</v>
      </c>
    </row>
    <row r="140" spans="1:9">
      <c r="A140" s="93" t="s">
        <v>4144</v>
      </c>
      <c r="B140" t="s">
        <v>1889</v>
      </c>
      <c r="C140" t="s">
        <v>2201</v>
      </c>
      <c r="D140" t="s">
        <v>2182</v>
      </c>
      <c r="E140" t="s">
        <v>108</v>
      </c>
      <c r="G140" t="s">
        <v>2970</v>
      </c>
      <c r="H140" t="s">
        <v>108</v>
      </c>
      <c r="I140" t="s">
        <v>4004</v>
      </c>
    </row>
    <row r="141" spans="1:9">
      <c r="A141" s="93" t="s">
        <v>4144</v>
      </c>
      <c r="B141" t="s">
        <v>1889</v>
      </c>
      <c r="C141" t="s">
        <v>2202</v>
      </c>
      <c r="D141" t="s">
        <v>2174</v>
      </c>
      <c r="E141" t="s">
        <v>108</v>
      </c>
      <c r="G141" t="s">
        <v>2970</v>
      </c>
      <c r="H141" t="s">
        <v>108</v>
      </c>
      <c r="I141" t="s">
        <v>4004</v>
      </c>
    </row>
    <row r="142" spans="1:9">
      <c r="A142" s="93" t="s">
        <v>4144</v>
      </c>
      <c r="B142" t="s">
        <v>1889</v>
      </c>
      <c r="C142" t="s">
        <v>2203</v>
      </c>
      <c r="D142" t="s">
        <v>2204</v>
      </c>
      <c r="E142" t="s">
        <v>2193</v>
      </c>
      <c r="G142" t="s">
        <v>2970</v>
      </c>
      <c r="H142" t="s">
        <v>2193</v>
      </c>
      <c r="I142" t="s">
        <v>4004</v>
      </c>
    </row>
    <row r="143" spans="1:9">
      <c r="A143" s="93" t="s">
        <v>4144</v>
      </c>
      <c r="B143" t="s">
        <v>1889</v>
      </c>
      <c r="C143" t="s">
        <v>2205</v>
      </c>
      <c r="D143" t="s">
        <v>2204</v>
      </c>
      <c r="E143" t="s">
        <v>2193</v>
      </c>
      <c r="G143" t="s">
        <v>2970</v>
      </c>
      <c r="H143" t="s">
        <v>2193</v>
      </c>
      <c r="I143" t="s">
        <v>4004</v>
      </c>
    </row>
    <row r="144" spans="1:9">
      <c r="A144" s="93" t="s">
        <v>4144</v>
      </c>
      <c r="B144" t="s">
        <v>1889</v>
      </c>
      <c r="C144" t="s">
        <v>2206</v>
      </c>
      <c r="E144" t="s">
        <v>2135</v>
      </c>
      <c r="G144" t="s">
        <v>2970</v>
      </c>
      <c r="H144" t="s">
        <v>2136</v>
      </c>
      <c r="I144" t="s">
        <v>4004</v>
      </c>
    </row>
    <row r="145" spans="1:9">
      <c r="A145" s="93" t="s">
        <v>4144</v>
      </c>
      <c r="B145" t="s">
        <v>1889</v>
      </c>
      <c r="C145" t="s">
        <v>2207</v>
      </c>
      <c r="D145" t="s">
        <v>2204</v>
      </c>
      <c r="E145" t="s">
        <v>108</v>
      </c>
      <c r="F145" t="s">
        <v>2208</v>
      </c>
      <c r="G145" t="s">
        <v>2970</v>
      </c>
      <c r="H145" t="s">
        <v>108</v>
      </c>
      <c r="I145" t="s">
        <v>4004</v>
      </c>
    </row>
    <row r="146" spans="1:9">
      <c r="A146" s="93" t="s">
        <v>4144</v>
      </c>
      <c r="B146" t="s">
        <v>1891</v>
      </c>
      <c r="C146" t="s">
        <v>2210</v>
      </c>
      <c r="D146" t="s">
        <v>2211</v>
      </c>
      <c r="E146" t="s">
        <v>108</v>
      </c>
      <c r="G146" t="s">
        <v>2970</v>
      </c>
      <c r="H146" t="s">
        <v>108</v>
      </c>
      <c r="I146" t="s">
        <v>4008</v>
      </c>
    </row>
    <row r="147" spans="1:9">
      <c r="A147" s="93" t="s">
        <v>4144</v>
      </c>
      <c r="B147" t="s">
        <v>1891</v>
      </c>
      <c r="C147" t="s">
        <v>2212</v>
      </c>
      <c r="D147" t="s">
        <v>2213</v>
      </c>
      <c r="E147" t="s">
        <v>108</v>
      </c>
      <c r="G147" t="s">
        <v>2970</v>
      </c>
      <c r="H147" t="s">
        <v>108</v>
      </c>
      <c r="I147" t="s">
        <v>4008</v>
      </c>
    </row>
    <row r="148" spans="1:9">
      <c r="A148" s="93" t="s">
        <v>4144</v>
      </c>
      <c r="B148" t="s">
        <v>1891</v>
      </c>
      <c r="C148" t="s">
        <v>2214</v>
      </c>
      <c r="D148" t="s">
        <v>2213</v>
      </c>
      <c r="E148" t="s">
        <v>108</v>
      </c>
      <c r="G148" t="s">
        <v>2970</v>
      </c>
      <c r="H148" t="s">
        <v>108</v>
      </c>
      <c r="I148" t="s">
        <v>4008</v>
      </c>
    </row>
    <row r="149" spans="1:9">
      <c r="A149" s="93" t="s">
        <v>4144</v>
      </c>
      <c r="B149" t="s">
        <v>1893</v>
      </c>
      <c r="C149" t="s">
        <v>2216</v>
      </c>
      <c r="D149" t="s">
        <v>2217</v>
      </c>
      <c r="E149" t="s">
        <v>2193</v>
      </c>
      <c r="F149" t="s">
        <v>2218</v>
      </c>
      <c r="G149" t="s">
        <v>2970</v>
      </c>
      <c r="H149" t="s">
        <v>2193</v>
      </c>
      <c r="I149" t="s">
        <v>4012</v>
      </c>
    </row>
    <row r="150" spans="1:9">
      <c r="A150" s="93" t="s">
        <v>4144</v>
      </c>
      <c r="B150" t="s">
        <v>1893</v>
      </c>
      <c r="C150" t="s">
        <v>2219</v>
      </c>
      <c r="D150" t="s">
        <v>2220</v>
      </c>
      <c r="E150" t="s">
        <v>108</v>
      </c>
      <c r="F150" t="s">
        <v>2221</v>
      </c>
      <c r="G150" t="s">
        <v>2970</v>
      </c>
      <c r="H150" t="s">
        <v>108</v>
      </c>
      <c r="I150" t="s">
        <v>4012</v>
      </c>
    </row>
    <row r="151" spans="1:9">
      <c r="A151" s="93" t="s">
        <v>4144</v>
      </c>
      <c r="B151" t="s">
        <v>1893</v>
      </c>
      <c r="C151" t="s">
        <v>2222</v>
      </c>
      <c r="D151" t="s">
        <v>2223</v>
      </c>
      <c r="E151" t="s">
        <v>108</v>
      </c>
      <c r="F151" t="s">
        <v>2224</v>
      </c>
      <c r="G151" t="s">
        <v>2970</v>
      </c>
      <c r="H151" t="s">
        <v>108</v>
      </c>
      <c r="I151" t="s">
        <v>4012</v>
      </c>
    </row>
    <row r="152" spans="1:9">
      <c r="A152" s="93" t="s">
        <v>4144</v>
      </c>
      <c r="B152" t="s">
        <v>1893</v>
      </c>
      <c r="C152" t="s">
        <v>2225</v>
      </c>
      <c r="D152" t="s">
        <v>2226</v>
      </c>
      <c r="E152" t="s">
        <v>108</v>
      </c>
      <c r="F152" t="s">
        <v>2227</v>
      </c>
      <c r="G152" t="s">
        <v>2970</v>
      </c>
      <c r="H152" t="s">
        <v>108</v>
      </c>
      <c r="I152" t="s">
        <v>4012</v>
      </c>
    </row>
    <row r="153" spans="1:9">
      <c r="A153" s="93" t="s">
        <v>4144</v>
      </c>
      <c r="B153" t="s">
        <v>1893</v>
      </c>
      <c r="C153" t="s">
        <v>2228</v>
      </c>
      <c r="E153" t="s">
        <v>2135</v>
      </c>
      <c r="G153" t="s">
        <v>2970</v>
      </c>
      <c r="H153" t="s">
        <v>2136</v>
      </c>
      <c r="I153" t="s">
        <v>4012</v>
      </c>
    </row>
    <row r="154" spans="1:9">
      <c r="A154" s="93" t="s">
        <v>4144</v>
      </c>
      <c r="B154" t="s">
        <v>1896</v>
      </c>
      <c r="C154" t="s">
        <v>2230</v>
      </c>
      <c r="D154" t="s">
        <v>2220</v>
      </c>
      <c r="E154" t="s">
        <v>108</v>
      </c>
      <c r="F154" t="s">
        <v>2231</v>
      </c>
      <c r="G154" t="s">
        <v>2970</v>
      </c>
      <c r="H154" t="s">
        <v>108</v>
      </c>
      <c r="I154" t="s">
        <v>4016</v>
      </c>
    </row>
    <row r="155" spans="1:9">
      <c r="A155" s="93" t="s">
        <v>4144</v>
      </c>
      <c r="B155" t="s">
        <v>1896</v>
      </c>
      <c r="C155" t="s">
        <v>2232</v>
      </c>
      <c r="D155" t="s">
        <v>2220</v>
      </c>
      <c r="E155" t="s">
        <v>108</v>
      </c>
      <c r="G155" t="s">
        <v>2970</v>
      </c>
      <c r="H155" t="s">
        <v>108</v>
      </c>
      <c r="I155" t="s">
        <v>4016</v>
      </c>
    </row>
    <row r="156" spans="1:9">
      <c r="A156" s="93" t="s">
        <v>4144</v>
      </c>
      <c r="B156" t="s">
        <v>1896</v>
      </c>
      <c r="C156" t="s">
        <v>2233</v>
      </c>
      <c r="D156" t="s">
        <v>2234</v>
      </c>
      <c r="E156" t="s">
        <v>108</v>
      </c>
      <c r="F156" t="s">
        <v>2235</v>
      </c>
      <c r="G156" t="s">
        <v>2970</v>
      </c>
      <c r="H156" t="s">
        <v>108</v>
      </c>
      <c r="I156" t="s">
        <v>4016</v>
      </c>
    </row>
    <row r="157" spans="1:9">
      <c r="A157" s="93" t="s">
        <v>4144</v>
      </c>
      <c r="B157" t="s">
        <v>1896</v>
      </c>
      <c r="C157" t="s">
        <v>2236</v>
      </c>
      <c r="D157" t="s">
        <v>2237</v>
      </c>
      <c r="E157" t="s">
        <v>108</v>
      </c>
      <c r="F157" t="s">
        <v>2231</v>
      </c>
      <c r="G157" t="s">
        <v>2970</v>
      </c>
      <c r="H157" t="s">
        <v>108</v>
      </c>
      <c r="I157" t="s">
        <v>4016</v>
      </c>
    </row>
    <row r="158" spans="1:9">
      <c r="A158" s="93" t="s">
        <v>4144</v>
      </c>
      <c r="B158" t="s">
        <v>1896</v>
      </c>
      <c r="C158" t="s">
        <v>2238</v>
      </c>
      <c r="D158" t="s">
        <v>2237</v>
      </c>
      <c r="E158" t="s">
        <v>108</v>
      </c>
      <c r="F158" t="s">
        <v>2239</v>
      </c>
      <c r="G158" t="s">
        <v>2970</v>
      </c>
      <c r="H158" t="s">
        <v>108</v>
      </c>
      <c r="I158" t="s">
        <v>4016</v>
      </c>
    </row>
    <row r="159" spans="1:9">
      <c r="A159" s="93" t="s">
        <v>4144</v>
      </c>
      <c r="B159" t="s">
        <v>1896</v>
      </c>
      <c r="C159" t="s">
        <v>2240</v>
      </c>
      <c r="D159" t="s">
        <v>2241</v>
      </c>
      <c r="E159" t="s">
        <v>2193</v>
      </c>
      <c r="G159" t="s">
        <v>2970</v>
      </c>
      <c r="H159" t="s">
        <v>2193</v>
      </c>
      <c r="I159" t="s">
        <v>4016</v>
      </c>
    </row>
    <row r="160" spans="1:9">
      <c r="A160" s="93" t="s">
        <v>4144</v>
      </c>
      <c r="B160" t="s">
        <v>1896</v>
      </c>
      <c r="C160" t="s">
        <v>2242</v>
      </c>
      <c r="D160" t="s">
        <v>2220</v>
      </c>
      <c r="E160" t="s">
        <v>2243</v>
      </c>
      <c r="F160" t="s">
        <v>2244</v>
      </c>
      <c r="G160" t="s">
        <v>2970</v>
      </c>
      <c r="H160" t="s">
        <v>2974</v>
      </c>
      <c r="I160" t="s">
        <v>4016</v>
      </c>
    </row>
    <row r="161" spans="1:9">
      <c r="A161" s="93" t="s">
        <v>4144</v>
      </c>
      <c r="B161" t="s">
        <v>1896</v>
      </c>
      <c r="C161" t="s">
        <v>2245</v>
      </c>
      <c r="D161" t="s">
        <v>2241</v>
      </c>
      <c r="E161" t="s">
        <v>2246</v>
      </c>
      <c r="G161" t="s">
        <v>2970</v>
      </c>
      <c r="H161" t="s">
        <v>108</v>
      </c>
      <c r="I161" t="s">
        <v>4016</v>
      </c>
    </row>
    <row r="162" spans="1:9">
      <c r="A162" s="93" t="s">
        <v>4144</v>
      </c>
      <c r="B162" t="s">
        <v>1896</v>
      </c>
      <c r="C162" t="s">
        <v>2247</v>
      </c>
      <c r="D162" t="s">
        <v>2248</v>
      </c>
      <c r="E162" t="s">
        <v>108</v>
      </c>
      <c r="F162" t="s">
        <v>2249</v>
      </c>
      <c r="G162" t="s">
        <v>2970</v>
      </c>
      <c r="H162" t="s">
        <v>108</v>
      </c>
      <c r="I162" t="s">
        <v>4016</v>
      </c>
    </row>
    <row r="163" spans="1:9">
      <c r="A163" s="93" t="s">
        <v>4144</v>
      </c>
      <c r="B163" t="s">
        <v>1898</v>
      </c>
      <c r="C163" t="s">
        <v>2251</v>
      </c>
      <c r="D163" t="s">
        <v>2252</v>
      </c>
      <c r="E163" t="s">
        <v>108</v>
      </c>
      <c r="G163" t="s">
        <v>2970</v>
      </c>
      <c r="H163" t="s">
        <v>108</v>
      </c>
      <c r="I163" t="s">
        <v>4020</v>
      </c>
    </row>
    <row r="164" spans="1:9">
      <c r="A164" s="93" t="s">
        <v>4144</v>
      </c>
      <c r="B164" t="s">
        <v>1898</v>
      </c>
      <c r="C164" t="s">
        <v>2253</v>
      </c>
      <c r="D164" t="s">
        <v>2252</v>
      </c>
      <c r="E164" t="s">
        <v>2193</v>
      </c>
      <c r="F164" t="s">
        <v>2254</v>
      </c>
      <c r="G164" t="s">
        <v>2970</v>
      </c>
      <c r="H164" t="s">
        <v>2193</v>
      </c>
      <c r="I164" t="s">
        <v>4020</v>
      </c>
    </row>
    <row r="165" spans="1:9">
      <c r="A165" s="93" t="s">
        <v>4144</v>
      </c>
      <c r="B165" t="s">
        <v>1898</v>
      </c>
      <c r="C165" t="s">
        <v>2255</v>
      </c>
      <c r="D165" t="s">
        <v>2256</v>
      </c>
      <c r="E165" t="s">
        <v>2257</v>
      </c>
      <c r="G165" t="s">
        <v>2970</v>
      </c>
      <c r="H165" t="s">
        <v>108</v>
      </c>
      <c r="I165" t="s">
        <v>4020</v>
      </c>
    </row>
    <row r="166" spans="1:9">
      <c r="A166" s="93" t="s">
        <v>4144</v>
      </c>
      <c r="B166" t="s">
        <v>1898</v>
      </c>
      <c r="C166" t="s">
        <v>2258</v>
      </c>
      <c r="D166" t="s">
        <v>2259</v>
      </c>
      <c r="E166" t="s">
        <v>2260</v>
      </c>
      <c r="F166" t="s">
        <v>2261</v>
      </c>
      <c r="G166" t="s">
        <v>2970</v>
      </c>
      <c r="H166" t="s">
        <v>2964</v>
      </c>
      <c r="I166" t="s">
        <v>4020</v>
      </c>
    </row>
    <row r="167" spans="1:9">
      <c r="A167" s="93" t="s">
        <v>4144</v>
      </c>
      <c r="B167" t="s">
        <v>1898</v>
      </c>
      <c r="C167" t="s">
        <v>2262</v>
      </c>
      <c r="D167" t="s">
        <v>2259</v>
      </c>
      <c r="E167" t="s">
        <v>2147</v>
      </c>
      <c r="F167" t="s">
        <v>2263</v>
      </c>
      <c r="G167" t="s">
        <v>2970</v>
      </c>
      <c r="H167" t="s">
        <v>108</v>
      </c>
      <c r="I167" t="s">
        <v>4020</v>
      </c>
    </row>
    <row r="168" spans="1:9">
      <c r="A168" s="93" t="s">
        <v>4144</v>
      </c>
      <c r="B168" t="s">
        <v>1898</v>
      </c>
      <c r="C168" t="s">
        <v>2264</v>
      </c>
      <c r="D168" t="s">
        <v>2252</v>
      </c>
      <c r="E168" t="s">
        <v>2265</v>
      </c>
      <c r="G168" t="s">
        <v>2970</v>
      </c>
      <c r="H168" t="s">
        <v>108</v>
      </c>
      <c r="I168" t="s">
        <v>4020</v>
      </c>
    </row>
    <row r="169" spans="1:9">
      <c r="A169" s="93" t="s">
        <v>4144</v>
      </c>
      <c r="B169" t="s">
        <v>1898</v>
      </c>
      <c r="C169" t="s">
        <v>2266</v>
      </c>
      <c r="D169" t="s">
        <v>2252</v>
      </c>
      <c r="E169" t="s">
        <v>2267</v>
      </c>
      <c r="F169" t="s">
        <v>2268</v>
      </c>
      <c r="G169" t="s">
        <v>2970</v>
      </c>
      <c r="H169" t="s">
        <v>108</v>
      </c>
      <c r="I169" t="s">
        <v>4020</v>
      </c>
    </row>
    <row r="170" spans="1:9">
      <c r="A170" s="93" t="s">
        <v>4144</v>
      </c>
      <c r="B170" t="s">
        <v>1898</v>
      </c>
      <c r="C170" t="s">
        <v>2269</v>
      </c>
      <c r="D170" t="s">
        <v>2252</v>
      </c>
      <c r="E170" t="s">
        <v>2270</v>
      </c>
      <c r="G170" t="s">
        <v>2970</v>
      </c>
      <c r="H170" t="s">
        <v>108</v>
      </c>
      <c r="I170" t="s">
        <v>4020</v>
      </c>
    </row>
    <row r="171" spans="1:9">
      <c r="A171" s="93" t="s">
        <v>4144</v>
      </c>
      <c r="B171" t="s">
        <v>1902</v>
      </c>
      <c r="C171" t="s">
        <v>2272</v>
      </c>
      <c r="D171" t="s">
        <v>2273</v>
      </c>
      <c r="E171" t="s">
        <v>2274</v>
      </c>
      <c r="F171" t="s">
        <v>2275</v>
      </c>
      <c r="G171" t="s">
        <v>2970</v>
      </c>
      <c r="H171" t="s">
        <v>108</v>
      </c>
      <c r="I171" t="s">
        <v>4024</v>
      </c>
    </row>
    <row r="172" spans="1:9">
      <c r="A172" s="93" t="s">
        <v>4144</v>
      </c>
      <c r="B172" t="s">
        <v>1902</v>
      </c>
      <c r="C172" t="s">
        <v>2276</v>
      </c>
      <c r="D172" t="s">
        <v>2248</v>
      </c>
      <c r="E172" t="s">
        <v>2277</v>
      </c>
      <c r="F172" t="s">
        <v>2278</v>
      </c>
      <c r="G172" t="s">
        <v>2970</v>
      </c>
      <c r="H172" t="s">
        <v>108</v>
      </c>
      <c r="I172" t="s">
        <v>4024</v>
      </c>
    </row>
    <row r="173" spans="1:9">
      <c r="A173" s="93" t="s">
        <v>4144</v>
      </c>
      <c r="B173" t="s">
        <v>1902</v>
      </c>
      <c r="C173" t="s">
        <v>2279</v>
      </c>
      <c r="D173" t="s">
        <v>2280</v>
      </c>
      <c r="E173" t="s">
        <v>2281</v>
      </c>
      <c r="F173" t="s">
        <v>2282</v>
      </c>
      <c r="G173" t="s">
        <v>2970</v>
      </c>
      <c r="H173" t="s">
        <v>108</v>
      </c>
      <c r="I173" t="s">
        <v>4024</v>
      </c>
    </row>
    <row r="174" spans="1:9">
      <c r="A174" s="93" t="s">
        <v>4144</v>
      </c>
      <c r="B174" t="s">
        <v>1902</v>
      </c>
      <c r="C174" t="s">
        <v>2283</v>
      </c>
      <c r="D174" t="s">
        <v>2273</v>
      </c>
      <c r="E174" t="s">
        <v>108</v>
      </c>
      <c r="F174" t="s">
        <v>2284</v>
      </c>
      <c r="G174" t="s">
        <v>2970</v>
      </c>
      <c r="H174" t="s">
        <v>108</v>
      </c>
      <c r="I174" t="s">
        <v>4024</v>
      </c>
    </row>
    <row r="175" spans="1:9">
      <c r="A175" s="93" t="s">
        <v>4144</v>
      </c>
      <c r="B175" t="s">
        <v>1902</v>
      </c>
      <c r="C175" t="s">
        <v>2285</v>
      </c>
      <c r="E175" t="s">
        <v>2135</v>
      </c>
      <c r="G175" t="s">
        <v>2970</v>
      </c>
      <c r="H175" t="s">
        <v>2136</v>
      </c>
      <c r="I175" t="s">
        <v>4024</v>
      </c>
    </row>
    <row r="176" spans="1:9">
      <c r="A176" s="93" t="s">
        <v>4144</v>
      </c>
      <c r="B176" t="s">
        <v>1902</v>
      </c>
      <c r="C176" t="s">
        <v>2286</v>
      </c>
      <c r="E176" t="s">
        <v>108</v>
      </c>
      <c r="G176" t="s">
        <v>2970</v>
      </c>
      <c r="H176" t="s">
        <v>108</v>
      </c>
      <c r="I176" t="s">
        <v>4024</v>
      </c>
    </row>
    <row r="177" spans="1:9">
      <c r="A177" s="93" t="s">
        <v>4144</v>
      </c>
      <c r="B177" t="s">
        <v>1902</v>
      </c>
      <c r="C177" t="s">
        <v>2287</v>
      </c>
      <c r="D177" t="s">
        <v>2273</v>
      </c>
      <c r="E177" t="s">
        <v>2288</v>
      </c>
      <c r="F177" t="s">
        <v>2289</v>
      </c>
      <c r="G177" t="s">
        <v>2970</v>
      </c>
      <c r="H177" t="s">
        <v>2288</v>
      </c>
      <c r="I177" t="s">
        <v>4024</v>
      </c>
    </row>
    <row r="178" spans="1:9">
      <c r="A178" s="93" t="s">
        <v>4144</v>
      </c>
      <c r="B178" t="s">
        <v>3926</v>
      </c>
      <c r="C178" t="s">
        <v>2291</v>
      </c>
      <c r="E178" t="s">
        <v>2135</v>
      </c>
      <c r="F178" t="s">
        <v>2292</v>
      </c>
      <c r="G178" t="s">
        <v>2970</v>
      </c>
      <c r="H178" t="s">
        <v>2136</v>
      </c>
    </row>
    <row r="179" spans="1:9">
      <c r="A179" s="93" t="s">
        <v>4144</v>
      </c>
      <c r="B179" t="s">
        <v>3926</v>
      </c>
      <c r="C179" t="s">
        <v>2293</v>
      </c>
      <c r="D179" t="s">
        <v>2294</v>
      </c>
      <c r="E179" t="s">
        <v>2295</v>
      </c>
      <c r="F179" t="s">
        <v>2296</v>
      </c>
      <c r="G179" t="s">
        <v>2970</v>
      </c>
      <c r="H179" t="s">
        <v>108</v>
      </c>
    </row>
    <row r="180" spans="1:9">
      <c r="A180" s="93" t="s">
        <v>4144</v>
      </c>
      <c r="B180" t="s">
        <v>3926</v>
      </c>
      <c r="C180" t="s">
        <v>2297</v>
      </c>
      <c r="D180" t="s">
        <v>2298</v>
      </c>
      <c r="E180" t="s">
        <v>108</v>
      </c>
      <c r="F180" t="s">
        <v>2299</v>
      </c>
      <c r="G180" t="s">
        <v>2970</v>
      </c>
      <c r="H180" t="s">
        <v>108</v>
      </c>
    </row>
    <row r="181" spans="1:9">
      <c r="A181" s="93" t="s">
        <v>4144</v>
      </c>
      <c r="B181" t="s">
        <v>3926</v>
      </c>
      <c r="C181" t="s">
        <v>2300</v>
      </c>
      <c r="D181" t="s">
        <v>2294</v>
      </c>
      <c r="E181" t="s">
        <v>108</v>
      </c>
      <c r="F181" t="s">
        <v>2299</v>
      </c>
      <c r="G181" t="s">
        <v>2970</v>
      </c>
      <c r="H181" t="s">
        <v>108</v>
      </c>
    </row>
    <row r="182" spans="1:9">
      <c r="A182" s="93" t="s">
        <v>4144</v>
      </c>
      <c r="B182" t="s">
        <v>3926</v>
      </c>
      <c r="C182" t="s">
        <v>2301</v>
      </c>
      <c r="D182" t="s">
        <v>2302</v>
      </c>
      <c r="E182" t="s">
        <v>2193</v>
      </c>
      <c r="F182" t="s">
        <v>2303</v>
      </c>
      <c r="G182" t="s">
        <v>2970</v>
      </c>
      <c r="H182" t="s">
        <v>2193</v>
      </c>
    </row>
    <row r="183" spans="1:9">
      <c r="A183" s="93" t="s">
        <v>4144</v>
      </c>
      <c r="B183" t="s">
        <v>3926</v>
      </c>
      <c r="C183" t="s">
        <v>2304</v>
      </c>
      <c r="D183" t="s">
        <v>2305</v>
      </c>
      <c r="E183" t="s">
        <v>2257</v>
      </c>
      <c r="F183" t="s">
        <v>2306</v>
      </c>
      <c r="G183" t="s">
        <v>2970</v>
      </c>
      <c r="H183" t="s">
        <v>108</v>
      </c>
    </row>
    <row r="184" spans="1:9">
      <c r="A184" s="93" t="s">
        <v>4146</v>
      </c>
      <c r="B184" t="s">
        <v>1874</v>
      </c>
      <c r="C184" t="s">
        <v>2352</v>
      </c>
      <c r="E184" t="s">
        <v>1201</v>
      </c>
      <c r="G184" t="s">
        <v>2970</v>
      </c>
      <c r="H184" t="s">
        <v>1201</v>
      </c>
      <c r="I184" t="s">
        <v>3984</v>
      </c>
    </row>
    <row r="185" spans="1:9">
      <c r="A185" s="93" t="s">
        <v>4146</v>
      </c>
      <c r="B185" t="s">
        <v>1874</v>
      </c>
      <c r="C185" t="s">
        <v>2118</v>
      </c>
      <c r="E185" t="s">
        <v>2119</v>
      </c>
      <c r="G185" t="s">
        <v>2970</v>
      </c>
      <c r="H185" t="s">
        <v>1201</v>
      </c>
      <c r="I185" t="s">
        <v>3984</v>
      </c>
    </row>
    <row r="186" spans="1:9">
      <c r="A186" s="93" t="s">
        <v>4146</v>
      </c>
      <c r="B186" t="s">
        <v>1896</v>
      </c>
      <c r="C186" t="s">
        <v>2242</v>
      </c>
      <c r="D186" t="s">
        <v>2220</v>
      </c>
      <c r="E186" t="s">
        <v>2243</v>
      </c>
      <c r="F186" t="s">
        <v>2244</v>
      </c>
      <c r="G186" t="s">
        <v>2970</v>
      </c>
      <c r="H186" t="s">
        <v>2976</v>
      </c>
      <c r="I186" t="s">
        <v>4016</v>
      </c>
    </row>
    <row r="187" spans="1:9">
      <c r="A187" s="93" t="s">
        <v>4146</v>
      </c>
      <c r="B187" t="s">
        <v>1898</v>
      </c>
      <c r="C187" t="s">
        <v>2258</v>
      </c>
      <c r="D187" t="s">
        <v>2259</v>
      </c>
      <c r="E187" t="s">
        <v>2260</v>
      </c>
      <c r="F187" t="s">
        <v>2261</v>
      </c>
      <c r="G187" t="s">
        <v>2970</v>
      </c>
      <c r="H187" t="s">
        <v>2775</v>
      </c>
      <c r="I187" t="s">
        <v>4020</v>
      </c>
    </row>
    <row r="188" spans="1:9">
      <c r="A188" s="93" t="s">
        <v>4147</v>
      </c>
      <c r="B188" t="s">
        <v>1874</v>
      </c>
      <c r="C188" t="s">
        <v>2114</v>
      </c>
      <c r="D188" t="s">
        <v>2115</v>
      </c>
      <c r="E188" t="s">
        <v>1559</v>
      </c>
      <c r="F188" t="s">
        <v>2117</v>
      </c>
      <c r="G188" t="s">
        <v>2970</v>
      </c>
      <c r="H188" t="s">
        <v>108</v>
      </c>
      <c r="I188" t="s">
        <v>3984</v>
      </c>
    </row>
    <row r="189" spans="1:9">
      <c r="A189" s="93" t="s">
        <v>4147</v>
      </c>
      <c r="B189" t="s">
        <v>1874</v>
      </c>
      <c r="C189" t="s">
        <v>2352</v>
      </c>
      <c r="E189" t="s">
        <v>1201</v>
      </c>
      <c r="G189" t="s">
        <v>2970</v>
      </c>
      <c r="H189" t="s">
        <v>1201</v>
      </c>
      <c r="I189" t="s">
        <v>3984</v>
      </c>
    </row>
    <row r="190" spans="1:9">
      <c r="A190" s="93" t="s">
        <v>4147</v>
      </c>
      <c r="B190" t="s">
        <v>1874</v>
      </c>
      <c r="C190" t="s">
        <v>2118</v>
      </c>
      <c r="E190" t="s">
        <v>2119</v>
      </c>
      <c r="G190" t="s">
        <v>2970</v>
      </c>
      <c r="H190" t="s">
        <v>2119</v>
      </c>
      <c r="I190" t="s">
        <v>3984</v>
      </c>
    </row>
    <row r="191" spans="1:9">
      <c r="A191" s="93" t="s">
        <v>4147</v>
      </c>
      <c r="B191" t="s">
        <v>1874</v>
      </c>
      <c r="C191" t="s">
        <v>2121</v>
      </c>
      <c r="D191" t="s">
        <v>2122</v>
      </c>
      <c r="E191" t="s">
        <v>108</v>
      </c>
      <c r="G191" t="s">
        <v>2970</v>
      </c>
      <c r="H191" t="s">
        <v>108</v>
      </c>
      <c r="I191" t="s">
        <v>3984</v>
      </c>
    </row>
    <row r="192" spans="1:9">
      <c r="A192" s="93" t="s">
        <v>4147</v>
      </c>
      <c r="B192" t="s">
        <v>1874</v>
      </c>
      <c r="C192" t="s">
        <v>2123</v>
      </c>
      <c r="D192" t="s">
        <v>2124</v>
      </c>
      <c r="E192" t="s">
        <v>108</v>
      </c>
      <c r="F192" t="s">
        <v>2125</v>
      </c>
      <c r="G192" t="s">
        <v>2970</v>
      </c>
      <c r="H192" t="s">
        <v>108</v>
      </c>
      <c r="I192" t="s">
        <v>3984</v>
      </c>
    </row>
    <row r="193" spans="1:9">
      <c r="A193" s="93" t="s">
        <v>4147</v>
      </c>
      <c r="B193" t="s">
        <v>1874</v>
      </c>
      <c r="C193" t="s">
        <v>2126</v>
      </c>
      <c r="E193" t="s">
        <v>108</v>
      </c>
      <c r="G193" t="s">
        <v>2970</v>
      </c>
      <c r="H193" t="s">
        <v>108</v>
      </c>
      <c r="I193" t="s">
        <v>3984</v>
      </c>
    </row>
    <row r="194" spans="1:9">
      <c r="A194" s="93" t="s">
        <v>4147</v>
      </c>
      <c r="B194" t="s">
        <v>1875</v>
      </c>
      <c r="C194" t="s">
        <v>2128</v>
      </c>
      <c r="D194" t="s">
        <v>2129</v>
      </c>
      <c r="E194" t="s">
        <v>108</v>
      </c>
      <c r="G194" t="s">
        <v>2970</v>
      </c>
      <c r="H194" t="s">
        <v>108</v>
      </c>
      <c r="I194" t="s">
        <v>3988</v>
      </c>
    </row>
    <row r="195" spans="1:9">
      <c r="A195" s="93" t="s">
        <v>4147</v>
      </c>
      <c r="B195" t="s">
        <v>1875</v>
      </c>
      <c r="C195" t="s">
        <v>2130</v>
      </c>
      <c r="D195" t="s">
        <v>2131</v>
      </c>
      <c r="E195" t="s">
        <v>108</v>
      </c>
      <c r="F195" t="s">
        <v>2132</v>
      </c>
      <c r="G195" t="s">
        <v>2970</v>
      </c>
      <c r="H195" t="s">
        <v>108</v>
      </c>
      <c r="I195" t="s">
        <v>3988</v>
      </c>
    </row>
    <row r="196" spans="1:9">
      <c r="A196" s="93" t="s">
        <v>4147</v>
      </c>
      <c r="B196" t="s">
        <v>1875</v>
      </c>
      <c r="C196" t="s">
        <v>2133</v>
      </c>
      <c r="D196" t="s">
        <v>2131</v>
      </c>
      <c r="E196" t="s">
        <v>108</v>
      </c>
      <c r="G196" t="s">
        <v>2970</v>
      </c>
      <c r="H196" t="s">
        <v>108</v>
      </c>
      <c r="I196" t="s">
        <v>3988</v>
      </c>
    </row>
    <row r="197" spans="1:9">
      <c r="A197" s="93" t="s">
        <v>4147</v>
      </c>
      <c r="B197" t="s">
        <v>1875</v>
      </c>
      <c r="C197" t="s">
        <v>2134</v>
      </c>
      <c r="E197" t="s">
        <v>2135</v>
      </c>
      <c r="F197" t="s">
        <v>2137</v>
      </c>
      <c r="G197" t="s">
        <v>2970</v>
      </c>
      <c r="H197" t="s">
        <v>2136</v>
      </c>
      <c r="I197" t="s">
        <v>3988</v>
      </c>
    </row>
    <row r="198" spans="1:9">
      <c r="A198" s="93" t="s">
        <v>4147</v>
      </c>
      <c r="B198" t="s">
        <v>1875</v>
      </c>
      <c r="C198" t="s">
        <v>2138</v>
      </c>
      <c r="D198" t="s">
        <v>2139</v>
      </c>
      <c r="E198" t="s">
        <v>108</v>
      </c>
      <c r="F198" t="s">
        <v>2140</v>
      </c>
      <c r="G198" t="s">
        <v>2970</v>
      </c>
      <c r="H198" t="s">
        <v>108</v>
      </c>
      <c r="I198" t="s">
        <v>3988</v>
      </c>
    </row>
    <row r="199" spans="1:9">
      <c r="A199" s="93" t="s">
        <v>4147</v>
      </c>
      <c r="B199" t="s">
        <v>3697</v>
      </c>
      <c r="C199" t="s">
        <v>2142</v>
      </c>
      <c r="D199" t="s">
        <v>2143</v>
      </c>
      <c r="E199" t="s">
        <v>108</v>
      </c>
      <c r="G199" t="s">
        <v>2970</v>
      </c>
      <c r="H199" t="s">
        <v>108</v>
      </c>
      <c r="I199" t="s">
        <v>3992</v>
      </c>
    </row>
    <row r="200" spans="1:9">
      <c r="A200" s="93" t="s">
        <v>4147</v>
      </c>
      <c r="B200" t="s">
        <v>3697</v>
      </c>
      <c r="C200" t="s">
        <v>2144</v>
      </c>
      <c r="D200" t="s">
        <v>2143</v>
      </c>
      <c r="E200" t="s">
        <v>2145</v>
      </c>
      <c r="G200" t="s">
        <v>2970</v>
      </c>
      <c r="H200" t="s">
        <v>2979</v>
      </c>
      <c r="I200" t="s">
        <v>3992</v>
      </c>
    </row>
    <row r="201" spans="1:9">
      <c r="A201" s="93" t="s">
        <v>4147</v>
      </c>
      <c r="B201" t="s">
        <v>3697</v>
      </c>
      <c r="C201" t="s">
        <v>2146</v>
      </c>
      <c r="D201" t="s">
        <v>2143</v>
      </c>
      <c r="E201" t="s">
        <v>2147</v>
      </c>
      <c r="F201" t="s">
        <v>2148</v>
      </c>
      <c r="G201" t="s">
        <v>2970</v>
      </c>
      <c r="H201" t="s">
        <v>108</v>
      </c>
      <c r="I201" t="s">
        <v>3992</v>
      </c>
    </row>
    <row r="202" spans="1:9">
      <c r="A202" s="93" t="s">
        <v>4147</v>
      </c>
      <c r="B202" t="s">
        <v>3697</v>
      </c>
      <c r="C202" t="s">
        <v>2149</v>
      </c>
      <c r="D202" t="s">
        <v>2143</v>
      </c>
      <c r="E202" t="s">
        <v>108</v>
      </c>
      <c r="G202" t="s">
        <v>2970</v>
      </c>
      <c r="H202" t="s">
        <v>108</v>
      </c>
      <c r="I202" t="s">
        <v>3992</v>
      </c>
    </row>
    <row r="203" spans="1:9">
      <c r="A203" s="93" t="s">
        <v>4147</v>
      </c>
      <c r="B203" t="s">
        <v>1881</v>
      </c>
      <c r="C203" t="s">
        <v>2151</v>
      </c>
      <c r="D203" t="s">
        <v>2152</v>
      </c>
      <c r="E203" t="s">
        <v>2153</v>
      </c>
      <c r="G203" t="s">
        <v>2970</v>
      </c>
      <c r="H203" t="s">
        <v>108</v>
      </c>
      <c r="I203" t="s">
        <v>3996</v>
      </c>
    </row>
    <row r="204" spans="1:9">
      <c r="A204" s="93" t="s">
        <v>4147</v>
      </c>
      <c r="B204" t="s">
        <v>1881</v>
      </c>
      <c r="C204" t="s">
        <v>2154</v>
      </c>
      <c r="D204" t="s">
        <v>2155</v>
      </c>
      <c r="E204" t="s">
        <v>108</v>
      </c>
      <c r="G204" t="s">
        <v>2970</v>
      </c>
      <c r="H204" t="s">
        <v>108</v>
      </c>
      <c r="I204" t="s">
        <v>3996</v>
      </c>
    </row>
    <row r="205" spans="1:9">
      <c r="A205" s="93" t="s">
        <v>4147</v>
      </c>
      <c r="B205" t="s">
        <v>1881</v>
      </c>
      <c r="C205" t="s">
        <v>2156</v>
      </c>
      <c r="D205" t="s">
        <v>2152</v>
      </c>
      <c r="E205" t="s">
        <v>2157</v>
      </c>
      <c r="G205" t="s">
        <v>2970</v>
      </c>
      <c r="H205" t="s">
        <v>108</v>
      </c>
      <c r="I205" t="s">
        <v>3996</v>
      </c>
    </row>
    <row r="206" spans="1:9">
      <c r="A206" s="93" t="s">
        <v>4147</v>
      </c>
      <c r="B206" t="s">
        <v>1881</v>
      </c>
      <c r="C206" t="s">
        <v>2158</v>
      </c>
      <c r="D206" t="s">
        <v>2155</v>
      </c>
      <c r="E206" t="s">
        <v>2159</v>
      </c>
      <c r="F206" t="s">
        <v>2160</v>
      </c>
      <c r="G206" t="s">
        <v>2970</v>
      </c>
      <c r="H206" t="s">
        <v>108</v>
      </c>
      <c r="I206" t="s">
        <v>3996</v>
      </c>
    </row>
    <row r="207" spans="1:9">
      <c r="A207" s="93" t="s">
        <v>4147</v>
      </c>
      <c r="B207" t="s">
        <v>1881</v>
      </c>
      <c r="C207" t="s">
        <v>2161</v>
      </c>
      <c r="D207" t="s">
        <v>2162</v>
      </c>
      <c r="E207" t="s">
        <v>108</v>
      </c>
      <c r="F207" t="s">
        <v>2163</v>
      </c>
      <c r="G207" t="s">
        <v>2970</v>
      </c>
      <c r="H207" t="s">
        <v>108</v>
      </c>
      <c r="I207" t="s">
        <v>3996</v>
      </c>
    </row>
    <row r="208" spans="1:9">
      <c r="A208" s="93" t="s">
        <v>4147</v>
      </c>
      <c r="B208" t="s">
        <v>1881</v>
      </c>
      <c r="C208" t="s">
        <v>2164</v>
      </c>
      <c r="D208" t="s">
        <v>2162</v>
      </c>
      <c r="E208" t="s">
        <v>108</v>
      </c>
      <c r="G208" t="s">
        <v>2970</v>
      </c>
      <c r="H208" t="s">
        <v>108</v>
      </c>
      <c r="I208" t="s">
        <v>3996</v>
      </c>
    </row>
    <row r="209" spans="1:9">
      <c r="A209" s="93" t="s">
        <v>4147</v>
      </c>
      <c r="B209" t="s">
        <v>1882</v>
      </c>
      <c r="C209" t="s">
        <v>2166</v>
      </c>
      <c r="D209" t="s">
        <v>2167</v>
      </c>
      <c r="E209" t="s">
        <v>108</v>
      </c>
      <c r="F209" t="s">
        <v>2168</v>
      </c>
      <c r="G209" t="s">
        <v>2970</v>
      </c>
      <c r="H209" t="s">
        <v>108</v>
      </c>
      <c r="I209" t="s">
        <v>4000</v>
      </c>
    </row>
    <row r="210" spans="1:9">
      <c r="A210" s="93" t="s">
        <v>4147</v>
      </c>
      <c r="B210" t="s">
        <v>1882</v>
      </c>
      <c r="C210" t="s">
        <v>2169</v>
      </c>
      <c r="D210" t="s">
        <v>2129</v>
      </c>
      <c r="E210" t="s">
        <v>2170</v>
      </c>
      <c r="G210" t="s">
        <v>2970</v>
      </c>
      <c r="H210" t="s">
        <v>2136</v>
      </c>
      <c r="I210" t="s">
        <v>4000</v>
      </c>
    </row>
    <row r="211" spans="1:9">
      <c r="A211" s="93" t="s">
        <v>4147</v>
      </c>
      <c r="B211" t="s">
        <v>1882</v>
      </c>
      <c r="C211" t="s">
        <v>2171</v>
      </c>
      <c r="D211" t="s">
        <v>2129</v>
      </c>
      <c r="E211" t="s">
        <v>2135</v>
      </c>
      <c r="G211" t="s">
        <v>2970</v>
      </c>
      <c r="H211" t="s">
        <v>2136</v>
      </c>
      <c r="I211" t="s">
        <v>4000</v>
      </c>
    </row>
    <row r="212" spans="1:9">
      <c r="A212" s="93" t="s">
        <v>4147</v>
      </c>
      <c r="B212" t="s">
        <v>1882</v>
      </c>
      <c r="C212" t="s">
        <v>2172</v>
      </c>
      <c r="D212" t="s">
        <v>2129</v>
      </c>
      <c r="E212" t="s">
        <v>2135</v>
      </c>
      <c r="G212" t="s">
        <v>2970</v>
      </c>
      <c r="H212" t="s">
        <v>2136</v>
      </c>
      <c r="I212" t="s">
        <v>4000</v>
      </c>
    </row>
    <row r="213" spans="1:9">
      <c r="A213" s="93" t="s">
        <v>4147</v>
      </c>
      <c r="B213" t="s">
        <v>1882</v>
      </c>
      <c r="C213" t="s">
        <v>2173</v>
      </c>
      <c r="D213" t="s">
        <v>2174</v>
      </c>
      <c r="E213" t="s">
        <v>2135</v>
      </c>
      <c r="G213" t="s">
        <v>2970</v>
      </c>
      <c r="H213" t="s">
        <v>2136</v>
      </c>
      <c r="I213" t="s">
        <v>4000</v>
      </c>
    </row>
    <row r="214" spans="1:9">
      <c r="A214" s="93" t="s">
        <v>4147</v>
      </c>
      <c r="B214" t="s">
        <v>1882</v>
      </c>
      <c r="C214" t="s">
        <v>2175</v>
      </c>
      <c r="E214" t="s">
        <v>2135</v>
      </c>
      <c r="G214" t="s">
        <v>2970</v>
      </c>
      <c r="H214" t="s">
        <v>2136</v>
      </c>
      <c r="I214" t="s">
        <v>4000</v>
      </c>
    </row>
    <row r="215" spans="1:9">
      <c r="A215" s="93" t="s">
        <v>4147</v>
      </c>
      <c r="B215" t="s">
        <v>1882</v>
      </c>
      <c r="C215" t="s">
        <v>2176</v>
      </c>
      <c r="E215" t="s">
        <v>2135</v>
      </c>
      <c r="G215" t="s">
        <v>2970</v>
      </c>
      <c r="H215" t="s">
        <v>2136</v>
      </c>
      <c r="I215" t="s">
        <v>4000</v>
      </c>
    </row>
    <row r="216" spans="1:9">
      <c r="A216" s="93" t="s">
        <v>4147</v>
      </c>
      <c r="B216" t="s">
        <v>1882</v>
      </c>
      <c r="C216" t="s">
        <v>2177</v>
      </c>
      <c r="E216" t="s">
        <v>2135</v>
      </c>
      <c r="G216" t="s">
        <v>2970</v>
      </c>
      <c r="H216" t="s">
        <v>2136</v>
      </c>
      <c r="I216" t="s">
        <v>4000</v>
      </c>
    </row>
    <row r="217" spans="1:9">
      <c r="A217" s="93" t="s">
        <v>4147</v>
      </c>
      <c r="B217" t="s">
        <v>1884</v>
      </c>
      <c r="C217" t="s">
        <v>2179</v>
      </c>
      <c r="D217" t="s">
        <v>2180</v>
      </c>
      <c r="E217" t="s">
        <v>108</v>
      </c>
      <c r="G217" t="s">
        <v>2970</v>
      </c>
      <c r="H217" t="s">
        <v>108</v>
      </c>
      <c r="I217" t="s">
        <v>4002</v>
      </c>
    </row>
    <row r="218" spans="1:9">
      <c r="A218" s="93" t="s">
        <v>4147</v>
      </c>
      <c r="B218" t="s">
        <v>1884</v>
      </c>
      <c r="C218" t="s">
        <v>2181</v>
      </c>
      <c r="D218" t="s">
        <v>2182</v>
      </c>
      <c r="E218" t="s">
        <v>108</v>
      </c>
      <c r="G218" t="s">
        <v>2970</v>
      </c>
      <c r="H218" t="s">
        <v>108</v>
      </c>
      <c r="I218" t="s">
        <v>4002</v>
      </c>
    </row>
    <row r="219" spans="1:9">
      <c r="A219" s="93" t="s">
        <v>4147</v>
      </c>
      <c r="B219" t="s">
        <v>1884</v>
      </c>
      <c r="C219" t="s">
        <v>2183</v>
      </c>
      <c r="D219" t="s">
        <v>2182</v>
      </c>
      <c r="E219" t="s">
        <v>2184</v>
      </c>
      <c r="F219" t="s">
        <v>2185</v>
      </c>
      <c r="G219" t="s">
        <v>2970</v>
      </c>
      <c r="H219" t="s">
        <v>108</v>
      </c>
      <c r="I219" t="s">
        <v>4002</v>
      </c>
    </row>
    <row r="220" spans="1:9">
      <c r="A220" s="93" t="s">
        <v>4147</v>
      </c>
      <c r="B220" t="s">
        <v>1884</v>
      </c>
      <c r="C220" t="s">
        <v>2186</v>
      </c>
      <c r="D220" t="s">
        <v>2187</v>
      </c>
      <c r="E220" t="s">
        <v>108</v>
      </c>
      <c r="G220" t="s">
        <v>2970</v>
      </c>
      <c r="H220" t="s">
        <v>108</v>
      </c>
      <c r="I220" t="s">
        <v>4002</v>
      </c>
    </row>
    <row r="221" spans="1:9">
      <c r="A221" s="93" t="s">
        <v>4147</v>
      </c>
      <c r="B221" t="s">
        <v>1884</v>
      </c>
      <c r="C221" t="s">
        <v>2188</v>
      </c>
      <c r="E221" t="s">
        <v>2189</v>
      </c>
      <c r="G221" t="s">
        <v>2970</v>
      </c>
      <c r="H221" t="s">
        <v>108</v>
      </c>
      <c r="I221" t="s">
        <v>4002</v>
      </c>
    </row>
    <row r="222" spans="1:9">
      <c r="A222" s="93" t="s">
        <v>4147</v>
      </c>
      <c r="B222" t="s">
        <v>1884</v>
      </c>
      <c r="C222" t="s">
        <v>2190</v>
      </c>
      <c r="E222" t="s">
        <v>2135</v>
      </c>
      <c r="G222" t="s">
        <v>2970</v>
      </c>
      <c r="H222" t="s">
        <v>2136</v>
      </c>
      <c r="I222" t="s">
        <v>4002</v>
      </c>
    </row>
    <row r="223" spans="1:9">
      <c r="A223" s="93" t="s">
        <v>4147</v>
      </c>
      <c r="B223" t="s">
        <v>1884</v>
      </c>
      <c r="C223" t="s">
        <v>2191</v>
      </c>
      <c r="E223" t="s">
        <v>2135</v>
      </c>
      <c r="G223" t="s">
        <v>2970</v>
      </c>
      <c r="H223" t="s">
        <v>2136</v>
      </c>
      <c r="I223" t="s">
        <v>4002</v>
      </c>
    </row>
    <row r="224" spans="1:9">
      <c r="A224" s="93" t="s">
        <v>4147</v>
      </c>
      <c r="B224" t="s">
        <v>1884</v>
      </c>
      <c r="C224" t="s">
        <v>2192</v>
      </c>
      <c r="D224" t="s">
        <v>2182</v>
      </c>
      <c r="E224" t="s">
        <v>2193</v>
      </c>
      <c r="G224" t="s">
        <v>2970</v>
      </c>
      <c r="H224" t="s">
        <v>2193</v>
      </c>
      <c r="I224" t="s">
        <v>4002</v>
      </c>
    </row>
    <row r="225" spans="1:9">
      <c r="A225" s="93" t="s">
        <v>4147</v>
      </c>
      <c r="B225" t="s">
        <v>1884</v>
      </c>
      <c r="C225" t="s">
        <v>2194</v>
      </c>
      <c r="D225" t="s">
        <v>2187</v>
      </c>
      <c r="E225" t="s">
        <v>108</v>
      </c>
      <c r="G225" t="s">
        <v>2970</v>
      </c>
      <c r="H225" t="s">
        <v>108</v>
      </c>
      <c r="I225" t="s">
        <v>4002</v>
      </c>
    </row>
    <row r="226" spans="1:9">
      <c r="A226" s="93" t="s">
        <v>4147</v>
      </c>
      <c r="B226" t="s">
        <v>1889</v>
      </c>
      <c r="C226" t="s">
        <v>2196</v>
      </c>
      <c r="E226" t="s">
        <v>2193</v>
      </c>
      <c r="G226" t="s">
        <v>2970</v>
      </c>
      <c r="H226" t="s">
        <v>2193</v>
      </c>
      <c r="I226" t="s">
        <v>4004</v>
      </c>
    </row>
    <row r="227" spans="1:9">
      <c r="A227" s="93" t="s">
        <v>4147</v>
      </c>
      <c r="B227" t="s">
        <v>1889</v>
      </c>
      <c r="C227" t="s">
        <v>2197</v>
      </c>
      <c r="E227" t="s">
        <v>2193</v>
      </c>
      <c r="G227" t="s">
        <v>2970</v>
      </c>
      <c r="H227" t="s">
        <v>2193</v>
      </c>
      <c r="I227" t="s">
        <v>4004</v>
      </c>
    </row>
    <row r="228" spans="1:9">
      <c r="A228" s="93" t="s">
        <v>4147</v>
      </c>
      <c r="B228" t="s">
        <v>1889</v>
      </c>
      <c r="C228" t="s">
        <v>2198</v>
      </c>
      <c r="E228" t="s">
        <v>2199</v>
      </c>
      <c r="G228" t="s">
        <v>2970</v>
      </c>
      <c r="H228" t="s">
        <v>2193</v>
      </c>
      <c r="I228" t="s">
        <v>4004</v>
      </c>
    </row>
    <row r="229" spans="1:9">
      <c r="A229" s="93" t="s">
        <v>4147</v>
      </c>
      <c r="B229" t="s">
        <v>1889</v>
      </c>
      <c r="C229" t="s">
        <v>2200</v>
      </c>
      <c r="D229" t="s">
        <v>2182</v>
      </c>
      <c r="E229" t="s">
        <v>108</v>
      </c>
      <c r="G229" t="s">
        <v>2970</v>
      </c>
      <c r="H229" t="s">
        <v>108</v>
      </c>
      <c r="I229" t="s">
        <v>4004</v>
      </c>
    </row>
    <row r="230" spans="1:9">
      <c r="A230" s="93" t="s">
        <v>4147</v>
      </c>
      <c r="B230" t="s">
        <v>1889</v>
      </c>
      <c r="C230" t="s">
        <v>2201</v>
      </c>
      <c r="D230" t="s">
        <v>2182</v>
      </c>
      <c r="E230" t="s">
        <v>108</v>
      </c>
      <c r="G230" t="s">
        <v>2970</v>
      </c>
      <c r="H230" t="s">
        <v>108</v>
      </c>
      <c r="I230" t="s">
        <v>4004</v>
      </c>
    </row>
    <row r="231" spans="1:9">
      <c r="A231" s="93" t="s">
        <v>4147</v>
      </c>
      <c r="B231" t="s">
        <v>1889</v>
      </c>
      <c r="C231" t="s">
        <v>2202</v>
      </c>
      <c r="D231" t="s">
        <v>2174</v>
      </c>
      <c r="E231" t="s">
        <v>108</v>
      </c>
      <c r="G231" t="s">
        <v>2970</v>
      </c>
      <c r="H231" t="s">
        <v>108</v>
      </c>
      <c r="I231" t="s">
        <v>4004</v>
      </c>
    </row>
    <row r="232" spans="1:9">
      <c r="A232" s="93" t="s">
        <v>4147</v>
      </c>
      <c r="B232" t="s">
        <v>1889</v>
      </c>
      <c r="C232" t="s">
        <v>2203</v>
      </c>
      <c r="D232" t="s">
        <v>2204</v>
      </c>
      <c r="E232" t="s">
        <v>2193</v>
      </c>
      <c r="G232" t="s">
        <v>2970</v>
      </c>
      <c r="H232" t="s">
        <v>2193</v>
      </c>
      <c r="I232" t="s">
        <v>4004</v>
      </c>
    </row>
    <row r="233" spans="1:9">
      <c r="A233" s="93" t="s">
        <v>4147</v>
      </c>
      <c r="B233" t="s">
        <v>1889</v>
      </c>
      <c r="C233" t="s">
        <v>2205</v>
      </c>
      <c r="D233" t="s">
        <v>2204</v>
      </c>
      <c r="E233" t="s">
        <v>2193</v>
      </c>
      <c r="G233" t="s">
        <v>2970</v>
      </c>
      <c r="H233" t="s">
        <v>2193</v>
      </c>
      <c r="I233" t="s">
        <v>4004</v>
      </c>
    </row>
    <row r="234" spans="1:9">
      <c r="A234" s="93" t="s">
        <v>4147</v>
      </c>
      <c r="B234" t="s">
        <v>1889</v>
      </c>
      <c r="C234" t="s">
        <v>2206</v>
      </c>
      <c r="E234" t="s">
        <v>2135</v>
      </c>
      <c r="G234" t="s">
        <v>2970</v>
      </c>
      <c r="H234" t="s">
        <v>2136</v>
      </c>
      <c r="I234" t="s">
        <v>4004</v>
      </c>
    </row>
    <row r="235" spans="1:9">
      <c r="A235" s="93" t="s">
        <v>4147</v>
      </c>
      <c r="B235" t="s">
        <v>1889</v>
      </c>
      <c r="C235" t="s">
        <v>2207</v>
      </c>
      <c r="D235" t="s">
        <v>2204</v>
      </c>
      <c r="E235" t="s">
        <v>108</v>
      </c>
      <c r="F235" t="s">
        <v>2208</v>
      </c>
      <c r="G235" t="s">
        <v>2970</v>
      </c>
      <c r="H235" t="s">
        <v>108</v>
      </c>
      <c r="I235" t="s">
        <v>4004</v>
      </c>
    </row>
    <row r="236" spans="1:9">
      <c r="A236" s="93" t="s">
        <v>4147</v>
      </c>
      <c r="B236" t="s">
        <v>1891</v>
      </c>
      <c r="C236" t="s">
        <v>2210</v>
      </c>
      <c r="D236" t="s">
        <v>2211</v>
      </c>
      <c r="E236" t="s">
        <v>108</v>
      </c>
      <c r="G236" t="s">
        <v>2970</v>
      </c>
      <c r="H236" t="s">
        <v>108</v>
      </c>
      <c r="I236" t="s">
        <v>4008</v>
      </c>
    </row>
    <row r="237" spans="1:9">
      <c r="A237" s="93" t="s">
        <v>4147</v>
      </c>
      <c r="B237" t="s">
        <v>1891</v>
      </c>
      <c r="C237" t="s">
        <v>2212</v>
      </c>
      <c r="D237" t="s">
        <v>2213</v>
      </c>
      <c r="E237" t="s">
        <v>108</v>
      </c>
      <c r="G237" t="s">
        <v>2970</v>
      </c>
      <c r="H237" t="s">
        <v>108</v>
      </c>
      <c r="I237" t="s">
        <v>4008</v>
      </c>
    </row>
    <row r="238" spans="1:9">
      <c r="A238" s="93" t="s">
        <v>4147</v>
      </c>
      <c r="B238" t="s">
        <v>1891</v>
      </c>
      <c r="C238" t="s">
        <v>2214</v>
      </c>
      <c r="D238" t="s">
        <v>2213</v>
      </c>
      <c r="E238" t="s">
        <v>108</v>
      </c>
      <c r="G238" t="s">
        <v>2970</v>
      </c>
      <c r="H238" t="s">
        <v>108</v>
      </c>
      <c r="I238" t="s">
        <v>4008</v>
      </c>
    </row>
    <row r="239" spans="1:9">
      <c r="A239" s="93" t="s">
        <v>4147</v>
      </c>
      <c r="B239" t="s">
        <v>1893</v>
      </c>
      <c r="C239" t="s">
        <v>2216</v>
      </c>
      <c r="D239" t="s">
        <v>2217</v>
      </c>
      <c r="E239" t="s">
        <v>2193</v>
      </c>
      <c r="F239" t="s">
        <v>2218</v>
      </c>
      <c r="G239" t="s">
        <v>2970</v>
      </c>
      <c r="H239" t="s">
        <v>2193</v>
      </c>
      <c r="I239" t="s">
        <v>4012</v>
      </c>
    </row>
    <row r="240" spans="1:9">
      <c r="A240" s="93" t="s">
        <v>4147</v>
      </c>
      <c r="B240" t="s">
        <v>1893</v>
      </c>
      <c r="C240" t="s">
        <v>2219</v>
      </c>
      <c r="D240" t="s">
        <v>2220</v>
      </c>
      <c r="E240" t="s">
        <v>108</v>
      </c>
      <c r="F240" t="s">
        <v>2221</v>
      </c>
      <c r="G240" t="s">
        <v>2970</v>
      </c>
      <c r="H240" t="s">
        <v>108</v>
      </c>
      <c r="I240" t="s">
        <v>4012</v>
      </c>
    </row>
    <row r="241" spans="1:9">
      <c r="A241" s="93" t="s">
        <v>4147</v>
      </c>
      <c r="B241" t="s">
        <v>1893</v>
      </c>
      <c r="C241" t="s">
        <v>2222</v>
      </c>
      <c r="D241" t="s">
        <v>2223</v>
      </c>
      <c r="E241" t="s">
        <v>108</v>
      </c>
      <c r="F241" t="s">
        <v>2224</v>
      </c>
      <c r="G241" t="s">
        <v>2970</v>
      </c>
      <c r="H241" t="s">
        <v>108</v>
      </c>
      <c r="I241" t="s">
        <v>4012</v>
      </c>
    </row>
    <row r="242" spans="1:9">
      <c r="A242" s="93" t="s">
        <v>4147</v>
      </c>
      <c r="B242" t="s">
        <v>1893</v>
      </c>
      <c r="C242" t="s">
        <v>2225</v>
      </c>
      <c r="D242" t="s">
        <v>2226</v>
      </c>
      <c r="E242" t="s">
        <v>108</v>
      </c>
      <c r="F242" t="s">
        <v>2227</v>
      </c>
      <c r="G242" t="s">
        <v>2970</v>
      </c>
      <c r="H242" t="s">
        <v>108</v>
      </c>
      <c r="I242" t="s">
        <v>4012</v>
      </c>
    </row>
    <row r="243" spans="1:9">
      <c r="A243" s="93" t="s">
        <v>4147</v>
      </c>
      <c r="B243" t="s">
        <v>1893</v>
      </c>
      <c r="C243" t="s">
        <v>2228</v>
      </c>
      <c r="E243" t="s">
        <v>2135</v>
      </c>
      <c r="G243" t="s">
        <v>2970</v>
      </c>
      <c r="H243" t="s">
        <v>2136</v>
      </c>
      <c r="I243" t="s">
        <v>4012</v>
      </c>
    </row>
    <row r="244" spans="1:9">
      <c r="A244" s="93" t="s">
        <v>4147</v>
      </c>
      <c r="B244" t="s">
        <v>1896</v>
      </c>
      <c r="C244" t="s">
        <v>2230</v>
      </c>
      <c r="D244" t="s">
        <v>2220</v>
      </c>
      <c r="E244" t="s">
        <v>108</v>
      </c>
      <c r="F244" t="s">
        <v>2231</v>
      </c>
      <c r="G244" t="s">
        <v>2970</v>
      </c>
      <c r="H244" t="s">
        <v>108</v>
      </c>
      <c r="I244" t="s">
        <v>4016</v>
      </c>
    </row>
    <row r="245" spans="1:9">
      <c r="A245" s="93" t="s">
        <v>4147</v>
      </c>
      <c r="B245" t="s">
        <v>1896</v>
      </c>
      <c r="C245" t="s">
        <v>2232</v>
      </c>
      <c r="D245" t="s">
        <v>2220</v>
      </c>
      <c r="E245" t="s">
        <v>108</v>
      </c>
      <c r="G245" t="s">
        <v>2970</v>
      </c>
      <c r="H245" t="s">
        <v>108</v>
      </c>
      <c r="I245" t="s">
        <v>4016</v>
      </c>
    </row>
    <row r="246" spans="1:9">
      <c r="A246" s="93" t="s">
        <v>4147</v>
      </c>
      <c r="B246" t="s">
        <v>1896</v>
      </c>
      <c r="C246" t="s">
        <v>2233</v>
      </c>
      <c r="D246" t="s">
        <v>2234</v>
      </c>
      <c r="E246" t="s">
        <v>108</v>
      </c>
      <c r="F246" t="s">
        <v>2235</v>
      </c>
      <c r="G246" t="s">
        <v>2970</v>
      </c>
      <c r="H246" t="s">
        <v>108</v>
      </c>
      <c r="I246" t="s">
        <v>4016</v>
      </c>
    </row>
    <row r="247" spans="1:9">
      <c r="A247" s="93" t="s">
        <v>4147</v>
      </c>
      <c r="B247" t="s">
        <v>1896</v>
      </c>
      <c r="C247" t="s">
        <v>2236</v>
      </c>
      <c r="D247" t="s">
        <v>2237</v>
      </c>
      <c r="E247" t="s">
        <v>108</v>
      </c>
      <c r="F247" t="s">
        <v>2231</v>
      </c>
      <c r="G247" t="s">
        <v>2970</v>
      </c>
      <c r="H247" t="s">
        <v>108</v>
      </c>
      <c r="I247" t="s">
        <v>4016</v>
      </c>
    </row>
    <row r="248" spans="1:9">
      <c r="A248" s="93" t="s">
        <v>4147</v>
      </c>
      <c r="B248" t="s">
        <v>1896</v>
      </c>
      <c r="C248" t="s">
        <v>2238</v>
      </c>
      <c r="D248" t="s">
        <v>2237</v>
      </c>
      <c r="E248" t="s">
        <v>108</v>
      </c>
      <c r="F248" t="s">
        <v>2239</v>
      </c>
      <c r="G248" t="s">
        <v>2970</v>
      </c>
      <c r="H248" t="s">
        <v>108</v>
      </c>
      <c r="I248" t="s">
        <v>4016</v>
      </c>
    </row>
    <row r="249" spans="1:9">
      <c r="A249" s="93" t="s">
        <v>4147</v>
      </c>
      <c r="B249" t="s">
        <v>1896</v>
      </c>
      <c r="C249" t="s">
        <v>2240</v>
      </c>
      <c r="D249" t="s">
        <v>2241</v>
      </c>
      <c r="E249" t="s">
        <v>2193</v>
      </c>
      <c r="G249" t="s">
        <v>2970</v>
      </c>
      <c r="H249" t="s">
        <v>2193</v>
      </c>
      <c r="I249" t="s">
        <v>4016</v>
      </c>
    </row>
    <row r="250" spans="1:9">
      <c r="A250" s="93" t="s">
        <v>4147</v>
      </c>
      <c r="B250" t="s">
        <v>1896</v>
      </c>
      <c r="C250" t="s">
        <v>2242</v>
      </c>
      <c r="D250" t="s">
        <v>2220</v>
      </c>
      <c r="E250" t="s">
        <v>2243</v>
      </c>
      <c r="F250" t="s">
        <v>2244</v>
      </c>
      <c r="G250" t="s">
        <v>2970</v>
      </c>
      <c r="H250" t="s">
        <v>2982</v>
      </c>
      <c r="I250" t="s">
        <v>4016</v>
      </c>
    </row>
    <row r="251" spans="1:9">
      <c r="A251" s="93" t="s">
        <v>4147</v>
      </c>
      <c r="B251" t="s">
        <v>1896</v>
      </c>
      <c r="C251" t="s">
        <v>2245</v>
      </c>
      <c r="D251" t="s">
        <v>2241</v>
      </c>
      <c r="E251" t="s">
        <v>2246</v>
      </c>
      <c r="G251" t="s">
        <v>2970</v>
      </c>
      <c r="H251" t="s">
        <v>108</v>
      </c>
      <c r="I251" t="s">
        <v>4016</v>
      </c>
    </row>
    <row r="252" spans="1:9">
      <c r="A252" s="93" t="s">
        <v>4147</v>
      </c>
      <c r="B252" t="s">
        <v>1896</v>
      </c>
      <c r="C252" t="s">
        <v>2247</v>
      </c>
      <c r="D252" t="s">
        <v>2248</v>
      </c>
      <c r="E252" t="s">
        <v>108</v>
      </c>
      <c r="F252" t="s">
        <v>2249</v>
      </c>
      <c r="G252" t="s">
        <v>2970</v>
      </c>
      <c r="H252" t="s">
        <v>108</v>
      </c>
      <c r="I252" t="s">
        <v>4016</v>
      </c>
    </row>
    <row r="253" spans="1:9">
      <c r="A253" s="93" t="s">
        <v>4147</v>
      </c>
      <c r="B253" t="s">
        <v>1898</v>
      </c>
      <c r="C253" t="s">
        <v>2251</v>
      </c>
      <c r="D253" t="s">
        <v>2252</v>
      </c>
      <c r="E253" t="s">
        <v>108</v>
      </c>
      <c r="G253" t="s">
        <v>2970</v>
      </c>
      <c r="H253" t="s">
        <v>108</v>
      </c>
      <c r="I253" t="s">
        <v>4020</v>
      </c>
    </row>
    <row r="254" spans="1:9">
      <c r="A254" s="93" t="s">
        <v>4147</v>
      </c>
      <c r="B254" t="s">
        <v>1898</v>
      </c>
      <c r="C254" t="s">
        <v>2253</v>
      </c>
      <c r="D254" t="s">
        <v>2252</v>
      </c>
      <c r="E254" t="s">
        <v>2193</v>
      </c>
      <c r="F254" t="s">
        <v>2254</v>
      </c>
      <c r="G254" t="s">
        <v>2970</v>
      </c>
      <c r="H254" t="s">
        <v>2193</v>
      </c>
      <c r="I254" t="s">
        <v>4020</v>
      </c>
    </row>
    <row r="255" spans="1:9">
      <c r="A255" s="93" t="s">
        <v>4147</v>
      </c>
      <c r="B255" t="s">
        <v>1898</v>
      </c>
      <c r="C255" t="s">
        <v>2255</v>
      </c>
      <c r="D255" t="s">
        <v>2256</v>
      </c>
      <c r="E255" t="s">
        <v>2257</v>
      </c>
      <c r="G255" t="s">
        <v>2970</v>
      </c>
      <c r="H255" t="s">
        <v>108</v>
      </c>
      <c r="I255" t="s">
        <v>4020</v>
      </c>
    </row>
    <row r="256" spans="1:9">
      <c r="A256" s="93" t="s">
        <v>4147</v>
      </c>
      <c r="B256" t="s">
        <v>1898</v>
      </c>
      <c r="C256" t="s">
        <v>2258</v>
      </c>
      <c r="D256" t="s">
        <v>2259</v>
      </c>
      <c r="E256" t="s">
        <v>2260</v>
      </c>
      <c r="F256" t="s">
        <v>2261</v>
      </c>
      <c r="G256" t="s">
        <v>2970</v>
      </c>
      <c r="H256" t="s">
        <v>2984</v>
      </c>
      <c r="I256" t="s">
        <v>4020</v>
      </c>
    </row>
    <row r="257" spans="1:9">
      <c r="A257" s="93" t="s">
        <v>4147</v>
      </c>
      <c r="B257" t="s">
        <v>1898</v>
      </c>
      <c r="C257" t="s">
        <v>2262</v>
      </c>
      <c r="D257" t="s">
        <v>2259</v>
      </c>
      <c r="E257" t="s">
        <v>2147</v>
      </c>
      <c r="F257" t="s">
        <v>2263</v>
      </c>
      <c r="G257" t="s">
        <v>2970</v>
      </c>
      <c r="H257" t="s">
        <v>108</v>
      </c>
      <c r="I257" t="s">
        <v>4020</v>
      </c>
    </row>
    <row r="258" spans="1:9">
      <c r="A258" s="93" t="s">
        <v>4147</v>
      </c>
      <c r="B258" t="s">
        <v>1898</v>
      </c>
      <c r="C258" t="s">
        <v>2264</v>
      </c>
      <c r="D258" t="s">
        <v>2252</v>
      </c>
      <c r="E258" t="s">
        <v>2265</v>
      </c>
      <c r="G258" t="s">
        <v>2970</v>
      </c>
      <c r="H258" t="s">
        <v>108</v>
      </c>
      <c r="I258" t="s">
        <v>4020</v>
      </c>
    </row>
    <row r="259" spans="1:9">
      <c r="A259" s="93" t="s">
        <v>4147</v>
      </c>
      <c r="B259" t="s">
        <v>1898</v>
      </c>
      <c r="C259" t="s">
        <v>2266</v>
      </c>
      <c r="D259" t="s">
        <v>2252</v>
      </c>
      <c r="E259" t="s">
        <v>2267</v>
      </c>
      <c r="F259" t="s">
        <v>2268</v>
      </c>
      <c r="G259" t="s">
        <v>2970</v>
      </c>
      <c r="H259" t="s">
        <v>108</v>
      </c>
      <c r="I259" t="s">
        <v>4020</v>
      </c>
    </row>
    <row r="260" spans="1:9">
      <c r="A260" s="93" t="s">
        <v>4147</v>
      </c>
      <c r="B260" t="s">
        <v>1898</v>
      </c>
      <c r="C260" t="s">
        <v>2269</v>
      </c>
      <c r="D260" t="s">
        <v>2252</v>
      </c>
      <c r="E260" t="s">
        <v>2270</v>
      </c>
      <c r="G260" t="s">
        <v>2970</v>
      </c>
      <c r="H260" t="s">
        <v>108</v>
      </c>
      <c r="I260" t="s">
        <v>4020</v>
      </c>
    </row>
    <row r="261" spans="1:9">
      <c r="A261" s="93" t="s">
        <v>4147</v>
      </c>
      <c r="B261" t="s">
        <v>1902</v>
      </c>
      <c r="C261" t="s">
        <v>2272</v>
      </c>
      <c r="D261" t="s">
        <v>2273</v>
      </c>
      <c r="E261" t="s">
        <v>2274</v>
      </c>
      <c r="F261" t="s">
        <v>2275</v>
      </c>
      <c r="G261" t="s">
        <v>2970</v>
      </c>
      <c r="H261" t="s">
        <v>108</v>
      </c>
      <c r="I261" t="s">
        <v>4024</v>
      </c>
    </row>
    <row r="262" spans="1:9">
      <c r="A262" s="93" t="s">
        <v>4147</v>
      </c>
      <c r="B262" t="s">
        <v>1902</v>
      </c>
      <c r="C262" t="s">
        <v>2276</v>
      </c>
      <c r="D262" t="s">
        <v>2248</v>
      </c>
      <c r="E262" t="s">
        <v>2277</v>
      </c>
      <c r="F262" t="s">
        <v>2278</v>
      </c>
      <c r="G262" t="s">
        <v>2970</v>
      </c>
      <c r="H262" t="s">
        <v>108</v>
      </c>
      <c r="I262" t="s">
        <v>4024</v>
      </c>
    </row>
    <row r="263" spans="1:9">
      <c r="A263" s="93" t="s">
        <v>4147</v>
      </c>
      <c r="B263" t="s">
        <v>1902</v>
      </c>
      <c r="C263" t="s">
        <v>2279</v>
      </c>
      <c r="D263" t="s">
        <v>2280</v>
      </c>
      <c r="E263" t="s">
        <v>2281</v>
      </c>
      <c r="F263" t="s">
        <v>2282</v>
      </c>
      <c r="G263" t="s">
        <v>2970</v>
      </c>
      <c r="H263" t="s">
        <v>108</v>
      </c>
      <c r="I263" t="s">
        <v>4024</v>
      </c>
    </row>
    <row r="264" spans="1:9">
      <c r="A264" s="93" t="s">
        <v>4147</v>
      </c>
      <c r="B264" t="s">
        <v>1902</v>
      </c>
      <c r="C264" t="s">
        <v>2283</v>
      </c>
      <c r="D264" t="s">
        <v>2273</v>
      </c>
      <c r="E264" t="s">
        <v>108</v>
      </c>
      <c r="F264" t="s">
        <v>2284</v>
      </c>
      <c r="G264" t="s">
        <v>2970</v>
      </c>
      <c r="H264" t="s">
        <v>108</v>
      </c>
      <c r="I264" t="s">
        <v>4024</v>
      </c>
    </row>
    <row r="265" spans="1:9">
      <c r="A265" s="93" t="s">
        <v>4147</v>
      </c>
      <c r="B265" t="s">
        <v>1902</v>
      </c>
      <c r="C265" t="s">
        <v>2285</v>
      </c>
      <c r="E265" t="s">
        <v>2135</v>
      </c>
      <c r="G265" t="s">
        <v>2970</v>
      </c>
      <c r="H265" t="s">
        <v>2136</v>
      </c>
      <c r="I265" t="s">
        <v>4024</v>
      </c>
    </row>
    <row r="266" spans="1:9">
      <c r="A266" s="93" t="s">
        <v>4147</v>
      </c>
      <c r="B266" t="s">
        <v>1902</v>
      </c>
      <c r="C266" t="s">
        <v>2286</v>
      </c>
      <c r="E266" t="s">
        <v>108</v>
      </c>
      <c r="G266" t="s">
        <v>2970</v>
      </c>
      <c r="H266" t="s">
        <v>108</v>
      </c>
      <c r="I266" t="s">
        <v>4024</v>
      </c>
    </row>
    <row r="267" spans="1:9">
      <c r="A267" s="93" t="s">
        <v>4147</v>
      </c>
      <c r="B267" t="s">
        <v>1902</v>
      </c>
      <c r="C267" t="s">
        <v>2287</v>
      </c>
      <c r="D267" t="s">
        <v>2273</v>
      </c>
      <c r="E267" t="s">
        <v>2288</v>
      </c>
      <c r="F267" t="s">
        <v>2289</v>
      </c>
      <c r="G267" t="s">
        <v>2970</v>
      </c>
      <c r="H267" t="s">
        <v>2288</v>
      </c>
      <c r="I267" t="s">
        <v>4024</v>
      </c>
    </row>
    <row r="268" spans="1:9">
      <c r="A268" s="93" t="s">
        <v>4147</v>
      </c>
      <c r="B268" t="s">
        <v>3926</v>
      </c>
      <c r="C268" t="s">
        <v>2291</v>
      </c>
      <c r="E268" t="s">
        <v>2135</v>
      </c>
      <c r="F268" t="s">
        <v>2292</v>
      </c>
      <c r="G268" t="s">
        <v>2970</v>
      </c>
      <c r="H268" t="s">
        <v>2136</v>
      </c>
    </row>
    <row r="269" spans="1:9">
      <c r="A269" s="93" t="s">
        <v>4147</v>
      </c>
      <c r="B269" t="s">
        <v>3926</v>
      </c>
      <c r="C269" t="s">
        <v>2293</v>
      </c>
      <c r="D269" t="s">
        <v>2294</v>
      </c>
      <c r="E269" t="s">
        <v>2295</v>
      </c>
      <c r="F269" t="s">
        <v>2296</v>
      </c>
      <c r="G269" t="s">
        <v>2970</v>
      </c>
      <c r="H269" t="s">
        <v>108</v>
      </c>
    </row>
    <row r="270" spans="1:9">
      <c r="A270" s="93" t="s">
        <v>4147</v>
      </c>
      <c r="B270" t="s">
        <v>3926</v>
      </c>
      <c r="C270" t="s">
        <v>2297</v>
      </c>
      <c r="D270" t="s">
        <v>2298</v>
      </c>
      <c r="E270" t="s">
        <v>108</v>
      </c>
      <c r="F270" t="s">
        <v>2299</v>
      </c>
      <c r="G270" t="s">
        <v>2970</v>
      </c>
      <c r="H270" t="s">
        <v>108</v>
      </c>
    </row>
    <row r="271" spans="1:9">
      <c r="A271" s="93" t="s">
        <v>4147</v>
      </c>
      <c r="B271" t="s">
        <v>3926</v>
      </c>
      <c r="C271" t="s">
        <v>2300</v>
      </c>
      <c r="D271" t="s">
        <v>2294</v>
      </c>
      <c r="E271" t="s">
        <v>108</v>
      </c>
      <c r="F271" t="s">
        <v>2299</v>
      </c>
      <c r="G271" t="s">
        <v>2970</v>
      </c>
      <c r="H271" t="s">
        <v>108</v>
      </c>
    </row>
    <row r="272" spans="1:9">
      <c r="A272" s="93" t="s">
        <v>4147</v>
      </c>
      <c r="B272" t="s">
        <v>3926</v>
      </c>
      <c r="C272" t="s">
        <v>2301</v>
      </c>
      <c r="D272" t="s">
        <v>2302</v>
      </c>
      <c r="E272" t="s">
        <v>2193</v>
      </c>
      <c r="F272" t="s">
        <v>2303</v>
      </c>
      <c r="G272" t="s">
        <v>2970</v>
      </c>
      <c r="H272" t="s">
        <v>2193</v>
      </c>
    </row>
    <row r="273" spans="1:9">
      <c r="A273" s="93" t="s">
        <v>4147</v>
      </c>
      <c r="B273" t="s">
        <v>3926</v>
      </c>
      <c r="C273" t="s">
        <v>2304</v>
      </c>
      <c r="D273" t="s">
        <v>2305</v>
      </c>
      <c r="E273" t="s">
        <v>2257</v>
      </c>
      <c r="F273" t="s">
        <v>2306</v>
      </c>
      <c r="G273" t="s">
        <v>2970</v>
      </c>
      <c r="H273" t="s">
        <v>108</v>
      </c>
    </row>
    <row r="274" spans="1:9">
      <c r="A274" s="93" t="s">
        <v>4149</v>
      </c>
      <c r="B274" t="s">
        <v>1874</v>
      </c>
      <c r="C274" t="s">
        <v>2352</v>
      </c>
      <c r="E274" t="s">
        <v>1201</v>
      </c>
      <c r="G274" t="s">
        <v>2970</v>
      </c>
      <c r="H274" t="s">
        <v>1201</v>
      </c>
      <c r="I274" t="s">
        <v>3984</v>
      </c>
    </row>
    <row r="275" spans="1:9">
      <c r="A275" s="93" t="s">
        <v>4149</v>
      </c>
      <c r="B275" t="s">
        <v>1874</v>
      </c>
      <c r="C275" t="s">
        <v>2118</v>
      </c>
      <c r="E275" t="s">
        <v>2119</v>
      </c>
      <c r="G275" t="s">
        <v>2970</v>
      </c>
      <c r="H275" t="s">
        <v>1201</v>
      </c>
      <c r="I275" t="s">
        <v>3984</v>
      </c>
    </row>
    <row r="276" spans="1:9">
      <c r="A276" s="93" t="s">
        <v>4149</v>
      </c>
      <c r="B276" t="s">
        <v>3697</v>
      </c>
      <c r="C276" t="s">
        <v>2144</v>
      </c>
      <c r="D276" t="s">
        <v>2143</v>
      </c>
      <c r="E276" t="s">
        <v>2145</v>
      </c>
      <c r="G276" t="s">
        <v>2970</v>
      </c>
      <c r="H276" t="s">
        <v>2463</v>
      </c>
      <c r="I276" t="s">
        <v>3992</v>
      </c>
    </row>
    <row r="277" spans="1:9">
      <c r="A277" s="93" t="s">
        <v>4149</v>
      </c>
      <c r="B277" t="s">
        <v>1881</v>
      </c>
      <c r="C277" t="s">
        <v>2465</v>
      </c>
      <c r="D277" t="s">
        <v>2248</v>
      </c>
      <c r="E277" t="s">
        <v>2466</v>
      </c>
      <c r="G277" t="s">
        <v>2970</v>
      </c>
      <c r="H277" t="s">
        <v>2463</v>
      </c>
      <c r="I277" t="s">
        <v>3996</v>
      </c>
    </row>
    <row r="278" spans="1:9">
      <c r="A278" s="93" t="s">
        <v>4149</v>
      </c>
      <c r="B278" t="s">
        <v>1881</v>
      </c>
      <c r="C278" t="s">
        <v>2158</v>
      </c>
      <c r="D278" t="s">
        <v>2155</v>
      </c>
      <c r="E278" t="s">
        <v>2159</v>
      </c>
      <c r="F278" t="s">
        <v>2160</v>
      </c>
      <c r="G278" t="s">
        <v>2970</v>
      </c>
      <c r="H278" t="s">
        <v>2463</v>
      </c>
      <c r="I278" t="s">
        <v>3996</v>
      </c>
    </row>
    <row r="279" spans="1:9">
      <c r="A279" s="93" t="s">
        <v>4149</v>
      </c>
      <c r="B279" t="s">
        <v>1896</v>
      </c>
      <c r="C279" t="s">
        <v>2242</v>
      </c>
      <c r="D279" t="s">
        <v>2220</v>
      </c>
      <c r="E279" t="s">
        <v>2243</v>
      </c>
      <c r="F279" t="s">
        <v>2244</v>
      </c>
      <c r="G279" t="s">
        <v>2970</v>
      </c>
      <c r="H279" t="s">
        <v>2971</v>
      </c>
      <c r="I279" t="s">
        <v>4016</v>
      </c>
    </row>
    <row r="280" spans="1:9">
      <c r="A280" s="93" t="s">
        <v>4149</v>
      </c>
      <c r="B280" t="s">
        <v>1898</v>
      </c>
      <c r="C280" t="s">
        <v>2255</v>
      </c>
      <c r="D280" t="s">
        <v>2256</v>
      </c>
      <c r="E280" t="s">
        <v>2257</v>
      </c>
      <c r="G280" t="s">
        <v>2970</v>
      </c>
      <c r="H280" t="s">
        <v>2463</v>
      </c>
      <c r="I280" t="s">
        <v>4020</v>
      </c>
    </row>
    <row r="281" spans="1:9">
      <c r="A281" s="93" t="s">
        <v>4149</v>
      </c>
      <c r="B281" t="s">
        <v>1898</v>
      </c>
      <c r="C281" t="s">
        <v>2258</v>
      </c>
      <c r="D281" t="s">
        <v>2259</v>
      </c>
      <c r="E281" t="s">
        <v>2260</v>
      </c>
      <c r="F281" t="s">
        <v>2261</v>
      </c>
      <c r="G281" t="s">
        <v>2970</v>
      </c>
      <c r="H281" t="s">
        <v>2775</v>
      </c>
      <c r="I281" t="s">
        <v>4020</v>
      </c>
    </row>
    <row r="282" spans="1:9">
      <c r="A282" s="93" t="s">
        <v>4149</v>
      </c>
      <c r="B282" t="s">
        <v>3926</v>
      </c>
      <c r="C282" t="s">
        <v>2304</v>
      </c>
      <c r="D282" t="s">
        <v>2305</v>
      </c>
      <c r="E282" t="s">
        <v>2257</v>
      </c>
      <c r="F282" t="s">
        <v>2306</v>
      </c>
      <c r="G282" t="s">
        <v>2970</v>
      </c>
      <c r="H282" t="s">
        <v>2463</v>
      </c>
    </row>
    <row r="283" spans="1:9">
      <c r="A283" s="93" t="s">
        <v>4149</v>
      </c>
      <c r="B283" t="s">
        <v>3926</v>
      </c>
      <c r="C283" t="s">
        <v>2477</v>
      </c>
      <c r="D283" t="s">
        <v>2213</v>
      </c>
      <c r="E283" t="s">
        <v>2463</v>
      </c>
      <c r="F283" t="s">
        <v>2292</v>
      </c>
      <c r="G283" t="s">
        <v>2970</v>
      </c>
      <c r="H283" t="s">
        <v>2463</v>
      </c>
    </row>
    <row r="284" spans="1:9">
      <c r="A284" s="93" t="s">
        <v>4150</v>
      </c>
      <c r="B284" t="s">
        <v>1874</v>
      </c>
      <c r="C284" t="s">
        <v>2114</v>
      </c>
      <c r="D284" t="s">
        <v>2115</v>
      </c>
      <c r="E284" t="s">
        <v>1559</v>
      </c>
      <c r="F284" t="s">
        <v>2117</v>
      </c>
      <c r="G284" t="s">
        <v>2970</v>
      </c>
      <c r="H284" t="s">
        <v>108</v>
      </c>
      <c r="I284" t="s">
        <v>3984</v>
      </c>
    </row>
    <row r="285" spans="1:9">
      <c r="A285" s="93" t="s">
        <v>4150</v>
      </c>
      <c r="B285" t="s">
        <v>1874</v>
      </c>
      <c r="C285" t="s">
        <v>2352</v>
      </c>
      <c r="E285" t="s">
        <v>1201</v>
      </c>
      <c r="G285" t="s">
        <v>2970</v>
      </c>
      <c r="H285" t="s">
        <v>1201</v>
      </c>
      <c r="I285" t="s">
        <v>3984</v>
      </c>
    </row>
    <row r="286" spans="1:9">
      <c r="A286" s="93" t="s">
        <v>4150</v>
      </c>
      <c r="B286" t="s">
        <v>1874</v>
      </c>
      <c r="C286" t="s">
        <v>2118</v>
      </c>
      <c r="E286" t="s">
        <v>2119</v>
      </c>
      <c r="G286" t="s">
        <v>2970</v>
      </c>
      <c r="H286" t="s">
        <v>2119</v>
      </c>
      <c r="I286" t="s">
        <v>3984</v>
      </c>
    </row>
    <row r="287" spans="1:9">
      <c r="A287" s="93" t="s">
        <v>4150</v>
      </c>
      <c r="B287" t="s">
        <v>1874</v>
      </c>
      <c r="C287" t="s">
        <v>2121</v>
      </c>
      <c r="D287" t="s">
        <v>2122</v>
      </c>
      <c r="E287" t="s">
        <v>108</v>
      </c>
      <c r="G287" t="s">
        <v>2970</v>
      </c>
      <c r="H287" t="s">
        <v>108</v>
      </c>
      <c r="I287" t="s">
        <v>3984</v>
      </c>
    </row>
    <row r="288" spans="1:9">
      <c r="A288" s="93" t="s">
        <v>4150</v>
      </c>
      <c r="B288" t="s">
        <v>1874</v>
      </c>
      <c r="C288" t="s">
        <v>2123</v>
      </c>
      <c r="D288" t="s">
        <v>2124</v>
      </c>
      <c r="E288" t="s">
        <v>108</v>
      </c>
      <c r="F288" t="s">
        <v>2125</v>
      </c>
      <c r="G288" t="s">
        <v>2970</v>
      </c>
      <c r="H288" t="s">
        <v>108</v>
      </c>
      <c r="I288" t="s">
        <v>3984</v>
      </c>
    </row>
    <row r="289" spans="1:9">
      <c r="A289" s="93" t="s">
        <v>4150</v>
      </c>
      <c r="B289" t="s">
        <v>1874</v>
      </c>
      <c r="C289" t="s">
        <v>2126</v>
      </c>
      <c r="E289" t="s">
        <v>108</v>
      </c>
      <c r="G289" t="s">
        <v>2970</v>
      </c>
      <c r="H289" t="s">
        <v>108</v>
      </c>
      <c r="I289" t="s">
        <v>3984</v>
      </c>
    </row>
    <row r="290" spans="1:9">
      <c r="A290" s="93" t="s">
        <v>4150</v>
      </c>
      <c r="B290" t="s">
        <v>1875</v>
      </c>
      <c r="C290" t="s">
        <v>2128</v>
      </c>
      <c r="D290" t="s">
        <v>2129</v>
      </c>
      <c r="E290" t="s">
        <v>108</v>
      </c>
      <c r="G290" t="s">
        <v>2970</v>
      </c>
      <c r="H290" t="s">
        <v>108</v>
      </c>
      <c r="I290" t="s">
        <v>3988</v>
      </c>
    </row>
    <row r="291" spans="1:9">
      <c r="A291" s="93" t="s">
        <v>4150</v>
      </c>
      <c r="B291" t="s">
        <v>1875</v>
      </c>
      <c r="C291" t="s">
        <v>2130</v>
      </c>
      <c r="D291" t="s">
        <v>2131</v>
      </c>
      <c r="E291" t="s">
        <v>108</v>
      </c>
      <c r="F291" t="s">
        <v>2132</v>
      </c>
      <c r="G291" t="s">
        <v>2970</v>
      </c>
      <c r="H291" t="s">
        <v>108</v>
      </c>
      <c r="I291" t="s">
        <v>3988</v>
      </c>
    </row>
    <row r="292" spans="1:9">
      <c r="A292" s="93" t="s">
        <v>4150</v>
      </c>
      <c r="B292" t="s">
        <v>1875</v>
      </c>
      <c r="C292" t="s">
        <v>2133</v>
      </c>
      <c r="D292" t="s">
        <v>2131</v>
      </c>
      <c r="E292" t="s">
        <v>108</v>
      </c>
      <c r="G292" t="s">
        <v>2970</v>
      </c>
      <c r="H292" t="s">
        <v>108</v>
      </c>
      <c r="I292" t="s">
        <v>3988</v>
      </c>
    </row>
    <row r="293" spans="1:9">
      <c r="A293" s="93" t="s">
        <v>4150</v>
      </c>
      <c r="B293" t="s">
        <v>1875</v>
      </c>
      <c r="C293" t="s">
        <v>2134</v>
      </c>
      <c r="E293" t="s">
        <v>2135</v>
      </c>
      <c r="F293" t="s">
        <v>2137</v>
      </c>
      <c r="G293" t="s">
        <v>2970</v>
      </c>
      <c r="H293" t="s">
        <v>2136</v>
      </c>
      <c r="I293" t="s">
        <v>3988</v>
      </c>
    </row>
    <row r="294" spans="1:9">
      <c r="A294" s="93" t="s">
        <v>4150</v>
      </c>
      <c r="B294" t="s">
        <v>1875</v>
      </c>
      <c r="C294" t="s">
        <v>2138</v>
      </c>
      <c r="D294" t="s">
        <v>2139</v>
      </c>
      <c r="E294" t="s">
        <v>108</v>
      </c>
      <c r="F294" t="s">
        <v>2140</v>
      </c>
      <c r="G294" t="s">
        <v>2970</v>
      </c>
      <c r="H294" t="s">
        <v>108</v>
      </c>
      <c r="I294" t="s">
        <v>3988</v>
      </c>
    </row>
    <row r="295" spans="1:9">
      <c r="A295" s="93" t="s">
        <v>4150</v>
      </c>
      <c r="B295" t="s">
        <v>3697</v>
      </c>
      <c r="C295" t="s">
        <v>2142</v>
      </c>
      <c r="D295" t="s">
        <v>2143</v>
      </c>
      <c r="E295" t="s">
        <v>108</v>
      </c>
      <c r="G295" t="s">
        <v>2970</v>
      </c>
      <c r="H295" t="s">
        <v>108</v>
      </c>
      <c r="I295" t="s">
        <v>3992</v>
      </c>
    </row>
    <row r="296" spans="1:9">
      <c r="A296" s="93" t="s">
        <v>4150</v>
      </c>
      <c r="B296" t="s">
        <v>3697</v>
      </c>
      <c r="C296" t="s">
        <v>2144</v>
      </c>
      <c r="D296" t="s">
        <v>2143</v>
      </c>
      <c r="E296" t="s">
        <v>2145</v>
      </c>
      <c r="G296" t="s">
        <v>2970</v>
      </c>
      <c r="H296" t="s">
        <v>108</v>
      </c>
      <c r="I296" t="s">
        <v>3992</v>
      </c>
    </row>
    <row r="297" spans="1:9">
      <c r="A297" s="93" t="s">
        <v>4150</v>
      </c>
      <c r="B297" t="s">
        <v>3697</v>
      </c>
      <c r="C297" t="s">
        <v>2146</v>
      </c>
      <c r="D297" t="s">
        <v>2143</v>
      </c>
      <c r="E297" t="s">
        <v>2147</v>
      </c>
      <c r="F297" t="s">
        <v>2148</v>
      </c>
      <c r="G297" t="s">
        <v>2970</v>
      </c>
      <c r="H297" t="s">
        <v>108</v>
      </c>
      <c r="I297" t="s">
        <v>3992</v>
      </c>
    </row>
    <row r="298" spans="1:9">
      <c r="A298" s="93" t="s">
        <v>4150</v>
      </c>
      <c r="B298" t="s">
        <v>3697</v>
      </c>
      <c r="C298" t="s">
        <v>2149</v>
      </c>
      <c r="D298" t="s">
        <v>2143</v>
      </c>
      <c r="E298" t="s">
        <v>108</v>
      </c>
      <c r="G298" t="s">
        <v>2970</v>
      </c>
      <c r="H298" t="s">
        <v>108</v>
      </c>
      <c r="I298" t="s">
        <v>3992</v>
      </c>
    </row>
    <row r="299" spans="1:9">
      <c r="A299" s="93" t="s">
        <v>4150</v>
      </c>
      <c r="B299" t="s">
        <v>1881</v>
      </c>
      <c r="C299" t="s">
        <v>2151</v>
      </c>
      <c r="D299" t="s">
        <v>2152</v>
      </c>
      <c r="E299" t="s">
        <v>2153</v>
      </c>
      <c r="G299" t="s">
        <v>2970</v>
      </c>
      <c r="H299" t="s">
        <v>108</v>
      </c>
      <c r="I299" t="s">
        <v>3996</v>
      </c>
    </row>
    <row r="300" spans="1:9">
      <c r="A300" s="93" t="s">
        <v>4150</v>
      </c>
      <c r="B300" t="s">
        <v>1881</v>
      </c>
      <c r="C300" t="s">
        <v>2154</v>
      </c>
      <c r="D300" t="s">
        <v>2155</v>
      </c>
      <c r="E300" t="s">
        <v>108</v>
      </c>
      <c r="G300" t="s">
        <v>2970</v>
      </c>
      <c r="H300" t="s">
        <v>108</v>
      </c>
      <c r="I300" t="s">
        <v>3996</v>
      </c>
    </row>
    <row r="301" spans="1:9">
      <c r="A301" s="93" t="s">
        <v>4150</v>
      </c>
      <c r="B301" t="s">
        <v>1881</v>
      </c>
      <c r="C301" t="s">
        <v>2156</v>
      </c>
      <c r="D301" t="s">
        <v>2152</v>
      </c>
      <c r="E301" t="s">
        <v>2157</v>
      </c>
      <c r="G301" t="s">
        <v>2970</v>
      </c>
      <c r="H301" t="s">
        <v>108</v>
      </c>
      <c r="I301" t="s">
        <v>3996</v>
      </c>
    </row>
    <row r="302" spans="1:9">
      <c r="A302" s="93" t="s">
        <v>4150</v>
      </c>
      <c r="B302" t="s">
        <v>1881</v>
      </c>
      <c r="C302" t="s">
        <v>2158</v>
      </c>
      <c r="D302" t="s">
        <v>2155</v>
      </c>
      <c r="E302" t="s">
        <v>2159</v>
      </c>
      <c r="F302" t="s">
        <v>2160</v>
      </c>
      <c r="G302" t="s">
        <v>2970</v>
      </c>
      <c r="H302" t="s">
        <v>108</v>
      </c>
      <c r="I302" t="s">
        <v>3996</v>
      </c>
    </row>
    <row r="303" spans="1:9">
      <c r="A303" s="93" t="s">
        <v>4150</v>
      </c>
      <c r="B303" t="s">
        <v>1881</v>
      </c>
      <c r="C303" t="s">
        <v>2161</v>
      </c>
      <c r="D303" t="s">
        <v>2162</v>
      </c>
      <c r="E303" t="s">
        <v>108</v>
      </c>
      <c r="F303" t="s">
        <v>2163</v>
      </c>
      <c r="G303" t="s">
        <v>2970</v>
      </c>
      <c r="H303" t="s">
        <v>108</v>
      </c>
      <c r="I303" t="s">
        <v>3996</v>
      </c>
    </row>
    <row r="304" spans="1:9">
      <c r="A304" s="93" t="s">
        <v>4150</v>
      </c>
      <c r="B304" t="s">
        <v>1881</v>
      </c>
      <c r="C304" t="s">
        <v>2164</v>
      </c>
      <c r="D304" t="s">
        <v>2162</v>
      </c>
      <c r="E304" t="s">
        <v>108</v>
      </c>
      <c r="G304" t="s">
        <v>2970</v>
      </c>
      <c r="H304" t="s">
        <v>108</v>
      </c>
      <c r="I304" t="s">
        <v>3996</v>
      </c>
    </row>
    <row r="305" spans="1:9">
      <c r="A305" s="93" t="s">
        <v>4150</v>
      </c>
      <c r="B305" t="s">
        <v>1882</v>
      </c>
      <c r="C305" t="s">
        <v>2166</v>
      </c>
      <c r="D305" t="s">
        <v>2167</v>
      </c>
      <c r="E305" t="s">
        <v>108</v>
      </c>
      <c r="F305" t="s">
        <v>2168</v>
      </c>
      <c r="G305" t="s">
        <v>2970</v>
      </c>
      <c r="H305" t="s">
        <v>108</v>
      </c>
      <c r="I305" t="s">
        <v>4000</v>
      </c>
    </row>
    <row r="306" spans="1:9">
      <c r="A306" s="93" t="s">
        <v>4150</v>
      </c>
      <c r="B306" t="s">
        <v>1882</v>
      </c>
      <c r="C306" t="s">
        <v>2169</v>
      </c>
      <c r="D306" t="s">
        <v>2129</v>
      </c>
      <c r="E306" t="s">
        <v>2170</v>
      </c>
      <c r="G306" t="s">
        <v>2970</v>
      </c>
      <c r="H306" t="s">
        <v>2136</v>
      </c>
      <c r="I306" t="s">
        <v>4000</v>
      </c>
    </row>
    <row r="307" spans="1:9">
      <c r="A307" s="93" t="s">
        <v>4150</v>
      </c>
      <c r="B307" t="s">
        <v>1882</v>
      </c>
      <c r="C307" t="s">
        <v>2171</v>
      </c>
      <c r="D307" t="s">
        <v>2129</v>
      </c>
      <c r="E307" t="s">
        <v>2135</v>
      </c>
      <c r="G307" t="s">
        <v>2970</v>
      </c>
      <c r="H307" t="s">
        <v>2136</v>
      </c>
      <c r="I307" t="s">
        <v>4000</v>
      </c>
    </row>
    <row r="308" spans="1:9">
      <c r="A308" s="93" t="s">
        <v>4150</v>
      </c>
      <c r="B308" t="s">
        <v>1882</v>
      </c>
      <c r="C308" t="s">
        <v>2172</v>
      </c>
      <c r="D308" t="s">
        <v>2129</v>
      </c>
      <c r="E308" t="s">
        <v>2135</v>
      </c>
      <c r="G308" t="s">
        <v>2970</v>
      </c>
      <c r="H308" t="s">
        <v>2136</v>
      </c>
      <c r="I308" t="s">
        <v>4000</v>
      </c>
    </row>
    <row r="309" spans="1:9">
      <c r="A309" s="93" t="s">
        <v>4150</v>
      </c>
      <c r="B309" t="s">
        <v>1882</v>
      </c>
      <c r="C309" t="s">
        <v>2173</v>
      </c>
      <c r="D309" t="s">
        <v>2174</v>
      </c>
      <c r="E309" t="s">
        <v>2135</v>
      </c>
      <c r="G309" t="s">
        <v>2970</v>
      </c>
      <c r="H309" t="s">
        <v>2136</v>
      </c>
      <c r="I309" t="s">
        <v>4000</v>
      </c>
    </row>
    <row r="310" spans="1:9">
      <c r="A310" s="93" t="s">
        <v>4150</v>
      </c>
      <c r="B310" t="s">
        <v>1882</v>
      </c>
      <c r="C310" t="s">
        <v>2175</v>
      </c>
      <c r="E310" t="s">
        <v>2135</v>
      </c>
      <c r="G310" t="s">
        <v>2970</v>
      </c>
      <c r="H310" t="s">
        <v>2136</v>
      </c>
      <c r="I310" t="s">
        <v>4000</v>
      </c>
    </row>
    <row r="311" spans="1:9">
      <c r="A311" s="93" t="s">
        <v>4150</v>
      </c>
      <c r="B311" t="s">
        <v>1882</v>
      </c>
      <c r="C311" t="s">
        <v>2176</v>
      </c>
      <c r="E311" t="s">
        <v>2135</v>
      </c>
      <c r="G311" t="s">
        <v>2970</v>
      </c>
      <c r="H311" t="s">
        <v>2136</v>
      </c>
      <c r="I311" t="s">
        <v>4000</v>
      </c>
    </row>
    <row r="312" spans="1:9">
      <c r="A312" s="93" t="s">
        <v>4150</v>
      </c>
      <c r="B312" t="s">
        <v>1882</v>
      </c>
      <c r="C312" t="s">
        <v>2177</v>
      </c>
      <c r="E312" t="s">
        <v>2135</v>
      </c>
      <c r="G312" t="s">
        <v>2970</v>
      </c>
      <c r="H312" t="s">
        <v>2136</v>
      </c>
      <c r="I312" t="s">
        <v>4000</v>
      </c>
    </row>
    <row r="313" spans="1:9">
      <c r="A313" s="93" t="s">
        <v>4150</v>
      </c>
      <c r="B313" t="s">
        <v>1884</v>
      </c>
      <c r="C313" t="s">
        <v>2179</v>
      </c>
      <c r="D313" t="s">
        <v>2180</v>
      </c>
      <c r="E313" t="s">
        <v>108</v>
      </c>
      <c r="G313" t="s">
        <v>2970</v>
      </c>
      <c r="H313" t="s">
        <v>108</v>
      </c>
      <c r="I313" t="s">
        <v>4002</v>
      </c>
    </row>
    <row r="314" spans="1:9">
      <c r="A314" s="93" t="s">
        <v>4150</v>
      </c>
      <c r="B314" t="s">
        <v>1884</v>
      </c>
      <c r="C314" t="s">
        <v>2181</v>
      </c>
      <c r="D314" t="s">
        <v>2182</v>
      </c>
      <c r="E314" t="s">
        <v>108</v>
      </c>
      <c r="G314" t="s">
        <v>2970</v>
      </c>
      <c r="H314" t="s">
        <v>108</v>
      </c>
      <c r="I314" t="s">
        <v>4002</v>
      </c>
    </row>
    <row r="315" spans="1:9">
      <c r="A315" s="93" t="s">
        <v>4150</v>
      </c>
      <c r="B315" t="s">
        <v>1884</v>
      </c>
      <c r="C315" t="s">
        <v>2183</v>
      </c>
      <c r="D315" t="s">
        <v>2182</v>
      </c>
      <c r="E315" t="s">
        <v>2184</v>
      </c>
      <c r="F315" t="s">
        <v>2185</v>
      </c>
      <c r="G315" t="s">
        <v>2970</v>
      </c>
      <c r="H315" t="s">
        <v>108</v>
      </c>
      <c r="I315" t="s">
        <v>4002</v>
      </c>
    </row>
    <row r="316" spans="1:9">
      <c r="A316" s="93" t="s">
        <v>4150</v>
      </c>
      <c r="B316" t="s">
        <v>1884</v>
      </c>
      <c r="C316" t="s">
        <v>2186</v>
      </c>
      <c r="D316" t="s">
        <v>2187</v>
      </c>
      <c r="E316" t="s">
        <v>108</v>
      </c>
      <c r="G316" t="s">
        <v>2970</v>
      </c>
      <c r="H316" t="s">
        <v>108</v>
      </c>
      <c r="I316" t="s">
        <v>4002</v>
      </c>
    </row>
    <row r="317" spans="1:9">
      <c r="A317" s="93" t="s">
        <v>4150</v>
      </c>
      <c r="B317" t="s">
        <v>1884</v>
      </c>
      <c r="C317" t="s">
        <v>2188</v>
      </c>
      <c r="E317" t="s">
        <v>2189</v>
      </c>
      <c r="G317" t="s">
        <v>2970</v>
      </c>
      <c r="H317" t="s">
        <v>108</v>
      </c>
      <c r="I317" t="s">
        <v>4002</v>
      </c>
    </row>
    <row r="318" spans="1:9">
      <c r="A318" s="93" t="s">
        <v>4150</v>
      </c>
      <c r="B318" t="s">
        <v>1884</v>
      </c>
      <c r="C318" t="s">
        <v>2190</v>
      </c>
      <c r="E318" t="s">
        <v>2135</v>
      </c>
      <c r="G318" t="s">
        <v>2970</v>
      </c>
      <c r="H318" t="s">
        <v>2136</v>
      </c>
      <c r="I318" t="s">
        <v>4002</v>
      </c>
    </row>
    <row r="319" spans="1:9">
      <c r="A319" s="93" t="s">
        <v>4150</v>
      </c>
      <c r="B319" t="s">
        <v>1884</v>
      </c>
      <c r="C319" t="s">
        <v>2191</v>
      </c>
      <c r="E319" t="s">
        <v>2135</v>
      </c>
      <c r="G319" t="s">
        <v>2970</v>
      </c>
      <c r="H319" t="s">
        <v>2136</v>
      </c>
      <c r="I319" t="s">
        <v>4002</v>
      </c>
    </row>
    <row r="320" spans="1:9">
      <c r="A320" s="93" t="s">
        <v>4150</v>
      </c>
      <c r="B320" t="s">
        <v>1884</v>
      </c>
      <c r="C320" t="s">
        <v>2192</v>
      </c>
      <c r="D320" t="s">
        <v>2182</v>
      </c>
      <c r="E320" t="s">
        <v>2193</v>
      </c>
      <c r="G320" t="s">
        <v>2970</v>
      </c>
      <c r="H320" t="s">
        <v>2193</v>
      </c>
      <c r="I320" t="s">
        <v>4002</v>
      </c>
    </row>
    <row r="321" spans="1:9">
      <c r="A321" s="93" t="s">
        <v>4150</v>
      </c>
      <c r="B321" t="s">
        <v>1884</v>
      </c>
      <c r="C321" t="s">
        <v>2194</v>
      </c>
      <c r="D321" t="s">
        <v>2187</v>
      </c>
      <c r="E321" t="s">
        <v>108</v>
      </c>
      <c r="G321" t="s">
        <v>2970</v>
      </c>
      <c r="H321" t="s">
        <v>108</v>
      </c>
      <c r="I321" t="s">
        <v>4002</v>
      </c>
    </row>
    <row r="322" spans="1:9">
      <c r="A322" s="93" t="s">
        <v>4150</v>
      </c>
      <c r="B322" t="s">
        <v>1889</v>
      </c>
      <c r="C322" t="s">
        <v>2196</v>
      </c>
      <c r="E322" t="s">
        <v>2193</v>
      </c>
      <c r="G322" t="s">
        <v>2970</v>
      </c>
      <c r="H322" t="s">
        <v>2193</v>
      </c>
      <c r="I322" t="s">
        <v>4004</v>
      </c>
    </row>
    <row r="323" spans="1:9">
      <c r="A323" s="93" t="s">
        <v>4150</v>
      </c>
      <c r="B323" t="s">
        <v>1889</v>
      </c>
      <c r="C323" t="s">
        <v>2197</v>
      </c>
      <c r="E323" t="s">
        <v>2193</v>
      </c>
      <c r="G323" t="s">
        <v>2970</v>
      </c>
      <c r="H323" t="s">
        <v>2193</v>
      </c>
      <c r="I323" t="s">
        <v>4004</v>
      </c>
    </row>
    <row r="324" spans="1:9">
      <c r="A324" s="93" t="s">
        <v>4150</v>
      </c>
      <c r="B324" t="s">
        <v>1889</v>
      </c>
      <c r="C324" t="s">
        <v>2198</v>
      </c>
      <c r="E324" t="s">
        <v>2199</v>
      </c>
      <c r="G324" t="s">
        <v>2970</v>
      </c>
      <c r="H324" t="s">
        <v>2193</v>
      </c>
      <c r="I324" t="s">
        <v>4004</v>
      </c>
    </row>
    <row r="325" spans="1:9">
      <c r="A325" s="93" t="s">
        <v>4150</v>
      </c>
      <c r="B325" t="s">
        <v>1889</v>
      </c>
      <c r="C325" t="s">
        <v>2200</v>
      </c>
      <c r="D325" t="s">
        <v>2182</v>
      </c>
      <c r="E325" t="s">
        <v>108</v>
      </c>
      <c r="G325" t="s">
        <v>2970</v>
      </c>
      <c r="H325" t="s">
        <v>108</v>
      </c>
      <c r="I325" t="s">
        <v>4004</v>
      </c>
    </row>
    <row r="326" spans="1:9">
      <c r="A326" s="93" t="s">
        <v>4150</v>
      </c>
      <c r="B326" t="s">
        <v>1889</v>
      </c>
      <c r="C326" t="s">
        <v>2201</v>
      </c>
      <c r="D326" t="s">
        <v>2182</v>
      </c>
      <c r="E326" t="s">
        <v>108</v>
      </c>
      <c r="G326" t="s">
        <v>2970</v>
      </c>
      <c r="H326" t="s">
        <v>108</v>
      </c>
      <c r="I326" t="s">
        <v>4004</v>
      </c>
    </row>
    <row r="327" spans="1:9">
      <c r="A327" s="93" t="s">
        <v>4150</v>
      </c>
      <c r="B327" t="s">
        <v>1889</v>
      </c>
      <c r="C327" t="s">
        <v>2202</v>
      </c>
      <c r="D327" t="s">
        <v>2174</v>
      </c>
      <c r="E327" t="s">
        <v>108</v>
      </c>
      <c r="G327" t="s">
        <v>2970</v>
      </c>
      <c r="H327" t="s">
        <v>108</v>
      </c>
      <c r="I327" t="s">
        <v>4004</v>
      </c>
    </row>
    <row r="328" spans="1:9">
      <c r="A328" s="93" t="s">
        <v>4150</v>
      </c>
      <c r="B328" t="s">
        <v>1889</v>
      </c>
      <c r="C328" t="s">
        <v>2203</v>
      </c>
      <c r="D328" t="s">
        <v>2204</v>
      </c>
      <c r="E328" t="s">
        <v>2193</v>
      </c>
      <c r="G328" t="s">
        <v>2970</v>
      </c>
      <c r="H328" t="s">
        <v>2193</v>
      </c>
      <c r="I328" t="s">
        <v>4004</v>
      </c>
    </row>
    <row r="329" spans="1:9">
      <c r="A329" s="93" t="s">
        <v>4150</v>
      </c>
      <c r="B329" t="s">
        <v>1889</v>
      </c>
      <c r="C329" t="s">
        <v>2205</v>
      </c>
      <c r="D329" t="s">
        <v>2204</v>
      </c>
      <c r="E329" t="s">
        <v>2193</v>
      </c>
      <c r="G329" t="s">
        <v>2970</v>
      </c>
      <c r="H329" t="s">
        <v>2193</v>
      </c>
      <c r="I329" t="s">
        <v>4004</v>
      </c>
    </row>
    <row r="330" spans="1:9">
      <c r="A330" s="93" t="s">
        <v>4150</v>
      </c>
      <c r="B330" t="s">
        <v>1889</v>
      </c>
      <c r="C330" t="s">
        <v>2206</v>
      </c>
      <c r="E330" t="s">
        <v>2135</v>
      </c>
      <c r="G330" t="s">
        <v>2970</v>
      </c>
      <c r="H330" t="s">
        <v>2136</v>
      </c>
      <c r="I330" t="s">
        <v>4004</v>
      </c>
    </row>
    <row r="331" spans="1:9">
      <c r="A331" s="93" t="s">
        <v>4150</v>
      </c>
      <c r="B331" t="s">
        <v>1889</v>
      </c>
      <c r="C331" t="s">
        <v>2207</v>
      </c>
      <c r="D331" t="s">
        <v>2204</v>
      </c>
      <c r="E331" t="s">
        <v>108</v>
      </c>
      <c r="F331" t="s">
        <v>2208</v>
      </c>
      <c r="G331" t="s">
        <v>2970</v>
      </c>
      <c r="H331" t="s">
        <v>108</v>
      </c>
      <c r="I331" t="s">
        <v>4004</v>
      </c>
    </row>
    <row r="332" spans="1:9">
      <c r="A332" s="93" t="s">
        <v>4150</v>
      </c>
      <c r="B332" t="s">
        <v>1891</v>
      </c>
      <c r="C332" t="s">
        <v>2210</v>
      </c>
      <c r="D332" t="s">
        <v>2211</v>
      </c>
      <c r="E332" t="s">
        <v>108</v>
      </c>
      <c r="G332" t="s">
        <v>2970</v>
      </c>
      <c r="H332" t="s">
        <v>108</v>
      </c>
      <c r="I332" t="s">
        <v>4008</v>
      </c>
    </row>
    <row r="333" spans="1:9">
      <c r="A333" s="93" t="s">
        <v>4150</v>
      </c>
      <c r="B333" t="s">
        <v>1891</v>
      </c>
      <c r="C333" t="s">
        <v>2212</v>
      </c>
      <c r="D333" t="s">
        <v>2213</v>
      </c>
      <c r="E333" t="s">
        <v>108</v>
      </c>
      <c r="G333" t="s">
        <v>2970</v>
      </c>
      <c r="H333" t="s">
        <v>108</v>
      </c>
      <c r="I333" t="s">
        <v>4008</v>
      </c>
    </row>
    <row r="334" spans="1:9">
      <c r="A334" s="93" t="s">
        <v>4150</v>
      </c>
      <c r="B334" t="s">
        <v>1891</v>
      </c>
      <c r="C334" t="s">
        <v>2214</v>
      </c>
      <c r="D334" t="s">
        <v>2213</v>
      </c>
      <c r="E334" t="s">
        <v>108</v>
      </c>
      <c r="G334" t="s">
        <v>2970</v>
      </c>
      <c r="H334" t="s">
        <v>108</v>
      </c>
      <c r="I334" t="s">
        <v>4008</v>
      </c>
    </row>
    <row r="335" spans="1:9">
      <c r="A335" s="93" t="s">
        <v>4150</v>
      </c>
      <c r="B335" t="s">
        <v>1893</v>
      </c>
      <c r="C335" t="s">
        <v>2216</v>
      </c>
      <c r="D335" t="s">
        <v>2217</v>
      </c>
      <c r="E335" t="s">
        <v>2193</v>
      </c>
      <c r="F335" t="s">
        <v>2218</v>
      </c>
      <c r="G335" t="s">
        <v>2970</v>
      </c>
      <c r="H335" t="s">
        <v>2193</v>
      </c>
      <c r="I335" t="s">
        <v>4012</v>
      </c>
    </row>
    <row r="336" spans="1:9">
      <c r="A336" s="93" t="s">
        <v>4150</v>
      </c>
      <c r="B336" t="s">
        <v>1893</v>
      </c>
      <c r="C336" t="s">
        <v>2219</v>
      </c>
      <c r="D336" t="s">
        <v>2220</v>
      </c>
      <c r="E336" t="s">
        <v>108</v>
      </c>
      <c r="F336" t="s">
        <v>2221</v>
      </c>
      <c r="G336" t="s">
        <v>2970</v>
      </c>
      <c r="H336" t="s">
        <v>108</v>
      </c>
      <c r="I336" t="s">
        <v>4012</v>
      </c>
    </row>
    <row r="337" spans="1:9">
      <c r="A337" s="93" t="s">
        <v>4150</v>
      </c>
      <c r="B337" t="s">
        <v>1893</v>
      </c>
      <c r="C337" t="s">
        <v>2222</v>
      </c>
      <c r="D337" t="s">
        <v>2223</v>
      </c>
      <c r="E337" t="s">
        <v>108</v>
      </c>
      <c r="F337" t="s">
        <v>2224</v>
      </c>
      <c r="G337" t="s">
        <v>2970</v>
      </c>
      <c r="H337" t="s">
        <v>108</v>
      </c>
      <c r="I337" t="s">
        <v>4012</v>
      </c>
    </row>
    <row r="338" spans="1:9">
      <c r="A338" s="93" t="s">
        <v>4150</v>
      </c>
      <c r="B338" t="s">
        <v>1893</v>
      </c>
      <c r="C338" t="s">
        <v>2225</v>
      </c>
      <c r="D338" t="s">
        <v>2226</v>
      </c>
      <c r="E338" t="s">
        <v>108</v>
      </c>
      <c r="F338" t="s">
        <v>2227</v>
      </c>
      <c r="G338" t="s">
        <v>2970</v>
      </c>
      <c r="H338" t="s">
        <v>108</v>
      </c>
      <c r="I338" t="s">
        <v>4012</v>
      </c>
    </row>
    <row r="339" spans="1:9">
      <c r="A339" s="93" t="s">
        <v>4150</v>
      </c>
      <c r="B339" t="s">
        <v>1893</v>
      </c>
      <c r="C339" t="s">
        <v>2228</v>
      </c>
      <c r="E339" t="s">
        <v>2135</v>
      </c>
      <c r="G339" t="s">
        <v>2970</v>
      </c>
      <c r="H339" t="s">
        <v>2136</v>
      </c>
      <c r="I339" t="s">
        <v>4012</v>
      </c>
    </row>
    <row r="340" spans="1:9">
      <c r="A340" s="93" t="s">
        <v>4150</v>
      </c>
      <c r="B340" t="s">
        <v>1896</v>
      </c>
      <c r="C340" t="s">
        <v>2230</v>
      </c>
      <c r="D340" t="s">
        <v>2220</v>
      </c>
      <c r="E340" t="s">
        <v>108</v>
      </c>
      <c r="F340" t="s">
        <v>2231</v>
      </c>
      <c r="G340" t="s">
        <v>2970</v>
      </c>
      <c r="H340" t="s">
        <v>108</v>
      </c>
      <c r="I340" t="s">
        <v>4016</v>
      </c>
    </row>
    <row r="341" spans="1:9">
      <c r="A341" s="93" t="s">
        <v>4150</v>
      </c>
      <c r="B341" t="s">
        <v>1896</v>
      </c>
      <c r="C341" t="s">
        <v>2232</v>
      </c>
      <c r="D341" t="s">
        <v>2220</v>
      </c>
      <c r="E341" t="s">
        <v>108</v>
      </c>
      <c r="G341" t="s">
        <v>2970</v>
      </c>
      <c r="H341" t="s">
        <v>108</v>
      </c>
      <c r="I341" t="s">
        <v>4016</v>
      </c>
    </row>
    <row r="342" spans="1:9">
      <c r="A342" s="93" t="s">
        <v>4150</v>
      </c>
      <c r="B342" t="s">
        <v>1896</v>
      </c>
      <c r="C342" t="s">
        <v>2233</v>
      </c>
      <c r="D342" t="s">
        <v>2234</v>
      </c>
      <c r="E342" t="s">
        <v>108</v>
      </c>
      <c r="F342" t="s">
        <v>2235</v>
      </c>
      <c r="G342" t="s">
        <v>2970</v>
      </c>
      <c r="H342" t="s">
        <v>108</v>
      </c>
      <c r="I342" t="s">
        <v>4016</v>
      </c>
    </row>
    <row r="343" spans="1:9">
      <c r="A343" s="93" t="s">
        <v>4150</v>
      </c>
      <c r="B343" t="s">
        <v>1896</v>
      </c>
      <c r="C343" t="s">
        <v>2236</v>
      </c>
      <c r="D343" t="s">
        <v>2237</v>
      </c>
      <c r="E343" t="s">
        <v>108</v>
      </c>
      <c r="F343" t="s">
        <v>2231</v>
      </c>
      <c r="G343" t="s">
        <v>2970</v>
      </c>
      <c r="H343" t="s">
        <v>108</v>
      </c>
      <c r="I343" t="s">
        <v>4016</v>
      </c>
    </row>
    <row r="344" spans="1:9">
      <c r="A344" s="93" t="s">
        <v>4150</v>
      </c>
      <c r="B344" t="s">
        <v>1896</v>
      </c>
      <c r="C344" t="s">
        <v>2238</v>
      </c>
      <c r="D344" t="s">
        <v>2237</v>
      </c>
      <c r="E344" t="s">
        <v>108</v>
      </c>
      <c r="F344" t="s">
        <v>2239</v>
      </c>
      <c r="G344" t="s">
        <v>2970</v>
      </c>
      <c r="H344" t="s">
        <v>108</v>
      </c>
      <c r="I344" t="s">
        <v>4016</v>
      </c>
    </row>
    <row r="345" spans="1:9">
      <c r="A345" s="93" t="s">
        <v>4150</v>
      </c>
      <c r="B345" t="s">
        <v>1896</v>
      </c>
      <c r="C345" t="s">
        <v>2240</v>
      </c>
      <c r="D345" t="s">
        <v>2241</v>
      </c>
      <c r="E345" t="s">
        <v>2193</v>
      </c>
      <c r="G345" t="s">
        <v>2970</v>
      </c>
      <c r="H345" t="s">
        <v>2193</v>
      </c>
      <c r="I345" t="s">
        <v>4016</v>
      </c>
    </row>
    <row r="346" spans="1:9">
      <c r="A346" s="93" t="s">
        <v>4150</v>
      </c>
      <c r="B346" t="s">
        <v>1896</v>
      </c>
      <c r="C346" t="s">
        <v>2242</v>
      </c>
      <c r="D346" t="s">
        <v>2220</v>
      </c>
      <c r="E346" t="s">
        <v>2243</v>
      </c>
      <c r="F346" t="s">
        <v>2244</v>
      </c>
      <c r="G346" t="s">
        <v>2970</v>
      </c>
      <c r="H346" t="s">
        <v>2962</v>
      </c>
      <c r="I346" t="s">
        <v>4016</v>
      </c>
    </row>
    <row r="347" spans="1:9">
      <c r="A347" s="93" t="s">
        <v>4150</v>
      </c>
      <c r="B347" t="s">
        <v>1896</v>
      </c>
      <c r="C347" t="s">
        <v>2245</v>
      </c>
      <c r="D347" t="s">
        <v>2241</v>
      </c>
      <c r="E347" t="s">
        <v>2246</v>
      </c>
      <c r="G347" t="s">
        <v>2970</v>
      </c>
      <c r="H347" t="s">
        <v>108</v>
      </c>
      <c r="I347" t="s">
        <v>4016</v>
      </c>
    </row>
    <row r="348" spans="1:9">
      <c r="A348" s="93" t="s">
        <v>4150</v>
      </c>
      <c r="B348" t="s">
        <v>1896</v>
      </c>
      <c r="C348" t="s">
        <v>2247</v>
      </c>
      <c r="D348" t="s">
        <v>2248</v>
      </c>
      <c r="E348" t="s">
        <v>108</v>
      </c>
      <c r="F348" t="s">
        <v>2249</v>
      </c>
      <c r="G348" t="s">
        <v>2970</v>
      </c>
      <c r="H348" t="s">
        <v>108</v>
      </c>
      <c r="I348" t="s">
        <v>4016</v>
      </c>
    </row>
    <row r="349" spans="1:9">
      <c r="A349" s="93" t="s">
        <v>4150</v>
      </c>
      <c r="B349" t="s">
        <v>1898</v>
      </c>
      <c r="C349" t="s">
        <v>2251</v>
      </c>
      <c r="D349" t="s">
        <v>2252</v>
      </c>
      <c r="E349" t="s">
        <v>108</v>
      </c>
      <c r="G349" t="s">
        <v>2970</v>
      </c>
      <c r="H349" t="s">
        <v>108</v>
      </c>
      <c r="I349" t="s">
        <v>4020</v>
      </c>
    </row>
    <row r="350" spans="1:9">
      <c r="A350" s="93" t="s">
        <v>4150</v>
      </c>
      <c r="B350" t="s">
        <v>1898</v>
      </c>
      <c r="C350" t="s">
        <v>2253</v>
      </c>
      <c r="D350" t="s">
        <v>2252</v>
      </c>
      <c r="E350" t="s">
        <v>2193</v>
      </c>
      <c r="F350" t="s">
        <v>2254</v>
      </c>
      <c r="G350" t="s">
        <v>2970</v>
      </c>
      <c r="H350" t="s">
        <v>2193</v>
      </c>
      <c r="I350" t="s">
        <v>4020</v>
      </c>
    </row>
    <row r="351" spans="1:9">
      <c r="A351" s="93" t="s">
        <v>4150</v>
      </c>
      <c r="B351" t="s">
        <v>1898</v>
      </c>
      <c r="C351" t="s">
        <v>2255</v>
      </c>
      <c r="D351" t="s">
        <v>2256</v>
      </c>
      <c r="E351" t="s">
        <v>2257</v>
      </c>
      <c r="G351" t="s">
        <v>2970</v>
      </c>
      <c r="H351" t="s">
        <v>108</v>
      </c>
      <c r="I351" t="s">
        <v>4020</v>
      </c>
    </row>
    <row r="352" spans="1:9">
      <c r="A352" s="93" t="s">
        <v>4150</v>
      </c>
      <c r="B352" t="s">
        <v>1898</v>
      </c>
      <c r="C352" t="s">
        <v>2258</v>
      </c>
      <c r="D352" t="s">
        <v>2259</v>
      </c>
      <c r="E352" t="s">
        <v>2260</v>
      </c>
      <c r="F352" t="s">
        <v>2261</v>
      </c>
      <c r="G352" t="s">
        <v>2970</v>
      </c>
      <c r="H352" t="s">
        <v>2964</v>
      </c>
      <c r="I352" t="s">
        <v>4020</v>
      </c>
    </row>
    <row r="353" spans="1:9">
      <c r="A353" s="93" t="s">
        <v>4150</v>
      </c>
      <c r="B353" t="s">
        <v>1898</v>
      </c>
      <c r="C353" t="s">
        <v>2262</v>
      </c>
      <c r="D353" t="s">
        <v>2259</v>
      </c>
      <c r="E353" t="s">
        <v>2147</v>
      </c>
      <c r="F353" t="s">
        <v>2263</v>
      </c>
      <c r="G353" t="s">
        <v>2970</v>
      </c>
      <c r="H353" t="s">
        <v>108</v>
      </c>
      <c r="I353" t="s">
        <v>4020</v>
      </c>
    </row>
    <row r="354" spans="1:9">
      <c r="A354" s="93" t="s">
        <v>4150</v>
      </c>
      <c r="B354" t="s">
        <v>1898</v>
      </c>
      <c r="C354" t="s">
        <v>2264</v>
      </c>
      <c r="D354" t="s">
        <v>2252</v>
      </c>
      <c r="E354" t="s">
        <v>2265</v>
      </c>
      <c r="G354" t="s">
        <v>2970</v>
      </c>
      <c r="H354" t="s">
        <v>108</v>
      </c>
      <c r="I354" t="s">
        <v>4020</v>
      </c>
    </row>
    <row r="355" spans="1:9">
      <c r="A355" s="93" t="s">
        <v>4150</v>
      </c>
      <c r="B355" t="s">
        <v>1898</v>
      </c>
      <c r="C355" t="s">
        <v>2266</v>
      </c>
      <c r="D355" t="s">
        <v>2252</v>
      </c>
      <c r="E355" t="s">
        <v>2267</v>
      </c>
      <c r="F355" t="s">
        <v>2268</v>
      </c>
      <c r="G355" t="s">
        <v>2970</v>
      </c>
      <c r="H355" t="s">
        <v>108</v>
      </c>
      <c r="I355" t="s">
        <v>4020</v>
      </c>
    </row>
    <row r="356" spans="1:9">
      <c r="A356" s="93" t="s">
        <v>4150</v>
      </c>
      <c r="B356" t="s">
        <v>1898</v>
      </c>
      <c r="C356" t="s">
        <v>2269</v>
      </c>
      <c r="D356" t="s">
        <v>2252</v>
      </c>
      <c r="E356" t="s">
        <v>2270</v>
      </c>
      <c r="G356" t="s">
        <v>2970</v>
      </c>
      <c r="H356" t="s">
        <v>108</v>
      </c>
      <c r="I356" t="s">
        <v>4020</v>
      </c>
    </row>
    <row r="357" spans="1:9">
      <c r="A357" s="93" t="s">
        <v>4150</v>
      </c>
      <c r="B357" t="s">
        <v>1902</v>
      </c>
      <c r="C357" t="s">
        <v>2272</v>
      </c>
      <c r="D357" t="s">
        <v>2273</v>
      </c>
      <c r="E357" t="s">
        <v>2274</v>
      </c>
      <c r="F357" t="s">
        <v>2275</v>
      </c>
      <c r="G357" t="s">
        <v>2970</v>
      </c>
      <c r="H357" t="s">
        <v>108</v>
      </c>
      <c r="I357" t="s">
        <v>4024</v>
      </c>
    </row>
    <row r="358" spans="1:9">
      <c r="A358" s="93" t="s">
        <v>4150</v>
      </c>
      <c r="B358" t="s">
        <v>1902</v>
      </c>
      <c r="C358" t="s">
        <v>2276</v>
      </c>
      <c r="D358" t="s">
        <v>2248</v>
      </c>
      <c r="E358" t="s">
        <v>2277</v>
      </c>
      <c r="F358" t="s">
        <v>2278</v>
      </c>
      <c r="G358" t="s">
        <v>2970</v>
      </c>
      <c r="H358" t="s">
        <v>108</v>
      </c>
      <c r="I358" t="s">
        <v>4024</v>
      </c>
    </row>
    <row r="359" spans="1:9">
      <c r="A359" s="93" t="s">
        <v>4150</v>
      </c>
      <c r="B359" t="s">
        <v>1902</v>
      </c>
      <c r="C359" t="s">
        <v>2279</v>
      </c>
      <c r="D359" t="s">
        <v>2280</v>
      </c>
      <c r="E359" t="s">
        <v>2281</v>
      </c>
      <c r="F359" t="s">
        <v>2282</v>
      </c>
      <c r="G359" t="s">
        <v>2970</v>
      </c>
      <c r="H359" t="s">
        <v>108</v>
      </c>
      <c r="I359" t="s">
        <v>4024</v>
      </c>
    </row>
    <row r="360" spans="1:9">
      <c r="A360" s="93" t="s">
        <v>4150</v>
      </c>
      <c r="B360" t="s">
        <v>1902</v>
      </c>
      <c r="C360" t="s">
        <v>2283</v>
      </c>
      <c r="D360" t="s">
        <v>2273</v>
      </c>
      <c r="E360" t="s">
        <v>108</v>
      </c>
      <c r="F360" t="s">
        <v>2284</v>
      </c>
      <c r="G360" t="s">
        <v>2970</v>
      </c>
      <c r="H360" t="s">
        <v>108</v>
      </c>
      <c r="I360" t="s">
        <v>4024</v>
      </c>
    </row>
    <row r="361" spans="1:9">
      <c r="A361" s="93" t="s">
        <v>4150</v>
      </c>
      <c r="B361" t="s">
        <v>1902</v>
      </c>
      <c r="C361" t="s">
        <v>2285</v>
      </c>
      <c r="E361" t="s">
        <v>2135</v>
      </c>
      <c r="G361" t="s">
        <v>2970</v>
      </c>
      <c r="H361" t="s">
        <v>2136</v>
      </c>
      <c r="I361" t="s">
        <v>4024</v>
      </c>
    </row>
    <row r="362" spans="1:9">
      <c r="A362" s="93" t="s">
        <v>4150</v>
      </c>
      <c r="B362" t="s">
        <v>1902</v>
      </c>
      <c r="C362" t="s">
        <v>2286</v>
      </c>
      <c r="E362" t="s">
        <v>108</v>
      </c>
      <c r="G362" t="s">
        <v>2970</v>
      </c>
      <c r="H362" t="s">
        <v>108</v>
      </c>
      <c r="I362" t="s">
        <v>4024</v>
      </c>
    </row>
    <row r="363" spans="1:9">
      <c r="A363" s="93" t="s">
        <v>4150</v>
      </c>
      <c r="B363" t="s">
        <v>1902</v>
      </c>
      <c r="C363" t="s">
        <v>2287</v>
      </c>
      <c r="D363" t="s">
        <v>2273</v>
      </c>
      <c r="E363" t="s">
        <v>2288</v>
      </c>
      <c r="F363" t="s">
        <v>2289</v>
      </c>
      <c r="G363" t="s">
        <v>2970</v>
      </c>
      <c r="H363" t="s">
        <v>2288</v>
      </c>
      <c r="I363" t="s">
        <v>4024</v>
      </c>
    </row>
    <row r="364" spans="1:9">
      <c r="A364" s="93" t="s">
        <v>4150</v>
      </c>
      <c r="B364" t="s">
        <v>3926</v>
      </c>
      <c r="C364" t="s">
        <v>2291</v>
      </c>
      <c r="E364" t="s">
        <v>2135</v>
      </c>
      <c r="F364" t="s">
        <v>2292</v>
      </c>
      <c r="G364" t="s">
        <v>2970</v>
      </c>
      <c r="H364" t="s">
        <v>2136</v>
      </c>
    </row>
    <row r="365" spans="1:9">
      <c r="A365" s="93" t="s">
        <v>4150</v>
      </c>
      <c r="B365" t="s">
        <v>3926</v>
      </c>
      <c r="C365" t="s">
        <v>2293</v>
      </c>
      <c r="D365" t="s">
        <v>2294</v>
      </c>
      <c r="E365" t="s">
        <v>2295</v>
      </c>
      <c r="F365" t="s">
        <v>2296</v>
      </c>
      <c r="G365" t="s">
        <v>2970</v>
      </c>
      <c r="H365" t="s">
        <v>108</v>
      </c>
    </row>
    <row r="366" spans="1:9">
      <c r="A366" s="93" t="s">
        <v>4150</v>
      </c>
      <c r="B366" t="s">
        <v>3926</v>
      </c>
      <c r="C366" t="s">
        <v>2297</v>
      </c>
      <c r="D366" t="s">
        <v>2298</v>
      </c>
      <c r="E366" t="s">
        <v>108</v>
      </c>
      <c r="F366" t="s">
        <v>2299</v>
      </c>
      <c r="G366" t="s">
        <v>2970</v>
      </c>
      <c r="H366" t="s">
        <v>108</v>
      </c>
    </row>
    <row r="367" spans="1:9">
      <c r="A367" s="93" t="s">
        <v>4150</v>
      </c>
      <c r="B367" t="s">
        <v>3926</v>
      </c>
      <c r="C367" t="s">
        <v>2300</v>
      </c>
      <c r="D367" t="s">
        <v>2294</v>
      </c>
      <c r="E367" t="s">
        <v>108</v>
      </c>
      <c r="F367" t="s">
        <v>2299</v>
      </c>
      <c r="G367" t="s">
        <v>2970</v>
      </c>
      <c r="H367" t="s">
        <v>108</v>
      </c>
    </row>
    <row r="368" spans="1:9">
      <c r="A368" s="93" t="s">
        <v>4150</v>
      </c>
      <c r="B368" t="s">
        <v>3926</v>
      </c>
      <c r="C368" t="s">
        <v>2301</v>
      </c>
      <c r="D368" t="s">
        <v>2302</v>
      </c>
      <c r="E368" t="s">
        <v>2193</v>
      </c>
      <c r="F368" t="s">
        <v>2303</v>
      </c>
      <c r="G368" t="s">
        <v>2970</v>
      </c>
      <c r="H368" t="s">
        <v>2193</v>
      </c>
    </row>
    <row r="369" spans="1:9">
      <c r="A369" s="93" t="s">
        <v>4150</v>
      </c>
      <c r="B369" t="s">
        <v>3926</v>
      </c>
      <c r="C369" t="s">
        <v>2304</v>
      </c>
      <c r="D369" t="s">
        <v>2305</v>
      </c>
      <c r="E369" t="s">
        <v>2257</v>
      </c>
      <c r="F369" t="s">
        <v>2306</v>
      </c>
      <c r="G369" t="s">
        <v>2970</v>
      </c>
      <c r="H369" t="s">
        <v>108</v>
      </c>
    </row>
    <row r="370" spans="1:9">
      <c r="A370" s="93" t="s">
        <v>4151</v>
      </c>
      <c r="B370" t="s">
        <v>1874</v>
      </c>
      <c r="C370" t="s">
        <v>2114</v>
      </c>
      <c r="D370" t="s">
        <v>2115</v>
      </c>
      <c r="E370" t="s">
        <v>1559</v>
      </c>
      <c r="F370" t="s">
        <v>2117</v>
      </c>
      <c r="G370" t="s">
        <v>2970</v>
      </c>
      <c r="H370" t="s">
        <v>108</v>
      </c>
      <c r="I370" t="s">
        <v>3984</v>
      </c>
    </row>
    <row r="371" spans="1:9">
      <c r="A371" s="93" t="s">
        <v>4151</v>
      </c>
      <c r="B371" t="s">
        <v>1874</v>
      </c>
      <c r="C371" t="s">
        <v>2352</v>
      </c>
      <c r="E371" t="s">
        <v>1201</v>
      </c>
      <c r="G371" t="s">
        <v>2970</v>
      </c>
      <c r="H371" t="s">
        <v>1201</v>
      </c>
      <c r="I371" t="s">
        <v>3984</v>
      </c>
    </row>
    <row r="372" spans="1:9">
      <c r="A372" s="93" t="s">
        <v>4151</v>
      </c>
      <c r="B372" t="s">
        <v>1874</v>
      </c>
      <c r="C372" t="s">
        <v>2118</v>
      </c>
      <c r="E372" t="s">
        <v>2119</v>
      </c>
      <c r="G372" t="s">
        <v>2970</v>
      </c>
      <c r="H372" t="s">
        <v>2119</v>
      </c>
      <c r="I372" t="s">
        <v>3984</v>
      </c>
    </row>
    <row r="373" spans="1:9">
      <c r="A373" s="93" t="s">
        <v>4151</v>
      </c>
      <c r="B373" t="s">
        <v>1874</v>
      </c>
      <c r="C373" t="s">
        <v>2121</v>
      </c>
      <c r="D373" t="s">
        <v>2122</v>
      </c>
      <c r="E373" t="s">
        <v>108</v>
      </c>
      <c r="G373" t="s">
        <v>2970</v>
      </c>
      <c r="H373" t="s">
        <v>108</v>
      </c>
      <c r="I373" t="s">
        <v>3984</v>
      </c>
    </row>
    <row r="374" spans="1:9">
      <c r="A374" s="93" t="s">
        <v>4151</v>
      </c>
      <c r="B374" t="s">
        <v>1874</v>
      </c>
      <c r="C374" t="s">
        <v>2123</v>
      </c>
      <c r="D374" t="s">
        <v>2124</v>
      </c>
      <c r="E374" t="s">
        <v>108</v>
      </c>
      <c r="F374" t="s">
        <v>2125</v>
      </c>
      <c r="G374" t="s">
        <v>2970</v>
      </c>
      <c r="H374" t="s">
        <v>108</v>
      </c>
      <c r="I374" t="s">
        <v>3984</v>
      </c>
    </row>
    <row r="375" spans="1:9">
      <c r="A375" s="93" t="s">
        <v>4151</v>
      </c>
      <c r="B375" t="s">
        <v>1874</v>
      </c>
      <c r="C375" t="s">
        <v>2126</v>
      </c>
      <c r="E375" t="s">
        <v>108</v>
      </c>
      <c r="G375" t="s">
        <v>2970</v>
      </c>
      <c r="H375" t="s">
        <v>108</v>
      </c>
      <c r="I375" t="s">
        <v>3984</v>
      </c>
    </row>
    <row r="376" spans="1:9">
      <c r="A376" s="93" t="s">
        <v>4151</v>
      </c>
      <c r="B376" t="s">
        <v>1875</v>
      </c>
      <c r="C376" t="s">
        <v>2128</v>
      </c>
      <c r="D376" t="s">
        <v>2129</v>
      </c>
      <c r="E376" t="s">
        <v>108</v>
      </c>
      <c r="G376" t="s">
        <v>2970</v>
      </c>
      <c r="H376" t="s">
        <v>108</v>
      </c>
      <c r="I376" t="s">
        <v>3988</v>
      </c>
    </row>
    <row r="377" spans="1:9">
      <c r="A377" s="93" t="s">
        <v>4151</v>
      </c>
      <c r="B377" t="s">
        <v>1875</v>
      </c>
      <c r="C377" t="s">
        <v>2130</v>
      </c>
      <c r="D377" t="s">
        <v>2131</v>
      </c>
      <c r="E377" t="s">
        <v>108</v>
      </c>
      <c r="F377" t="s">
        <v>2132</v>
      </c>
      <c r="G377" t="s">
        <v>2970</v>
      </c>
      <c r="H377" t="s">
        <v>108</v>
      </c>
      <c r="I377" t="s">
        <v>3988</v>
      </c>
    </row>
    <row r="378" spans="1:9">
      <c r="A378" s="93" t="s">
        <v>4151</v>
      </c>
      <c r="B378" t="s">
        <v>1875</v>
      </c>
      <c r="C378" t="s">
        <v>2133</v>
      </c>
      <c r="D378" t="s">
        <v>2131</v>
      </c>
      <c r="E378" t="s">
        <v>108</v>
      </c>
      <c r="G378" t="s">
        <v>2970</v>
      </c>
      <c r="H378" t="s">
        <v>108</v>
      </c>
      <c r="I378" t="s">
        <v>3988</v>
      </c>
    </row>
    <row r="379" spans="1:9">
      <c r="A379" s="93" t="s">
        <v>4151</v>
      </c>
      <c r="B379" t="s">
        <v>1875</v>
      </c>
      <c r="C379" t="s">
        <v>2134</v>
      </c>
      <c r="E379" t="s">
        <v>2135</v>
      </c>
      <c r="F379" t="s">
        <v>2137</v>
      </c>
      <c r="G379" t="s">
        <v>2970</v>
      </c>
      <c r="H379" t="s">
        <v>2136</v>
      </c>
      <c r="I379" t="s">
        <v>3988</v>
      </c>
    </row>
    <row r="380" spans="1:9">
      <c r="A380" s="93" t="s">
        <v>4151</v>
      </c>
      <c r="B380" t="s">
        <v>1875</v>
      </c>
      <c r="C380" t="s">
        <v>2138</v>
      </c>
      <c r="D380" t="s">
        <v>2139</v>
      </c>
      <c r="E380" t="s">
        <v>108</v>
      </c>
      <c r="F380" t="s">
        <v>2140</v>
      </c>
      <c r="G380" t="s">
        <v>2970</v>
      </c>
      <c r="H380" t="s">
        <v>108</v>
      </c>
      <c r="I380" t="s">
        <v>3988</v>
      </c>
    </row>
    <row r="381" spans="1:9">
      <c r="A381" s="93" t="s">
        <v>4151</v>
      </c>
      <c r="B381" t="s">
        <v>3697</v>
      </c>
      <c r="C381" t="s">
        <v>2142</v>
      </c>
      <c r="D381" t="s">
        <v>2143</v>
      </c>
      <c r="E381" t="s">
        <v>108</v>
      </c>
      <c r="G381" t="s">
        <v>2970</v>
      </c>
      <c r="H381" t="s">
        <v>108</v>
      </c>
      <c r="I381" t="s">
        <v>3992</v>
      </c>
    </row>
    <row r="382" spans="1:9">
      <c r="A382" s="93" t="s">
        <v>4151</v>
      </c>
      <c r="B382" t="s">
        <v>3697</v>
      </c>
      <c r="C382" t="s">
        <v>2144</v>
      </c>
      <c r="D382" t="s">
        <v>2143</v>
      </c>
      <c r="E382" t="s">
        <v>2145</v>
      </c>
      <c r="G382" t="s">
        <v>2970</v>
      </c>
      <c r="H382" t="s">
        <v>108</v>
      </c>
      <c r="I382" t="s">
        <v>3992</v>
      </c>
    </row>
    <row r="383" spans="1:9">
      <c r="A383" s="93" t="s">
        <v>4151</v>
      </c>
      <c r="B383" t="s">
        <v>3697</v>
      </c>
      <c r="C383" t="s">
        <v>2146</v>
      </c>
      <c r="D383" t="s">
        <v>2143</v>
      </c>
      <c r="E383" t="s">
        <v>2147</v>
      </c>
      <c r="F383" t="s">
        <v>2148</v>
      </c>
      <c r="G383" t="s">
        <v>2970</v>
      </c>
      <c r="H383" t="s">
        <v>108</v>
      </c>
      <c r="I383" t="s">
        <v>3992</v>
      </c>
    </row>
    <row r="384" spans="1:9">
      <c r="A384" s="93" t="s">
        <v>4151</v>
      </c>
      <c r="B384" t="s">
        <v>3697</v>
      </c>
      <c r="C384" t="s">
        <v>2149</v>
      </c>
      <c r="D384" t="s">
        <v>2143</v>
      </c>
      <c r="E384" t="s">
        <v>108</v>
      </c>
      <c r="G384" t="s">
        <v>2970</v>
      </c>
      <c r="H384" t="s">
        <v>108</v>
      </c>
      <c r="I384" t="s">
        <v>3992</v>
      </c>
    </row>
    <row r="385" spans="1:9">
      <c r="A385" s="93" t="s">
        <v>4151</v>
      </c>
      <c r="B385" t="s">
        <v>1881</v>
      </c>
      <c r="C385" t="s">
        <v>2151</v>
      </c>
      <c r="D385" t="s">
        <v>2152</v>
      </c>
      <c r="E385" t="s">
        <v>2153</v>
      </c>
      <c r="G385" t="s">
        <v>2970</v>
      </c>
      <c r="H385" t="s">
        <v>108</v>
      </c>
      <c r="I385" t="s">
        <v>3996</v>
      </c>
    </row>
    <row r="386" spans="1:9">
      <c r="A386" s="93" t="s">
        <v>4151</v>
      </c>
      <c r="B386" t="s">
        <v>1881</v>
      </c>
      <c r="C386" t="s">
        <v>2154</v>
      </c>
      <c r="D386" t="s">
        <v>2155</v>
      </c>
      <c r="E386" t="s">
        <v>108</v>
      </c>
      <c r="G386" t="s">
        <v>2970</v>
      </c>
      <c r="H386" t="s">
        <v>108</v>
      </c>
      <c r="I386" t="s">
        <v>3996</v>
      </c>
    </row>
    <row r="387" spans="1:9">
      <c r="A387" s="93" t="s">
        <v>4151</v>
      </c>
      <c r="B387" t="s">
        <v>1881</v>
      </c>
      <c r="C387" t="s">
        <v>2156</v>
      </c>
      <c r="D387" t="s">
        <v>2152</v>
      </c>
      <c r="E387" t="s">
        <v>2157</v>
      </c>
      <c r="G387" t="s">
        <v>2970</v>
      </c>
      <c r="H387" t="s">
        <v>108</v>
      </c>
      <c r="I387" t="s">
        <v>3996</v>
      </c>
    </row>
    <row r="388" spans="1:9">
      <c r="A388" s="93" t="s">
        <v>4151</v>
      </c>
      <c r="B388" t="s">
        <v>1881</v>
      </c>
      <c r="C388" t="s">
        <v>2158</v>
      </c>
      <c r="D388" t="s">
        <v>2155</v>
      </c>
      <c r="E388" t="s">
        <v>2159</v>
      </c>
      <c r="F388" t="s">
        <v>2160</v>
      </c>
      <c r="G388" t="s">
        <v>2970</v>
      </c>
      <c r="H388" t="s">
        <v>108</v>
      </c>
      <c r="I388" t="s">
        <v>3996</v>
      </c>
    </row>
    <row r="389" spans="1:9">
      <c r="A389" s="93" t="s">
        <v>4151</v>
      </c>
      <c r="B389" t="s">
        <v>1881</v>
      </c>
      <c r="C389" t="s">
        <v>2161</v>
      </c>
      <c r="D389" t="s">
        <v>2162</v>
      </c>
      <c r="E389" t="s">
        <v>108</v>
      </c>
      <c r="F389" t="s">
        <v>2163</v>
      </c>
      <c r="G389" t="s">
        <v>2970</v>
      </c>
      <c r="H389" t="s">
        <v>108</v>
      </c>
      <c r="I389" t="s">
        <v>3996</v>
      </c>
    </row>
    <row r="390" spans="1:9">
      <c r="A390" s="93" t="s">
        <v>4151</v>
      </c>
      <c r="B390" t="s">
        <v>1881</v>
      </c>
      <c r="C390" t="s">
        <v>2164</v>
      </c>
      <c r="D390" t="s">
        <v>2162</v>
      </c>
      <c r="E390" t="s">
        <v>108</v>
      </c>
      <c r="G390" t="s">
        <v>2970</v>
      </c>
      <c r="H390" t="s">
        <v>108</v>
      </c>
      <c r="I390" t="s">
        <v>3996</v>
      </c>
    </row>
    <row r="391" spans="1:9">
      <c r="A391" s="93" t="s">
        <v>4151</v>
      </c>
      <c r="B391" t="s">
        <v>1882</v>
      </c>
      <c r="C391" t="s">
        <v>2166</v>
      </c>
      <c r="D391" t="s">
        <v>2167</v>
      </c>
      <c r="E391" t="s">
        <v>108</v>
      </c>
      <c r="F391" t="s">
        <v>2168</v>
      </c>
      <c r="G391" t="s">
        <v>2970</v>
      </c>
      <c r="H391" t="s">
        <v>108</v>
      </c>
      <c r="I391" t="s">
        <v>4000</v>
      </c>
    </row>
    <row r="392" spans="1:9">
      <c r="A392" s="93" t="s">
        <v>4151</v>
      </c>
      <c r="B392" t="s">
        <v>1882</v>
      </c>
      <c r="C392" t="s">
        <v>2169</v>
      </c>
      <c r="D392" t="s">
        <v>2129</v>
      </c>
      <c r="E392" t="s">
        <v>2170</v>
      </c>
      <c r="G392" t="s">
        <v>2970</v>
      </c>
      <c r="H392" t="s">
        <v>2136</v>
      </c>
      <c r="I392" t="s">
        <v>4000</v>
      </c>
    </row>
    <row r="393" spans="1:9">
      <c r="A393" s="93" t="s">
        <v>4151</v>
      </c>
      <c r="B393" t="s">
        <v>1882</v>
      </c>
      <c r="C393" t="s">
        <v>2171</v>
      </c>
      <c r="D393" t="s">
        <v>2129</v>
      </c>
      <c r="E393" t="s">
        <v>2135</v>
      </c>
      <c r="G393" t="s">
        <v>2970</v>
      </c>
      <c r="H393" t="s">
        <v>2136</v>
      </c>
      <c r="I393" t="s">
        <v>4000</v>
      </c>
    </row>
    <row r="394" spans="1:9">
      <c r="A394" s="93" t="s">
        <v>4151</v>
      </c>
      <c r="B394" t="s">
        <v>1882</v>
      </c>
      <c r="C394" t="s">
        <v>2172</v>
      </c>
      <c r="D394" t="s">
        <v>2129</v>
      </c>
      <c r="E394" t="s">
        <v>2135</v>
      </c>
      <c r="G394" t="s">
        <v>2970</v>
      </c>
      <c r="H394" t="s">
        <v>2136</v>
      </c>
      <c r="I394" t="s">
        <v>4000</v>
      </c>
    </row>
    <row r="395" spans="1:9">
      <c r="A395" s="93" t="s">
        <v>4151</v>
      </c>
      <c r="B395" t="s">
        <v>1882</v>
      </c>
      <c r="C395" t="s">
        <v>2173</v>
      </c>
      <c r="D395" t="s">
        <v>2174</v>
      </c>
      <c r="E395" t="s">
        <v>2135</v>
      </c>
      <c r="G395" t="s">
        <v>2970</v>
      </c>
      <c r="H395" t="s">
        <v>2136</v>
      </c>
      <c r="I395" t="s">
        <v>4000</v>
      </c>
    </row>
    <row r="396" spans="1:9">
      <c r="A396" s="93" t="s">
        <v>4151</v>
      </c>
      <c r="B396" t="s">
        <v>1882</v>
      </c>
      <c r="C396" t="s">
        <v>2175</v>
      </c>
      <c r="E396" t="s">
        <v>2135</v>
      </c>
      <c r="G396" t="s">
        <v>2970</v>
      </c>
      <c r="H396" t="s">
        <v>2136</v>
      </c>
      <c r="I396" t="s">
        <v>4000</v>
      </c>
    </row>
    <row r="397" spans="1:9">
      <c r="A397" s="93" t="s">
        <v>4151</v>
      </c>
      <c r="B397" t="s">
        <v>1882</v>
      </c>
      <c r="C397" t="s">
        <v>2176</v>
      </c>
      <c r="E397" t="s">
        <v>2135</v>
      </c>
      <c r="G397" t="s">
        <v>2970</v>
      </c>
      <c r="H397" t="s">
        <v>2136</v>
      </c>
      <c r="I397" t="s">
        <v>4000</v>
      </c>
    </row>
    <row r="398" spans="1:9">
      <c r="A398" s="93" t="s">
        <v>4151</v>
      </c>
      <c r="B398" t="s">
        <v>1882</v>
      </c>
      <c r="C398" t="s">
        <v>2177</v>
      </c>
      <c r="E398" t="s">
        <v>2135</v>
      </c>
      <c r="G398" t="s">
        <v>2970</v>
      </c>
      <c r="H398" t="s">
        <v>2136</v>
      </c>
      <c r="I398" t="s">
        <v>4000</v>
      </c>
    </row>
    <row r="399" spans="1:9">
      <c r="A399" s="93" t="s">
        <v>4151</v>
      </c>
      <c r="B399" t="s">
        <v>1884</v>
      </c>
      <c r="C399" t="s">
        <v>2179</v>
      </c>
      <c r="D399" t="s">
        <v>2180</v>
      </c>
      <c r="E399" t="s">
        <v>108</v>
      </c>
      <c r="G399" t="s">
        <v>2970</v>
      </c>
      <c r="H399" t="s">
        <v>108</v>
      </c>
      <c r="I399" t="s">
        <v>4002</v>
      </c>
    </row>
    <row r="400" spans="1:9">
      <c r="A400" s="93" t="s">
        <v>4151</v>
      </c>
      <c r="B400" t="s">
        <v>1884</v>
      </c>
      <c r="C400" t="s">
        <v>2181</v>
      </c>
      <c r="D400" t="s">
        <v>2182</v>
      </c>
      <c r="E400" t="s">
        <v>108</v>
      </c>
      <c r="G400" t="s">
        <v>2970</v>
      </c>
      <c r="H400" t="s">
        <v>108</v>
      </c>
      <c r="I400" t="s">
        <v>4002</v>
      </c>
    </row>
    <row r="401" spans="1:9">
      <c r="A401" s="93" t="s">
        <v>4151</v>
      </c>
      <c r="B401" t="s">
        <v>1884</v>
      </c>
      <c r="C401" t="s">
        <v>2183</v>
      </c>
      <c r="D401" t="s">
        <v>2182</v>
      </c>
      <c r="E401" t="s">
        <v>2184</v>
      </c>
      <c r="F401" t="s">
        <v>2185</v>
      </c>
      <c r="G401" t="s">
        <v>2970</v>
      </c>
      <c r="H401" t="s">
        <v>108</v>
      </c>
      <c r="I401" t="s">
        <v>4002</v>
      </c>
    </row>
    <row r="402" spans="1:9">
      <c r="A402" s="93" t="s">
        <v>4151</v>
      </c>
      <c r="B402" t="s">
        <v>1884</v>
      </c>
      <c r="C402" t="s">
        <v>2186</v>
      </c>
      <c r="D402" t="s">
        <v>2187</v>
      </c>
      <c r="E402" t="s">
        <v>108</v>
      </c>
      <c r="G402" t="s">
        <v>2970</v>
      </c>
      <c r="H402" t="s">
        <v>108</v>
      </c>
      <c r="I402" t="s">
        <v>4002</v>
      </c>
    </row>
    <row r="403" spans="1:9">
      <c r="A403" s="93" t="s">
        <v>4151</v>
      </c>
      <c r="B403" t="s">
        <v>1884</v>
      </c>
      <c r="C403" t="s">
        <v>2188</v>
      </c>
      <c r="E403" t="s">
        <v>2189</v>
      </c>
      <c r="G403" t="s">
        <v>2970</v>
      </c>
      <c r="H403" t="s">
        <v>108</v>
      </c>
      <c r="I403" t="s">
        <v>4002</v>
      </c>
    </row>
    <row r="404" spans="1:9">
      <c r="A404" s="93" t="s">
        <v>4151</v>
      </c>
      <c r="B404" t="s">
        <v>1884</v>
      </c>
      <c r="C404" t="s">
        <v>2190</v>
      </c>
      <c r="E404" t="s">
        <v>2135</v>
      </c>
      <c r="G404" t="s">
        <v>2970</v>
      </c>
      <c r="H404" t="s">
        <v>2136</v>
      </c>
      <c r="I404" t="s">
        <v>4002</v>
      </c>
    </row>
    <row r="405" spans="1:9">
      <c r="A405" s="93" t="s">
        <v>4151</v>
      </c>
      <c r="B405" t="s">
        <v>1884</v>
      </c>
      <c r="C405" t="s">
        <v>2191</v>
      </c>
      <c r="E405" t="s">
        <v>2135</v>
      </c>
      <c r="G405" t="s">
        <v>2970</v>
      </c>
      <c r="H405" t="s">
        <v>2136</v>
      </c>
      <c r="I405" t="s">
        <v>4002</v>
      </c>
    </row>
    <row r="406" spans="1:9">
      <c r="A406" s="93" t="s">
        <v>4151</v>
      </c>
      <c r="B406" t="s">
        <v>1884</v>
      </c>
      <c r="C406" t="s">
        <v>2192</v>
      </c>
      <c r="D406" t="s">
        <v>2182</v>
      </c>
      <c r="E406" t="s">
        <v>2193</v>
      </c>
      <c r="G406" t="s">
        <v>2970</v>
      </c>
      <c r="H406" t="s">
        <v>2193</v>
      </c>
      <c r="I406" t="s">
        <v>4002</v>
      </c>
    </row>
    <row r="407" spans="1:9">
      <c r="A407" s="93" t="s">
        <v>4151</v>
      </c>
      <c r="B407" t="s">
        <v>1884</v>
      </c>
      <c r="C407" t="s">
        <v>2194</v>
      </c>
      <c r="D407" t="s">
        <v>2187</v>
      </c>
      <c r="E407" t="s">
        <v>108</v>
      </c>
      <c r="G407" t="s">
        <v>2970</v>
      </c>
      <c r="H407" t="s">
        <v>108</v>
      </c>
      <c r="I407" t="s">
        <v>4002</v>
      </c>
    </row>
    <row r="408" spans="1:9">
      <c r="A408" s="93" t="s">
        <v>4151</v>
      </c>
      <c r="B408" t="s">
        <v>1889</v>
      </c>
      <c r="C408" t="s">
        <v>2196</v>
      </c>
      <c r="E408" t="s">
        <v>2193</v>
      </c>
      <c r="G408" t="s">
        <v>2970</v>
      </c>
      <c r="H408" t="s">
        <v>2193</v>
      </c>
      <c r="I408" t="s">
        <v>4004</v>
      </c>
    </row>
    <row r="409" spans="1:9">
      <c r="A409" s="93" t="s">
        <v>4151</v>
      </c>
      <c r="B409" t="s">
        <v>1889</v>
      </c>
      <c r="C409" t="s">
        <v>2197</v>
      </c>
      <c r="E409" t="s">
        <v>2193</v>
      </c>
      <c r="G409" t="s">
        <v>2970</v>
      </c>
      <c r="H409" t="s">
        <v>2193</v>
      </c>
      <c r="I409" t="s">
        <v>4004</v>
      </c>
    </row>
    <row r="410" spans="1:9">
      <c r="A410" s="93" t="s">
        <v>4151</v>
      </c>
      <c r="B410" t="s">
        <v>1889</v>
      </c>
      <c r="C410" t="s">
        <v>2198</v>
      </c>
      <c r="E410" t="s">
        <v>2199</v>
      </c>
      <c r="G410" t="s">
        <v>2970</v>
      </c>
      <c r="H410" t="s">
        <v>2193</v>
      </c>
      <c r="I410" t="s">
        <v>4004</v>
      </c>
    </row>
    <row r="411" spans="1:9">
      <c r="A411" s="93" t="s">
        <v>4151</v>
      </c>
      <c r="B411" t="s">
        <v>1889</v>
      </c>
      <c r="C411" t="s">
        <v>2200</v>
      </c>
      <c r="D411" t="s">
        <v>2182</v>
      </c>
      <c r="E411" t="s">
        <v>108</v>
      </c>
      <c r="G411" t="s">
        <v>2970</v>
      </c>
      <c r="H411" t="s">
        <v>108</v>
      </c>
      <c r="I411" t="s">
        <v>4004</v>
      </c>
    </row>
    <row r="412" spans="1:9">
      <c r="A412" s="93" t="s">
        <v>4151</v>
      </c>
      <c r="B412" t="s">
        <v>1889</v>
      </c>
      <c r="C412" t="s">
        <v>2201</v>
      </c>
      <c r="D412" t="s">
        <v>2182</v>
      </c>
      <c r="E412" t="s">
        <v>108</v>
      </c>
      <c r="G412" t="s">
        <v>2970</v>
      </c>
      <c r="H412" t="s">
        <v>108</v>
      </c>
      <c r="I412" t="s">
        <v>4004</v>
      </c>
    </row>
    <row r="413" spans="1:9">
      <c r="A413" s="93" t="s">
        <v>4151</v>
      </c>
      <c r="B413" t="s">
        <v>1889</v>
      </c>
      <c r="C413" t="s">
        <v>2202</v>
      </c>
      <c r="D413" t="s">
        <v>2174</v>
      </c>
      <c r="E413" t="s">
        <v>108</v>
      </c>
      <c r="G413" t="s">
        <v>2970</v>
      </c>
      <c r="H413" t="s">
        <v>108</v>
      </c>
      <c r="I413" t="s">
        <v>4004</v>
      </c>
    </row>
    <row r="414" spans="1:9">
      <c r="A414" s="93" t="s">
        <v>4151</v>
      </c>
      <c r="B414" t="s">
        <v>1889</v>
      </c>
      <c r="C414" t="s">
        <v>2203</v>
      </c>
      <c r="D414" t="s">
        <v>2204</v>
      </c>
      <c r="E414" t="s">
        <v>2193</v>
      </c>
      <c r="G414" t="s">
        <v>2970</v>
      </c>
      <c r="H414" t="s">
        <v>2193</v>
      </c>
      <c r="I414" t="s">
        <v>4004</v>
      </c>
    </row>
    <row r="415" spans="1:9">
      <c r="A415" s="93" t="s">
        <v>4151</v>
      </c>
      <c r="B415" t="s">
        <v>1889</v>
      </c>
      <c r="C415" t="s">
        <v>2205</v>
      </c>
      <c r="D415" t="s">
        <v>2204</v>
      </c>
      <c r="E415" t="s">
        <v>2193</v>
      </c>
      <c r="G415" t="s">
        <v>2970</v>
      </c>
      <c r="H415" t="s">
        <v>2193</v>
      </c>
      <c r="I415" t="s">
        <v>4004</v>
      </c>
    </row>
    <row r="416" spans="1:9">
      <c r="A416" s="93" t="s">
        <v>4151</v>
      </c>
      <c r="B416" t="s">
        <v>1889</v>
      </c>
      <c r="C416" t="s">
        <v>2206</v>
      </c>
      <c r="E416" t="s">
        <v>2135</v>
      </c>
      <c r="G416" t="s">
        <v>2970</v>
      </c>
      <c r="H416" t="s">
        <v>2136</v>
      </c>
      <c r="I416" t="s">
        <v>4004</v>
      </c>
    </row>
    <row r="417" spans="1:9">
      <c r="A417" s="93" t="s">
        <v>4151</v>
      </c>
      <c r="B417" t="s">
        <v>1889</v>
      </c>
      <c r="C417" t="s">
        <v>2207</v>
      </c>
      <c r="D417" t="s">
        <v>2204</v>
      </c>
      <c r="E417" t="s">
        <v>108</v>
      </c>
      <c r="F417" t="s">
        <v>2208</v>
      </c>
      <c r="G417" t="s">
        <v>2970</v>
      </c>
      <c r="H417" t="s">
        <v>108</v>
      </c>
      <c r="I417" t="s">
        <v>4004</v>
      </c>
    </row>
    <row r="418" spans="1:9">
      <c r="A418" s="93" t="s">
        <v>4151</v>
      </c>
      <c r="B418" t="s">
        <v>1891</v>
      </c>
      <c r="C418" t="s">
        <v>2210</v>
      </c>
      <c r="D418" t="s">
        <v>2211</v>
      </c>
      <c r="E418" t="s">
        <v>108</v>
      </c>
      <c r="G418" t="s">
        <v>2970</v>
      </c>
      <c r="H418" t="s">
        <v>108</v>
      </c>
      <c r="I418" t="s">
        <v>4008</v>
      </c>
    </row>
    <row r="419" spans="1:9">
      <c r="A419" s="93" t="s">
        <v>4151</v>
      </c>
      <c r="B419" t="s">
        <v>1891</v>
      </c>
      <c r="C419" t="s">
        <v>2212</v>
      </c>
      <c r="D419" t="s">
        <v>2213</v>
      </c>
      <c r="E419" t="s">
        <v>108</v>
      </c>
      <c r="G419" t="s">
        <v>2970</v>
      </c>
      <c r="H419" t="s">
        <v>108</v>
      </c>
      <c r="I419" t="s">
        <v>4008</v>
      </c>
    </row>
    <row r="420" spans="1:9">
      <c r="A420" s="93" t="s">
        <v>4151</v>
      </c>
      <c r="B420" t="s">
        <v>1891</v>
      </c>
      <c r="C420" t="s">
        <v>2214</v>
      </c>
      <c r="D420" t="s">
        <v>2213</v>
      </c>
      <c r="E420" t="s">
        <v>108</v>
      </c>
      <c r="G420" t="s">
        <v>2970</v>
      </c>
      <c r="H420" t="s">
        <v>108</v>
      </c>
      <c r="I420" t="s">
        <v>4008</v>
      </c>
    </row>
    <row r="421" spans="1:9">
      <c r="A421" s="93" t="s">
        <v>4151</v>
      </c>
      <c r="B421" t="s">
        <v>1893</v>
      </c>
      <c r="C421" t="s">
        <v>2216</v>
      </c>
      <c r="D421" t="s">
        <v>2217</v>
      </c>
      <c r="E421" t="s">
        <v>2193</v>
      </c>
      <c r="F421" t="s">
        <v>2218</v>
      </c>
      <c r="G421" t="s">
        <v>2970</v>
      </c>
      <c r="H421" t="s">
        <v>2193</v>
      </c>
      <c r="I421" t="s">
        <v>4012</v>
      </c>
    </row>
    <row r="422" spans="1:9">
      <c r="A422" s="93" t="s">
        <v>4151</v>
      </c>
      <c r="B422" t="s">
        <v>1893</v>
      </c>
      <c r="C422" t="s">
        <v>2219</v>
      </c>
      <c r="D422" t="s">
        <v>2220</v>
      </c>
      <c r="E422" t="s">
        <v>108</v>
      </c>
      <c r="F422" t="s">
        <v>2221</v>
      </c>
      <c r="G422" t="s">
        <v>2970</v>
      </c>
      <c r="H422" t="s">
        <v>108</v>
      </c>
      <c r="I422" t="s">
        <v>4012</v>
      </c>
    </row>
    <row r="423" spans="1:9">
      <c r="A423" s="93" t="s">
        <v>4151</v>
      </c>
      <c r="B423" t="s">
        <v>1893</v>
      </c>
      <c r="C423" t="s">
        <v>2222</v>
      </c>
      <c r="D423" t="s">
        <v>2223</v>
      </c>
      <c r="E423" t="s">
        <v>108</v>
      </c>
      <c r="F423" t="s">
        <v>2224</v>
      </c>
      <c r="G423" t="s">
        <v>2970</v>
      </c>
      <c r="H423" t="s">
        <v>108</v>
      </c>
      <c r="I423" t="s">
        <v>4012</v>
      </c>
    </row>
    <row r="424" spans="1:9">
      <c r="A424" s="93" t="s">
        <v>4151</v>
      </c>
      <c r="B424" t="s">
        <v>1893</v>
      </c>
      <c r="C424" t="s">
        <v>2225</v>
      </c>
      <c r="D424" t="s">
        <v>2226</v>
      </c>
      <c r="E424" t="s">
        <v>108</v>
      </c>
      <c r="F424" t="s">
        <v>2227</v>
      </c>
      <c r="G424" t="s">
        <v>2970</v>
      </c>
      <c r="H424" t="s">
        <v>108</v>
      </c>
      <c r="I424" t="s">
        <v>4012</v>
      </c>
    </row>
    <row r="425" spans="1:9">
      <c r="A425" s="93" t="s">
        <v>4151</v>
      </c>
      <c r="B425" t="s">
        <v>1893</v>
      </c>
      <c r="C425" t="s">
        <v>2228</v>
      </c>
      <c r="E425" t="s">
        <v>2135</v>
      </c>
      <c r="G425" t="s">
        <v>2970</v>
      </c>
      <c r="H425" t="s">
        <v>2136</v>
      </c>
      <c r="I425" t="s">
        <v>4012</v>
      </c>
    </row>
    <row r="426" spans="1:9">
      <c r="A426" s="93" t="s">
        <v>4151</v>
      </c>
      <c r="B426" t="s">
        <v>1896</v>
      </c>
      <c r="C426" t="s">
        <v>2230</v>
      </c>
      <c r="D426" t="s">
        <v>2220</v>
      </c>
      <c r="E426" t="s">
        <v>108</v>
      </c>
      <c r="F426" t="s">
        <v>2231</v>
      </c>
      <c r="G426" t="s">
        <v>2970</v>
      </c>
      <c r="H426" t="s">
        <v>108</v>
      </c>
      <c r="I426" t="s">
        <v>4016</v>
      </c>
    </row>
    <row r="427" spans="1:9">
      <c r="A427" s="93" t="s">
        <v>4151</v>
      </c>
      <c r="B427" t="s">
        <v>1896</v>
      </c>
      <c r="C427" t="s">
        <v>2232</v>
      </c>
      <c r="D427" t="s">
        <v>2220</v>
      </c>
      <c r="E427" t="s">
        <v>108</v>
      </c>
      <c r="G427" t="s">
        <v>2970</v>
      </c>
      <c r="H427" t="s">
        <v>108</v>
      </c>
      <c r="I427" t="s">
        <v>4016</v>
      </c>
    </row>
    <row r="428" spans="1:9">
      <c r="A428" s="93" t="s">
        <v>4151</v>
      </c>
      <c r="B428" t="s">
        <v>1896</v>
      </c>
      <c r="C428" t="s">
        <v>2233</v>
      </c>
      <c r="D428" t="s">
        <v>2234</v>
      </c>
      <c r="E428" t="s">
        <v>108</v>
      </c>
      <c r="F428" t="s">
        <v>2235</v>
      </c>
      <c r="G428" t="s">
        <v>2970</v>
      </c>
      <c r="H428" t="s">
        <v>108</v>
      </c>
      <c r="I428" t="s">
        <v>4016</v>
      </c>
    </row>
    <row r="429" spans="1:9">
      <c r="A429" s="93" t="s">
        <v>4151</v>
      </c>
      <c r="B429" t="s">
        <v>1896</v>
      </c>
      <c r="C429" t="s">
        <v>2236</v>
      </c>
      <c r="D429" t="s">
        <v>2237</v>
      </c>
      <c r="E429" t="s">
        <v>108</v>
      </c>
      <c r="F429" t="s">
        <v>2231</v>
      </c>
      <c r="G429" t="s">
        <v>2970</v>
      </c>
      <c r="H429" t="s">
        <v>108</v>
      </c>
      <c r="I429" t="s">
        <v>4016</v>
      </c>
    </row>
    <row r="430" spans="1:9">
      <c r="A430" s="93" t="s">
        <v>4151</v>
      </c>
      <c r="B430" t="s">
        <v>1896</v>
      </c>
      <c r="C430" t="s">
        <v>2238</v>
      </c>
      <c r="D430" t="s">
        <v>2237</v>
      </c>
      <c r="E430" t="s">
        <v>108</v>
      </c>
      <c r="F430" t="s">
        <v>2239</v>
      </c>
      <c r="G430" t="s">
        <v>2970</v>
      </c>
      <c r="H430" t="s">
        <v>108</v>
      </c>
      <c r="I430" t="s">
        <v>4016</v>
      </c>
    </row>
    <row r="431" spans="1:9">
      <c r="A431" s="93" t="s">
        <v>4151</v>
      </c>
      <c r="B431" t="s">
        <v>1896</v>
      </c>
      <c r="C431" t="s">
        <v>2240</v>
      </c>
      <c r="D431" t="s">
        <v>2241</v>
      </c>
      <c r="E431" t="s">
        <v>2193</v>
      </c>
      <c r="G431" t="s">
        <v>2970</v>
      </c>
      <c r="H431" t="s">
        <v>2193</v>
      </c>
      <c r="I431" t="s">
        <v>4016</v>
      </c>
    </row>
    <row r="432" spans="1:9">
      <c r="A432" s="93" t="s">
        <v>4151</v>
      </c>
      <c r="B432" t="s">
        <v>1896</v>
      </c>
      <c r="C432" t="s">
        <v>2242</v>
      </c>
      <c r="D432" t="s">
        <v>2220</v>
      </c>
      <c r="E432" t="s">
        <v>2243</v>
      </c>
      <c r="F432" t="s">
        <v>2244</v>
      </c>
      <c r="G432" t="s">
        <v>2970</v>
      </c>
      <c r="H432" t="s">
        <v>2974</v>
      </c>
      <c r="I432" t="s">
        <v>4016</v>
      </c>
    </row>
    <row r="433" spans="1:9">
      <c r="A433" s="93" t="s">
        <v>4151</v>
      </c>
      <c r="B433" t="s">
        <v>1896</v>
      </c>
      <c r="C433" t="s">
        <v>2245</v>
      </c>
      <c r="D433" t="s">
        <v>2241</v>
      </c>
      <c r="E433" t="s">
        <v>2246</v>
      </c>
      <c r="G433" t="s">
        <v>2970</v>
      </c>
      <c r="H433" t="s">
        <v>108</v>
      </c>
      <c r="I433" t="s">
        <v>4016</v>
      </c>
    </row>
    <row r="434" spans="1:9">
      <c r="A434" s="93" t="s">
        <v>4151</v>
      </c>
      <c r="B434" t="s">
        <v>1896</v>
      </c>
      <c r="C434" t="s">
        <v>2247</v>
      </c>
      <c r="D434" t="s">
        <v>2248</v>
      </c>
      <c r="E434" t="s">
        <v>108</v>
      </c>
      <c r="F434" t="s">
        <v>2249</v>
      </c>
      <c r="G434" t="s">
        <v>2970</v>
      </c>
      <c r="H434" t="s">
        <v>108</v>
      </c>
      <c r="I434" t="s">
        <v>4016</v>
      </c>
    </row>
    <row r="435" spans="1:9">
      <c r="A435" s="93" t="s">
        <v>4151</v>
      </c>
      <c r="B435" t="s">
        <v>1898</v>
      </c>
      <c r="C435" t="s">
        <v>2251</v>
      </c>
      <c r="D435" t="s">
        <v>2252</v>
      </c>
      <c r="E435" t="s">
        <v>108</v>
      </c>
      <c r="G435" t="s">
        <v>2970</v>
      </c>
      <c r="H435" t="s">
        <v>108</v>
      </c>
      <c r="I435" t="s">
        <v>4020</v>
      </c>
    </row>
    <row r="436" spans="1:9">
      <c r="A436" s="93" t="s">
        <v>4151</v>
      </c>
      <c r="B436" t="s">
        <v>1898</v>
      </c>
      <c r="C436" t="s">
        <v>2253</v>
      </c>
      <c r="D436" t="s">
        <v>2252</v>
      </c>
      <c r="E436" t="s">
        <v>2193</v>
      </c>
      <c r="F436" t="s">
        <v>2254</v>
      </c>
      <c r="G436" t="s">
        <v>2970</v>
      </c>
      <c r="H436" t="s">
        <v>2193</v>
      </c>
      <c r="I436" t="s">
        <v>4020</v>
      </c>
    </row>
    <row r="437" spans="1:9">
      <c r="A437" s="93" t="s">
        <v>4151</v>
      </c>
      <c r="B437" t="s">
        <v>1898</v>
      </c>
      <c r="C437" t="s">
        <v>2255</v>
      </c>
      <c r="D437" t="s">
        <v>2256</v>
      </c>
      <c r="E437" t="s">
        <v>2257</v>
      </c>
      <c r="G437" t="s">
        <v>2970</v>
      </c>
      <c r="H437" t="s">
        <v>108</v>
      </c>
      <c r="I437" t="s">
        <v>4020</v>
      </c>
    </row>
    <row r="438" spans="1:9">
      <c r="A438" s="93" t="s">
        <v>4151</v>
      </c>
      <c r="B438" t="s">
        <v>1898</v>
      </c>
      <c r="C438" t="s">
        <v>2258</v>
      </c>
      <c r="D438" t="s">
        <v>2259</v>
      </c>
      <c r="E438" t="s">
        <v>2260</v>
      </c>
      <c r="F438" t="s">
        <v>2261</v>
      </c>
      <c r="G438" t="s">
        <v>2970</v>
      </c>
      <c r="H438" t="s">
        <v>2964</v>
      </c>
      <c r="I438" t="s">
        <v>4020</v>
      </c>
    </row>
    <row r="439" spans="1:9">
      <c r="A439" s="93" t="s">
        <v>4151</v>
      </c>
      <c r="B439" t="s">
        <v>1898</v>
      </c>
      <c r="C439" t="s">
        <v>2262</v>
      </c>
      <c r="D439" t="s">
        <v>2259</v>
      </c>
      <c r="E439" t="s">
        <v>2147</v>
      </c>
      <c r="F439" t="s">
        <v>2263</v>
      </c>
      <c r="G439" t="s">
        <v>2970</v>
      </c>
      <c r="H439" t="s">
        <v>108</v>
      </c>
      <c r="I439" t="s">
        <v>4020</v>
      </c>
    </row>
    <row r="440" spans="1:9">
      <c r="A440" s="93" t="s">
        <v>4151</v>
      </c>
      <c r="B440" t="s">
        <v>1898</v>
      </c>
      <c r="C440" t="s">
        <v>2264</v>
      </c>
      <c r="D440" t="s">
        <v>2252</v>
      </c>
      <c r="E440" t="s">
        <v>2265</v>
      </c>
      <c r="G440" t="s">
        <v>2970</v>
      </c>
      <c r="H440" t="s">
        <v>108</v>
      </c>
      <c r="I440" t="s">
        <v>4020</v>
      </c>
    </row>
    <row r="441" spans="1:9">
      <c r="A441" s="93" t="s">
        <v>4151</v>
      </c>
      <c r="B441" t="s">
        <v>1898</v>
      </c>
      <c r="C441" t="s">
        <v>2266</v>
      </c>
      <c r="D441" t="s">
        <v>2252</v>
      </c>
      <c r="E441" t="s">
        <v>2267</v>
      </c>
      <c r="F441" t="s">
        <v>2268</v>
      </c>
      <c r="G441" t="s">
        <v>2970</v>
      </c>
      <c r="H441" t="s">
        <v>108</v>
      </c>
      <c r="I441" t="s">
        <v>4020</v>
      </c>
    </row>
    <row r="442" spans="1:9">
      <c r="A442" s="93" t="s">
        <v>4151</v>
      </c>
      <c r="B442" t="s">
        <v>1898</v>
      </c>
      <c r="C442" t="s">
        <v>2269</v>
      </c>
      <c r="D442" t="s">
        <v>2252</v>
      </c>
      <c r="E442" t="s">
        <v>2270</v>
      </c>
      <c r="G442" t="s">
        <v>2970</v>
      </c>
      <c r="H442" t="s">
        <v>108</v>
      </c>
      <c r="I442" t="s">
        <v>4020</v>
      </c>
    </row>
    <row r="443" spans="1:9">
      <c r="A443" s="93" t="s">
        <v>4151</v>
      </c>
      <c r="B443" t="s">
        <v>1902</v>
      </c>
      <c r="C443" t="s">
        <v>2272</v>
      </c>
      <c r="D443" t="s">
        <v>2273</v>
      </c>
      <c r="E443" t="s">
        <v>2274</v>
      </c>
      <c r="F443" t="s">
        <v>2275</v>
      </c>
      <c r="G443" t="s">
        <v>2970</v>
      </c>
      <c r="H443" t="s">
        <v>108</v>
      </c>
      <c r="I443" t="s">
        <v>4024</v>
      </c>
    </row>
    <row r="444" spans="1:9">
      <c r="A444" s="93" t="s">
        <v>4151</v>
      </c>
      <c r="B444" t="s">
        <v>1902</v>
      </c>
      <c r="C444" t="s">
        <v>2276</v>
      </c>
      <c r="D444" t="s">
        <v>2248</v>
      </c>
      <c r="E444" t="s">
        <v>2277</v>
      </c>
      <c r="F444" t="s">
        <v>2278</v>
      </c>
      <c r="G444" t="s">
        <v>2970</v>
      </c>
      <c r="H444" t="s">
        <v>108</v>
      </c>
      <c r="I444" t="s">
        <v>4024</v>
      </c>
    </row>
    <row r="445" spans="1:9">
      <c r="A445" s="93" t="s">
        <v>4151</v>
      </c>
      <c r="B445" t="s">
        <v>1902</v>
      </c>
      <c r="C445" t="s">
        <v>2279</v>
      </c>
      <c r="D445" t="s">
        <v>2280</v>
      </c>
      <c r="E445" t="s">
        <v>2281</v>
      </c>
      <c r="F445" t="s">
        <v>2282</v>
      </c>
      <c r="G445" t="s">
        <v>2970</v>
      </c>
      <c r="H445" t="s">
        <v>108</v>
      </c>
      <c r="I445" t="s">
        <v>4024</v>
      </c>
    </row>
    <row r="446" spans="1:9">
      <c r="A446" s="93" t="s">
        <v>4151</v>
      </c>
      <c r="B446" t="s">
        <v>1902</v>
      </c>
      <c r="C446" t="s">
        <v>2283</v>
      </c>
      <c r="D446" t="s">
        <v>2273</v>
      </c>
      <c r="E446" t="s">
        <v>108</v>
      </c>
      <c r="F446" t="s">
        <v>2284</v>
      </c>
      <c r="G446" t="s">
        <v>2970</v>
      </c>
      <c r="H446" t="s">
        <v>108</v>
      </c>
      <c r="I446" t="s">
        <v>4024</v>
      </c>
    </row>
    <row r="447" spans="1:9">
      <c r="A447" s="93" t="s">
        <v>4151</v>
      </c>
      <c r="B447" t="s">
        <v>1902</v>
      </c>
      <c r="C447" t="s">
        <v>2285</v>
      </c>
      <c r="E447" t="s">
        <v>2135</v>
      </c>
      <c r="G447" t="s">
        <v>2970</v>
      </c>
      <c r="H447" t="s">
        <v>2136</v>
      </c>
      <c r="I447" t="s">
        <v>4024</v>
      </c>
    </row>
    <row r="448" spans="1:9">
      <c r="A448" s="93" t="s">
        <v>4151</v>
      </c>
      <c r="B448" t="s">
        <v>1902</v>
      </c>
      <c r="C448" t="s">
        <v>2286</v>
      </c>
      <c r="E448" t="s">
        <v>108</v>
      </c>
      <c r="G448" t="s">
        <v>2970</v>
      </c>
      <c r="H448" t="s">
        <v>108</v>
      </c>
      <c r="I448" t="s">
        <v>4024</v>
      </c>
    </row>
    <row r="449" spans="1:9">
      <c r="A449" s="93" t="s">
        <v>4151</v>
      </c>
      <c r="B449" t="s">
        <v>1902</v>
      </c>
      <c r="C449" t="s">
        <v>2287</v>
      </c>
      <c r="D449" t="s">
        <v>2273</v>
      </c>
      <c r="E449" t="s">
        <v>2288</v>
      </c>
      <c r="F449" t="s">
        <v>2289</v>
      </c>
      <c r="G449" t="s">
        <v>2970</v>
      </c>
      <c r="H449" t="s">
        <v>2288</v>
      </c>
      <c r="I449" t="s">
        <v>4024</v>
      </c>
    </row>
    <row r="450" spans="1:9">
      <c r="A450" s="93" t="s">
        <v>4151</v>
      </c>
      <c r="B450" t="s">
        <v>3926</v>
      </c>
      <c r="C450" t="s">
        <v>2291</v>
      </c>
      <c r="E450" t="s">
        <v>2135</v>
      </c>
      <c r="F450" t="s">
        <v>2292</v>
      </c>
      <c r="G450" t="s">
        <v>2970</v>
      </c>
      <c r="H450" t="s">
        <v>2136</v>
      </c>
    </row>
    <row r="451" spans="1:9">
      <c r="A451" s="93" t="s">
        <v>4151</v>
      </c>
      <c r="B451" t="s">
        <v>3926</v>
      </c>
      <c r="C451" t="s">
        <v>2293</v>
      </c>
      <c r="D451" t="s">
        <v>2294</v>
      </c>
      <c r="E451" t="s">
        <v>2295</v>
      </c>
      <c r="F451" t="s">
        <v>2296</v>
      </c>
      <c r="G451" t="s">
        <v>2970</v>
      </c>
      <c r="H451" t="s">
        <v>108</v>
      </c>
    </row>
    <row r="452" spans="1:9">
      <c r="A452" s="93" t="s">
        <v>4151</v>
      </c>
      <c r="B452" t="s">
        <v>3926</v>
      </c>
      <c r="C452" t="s">
        <v>2297</v>
      </c>
      <c r="D452" t="s">
        <v>2298</v>
      </c>
      <c r="E452" t="s">
        <v>108</v>
      </c>
      <c r="F452" t="s">
        <v>2299</v>
      </c>
      <c r="G452" t="s">
        <v>2970</v>
      </c>
      <c r="H452" t="s">
        <v>108</v>
      </c>
    </row>
    <row r="453" spans="1:9">
      <c r="A453" s="93" t="s">
        <v>4151</v>
      </c>
      <c r="B453" t="s">
        <v>3926</v>
      </c>
      <c r="C453" t="s">
        <v>2300</v>
      </c>
      <c r="D453" t="s">
        <v>2294</v>
      </c>
      <c r="E453" t="s">
        <v>108</v>
      </c>
      <c r="F453" t="s">
        <v>2299</v>
      </c>
      <c r="G453" t="s">
        <v>2970</v>
      </c>
      <c r="H453" t="s">
        <v>108</v>
      </c>
    </row>
    <row r="454" spans="1:9">
      <c r="A454" s="93" t="s">
        <v>4151</v>
      </c>
      <c r="B454" t="s">
        <v>3926</v>
      </c>
      <c r="C454" t="s">
        <v>2301</v>
      </c>
      <c r="D454" t="s">
        <v>2302</v>
      </c>
      <c r="E454" t="s">
        <v>2193</v>
      </c>
      <c r="F454" t="s">
        <v>2303</v>
      </c>
      <c r="G454" t="s">
        <v>2970</v>
      </c>
      <c r="H454" t="s">
        <v>2193</v>
      </c>
    </row>
    <row r="455" spans="1:9">
      <c r="A455" s="93" t="s">
        <v>4151</v>
      </c>
      <c r="B455" t="s">
        <v>3926</v>
      </c>
      <c r="C455" t="s">
        <v>2304</v>
      </c>
      <c r="D455" t="s">
        <v>2305</v>
      </c>
      <c r="E455" t="s">
        <v>2257</v>
      </c>
      <c r="F455" t="s">
        <v>2306</v>
      </c>
      <c r="G455" t="s">
        <v>2970</v>
      </c>
      <c r="H455" t="s">
        <v>108</v>
      </c>
    </row>
    <row r="456" spans="1:9">
      <c r="A456" s="93" t="s">
        <v>4152</v>
      </c>
      <c r="B456" t="s">
        <v>1874</v>
      </c>
      <c r="C456" t="s">
        <v>2352</v>
      </c>
      <c r="E456" t="s">
        <v>1201</v>
      </c>
      <c r="G456" t="s">
        <v>2970</v>
      </c>
      <c r="H456" t="s">
        <v>1201</v>
      </c>
      <c r="I456" t="s">
        <v>3984</v>
      </c>
    </row>
    <row r="457" spans="1:9">
      <c r="A457" s="93" t="s">
        <v>4152</v>
      </c>
      <c r="B457" t="s">
        <v>1874</v>
      </c>
      <c r="C457" t="s">
        <v>2118</v>
      </c>
      <c r="E457" t="s">
        <v>2119</v>
      </c>
      <c r="G457" t="s">
        <v>2970</v>
      </c>
      <c r="H457" t="s">
        <v>1201</v>
      </c>
      <c r="I457" t="s">
        <v>3984</v>
      </c>
    </row>
    <row r="458" spans="1:9">
      <c r="A458" s="93" t="s">
        <v>4152</v>
      </c>
      <c r="B458" t="s">
        <v>1896</v>
      </c>
      <c r="C458" t="s">
        <v>2242</v>
      </c>
      <c r="D458" t="s">
        <v>2220</v>
      </c>
      <c r="E458" t="s">
        <v>2243</v>
      </c>
      <c r="F458" t="s">
        <v>2244</v>
      </c>
      <c r="G458" t="s">
        <v>2970</v>
      </c>
      <c r="H458" t="s">
        <v>2976</v>
      </c>
      <c r="I458" t="s">
        <v>4016</v>
      </c>
    </row>
    <row r="459" spans="1:9">
      <c r="A459" s="93" t="s">
        <v>4152</v>
      </c>
      <c r="B459" t="s">
        <v>1898</v>
      </c>
      <c r="C459" t="s">
        <v>2258</v>
      </c>
      <c r="D459" t="s">
        <v>2259</v>
      </c>
      <c r="E459" t="s">
        <v>2260</v>
      </c>
      <c r="F459" t="s">
        <v>2261</v>
      </c>
      <c r="G459" t="s">
        <v>2970</v>
      </c>
      <c r="H459" t="s">
        <v>2775</v>
      </c>
      <c r="I459" t="s">
        <v>4020</v>
      </c>
    </row>
    <row r="460" spans="1:9">
      <c r="A460" s="93" t="s">
        <v>4153</v>
      </c>
      <c r="B460" t="s">
        <v>1874</v>
      </c>
      <c r="C460" t="s">
        <v>2114</v>
      </c>
      <c r="D460" t="s">
        <v>2115</v>
      </c>
      <c r="E460" t="s">
        <v>1559</v>
      </c>
      <c r="F460" t="s">
        <v>2117</v>
      </c>
      <c r="G460" t="s">
        <v>2970</v>
      </c>
      <c r="H460" t="s">
        <v>108</v>
      </c>
      <c r="I460" t="s">
        <v>3984</v>
      </c>
    </row>
    <row r="461" spans="1:9">
      <c r="A461" s="93" t="s">
        <v>4153</v>
      </c>
      <c r="B461" t="s">
        <v>1874</v>
      </c>
      <c r="C461" t="s">
        <v>2352</v>
      </c>
      <c r="E461" t="s">
        <v>1201</v>
      </c>
      <c r="G461" t="s">
        <v>2970</v>
      </c>
      <c r="H461" t="s">
        <v>1201</v>
      </c>
      <c r="I461" t="s">
        <v>3984</v>
      </c>
    </row>
    <row r="462" spans="1:9">
      <c r="A462" s="93" t="s">
        <v>4153</v>
      </c>
      <c r="B462" t="s">
        <v>1874</v>
      </c>
      <c r="C462" t="s">
        <v>2118</v>
      </c>
      <c r="E462" t="s">
        <v>2119</v>
      </c>
      <c r="G462" t="s">
        <v>2970</v>
      </c>
      <c r="H462" t="s">
        <v>2119</v>
      </c>
      <c r="I462" t="s">
        <v>3984</v>
      </c>
    </row>
    <row r="463" spans="1:9">
      <c r="A463" s="93" t="s">
        <v>4153</v>
      </c>
      <c r="B463" t="s">
        <v>1874</v>
      </c>
      <c r="C463" t="s">
        <v>2121</v>
      </c>
      <c r="D463" t="s">
        <v>2122</v>
      </c>
      <c r="E463" t="s">
        <v>108</v>
      </c>
      <c r="G463" t="s">
        <v>2970</v>
      </c>
      <c r="H463" t="s">
        <v>108</v>
      </c>
      <c r="I463" t="s">
        <v>3984</v>
      </c>
    </row>
    <row r="464" spans="1:9">
      <c r="A464" s="93" t="s">
        <v>4153</v>
      </c>
      <c r="B464" t="s">
        <v>1874</v>
      </c>
      <c r="C464" t="s">
        <v>2123</v>
      </c>
      <c r="D464" t="s">
        <v>2124</v>
      </c>
      <c r="E464" t="s">
        <v>108</v>
      </c>
      <c r="F464" t="s">
        <v>2125</v>
      </c>
      <c r="G464" t="s">
        <v>2970</v>
      </c>
      <c r="H464" t="s">
        <v>108</v>
      </c>
      <c r="I464" t="s">
        <v>3984</v>
      </c>
    </row>
    <row r="465" spans="1:9">
      <c r="A465" s="93" t="s">
        <v>4153</v>
      </c>
      <c r="B465" t="s">
        <v>1874</v>
      </c>
      <c r="C465" t="s">
        <v>2126</v>
      </c>
      <c r="E465" t="s">
        <v>108</v>
      </c>
      <c r="G465" t="s">
        <v>2970</v>
      </c>
      <c r="H465" t="s">
        <v>108</v>
      </c>
      <c r="I465" t="s">
        <v>3984</v>
      </c>
    </row>
    <row r="466" spans="1:9">
      <c r="A466" s="93" t="s">
        <v>4153</v>
      </c>
      <c r="B466" t="s">
        <v>1875</v>
      </c>
      <c r="C466" t="s">
        <v>2128</v>
      </c>
      <c r="D466" t="s">
        <v>2129</v>
      </c>
      <c r="E466" t="s">
        <v>108</v>
      </c>
      <c r="G466" t="s">
        <v>2970</v>
      </c>
      <c r="H466" t="s">
        <v>108</v>
      </c>
      <c r="I466" t="s">
        <v>3988</v>
      </c>
    </row>
    <row r="467" spans="1:9">
      <c r="A467" s="93" t="s">
        <v>4153</v>
      </c>
      <c r="B467" t="s">
        <v>1875</v>
      </c>
      <c r="C467" t="s">
        <v>2130</v>
      </c>
      <c r="D467" t="s">
        <v>2131</v>
      </c>
      <c r="E467" t="s">
        <v>108</v>
      </c>
      <c r="F467" t="s">
        <v>2132</v>
      </c>
      <c r="G467" t="s">
        <v>2970</v>
      </c>
      <c r="H467" t="s">
        <v>108</v>
      </c>
      <c r="I467" t="s">
        <v>3988</v>
      </c>
    </row>
    <row r="468" spans="1:9">
      <c r="A468" s="93" t="s">
        <v>4153</v>
      </c>
      <c r="B468" t="s">
        <v>1875</v>
      </c>
      <c r="C468" t="s">
        <v>2133</v>
      </c>
      <c r="D468" t="s">
        <v>2131</v>
      </c>
      <c r="E468" t="s">
        <v>108</v>
      </c>
      <c r="G468" t="s">
        <v>2970</v>
      </c>
      <c r="H468" t="s">
        <v>108</v>
      </c>
      <c r="I468" t="s">
        <v>3988</v>
      </c>
    </row>
    <row r="469" spans="1:9">
      <c r="A469" s="93" t="s">
        <v>4153</v>
      </c>
      <c r="B469" t="s">
        <v>1875</v>
      </c>
      <c r="C469" t="s">
        <v>2134</v>
      </c>
      <c r="E469" t="s">
        <v>2135</v>
      </c>
      <c r="F469" t="s">
        <v>2137</v>
      </c>
      <c r="G469" t="s">
        <v>2970</v>
      </c>
      <c r="H469" t="s">
        <v>2136</v>
      </c>
      <c r="I469" t="s">
        <v>3988</v>
      </c>
    </row>
    <row r="470" spans="1:9">
      <c r="A470" s="93" t="s">
        <v>4153</v>
      </c>
      <c r="B470" t="s">
        <v>1875</v>
      </c>
      <c r="C470" t="s">
        <v>2138</v>
      </c>
      <c r="D470" t="s">
        <v>2139</v>
      </c>
      <c r="E470" t="s">
        <v>108</v>
      </c>
      <c r="F470" t="s">
        <v>2140</v>
      </c>
      <c r="G470" t="s">
        <v>2970</v>
      </c>
      <c r="H470" t="s">
        <v>108</v>
      </c>
      <c r="I470" t="s">
        <v>3988</v>
      </c>
    </row>
    <row r="471" spans="1:9">
      <c r="A471" s="93" t="s">
        <v>4153</v>
      </c>
      <c r="B471" t="s">
        <v>3697</v>
      </c>
      <c r="C471" t="s">
        <v>2142</v>
      </c>
      <c r="D471" t="s">
        <v>2143</v>
      </c>
      <c r="E471" t="s">
        <v>108</v>
      </c>
      <c r="G471" t="s">
        <v>2970</v>
      </c>
      <c r="H471" t="s">
        <v>108</v>
      </c>
      <c r="I471" t="s">
        <v>3992</v>
      </c>
    </row>
    <row r="472" spans="1:9">
      <c r="A472" s="93" t="s">
        <v>4153</v>
      </c>
      <c r="B472" t="s">
        <v>3697</v>
      </c>
      <c r="C472" t="s">
        <v>2144</v>
      </c>
      <c r="D472" t="s">
        <v>2143</v>
      </c>
      <c r="E472" t="s">
        <v>2145</v>
      </c>
      <c r="G472" t="s">
        <v>2970</v>
      </c>
      <c r="H472" t="s">
        <v>2979</v>
      </c>
      <c r="I472" t="s">
        <v>3992</v>
      </c>
    </row>
    <row r="473" spans="1:9">
      <c r="A473" s="93" t="s">
        <v>4153</v>
      </c>
      <c r="B473" t="s">
        <v>3697</v>
      </c>
      <c r="C473" t="s">
        <v>2146</v>
      </c>
      <c r="D473" t="s">
        <v>2143</v>
      </c>
      <c r="E473" t="s">
        <v>2147</v>
      </c>
      <c r="F473" t="s">
        <v>2148</v>
      </c>
      <c r="G473" t="s">
        <v>2970</v>
      </c>
      <c r="H473" t="s">
        <v>108</v>
      </c>
      <c r="I473" t="s">
        <v>3992</v>
      </c>
    </row>
    <row r="474" spans="1:9">
      <c r="A474" s="93" t="s">
        <v>4153</v>
      </c>
      <c r="B474" t="s">
        <v>3697</v>
      </c>
      <c r="C474" t="s">
        <v>2149</v>
      </c>
      <c r="D474" t="s">
        <v>2143</v>
      </c>
      <c r="E474" t="s">
        <v>108</v>
      </c>
      <c r="G474" t="s">
        <v>2970</v>
      </c>
      <c r="H474" t="s">
        <v>108</v>
      </c>
      <c r="I474" t="s">
        <v>3992</v>
      </c>
    </row>
    <row r="475" spans="1:9">
      <c r="A475" s="93" t="s">
        <v>4153</v>
      </c>
      <c r="B475" t="s">
        <v>1881</v>
      </c>
      <c r="C475" t="s">
        <v>2151</v>
      </c>
      <c r="D475" t="s">
        <v>2152</v>
      </c>
      <c r="E475" t="s">
        <v>2153</v>
      </c>
      <c r="G475" t="s">
        <v>2970</v>
      </c>
      <c r="H475" t="s">
        <v>108</v>
      </c>
      <c r="I475" t="s">
        <v>3996</v>
      </c>
    </row>
    <row r="476" spans="1:9">
      <c r="A476" s="93" t="s">
        <v>4153</v>
      </c>
      <c r="B476" t="s">
        <v>1881</v>
      </c>
      <c r="C476" t="s">
        <v>2154</v>
      </c>
      <c r="D476" t="s">
        <v>2155</v>
      </c>
      <c r="E476" t="s">
        <v>108</v>
      </c>
      <c r="G476" t="s">
        <v>2970</v>
      </c>
      <c r="H476" t="s">
        <v>108</v>
      </c>
      <c r="I476" t="s">
        <v>3996</v>
      </c>
    </row>
    <row r="477" spans="1:9">
      <c r="A477" s="93" t="s">
        <v>4153</v>
      </c>
      <c r="B477" t="s">
        <v>1881</v>
      </c>
      <c r="C477" t="s">
        <v>2156</v>
      </c>
      <c r="D477" t="s">
        <v>2152</v>
      </c>
      <c r="E477" t="s">
        <v>2157</v>
      </c>
      <c r="G477" t="s">
        <v>2970</v>
      </c>
      <c r="H477" t="s">
        <v>108</v>
      </c>
      <c r="I477" t="s">
        <v>3996</v>
      </c>
    </row>
    <row r="478" spans="1:9">
      <c r="A478" s="93" t="s">
        <v>4153</v>
      </c>
      <c r="B478" t="s">
        <v>1881</v>
      </c>
      <c r="C478" t="s">
        <v>2158</v>
      </c>
      <c r="D478" t="s">
        <v>2155</v>
      </c>
      <c r="E478" t="s">
        <v>2159</v>
      </c>
      <c r="F478" t="s">
        <v>2160</v>
      </c>
      <c r="G478" t="s">
        <v>2970</v>
      </c>
      <c r="H478" t="s">
        <v>108</v>
      </c>
      <c r="I478" t="s">
        <v>3996</v>
      </c>
    </row>
    <row r="479" spans="1:9">
      <c r="A479" s="93" t="s">
        <v>4153</v>
      </c>
      <c r="B479" t="s">
        <v>1881</v>
      </c>
      <c r="C479" t="s">
        <v>2161</v>
      </c>
      <c r="D479" t="s">
        <v>2162</v>
      </c>
      <c r="E479" t="s">
        <v>108</v>
      </c>
      <c r="F479" t="s">
        <v>2163</v>
      </c>
      <c r="G479" t="s">
        <v>2970</v>
      </c>
      <c r="H479" t="s">
        <v>108</v>
      </c>
      <c r="I479" t="s">
        <v>3996</v>
      </c>
    </row>
    <row r="480" spans="1:9">
      <c r="A480" s="93" t="s">
        <v>4153</v>
      </c>
      <c r="B480" t="s">
        <v>1881</v>
      </c>
      <c r="C480" t="s">
        <v>2164</v>
      </c>
      <c r="D480" t="s">
        <v>2162</v>
      </c>
      <c r="E480" t="s">
        <v>108</v>
      </c>
      <c r="G480" t="s">
        <v>2970</v>
      </c>
      <c r="H480" t="s">
        <v>108</v>
      </c>
      <c r="I480" t="s">
        <v>3996</v>
      </c>
    </row>
    <row r="481" spans="1:9">
      <c r="A481" s="93" t="s">
        <v>4153</v>
      </c>
      <c r="B481" t="s">
        <v>1882</v>
      </c>
      <c r="C481" t="s">
        <v>2166</v>
      </c>
      <c r="D481" t="s">
        <v>2167</v>
      </c>
      <c r="E481" t="s">
        <v>108</v>
      </c>
      <c r="F481" t="s">
        <v>2168</v>
      </c>
      <c r="G481" t="s">
        <v>2970</v>
      </c>
      <c r="H481" t="s">
        <v>108</v>
      </c>
      <c r="I481" t="s">
        <v>4000</v>
      </c>
    </row>
    <row r="482" spans="1:9">
      <c r="A482" s="93" t="s">
        <v>4153</v>
      </c>
      <c r="B482" t="s">
        <v>1882</v>
      </c>
      <c r="C482" t="s">
        <v>2169</v>
      </c>
      <c r="D482" t="s">
        <v>2129</v>
      </c>
      <c r="E482" t="s">
        <v>2170</v>
      </c>
      <c r="G482" t="s">
        <v>2970</v>
      </c>
      <c r="H482" t="s">
        <v>2136</v>
      </c>
      <c r="I482" t="s">
        <v>4000</v>
      </c>
    </row>
    <row r="483" spans="1:9">
      <c r="A483" s="93" t="s">
        <v>4153</v>
      </c>
      <c r="B483" t="s">
        <v>1882</v>
      </c>
      <c r="C483" t="s">
        <v>2171</v>
      </c>
      <c r="D483" t="s">
        <v>2129</v>
      </c>
      <c r="E483" t="s">
        <v>2135</v>
      </c>
      <c r="G483" t="s">
        <v>2970</v>
      </c>
      <c r="H483" t="s">
        <v>2136</v>
      </c>
      <c r="I483" t="s">
        <v>4000</v>
      </c>
    </row>
    <row r="484" spans="1:9">
      <c r="A484" s="93" t="s">
        <v>4153</v>
      </c>
      <c r="B484" t="s">
        <v>1882</v>
      </c>
      <c r="C484" t="s">
        <v>2172</v>
      </c>
      <c r="D484" t="s">
        <v>2129</v>
      </c>
      <c r="E484" t="s">
        <v>2135</v>
      </c>
      <c r="G484" t="s">
        <v>2970</v>
      </c>
      <c r="H484" t="s">
        <v>2136</v>
      </c>
      <c r="I484" t="s">
        <v>4000</v>
      </c>
    </row>
    <row r="485" spans="1:9">
      <c r="A485" s="93" t="s">
        <v>4153</v>
      </c>
      <c r="B485" t="s">
        <v>1882</v>
      </c>
      <c r="C485" t="s">
        <v>2173</v>
      </c>
      <c r="D485" t="s">
        <v>2174</v>
      </c>
      <c r="E485" t="s">
        <v>2135</v>
      </c>
      <c r="G485" t="s">
        <v>2970</v>
      </c>
      <c r="H485" t="s">
        <v>2136</v>
      </c>
      <c r="I485" t="s">
        <v>4000</v>
      </c>
    </row>
    <row r="486" spans="1:9">
      <c r="A486" s="93" t="s">
        <v>4153</v>
      </c>
      <c r="B486" t="s">
        <v>1882</v>
      </c>
      <c r="C486" t="s">
        <v>2175</v>
      </c>
      <c r="E486" t="s">
        <v>2135</v>
      </c>
      <c r="G486" t="s">
        <v>2970</v>
      </c>
      <c r="H486" t="s">
        <v>2136</v>
      </c>
      <c r="I486" t="s">
        <v>4000</v>
      </c>
    </row>
    <row r="487" spans="1:9">
      <c r="A487" s="93" t="s">
        <v>4153</v>
      </c>
      <c r="B487" t="s">
        <v>1882</v>
      </c>
      <c r="C487" t="s">
        <v>2176</v>
      </c>
      <c r="E487" t="s">
        <v>2135</v>
      </c>
      <c r="G487" t="s">
        <v>2970</v>
      </c>
      <c r="H487" t="s">
        <v>2136</v>
      </c>
      <c r="I487" t="s">
        <v>4000</v>
      </c>
    </row>
    <row r="488" spans="1:9">
      <c r="A488" s="93" t="s">
        <v>4153</v>
      </c>
      <c r="B488" t="s">
        <v>1882</v>
      </c>
      <c r="C488" t="s">
        <v>2177</v>
      </c>
      <c r="E488" t="s">
        <v>2135</v>
      </c>
      <c r="G488" t="s">
        <v>2970</v>
      </c>
      <c r="H488" t="s">
        <v>2136</v>
      </c>
      <c r="I488" t="s">
        <v>4000</v>
      </c>
    </row>
    <row r="489" spans="1:9">
      <c r="A489" s="93" t="s">
        <v>4153</v>
      </c>
      <c r="B489" t="s">
        <v>1884</v>
      </c>
      <c r="C489" t="s">
        <v>2179</v>
      </c>
      <c r="D489" t="s">
        <v>2180</v>
      </c>
      <c r="E489" t="s">
        <v>108</v>
      </c>
      <c r="G489" t="s">
        <v>2970</v>
      </c>
      <c r="H489" t="s">
        <v>108</v>
      </c>
      <c r="I489" t="s">
        <v>4002</v>
      </c>
    </row>
    <row r="490" spans="1:9">
      <c r="A490" s="93" t="s">
        <v>4153</v>
      </c>
      <c r="B490" t="s">
        <v>1884</v>
      </c>
      <c r="C490" t="s">
        <v>2181</v>
      </c>
      <c r="D490" t="s">
        <v>2182</v>
      </c>
      <c r="E490" t="s">
        <v>108</v>
      </c>
      <c r="G490" t="s">
        <v>2970</v>
      </c>
      <c r="H490" t="s">
        <v>108</v>
      </c>
      <c r="I490" t="s">
        <v>4002</v>
      </c>
    </row>
    <row r="491" spans="1:9">
      <c r="A491" s="93" t="s">
        <v>4153</v>
      </c>
      <c r="B491" t="s">
        <v>1884</v>
      </c>
      <c r="C491" t="s">
        <v>2183</v>
      </c>
      <c r="D491" t="s">
        <v>2182</v>
      </c>
      <c r="E491" t="s">
        <v>2184</v>
      </c>
      <c r="F491" t="s">
        <v>2185</v>
      </c>
      <c r="G491" t="s">
        <v>2970</v>
      </c>
      <c r="H491" t="s">
        <v>108</v>
      </c>
      <c r="I491" t="s">
        <v>4002</v>
      </c>
    </row>
    <row r="492" spans="1:9">
      <c r="A492" s="93" t="s">
        <v>4153</v>
      </c>
      <c r="B492" t="s">
        <v>1884</v>
      </c>
      <c r="C492" t="s">
        <v>2186</v>
      </c>
      <c r="D492" t="s">
        <v>2187</v>
      </c>
      <c r="E492" t="s">
        <v>108</v>
      </c>
      <c r="G492" t="s">
        <v>2970</v>
      </c>
      <c r="H492" t="s">
        <v>108</v>
      </c>
      <c r="I492" t="s">
        <v>4002</v>
      </c>
    </row>
    <row r="493" spans="1:9">
      <c r="A493" s="93" t="s">
        <v>4153</v>
      </c>
      <c r="B493" t="s">
        <v>1884</v>
      </c>
      <c r="C493" t="s">
        <v>2188</v>
      </c>
      <c r="E493" t="s">
        <v>2189</v>
      </c>
      <c r="G493" t="s">
        <v>2970</v>
      </c>
      <c r="H493" t="s">
        <v>108</v>
      </c>
      <c r="I493" t="s">
        <v>4002</v>
      </c>
    </row>
    <row r="494" spans="1:9">
      <c r="A494" s="93" t="s">
        <v>4153</v>
      </c>
      <c r="B494" t="s">
        <v>1884</v>
      </c>
      <c r="C494" t="s">
        <v>2190</v>
      </c>
      <c r="E494" t="s">
        <v>2135</v>
      </c>
      <c r="G494" t="s">
        <v>2970</v>
      </c>
      <c r="H494" t="s">
        <v>2136</v>
      </c>
      <c r="I494" t="s">
        <v>4002</v>
      </c>
    </row>
    <row r="495" spans="1:9">
      <c r="A495" s="93" t="s">
        <v>4153</v>
      </c>
      <c r="B495" t="s">
        <v>1884</v>
      </c>
      <c r="C495" t="s">
        <v>2191</v>
      </c>
      <c r="E495" t="s">
        <v>2135</v>
      </c>
      <c r="G495" t="s">
        <v>2970</v>
      </c>
      <c r="H495" t="s">
        <v>2136</v>
      </c>
      <c r="I495" t="s">
        <v>4002</v>
      </c>
    </row>
    <row r="496" spans="1:9">
      <c r="A496" s="93" t="s">
        <v>4153</v>
      </c>
      <c r="B496" t="s">
        <v>1884</v>
      </c>
      <c r="C496" t="s">
        <v>2192</v>
      </c>
      <c r="D496" t="s">
        <v>2182</v>
      </c>
      <c r="E496" t="s">
        <v>2193</v>
      </c>
      <c r="G496" t="s">
        <v>2970</v>
      </c>
      <c r="H496" t="s">
        <v>2193</v>
      </c>
      <c r="I496" t="s">
        <v>4002</v>
      </c>
    </row>
    <row r="497" spans="1:9">
      <c r="A497" s="93" t="s">
        <v>4153</v>
      </c>
      <c r="B497" t="s">
        <v>1884</v>
      </c>
      <c r="C497" t="s">
        <v>2194</v>
      </c>
      <c r="D497" t="s">
        <v>2187</v>
      </c>
      <c r="E497" t="s">
        <v>108</v>
      </c>
      <c r="G497" t="s">
        <v>2970</v>
      </c>
      <c r="H497" t="s">
        <v>108</v>
      </c>
      <c r="I497" t="s">
        <v>4002</v>
      </c>
    </row>
    <row r="498" spans="1:9">
      <c r="A498" s="93" t="s">
        <v>4153</v>
      </c>
      <c r="B498" t="s">
        <v>1889</v>
      </c>
      <c r="C498" t="s">
        <v>2196</v>
      </c>
      <c r="E498" t="s">
        <v>2193</v>
      </c>
      <c r="G498" t="s">
        <v>2970</v>
      </c>
      <c r="H498" t="s">
        <v>2193</v>
      </c>
      <c r="I498" t="s">
        <v>4004</v>
      </c>
    </row>
    <row r="499" spans="1:9">
      <c r="A499" s="93" t="s">
        <v>4153</v>
      </c>
      <c r="B499" t="s">
        <v>1889</v>
      </c>
      <c r="C499" t="s">
        <v>2197</v>
      </c>
      <c r="E499" t="s">
        <v>2193</v>
      </c>
      <c r="G499" t="s">
        <v>2970</v>
      </c>
      <c r="H499" t="s">
        <v>2193</v>
      </c>
      <c r="I499" t="s">
        <v>4004</v>
      </c>
    </row>
    <row r="500" spans="1:9">
      <c r="A500" s="93" t="s">
        <v>4153</v>
      </c>
      <c r="B500" t="s">
        <v>1889</v>
      </c>
      <c r="C500" t="s">
        <v>2198</v>
      </c>
      <c r="E500" t="s">
        <v>2199</v>
      </c>
      <c r="G500" t="s">
        <v>2970</v>
      </c>
      <c r="H500" t="s">
        <v>2193</v>
      </c>
      <c r="I500" t="s">
        <v>4004</v>
      </c>
    </row>
    <row r="501" spans="1:9">
      <c r="A501" s="93" t="s">
        <v>4153</v>
      </c>
      <c r="B501" t="s">
        <v>1889</v>
      </c>
      <c r="C501" t="s">
        <v>2200</v>
      </c>
      <c r="D501" t="s">
        <v>2182</v>
      </c>
      <c r="E501" t="s">
        <v>108</v>
      </c>
      <c r="G501" t="s">
        <v>2970</v>
      </c>
      <c r="H501" t="s">
        <v>108</v>
      </c>
      <c r="I501" t="s">
        <v>4004</v>
      </c>
    </row>
    <row r="502" spans="1:9">
      <c r="A502" s="93" t="s">
        <v>4153</v>
      </c>
      <c r="B502" t="s">
        <v>1889</v>
      </c>
      <c r="C502" t="s">
        <v>2201</v>
      </c>
      <c r="D502" t="s">
        <v>2182</v>
      </c>
      <c r="E502" t="s">
        <v>108</v>
      </c>
      <c r="G502" t="s">
        <v>2970</v>
      </c>
      <c r="H502" t="s">
        <v>108</v>
      </c>
      <c r="I502" t="s">
        <v>4004</v>
      </c>
    </row>
    <row r="503" spans="1:9">
      <c r="A503" s="93" t="s">
        <v>4153</v>
      </c>
      <c r="B503" t="s">
        <v>1889</v>
      </c>
      <c r="C503" t="s">
        <v>2202</v>
      </c>
      <c r="D503" t="s">
        <v>2174</v>
      </c>
      <c r="E503" t="s">
        <v>108</v>
      </c>
      <c r="G503" t="s">
        <v>2970</v>
      </c>
      <c r="H503" t="s">
        <v>108</v>
      </c>
      <c r="I503" t="s">
        <v>4004</v>
      </c>
    </row>
    <row r="504" spans="1:9">
      <c r="A504" s="93" t="s">
        <v>4153</v>
      </c>
      <c r="B504" t="s">
        <v>1889</v>
      </c>
      <c r="C504" t="s">
        <v>2203</v>
      </c>
      <c r="D504" t="s">
        <v>2204</v>
      </c>
      <c r="E504" t="s">
        <v>2193</v>
      </c>
      <c r="G504" t="s">
        <v>2970</v>
      </c>
      <c r="H504" t="s">
        <v>2193</v>
      </c>
      <c r="I504" t="s">
        <v>4004</v>
      </c>
    </row>
    <row r="505" spans="1:9">
      <c r="A505" s="93" t="s">
        <v>4153</v>
      </c>
      <c r="B505" t="s">
        <v>1889</v>
      </c>
      <c r="C505" t="s">
        <v>2205</v>
      </c>
      <c r="D505" t="s">
        <v>2204</v>
      </c>
      <c r="E505" t="s">
        <v>2193</v>
      </c>
      <c r="G505" t="s">
        <v>2970</v>
      </c>
      <c r="H505" t="s">
        <v>2193</v>
      </c>
      <c r="I505" t="s">
        <v>4004</v>
      </c>
    </row>
    <row r="506" spans="1:9">
      <c r="A506" s="93" t="s">
        <v>4153</v>
      </c>
      <c r="B506" t="s">
        <v>1889</v>
      </c>
      <c r="C506" t="s">
        <v>2206</v>
      </c>
      <c r="E506" t="s">
        <v>2135</v>
      </c>
      <c r="G506" t="s">
        <v>2970</v>
      </c>
      <c r="H506" t="s">
        <v>2136</v>
      </c>
      <c r="I506" t="s">
        <v>4004</v>
      </c>
    </row>
    <row r="507" spans="1:9">
      <c r="A507" s="93" t="s">
        <v>4153</v>
      </c>
      <c r="B507" t="s">
        <v>1889</v>
      </c>
      <c r="C507" t="s">
        <v>2207</v>
      </c>
      <c r="D507" t="s">
        <v>2204</v>
      </c>
      <c r="E507" t="s">
        <v>108</v>
      </c>
      <c r="F507" t="s">
        <v>2208</v>
      </c>
      <c r="G507" t="s">
        <v>2970</v>
      </c>
      <c r="H507" t="s">
        <v>108</v>
      </c>
      <c r="I507" t="s">
        <v>4004</v>
      </c>
    </row>
    <row r="508" spans="1:9">
      <c r="A508" s="93" t="s">
        <v>4153</v>
      </c>
      <c r="B508" t="s">
        <v>1891</v>
      </c>
      <c r="C508" t="s">
        <v>2210</v>
      </c>
      <c r="D508" t="s">
        <v>2211</v>
      </c>
      <c r="E508" t="s">
        <v>108</v>
      </c>
      <c r="G508" t="s">
        <v>2970</v>
      </c>
      <c r="H508" t="s">
        <v>108</v>
      </c>
      <c r="I508" t="s">
        <v>4008</v>
      </c>
    </row>
    <row r="509" spans="1:9">
      <c r="A509" s="93" t="s">
        <v>4153</v>
      </c>
      <c r="B509" t="s">
        <v>1891</v>
      </c>
      <c r="C509" t="s">
        <v>2212</v>
      </c>
      <c r="D509" t="s">
        <v>2213</v>
      </c>
      <c r="E509" t="s">
        <v>108</v>
      </c>
      <c r="G509" t="s">
        <v>2970</v>
      </c>
      <c r="H509" t="s">
        <v>108</v>
      </c>
      <c r="I509" t="s">
        <v>4008</v>
      </c>
    </row>
    <row r="510" spans="1:9">
      <c r="A510" s="93" t="s">
        <v>4153</v>
      </c>
      <c r="B510" t="s">
        <v>1891</v>
      </c>
      <c r="C510" t="s">
        <v>2214</v>
      </c>
      <c r="D510" t="s">
        <v>2213</v>
      </c>
      <c r="E510" t="s">
        <v>108</v>
      </c>
      <c r="G510" t="s">
        <v>2970</v>
      </c>
      <c r="H510" t="s">
        <v>108</v>
      </c>
      <c r="I510" t="s">
        <v>4008</v>
      </c>
    </row>
    <row r="511" spans="1:9">
      <c r="A511" s="93" t="s">
        <v>4153</v>
      </c>
      <c r="B511" t="s">
        <v>1893</v>
      </c>
      <c r="C511" t="s">
        <v>2216</v>
      </c>
      <c r="D511" t="s">
        <v>2217</v>
      </c>
      <c r="E511" t="s">
        <v>2193</v>
      </c>
      <c r="F511" t="s">
        <v>2218</v>
      </c>
      <c r="G511" t="s">
        <v>2970</v>
      </c>
      <c r="H511" t="s">
        <v>2193</v>
      </c>
      <c r="I511" t="s">
        <v>4012</v>
      </c>
    </row>
    <row r="512" spans="1:9">
      <c r="A512" s="93" t="s">
        <v>4153</v>
      </c>
      <c r="B512" t="s">
        <v>1893</v>
      </c>
      <c r="C512" t="s">
        <v>2219</v>
      </c>
      <c r="D512" t="s">
        <v>2220</v>
      </c>
      <c r="E512" t="s">
        <v>108</v>
      </c>
      <c r="F512" t="s">
        <v>2221</v>
      </c>
      <c r="G512" t="s">
        <v>2970</v>
      </c>
      <c r="H512" t="s">
        <v>108</v>
      </c>
      <c r="I512" t="s">
        <v>4012</v>
      </c>
    </row>
    <row r="513" spans="1:9">
      <c r="A513" s="93" t="s">
        <v>4153</v>
      </c>
      <c r="B513" t="s">
        <v>1893</v>
      </c>
      <c r="C513" t="s">
        <v>2222</v>
      </c>
      <c r="D513" t="s">
        <v>2223</v>
      </c>
      <c r="E513" t="s">
        <v>108</v>
      </c>
      <c r="F513" t="s">
        <v>2224</v>
      </c>
      <c r="G513" t="s">
        <v>2970</v>
      </c>
      <c r="H513" t="s">
        <v>108</v>
      </c>
      <c r="I513" t="s">
        <v>4012</v>
      </c>
    </row>
    <row r="514" spans="1:9">
      <c r="A514" s="93" t="s">
        <v>4153</v>
      </c>
      <c r="B514" t="s">
        <v>1893</v>
      </c>
      <c r="C514" t="s">
        <v>2225</v>
      </c>
      <c r="D514" t="s">
        <v>2226</v>
      </c>
      <c r="E514" t="s">
        <v>108</v>
      </c>
      <c r="F514" t="s">
        <v>2227</v>
      </c>
      <c r="G514" t="s">
        <v>2970</v>
      </c>
      <c r="H514" t="s">
        <v>108</v>
      </c>
      <c r="I514" t="s">
        <v>4012</v>
      </c>
    </row>
    <row r="515" spans="1:9">
      <c r="A515" s="93" t="s">
        <v>4153</v>
      </c>
      <c r="B515" t="s">
        <v>1893</v>
      </c>
      <c r="C515" t="s">
        <v>2228</v>
      </c>
      <c r="E515" t="s">
        <v>2135</v>
      </c>
      <c r="G515" t="s">
        <v>2970</v>
      </c>
      <c r="H515" t="s">
        <v>2136</v>
      </c>
      <c r="I515" t="s">
        <v>4012</v>
      </c>
    </row>
    <row r="516" spans="1:9">
      <c r="A516" s="93" t="s">
        <v>4153</v>
      </c>
      <c r="B516" t="s">
        <v>1896</v>
      </c>
      <c r="C516" t="s">
        <v>2230</v>
      </c>
      <c r="D516" t="s">
        <v>2220</v>
      </c>
      <c r="E516" t="s">
        <v>108</v>
      </c>
      <c r="F516" t="s">
        <v>2231</v>
      </c>
      <c r="G516" t="s">
        <v>2970</v>
      </c>
      <c r="H516" t="s">
        <v>108</v>
      </c>
      <c r="I516" t="s">
        <v>4016</v>
      </c>
    </row>
    <row r="517" spans="1:9">
      <c r="A517" s="93" t="s">
        <v>4153</v>
      </c>
      <c r="B517" t="s">
        <v>1896</v>
      </c>
      <c r="C517" t="s">
        <v>2232</v>
      </c>
      <c r="D517" t="s">
        <v>2220</v>
      </c>
      <c r="E517" t="s">
        <v>108</v>
      </c>
      <c r="G517" t="s">
        <v>2970</v>
      </c>
      <c r="H517" t="s">
        <v>108</v>
      </c>
      <c r="I517" t="s">
        <v>4016</v>
      </c>
    </row>
    <row r="518" spans="1:9">
      <c r="A518" s="93" t="s">
        <v>4153</v>
      </c>
      <c r="B518" t="s">
        <v>1896</v>
      </c>
      <c r="C518" t="s">
        <v>2233</v>
      </c>
      <c r="D518" t="s">
        <v>2234</v>
      </c>
      <c r="E518" t="s">
        <v>108</v>
      </c>
      <c r="F518" t="s">
        <v>2235</v>
      </c>
      <c r="G518" t="s">
        <v>2970</v>
      </c>
      <c r="H518" t="s">
        <v>108</v>
      </c>
      <c r="I518" t="s">
        <v>4016</v>
      </c>
    </row>
    <row r="519" spans="1:9">
      <c r="A519" s="93" t="s">
        <v>4153</v>
      </c>
      <c r="B519" t="s">
        <v>1896</v>
      </c>
      <c r="C519" t="s">
        <v>2236</v>
      </c>
      <c r="D519" t="s">
        <v>2237</v>
      </c>
      <c r="E519" t="s">
        <v>108</v>
      </c>
      <c r="F519" t="s">
        <v>2231</v>
      </c>
      <c r="G519" t="s">
        <v>2970</v>
      </c>
      <c r="H519" t="s">
        <v>108</v>
      </c>
      <c r="I519" t="s">
        <v>4016</v>
      </c>
    </row>
    <row r="520" spans="1:9">
      <c r="A520" s="93" t="s">
        <v>4153</v>
      </c>
      <c r="B520" t="s">
        <v>1896</v>
      </c>
      <c r="C520" t="s">
        <v>2238</v>
      </c>
      <c r="D520" t="s">
        <v>2237</v>
      </c>
      <c r="E520" t="s">
        <v>108</v>
      </c>
      <c r="F520" t="s">
        <v>2239</v>
      </c>
      <c r="G520" t="s">
        <v>2970</v>
      </c>
      <c r="H520" t="s">
        <v>108</v>
      </c>
      <c r="I520" t="s">
        <v>4016</v>
      </c>
    </row>
    <row r="521" spans="1:9">
      <c r="A521" s="93" t="s">
        <v>4153</v>
      </c>
      <c r="B521" t="s">
        <v>1896</v>
      </c>
      <c r="C521" t="s">
        <v>2240</v>
      </c>
      <c r="D521" t="s">
        <v>2241</v>
      </c>
      <c r="E521" t="s">
        <v>2193</v>
      </c>
      <c r="G521" t="s">
        <v>2970</v>
      </c>
      <c r="H521" t="s">
        <v>2193</v>
      </c>
      <c r="I521" t="s">
        <v>4016</v>
      </c>
    </row>
    <row r="522" spans="1:9">
      <c r="A522" s="93" t="s">
        <v>4153</v>
      </c>
      <c r="B522" t="s">
        <v>1896</v>
      </c>
      <c r="C522" t="s">
        <v>2242</v>
      </c>
      <c r="D522" t="s">
        <v>2220</v>
      </c>
      <c r="E522" t="s">
        <v>2243</v>
      </c>
      <c r="F522" t="s">
        <v>2244</v>
      </c>
      <c r="G522" t="s">
        <v>2970</v>
      </c>
      <c r="H522" t="s">
        <v>2982</v>
      </c>
      <c r="I522" t="s">
        <v>4016</v>
      </c>
    </row>
    <row r="523" spans="1:9">
      <c r="A523" s="93" t="s">
        <v>4153</v>
      </c>
      <c r="B523" t="s">
        <v>1896</v>
      </c>
      <c r="C523" t="s">
        <v>2245</v>
      </c>
      <c r="D523" t="s">
        <v>2241</v>
      </c>
      <c r="E523" t="s">
        <v>2246</v>
      </c>
      <c r="G523" t="s">
        <v>2970</v>
      </c>
      <c r="H523" t="s">
        <v>108</v>
      </c>
      <c r="I523" t="s">
        <v>4016</v>
      </c>
    </row>
    <row r="524" spans="1:9">
      <c r="A524" s="93" t="s">
        <v>4153</v>
      </c>
      <c r="B524" t="s">
        <v>1896</v>
      </c>
      <c r="C524" t="s">
        <v>2247</v>
      </c>
      <c r="D524" t="s">
        <v>2248</v>
      </c>
      <c r="E524" t="s">
        <v>108</v>
      </c>
      <c r="F524" t="s">
        <v>2249</v>
      </c>
      <c r="G524" t="s">
        <v>2970</v>
      </c>
      <c r="H524" t="s">
        <v>108</v>
      </c>
      <c r="I524" t="s">
        <v>4016</v>
      </c>
    </row>
    <row r="525" spans="1:9">
      <c r="A525" s="93" t="s">
        <v>4153</v>
      </c>
      <c r="B525" t="s">
        <v>1898</v>
      </c>
      <c r="C525" t="s">
        <v>2251</v>
      </c>
      <c r="D525" t="s">
        <v>2252</v>
      </c>
      <c r="E525" t="s">
        <v>108</v>
      </c>
      <c r="G525" t="s">
        <v>2970</v>
      </c>
      <c r="H525" t="s">
        <v>108</v>
      </c>
      <c r="I525" t="s">
        <v>4020</v>
      </c>
    </row>
    <row r="526" spans="1:9">
      <c r="A526" s="93" t="s">
        <v>4153</v>
      </c>
      <c r="B526" t="s">
        <v>1898</v>
      </c>
      <c r="C526" t="s">
        <v>2253</v>
      </c>
      <c r="D526" t="s">
        <v>2252</v>
      </c>
      <c r="E526" t="s">
        <v>2193</v>
      </c>
      <c r="F526" t="s">
        <v>2254</v>
      </c>
      <c r="G526" t="s">
        <v>2970</v>
      </c>
      <c r="H526" t="s">
        <v>2193</v>
      </c>
      <c r="I526" t="s">
        <v>4020</v>
      </c>
    </row>
    <row r="527" spans="1:9">
      <c r="A527" s="93" t="s">
        <v>4153</v>
      </c>
      <c r="B527" t="s">
        <v>1898</v>
      </c>
      <c r="C527" t="s">
        <v>2255</v>
      </c>
      <c r="D527" t="s">
        <v>2256</v>
      </c>
      <c r="E527" t="s">
        <v>2257</v>
      </c>
      <c r="G527" t="s">
        <v>2970</v>
      </c>
      <c r="H527" t="s">
        <v>108</v>
      </c>
      <c r="I527" t="s">
        <v>4020</v>
      </c>
    </row>
    <row r="528" spans="1:9">
      <c r="A528" s="93" t="s">
        <v>4153</v>
      </c>
      <c r="B528" t="s">
        <v>1898</v>
      </c>
      <c r="C528" t="s">
        <v>2258</v>
      </c>
      <c r="D528" t="s">
        <v>2259</v>
      </c>
      <c r="E528" t="s">
        <v>2260</v>
      </c>
      <c r="F528" t="s">
        <v>2261</v>
      </c>
      <c r="G528" t="s">
        <v>2970</v>
      </c>
      <c r="H528" t="s">
        <v>2984</v>
      </c>
      <c r="I528" t="s">
        <v>4020</v>
      </c>
    </row>
    <row r="529" spans="1:9">
      <c r="A529" s="93" t="s">
        <v>4153</v>
      </c>
      <c r="B529" t="s">
        <v>1898</v>
      </c>
      <c r="C529" t="s">
        <v>2262</v>
      </c>
      <c r="D529" t="s">
        <v>2259</v>
      </c>
      <c r="E529" t="s">
        <v>2147</v>
      </c>
      <c r="F529" t="s">
        <v>2263</v>
      </c>
      <c r="G529" t="s">
        <v>2970</v>
      </c>
      <c r="H529" t="s">
        <v>108</v>
      </c>
      <c r="I529" t="s">
        <v>4020</v>
      </c>
    </row>
    <row r="530" spans="1:9">
      <c r="A530" s="93" t="s">
        <v>4153</v>
      </c>
      <c r="B530" t="s">
        <v>1898</v>
      </c>
      <c r="C530" t="s">
        <v>2264</v>
      </c>
      <c r="D530" t="s">
        <v>2252</v>
      </c>
      <c r="E530" t="s">
        <v>2265</v>
      </c>
      <c r="G530" t="s">
        <v>2970</v>
      </c>
      <c r="H530" t="s">
        <v>108</v>
      </c>
      <c r="I530" t="s">
        <v>4020</v>
      </c>
    </row>
    <row r="531" spans="1:9">
      <c r="A531" s="93" t="s">
        <v>4153</v>
      </c>
      <c r="B531" t="s">
        <v>1898</v>
      </c>
      <c r="C531" t="s">
        <v>2266</v>
      </c>
      <c r="D531" t="s">
        <v>2252</v>
      </c>
      <c r="E531" t="s">
        <v>2267</v>
      </c>
      <c r="F531" t="s">
        <v>2268</v>
      </c>
      <c r="G531" t="s">
        <v>2970</v>
      </c>
      <c r="H531" t="s">
        <v>108</v>
      </c>
      <c r="I531" t="s">
        <v>4020</v>
      </c>
    </row>
    <row r="532" spans="1:9">
      <c r="A532" s="93" t="s">
        <v>4153</v>
      </c>
      <c r="B532" t="s">
        <v>1898</v>
      </c>
      <c r="C532" t="s">
        <v>2269</v>
      </c>
      <c r="D532" t="s">
        <v>2252</v>
      </c>
      <c r="E532" t="s">
        <v>2270</v>
      </c>
      <c r="G532" t="s">
        <v>2970</v>
      </c>
      <c r="H532" t="s">
        <v>108</v>
      </c>
      <c r="I532" t="s">
        <v>4020</v>
      </c>
    </row>
    <row r="533" spans="1:9">
      <c r="A533" s="93" t="s">
        <v>4153</v>
      </c>
      <c r="B533" t="s">
        <v>1902</v>
      </c>
      <c r="C533" t="s">
        <v>2272</v>
      </c>
      <c r="D533" t="s">
        <v>2273</v>
      </c>
      <c r="E533" t="s">
        <v>2274</v>
      </c>
      <c r="F533" t="s">
        <v>2275</v>
      </c>
      <c r="G533" t="s">
        <v>2970</v>
      </c>
      <c r="H533" t="s">
        <v>108</v>
      </c>
      <c r="I533" t="s">
        <v>4024</v>
      </c>
    </row>
    <row r="534" spans="1:9">
      <c r="A534" s="93" t="s">
        <v>4153</v>
      </c>
      <c r="B534" t="s">
        <v>1902</v>
      </c>
      <c r="C534" t="s">
        <v>2276</v>
      </c>
      <c r="D534" t="s">
        <v>2248</v>
      </c>
      <c r="E534" t="s">
        <v>2277</v>
      </c>
      <c r="F534" t="s">
        <v>2278</v>
      </c>
      <c r="G534" t="s">
        <v>2970</v>
      </c>
      <c r="H534" t="s">
        <v>108</v>
      </c>
      <c r="I534" t="s">
        <v>4024</v>
      </c>
    </row>
    <row r="535" spans="1:9">
      <c r="A535" s="93" t="s">
        <v>4153</v>
      </c>
      <c r="B535" t="s">
        <v>1902</v>
      </c>
      <c r="C535" t="s">
        <v>2279</v>
      </c>
      <c r="D535" t="s">
        <v>2280</v>
      </c>
      <c r="E535" t="s">
        <v>2281</v>
      </c>
      <c r="F535" t="s">
        <v>2282</v>
      </c>
      <c r="G535" t="s">
        <v>2970</v>
      </c>
      <c r="H535" t="s">
        <v>108</v>
      </c>
      <c r="I535" t="s">
        <v>4024</v>
      </c>
    </row>
    <row r="536" spans="1:9">
      <c r="A536" s="93" t="s">
        <v>4153</v>
      </c>
      <c r="B536" t="s">
        <v>1902</v>
      </c>
      <c r="C536" t="s">
        <v>2283</v>
      </c>
      <c r="D536" t="s">
        <v>2273</v>
      </c>
      <c r="E536" t="s">
        <v>108</v>
      </c>
      <c r="F536" t="s">
        <v>2284</v>
      </c>
      <c r="G536" t="s">
        <v>2970</v>
      </c>
      <c r="H536" t="s">
        <v>108</v>
      </c>
      <c r="I536" t="s">
        <v>4024</v>
      </c>
    </row>
    <row r="537" spans="1:9">
      <c r="A537" s="93" t="s">
        <v>4153</v>
      </c>
      <c r="B537" t="s">
        <v>1902</v>
      </c>
      <c r="C537" t="s">
        <v>2285</v>
      </c>
      <c r="E537" t="s">
        <v>2135</v>
      </c>
      <c r="G537" t="s">
        <v>2970</v>
      </c>
      <c r="H537" t="s">
        <v>2136</v>
      </c>
      <c r="I537" t="s">
        <v>4024</v>
      </c>
    </row>
    <row r="538" spans="1:9">
      <c r="A538" s="93" t="s">
        <v>4153</v>
      </c>
      <c r="B538" t="s">
        <v>1902</v>
      </c>
      <c r="C538" t="s">
        <v>2286</v>
      </c>
      <c r="E538" t="s">
        <v>108</v>
      </c>
      <c r="G538" t="s">
        <v>2970</v>
      </c>
      <c r="H538" t="s">
        <v>108</v>
      </c>
      <c r="I538" t="s">
        <v>4024</v>
      </c>
    </row>
    <row r="539" spans="1:9">
      <c r="A539" s="93" t="s">
        <v>4153</v>
      </c>
      <c r="B539" t="s">
        <v>1902</v>
      </c>
      <c r="C539" t="s">
        <v>2287</v>
      </c>
      <c r="D539" t="s">
        <v>2273</v>
      </c>
      <c r="E539" t="s">
        <v>2288</v>
      </c>
      <c r="F539" t="s">
        <v>2289</v>
      </c>
      <c r="G539" t="s">
        <v>2970</v>
      </c>
      <c r="H539" t="s">
        <v>2288</v>
      </c>
      <c r="I539" t="s">
        <v>4024</v>
      </c>
    </row>
    <row r="540" spans="1:9">
      <c r="A540" s="93" t="s">
        <v>4153</v>
      </c>
      <c r="B540" t="s">
        <v>3926</v>
      </c>
      <c r="C540" t="s">
        <v>2291</v>
      </c>
      <c r="E540" t="s">
        <v>2135</v>
      </c>
      <c r="F540" t="s">
        <v>2292</v>
      </c>
      <c r="G540" t="s">
        <v>2970</v>
      </c>
      <c r="H540" t="s">
        <v>2136</v>
      </c>
    </row>
    <row r="541" spans="1:9">
      <c r="A541" s="93" t="s">
        <v>4153</v>
      </c>
      <c r="B541" t="s">
        <v>3926</v>
      </c>
      <c r="C541" t="s">
        <v>2293</v>
      </c>
      <c r="D541" t="s">
        <v>2294</v>
      </c>
      <c r="E541" t="s">
        <v>2295</v>
      </c>
      <c r="F541" t="s">
        <v>2296</v>
      </c>
      <c r="G541" t="s">
        <v>2970</v>
      </c>
      <c r="H541" t="s">
        <v>108</v>
      </c>
    </row>
    <row r="542" spans="1:9">
      <c r="A542" s="93" t="s">
        <v>4153</v>
      </c>
      <c r="B542" t="s">
        <v>3926</v>
      </c>
      <c r="C542" t="s">
        <v>2297</v>
      </c>
      <c r="D542" t="s">
        <v>2298</v>
      </c>
      <c r="E542" t="s">
        <v>108</v>
      </c>
      <c r="F542" t="s">
        <v>2299</v>
      </c>
      <c r="G542" t="s">
        <v>2970</v>
      </c>
      <c r="H542" t="s">
        <v>108</v>
      </c>
    </row>
    <row r="543" spans="1:9">
      <c r="A543" s="93" t="s">
        <v>4153</v>
      </c>
      <c r="B543" t="s">
        <v>3926</v>
      </c>
      <c r="C543" t="s">
        <v>2300</v>
      </c>
      <c r="D543" t="s">
        <v>2294</v>
      </c>
      <c r="E543" t="s">
        <v>108</v>
      </c>
      <c r="F543" t="s">
        <v>2299</v>
      </c>
      <c r="G543" t="s">
        <v>2970</v>
      </c>
      <c r="H543" t="s">
        <v>108</v>
      </c>
    </row>
    <row r="544" spans="1:9">
      <c r="A544" s="93" t="s">
        <v>4153</v>
      </c>
      <c r="B544" t="s">
        <v>3926</v>
      </c>
      <c r="C544" t="s">
        <v>2301</v>
      </c>
      <c r="D544" t="s">
        <v>2302</v>
      </c>
      <c r="E544" t="s">
        <v>2193</v>
      </c>
      <c r="F544" t="s">
        <v>2303</v>
      </c>
      <c r="G544" t="s">
        <v>2970</v>
      </c>
      <c r="H544" t="s">
        <v>2193</v>
      </c>
    </row>
    <row r="545" spans="1:9">
      <c r="A545" s="93" t="s">
        <v>4153</v>
      </c>
      <c r="B545" t="s">
        <v>3926</v>
      </c>
      <c r="C545" t="s">
        <v>2304</v>
      </c>
      <c r="D545" t="s">
        <v>2305</v>
      </c>
      <c r="E545" t="s">
        <v>2257</v>
      </c>
      <c r="F545" t="s">
        <v>2306</v>
      </c>
      <c r="G545" t="s">
        <v>2970</v>
      </c>
      <c r="H545" t="s">
        <v>108</v>
      </c>
    </row>
    <row r="546" spans="1:9">
      <c r="A546" s="93" t="s">
        <v>4154</v>
      </c>
      <c r="B546" t="s">
        <v>1874</v>
      </c>
      <c r="C546" t="s">
        <v>2308</v>
      </c>
      <c r="D546" t="s">
        <v>2122</v>
      </c>
      <c r="E546" t="s">
        <v>2309</v>
      </c>
      <c r="F546" t="s">
        <v>2312</v>
      </c>
      <c r="G546" t="s">
        <v>2970</v>
      </c>
      <c r="H546" t="s">
        <v>2311</v>
      </c>
      <c r="I546" t="s">
        <v>3984</v>
      </c>
    </row>
    <row r="547" spans="1:9">
      <c r="A547" s="93" t="s">
        <v>4154</v>
      </c>
      <c r="B547" t="s">
        <v>1874</v>
      </c>
      <c r="C547" t="s">
        <v>2352</v>
      </c>
      <c r="E547" t="s">
        <v>1201</v>
      </c>
      <c r="G547" t="s">
        <v>2970</v>
      </c>
      <c r="H547" t="s">
        <v>1201</v>
      </c>
      <c r="I547" t="s">
        <v>3984</v>
      </c>
    </row>
    <row r="548" spans="1:9">
      <c r="A548" s="93" t="s">
        <v>4154</v>
      </c>
      <c r="B548" t="s">
        <v>1874</v>
      </c>
      <c r="C548" t="s">
        <v>2118</v>
      </c>
      <c r="E548" t="s">
        <v>2119</v>
      </c>
      <c r="G548" t="s">
        <v>2970</v>
      </c>
      <c r="H548" t="s">
        <v>1201</v>
      </c>
      <c r="I548" t="s">
        <v>3984</v>
      </c>
    </row>
    <row r="549" spans="1:9">
      <c r="A549" s="93" t="s">
        <v>4154</v>
      </c>
      <c r="B549" t="s">
        <v>1874</v>
      </c>
      <c r="C549" t="s">
        <v>2313</v>
      </c>
      <c r="D549" t="s">
        <v>2314</v>
      </c>
      <c r="E549" t="s">
        <v>2309</v>
      </c>
      <c r="G549" t="s">
        <v>2970</v>
      </c>
      <c r="H549" t="s">
        <v>2311</v>
      </c>
      <c r="I549" t="s">
        <v>3984</v>
      </c>
    </row>
    <row r="550" spans="1:9">
      <c r="A550" s="93" t="s">
        <v>4154</v>
      </c>
      <c r="B550" t="s">
        <v>1874</v>
      </c>
      <c r="C550" t="s">
        <v>2315</v>
      </c>
      <c r="D550" t="s">
        <v>2314</v>
      </c>
      <c r="E550" t="s">
        <v>2309</v>
      </c>
      <c r="G550" t="s">
        <v>2970</v>
      </c>
      <c r="H550" t="s">
        <v>2311</v>
      </c>
      <c r="I550" t="s">
        <v>3984</v>
      </c>
    </row>
    <row r="551" spans="1:9">
      <c r="A551" s="93" t="s">
        <v>4154</v>
      </c>
      <c r="B551" t="s">
        <v>1874</v>
      </c>
      <c r="C551" t="s">
        <v>2316</v>
      </c>
      <c r="D551" t="s">
        <v>2124</v>
      </c>
      <c r="E551" t="s">
        <v>2309</v>
      </c>
      <c r="G551" t="s">
        <v>2970</v>
      </c>
      <c r="H551" t="s">
        <v>2311</v>
      </c>
      <c r="I551" t="s">
        <v>3984</v>
      </c>
    </row>
    <row r="552" spans="1:9">
      <c r="A552" s="93" t="s">
        <v>4154</v>
      </c>
      <c r="B552" t="s">
        <v>1875</v>
      </c>
      <c r="C552" t="s">
        <v>2134</v>
      </c>
      <c r="E552" t="s">
        <v>2135</v>
      </c>
      <c r="F552" t="s">
        <v>2137</v>
      </c>
      <c r="G552" t="s">
        <v>2970</v>
      </c>
      <c r="H552" t="s">
        <v>2318</v>
      </c>
      <c r="I552" t="s">
        <v>3988</v>
      </c>
    </row>
    <row r="553" spans="1:9">
      <c r="A553" s="93" t="s">
        <v>4154</v>
      </c>
      <c r="B553" t="s">
        <v>3697</v>
      </c>
      <c r="C553" t="s">
        <v>2144</v>
      </c>
      <c r="D553" t="s">
        <v>2143</v>
      </c>
      <c r="E553" t="s">
        <v>2145</v>
      </c>
      <c r="G553" t="s">
        <v>2970</v>
      </c>
      <c r="H553" t="s">
        <v>2990</v>
      </c>
      <c r="I553" t="s">
        <v>3992</v>
      </c>
    </row>
    <row r="554" spans="1:9">
      <c r="A554" s="93" t="s">
        <v>4154</v>
      </c>
      <c r="B554" t="s">
        <v>1881</v>
      </c>
      <c r="C554" t="s">
        <v>2465</v>
      </c>
      <c r="D554" t="s">
        <v>2248</v>
      </c>
      <c r="E554" t="s">
        <v>2466</v>
      </c>
      <c r="G554" t="s">
        <v>2970</v>
      </c>
      <c r="H554" t="s">
        <v>2463</v>
      </c>
      <c r="I554" t="s">
        <v>3996</v>
      </c>
    </row>
    <row r="555" spans="1:9">
      <c r="A555" s="93" t="s">
        <v>4154</v>
      </c>
      <c r="B555" t="s">
        <v>1881</v>
      </c>
      <c r="C555" t="s">
        <v>2158</v>
      </c>
      <c r="D555" t="s">
        <v>2155</v>
      </c>
      <c r="E555" t="s">
        <v>2159</v>
      </c>
      <c r="F555" t="s">
        <v>2160</v>
      </c>
      <c r="G555" t="s">
        <v>2970</v>
      </c>
      <c r="H555" t="s">
        <v>2463</v>
      </c>
      <c r="I555" t="s">
        <v>3996</v>
      </c>
    </row>
    <row r="556" spans="1:9">
      <c r="A556" s="93" t="s">
        <v>4154</v>
      </c>
      <c r="B556" t="s">
        <v>1882</v>
      </c>
      <c r="C556" t="s">
        <v>2169</v>
      </c>
      <c r="D556" t="s">
        <v>2129</v>
      </c>
      <c r="E556" t="s">
        <v>2170</v>
      </c>
      <c r="G556" t="s">
        <v>2970</v>
      </c>
      <c r="H556" t="s">
        <v>2318</v>
      </c>
      <c r="I556" t="s">
        <v>4000</v>
      </c>
    </row>
    <row r="557" spans="1:9">
      <c r="A557" s="93" t="s">
        <v>4154</v>
      </c>
      <c r="B557" t="s">
        <v>1882</v>
      </c>
      <c r="C557" t="s">
        <v>2171</v>
      </c>
      <c r="D557" t="s">
        <v>2129</v>
      </c>
      <c r="E557" t="s">
        <v>2135</v>
      </c>
      <c r="G557" t="s">
        <v>2970</v>
      </c>
      <c r="H557" t="s">
        <v>2318</v>
      </c>
      <c r="I557" t="s">
        <v>4000</v>
      </c>
    </row>
    <row r="558" spans="1:9">
      <c r="A558" s="93" t="s">
        <v>4154</v>
      </c>
      <c r="B558" t="s">
        <v>1882</v>
      </c>
      <c r="C558" t="s">
        <v>2172</v>
      </c>
      <c r="D558" t="s">
        <v>2129</v>
      </c>
      <c r="E558" t="s">
        <v>2135</v>
      </c>
      <c r="G558" t="s">
        <v>2970</v>
      </c>
      <c r="H558" t="s">
        <v>2318</v>
      </c>
      <c r="I558" t="s">
        <v>4000</v>
      </c>
    </row>
    <row r="559" spans="1:9">
      <c r="A559" s="93" t="s">
        <v>4154</v>
      </c>
      <c r="B559" t="s">
        <v>1882</v>
      </c>
      <c r="C559" t="s">
        <v>2173</v>
      </c>
      <c r="D559" t="s">
        <v>2174</v>
      </c>
      <c r="E559" t="s">
        <v>2135</v>
      </c>
      <c r="G559" t="s">
        <v>2970</v>
      </c>
      <c r="H559" t="s">
        <v>2318</v>
      </c>
      <c r="I559" t="s">
        <v>4000</v>
      </c>
    </row>
    <row r="560" spans="1:9">
      <c r="A560" s="93" t="s">
        <v>4154</v>
      </c>
      <c r="B560" t="s">
        <v>1882</v>
      </c>
      <c r="C560" t="s">
        <v>2175</v>
      </c>
      <c r="E560" t="s">
        <v>2135</v>
      </c>
      <c r="G560" t="s">
        <v>2970</v>
      </c>
      <c r="H560" t="s">
        <v>2318</v>
      </c>
      <c r="I560" t="s">
        <v>4000</v>
      </c>
    </row>
    <row r="561" spans="1:9">
      <c r="A561" s="93" t="s">
        <v>4154</v>
      </c>
      <c r="B561" t="s">
        <v>1882</v>
      </c>
      <c r="C561" t="s">
        <v>2176</v>
      </c>
      <c r="E561" t="s">
        <v>2135</v>
      </c>
      <c r="G561" t="s">
        <v>2970</v>
      </c>
      <c r="H561" t="s">
        <v>2318</v>
      </c>
      <c r="I561" t="s">
        <v>4000</v>
      </c>
    </row>
    <row r="562" spans="1:9">
      <c r="A562" s="93" t="s">
        <v>4154</v>
      </c>
      <c r="B562" t="s">
        <v>1882</v>
      </c>
      <c r="C562" t="s">
        <v>2177</v>
      </c>
      <c r="E562" t="s">
        <v>2135</v>
      </c>
      <c r="G562" t="s">
        <v>2970</v>
      </c>
      <c r="H562" t="s">
        <v>2318</v>
      </c>
      <c r="I562" t="s">
        <v>4000</v>
      </c>
    </row>
    <row r="563" spans="1:9">
      <c r="A563" s="93" t="s">
        <v>4154</v>
      </c>
      <c r="B563" t="s">
        <v>1884</v>
      </c>
      <c r="C563" t="s">
        <v>2190</v>
      </c>
      <c r="E563" t="s">
        <v>2135</v>
      </c>
      <c r="G563" t="s">
        <v>2970</v>
      </c>
      <c r="H563" t="s">
        <v>2318</v>
      </c>
      <c r="I563" t="s">
        <v>4002</v>
      </c>
    </row>
    <row r="564" spans="1:9">
      <c r="A564" s="93" t="s">
        <v>4154</v>
      </c>
      <c r="B564" t="s">
        <v>1884</v>
      </c>
      <c r="C564" t="s">
        <v>2191</v>
      </c>
      <c r="E564" t="s">
        <v>2135</v>
      </c>
      <c r="G564" t="s">
        <v>2970</v>
      </c>
      <c r="H564" t="s">
        <v>2318</v>
      </c>
      <c r="I564" t="s">
        <v>4002</v>
      </c>
    </row>
    <row r="565" spans="1:9">
      <c r="A565" s="93" t="s">
        <v>4154</v>
      </c>
      <c r="B565" t="s">
        <v>1889</v>
      </c>
      <c r="C565" t="s">
        <v>2206</v>
      </c>
      <c r="E565" t="s">
        <v>2135</v>
      </c>
      <c r="G565" t="s">
        <v>2970</v>
      </c>
      <c r="H565" t="s">
        <v>2318</v>
      </c>
      <c r="I565" t="s">
        <v>4004</v>
      </c>
    </row>
    <row r="566" spans="1:9">
      <c r="A566" s="93" t="s">
        <v>4154</v>
      </c>
      <c r="B566" t="s">
        <v>1893</v>
      </c>
      <c r="C566" t="s">
        <v>2328</v>
      </c>
      <c r="D566" t="s">
        <v>2217</v>
      </c>
      <c r="E566" t="s">
        <v>2309</v>
      </c>
      <c r="F566" t="s">
        <v>2329</v>
      </c>
      <c r="G566" t="s">
        <v>2970</v>
      </c>
      <c r="H566" t="s">
        <v>2311</v>
      </c>
      <c r="I566" t="s">
        <v>4012</v>
      </c>
    </row>
    <row r="567" spans="1:9">
      <c r="A567" s="93" t="s">
        <v>4154</v>
      </c>
      <c r="B567" t="s">
        <v>1893</v>
      </c>
      <c r="C567" t="s">
        <v>2330</v>
      </c>
      <c r="D567" t="s">
        <v>2331</v>
      </c>
      <c r="E567" t="s">
        <v>2309</v>
      </c>
      <c r="F567" t="s">
        <v>2332</v>
      </c>
      <c r="G567" t="s">
        <v>2970</v>
      </c>
      <c r="H567" t="s">
        <v>2311</v>
      </c>
      <c r="I567" t="s">
        <v>4012</v>
      </c>
    </row>
    <row r="568" spans="1:9">
      <c r="A568" s="93" t="s">
        <v>4154</v>
      </c>
      <c r="B568" t="s">
        <v>1893</v>
      </c>
      <c r="C568" t="s">
        <v>2228</v>
      </c>
      <c r="E568" t="s">
        <v>2135</v>
      </c>
      <c r="G568" t="s">
        <v>2970</v>
      </c>
      <c r="H568" t="s">
        <v>2318</v>
      </c>
      <c r="I568" t="s">
        <v>4012</v>
      </c>
    </row>
    <row r="569" spans="1:9">
      <c r="A569" s="93" t="s">
        <v>4154</v>
      </c>
      <c r="B569" t="s">
        <v>1896</v>
      </c>
      <c r="C569" t="s">
        <v>2242</v>
      </c>
      <c r="D569" t="s">
        <v>2220</v>
      </c>
      <c r="E569" t="s">
        <v>2243</v>
      </c>
      <c r="F569" t="s">
        <v>2244</v>
      </c>
      <c r="G569" t="s">
        <v>2970</v>
      </c>
      <c r="H569" t="s">
        <v>2991</v>
      </c>
      <c r="I569" t="s">
        <v>4016</v>
      </c>
    </row>
    <row r="570" spans="1:9">
      <c r="A570" s="93" t="s">
        <v>4154</v>
      </c>
      <c r="B570" t="s">
        <v>1896</v>
      </c>
      <c r="C570" t="s">
        <v>2335</v>
      </c>
      <c r="E570" t="s">
        <v>2309</v>
      </c>
      <c r="F570" t="s">
        <v>2336</v>
      </c>
      <c r="G570" t="s">
        <v>2970</v>
      </c>
      <c r="H570" t="s">
        <v>2311</v>
      </c>
      <c r="I570" t="s">
        <v>4016</v>
      </c>
    </row>
    <row r="571" spans="1:9">
      <c r="A571" s="93" t="s">
        <v>4154</v>
      </c>
      <c r="B571" t="s">
        <v>1896</v>
      </c>
      <c r="C571" t="s">
        <v>2337</v>
      </c>
      <c r="D571" t="s">
        <v>2248</v>
      </c>
      <c r="E571" t="s">
        <v>2338</v>
      </c>
      <c r="G571" t="s">
        <v>2970</v>
      </c>
      <c r="H571" t="s">
        <v>2339</v>
      </c>
      <c r="I571" t="s">
        <v>4016</v>
      </c>
    </row>
    <row r="572" spans="1:9">
      <c r="A572" s="93" t="s">
        <v>4154</v>
      </c>
      <c r="B572" t="s">
        <v>1898</v>
      </c>
      <c r="C572" t="s">
        <v>2255</v>
      </c>
      <c r="D572" t="s">
        <v>2256</v>
      </c>
      <c r="E572" t="s">
        <v>2257</v>
      </c>
      <c r="G572" t="s">
        <v>2970</v>
      </c>
      <c r="H572" t="s">
        <v>2463</v>
      </c>
      <c r="I572" t="s">
        <v>4020</v>
      </c>
    </row>
    <row r="573" spans="1:9">
      <c r="A573" s="93" t="s">
        <v>4154</v>
      </c>
      <c r="B573" t="s">
        <v>1898</v>
      </c>
      <c r="C573" t="s">
        <v>2258</v>
      </c>
      <c r="D573" t="s">
        <v>2259</v>
      </c>
      <c r="E573" t="s">
        <v>2260</v>
      </c>
      <c r="F573" t="s">
        <v>2261</v>
      </c>
      <c r="G573" t="s">
        <v>2970</v>
      </c>
      <c r="H573" t="s">
        <v>2992</v>
      </c>
      <c r="I573" t="s">
        <v>4020</v>
      </c>
    </row>
    <row r="574" spans="1:9">
      <c r="A574" s="93" t="s">
        <v>4154</v>
      </c>
      <c r="B574" t="s">
        <v>1902</v>
      </c>
      <c r="C574" t="s">
        <v>2342</v>
      </c>
      <c r="E574" t="s">
        <v>2309</v>
      </c>
      <c r="F574" t="s">
        <v>2343</v>
      </c>
      <c r="G574" t="s">
        <v>2970</v>
      </c>
      <c r="H574" t="s">
        <v>2311</v>
      </c>
      <c r="I574" t="s">
        <v>4024</v>
      </c>
    </row>
    <row r="575" spans="1:9">
      <c r="A575" s="93" t="s">
        <v>4154</v>
      </c>
      <c r="B575" t="s">
        <v>1902</v>
      </c>
      <c r="C575" t="s">
        <v>2344</v>
      </c>
      <c r="D575" t="s">
        <v>2273</v>
      </c>
      <c r="E575" t="s">
        <v>2309</v>
      </c>
      <c r="F575" t="s">
        <v>2345</v>
      </c>
      <c r="G575" t="s">
        <v>2970</v>
      </c>
      <c r="H575" t="s">
        <v>2311</v>
      </c>
      <c r="I575" t="s">
        <v>4024</v>
      </c>
    </row>
    <row r="576" spans="1:9">
      <c r="A576" s="93" t="s">
        <v>4154</v>
      </c>
      <c r="B576" t="s">
        <v>1902</v>
      </c>
      <c r="C576" t="s">
        <v>2285</v>
      </c>
      <c r="E576" t="s">
        <v>2135</v>
      </c>
      <c r="G576" t="s">
        <v>2970</v>
      </c>
      <c r="H576" t="s">
        <v>2318</v>
      </c>
      <c r="I576" t="s">
        <v>4024</v>
      </c>
    </row>
    <row r="577" spans="1:9">
      <c r="A577" s="93" t="s">
        <v>4154</v>
      </c>
      <c r="B577" t="s">
        <v>3926</v>
      </c>
      <c r="C577" t="s">
        <v>2291</v>
      </c>
      <c r="E577" t="s">
        <v>2135</v>
      </c>
      <c r="F577" t="s">
        <v>2292</v>
      </c>
      <c r="G577" t="s">
        <v>2970</v>
      </c>
      <c r="H577" t="s">
        <v>2318</v>
      </c>
    </row>
    <row r="578" spans="1:9">
      <c r="A578" s="93" t="s">
        <v>4154</v>
      </c>
      <c r="B578" t="s">
        <v>3926</v>
      </c>
      <c r="C578" t="s">
        <v>2304</v>
      </c>
      <c r="D578" t="s">
        <v>2305</v>
      </c>
      <c r="E578" t="s">
        <v>2257</v>
      </c>
      <c r="F578" t="s">
        <v>2306</v>
      </c>
      <c r="G578" t="s">
        <v>2970</v>
      </c>
      <c r="H578" t="s">
        <v>2463</v>
      </c>
    </row>
    <row r="579" spans="1:9">
      <c r="A579" s="93" t="s">
        <v>4154</v>
      </c>
      <c r="B579" t="s">
        <v>3926</v>
      </c>
      <c r="C579" t="s">
        <v>2477</v>
      </c>
      <c r="D579" t="s">
        <v>2213</v>
      </c>
      <c r="E579" t="s">
        <v>2463</v>
      </c>
      <c r="F579" t="s">
        <v>2292</v>
      </c>
      <c r="G579" t="s">
        <v>2970</v>
      </c>
      <c r="H579" t="s">
        <v>2463</v>
      </c>
    </row>
    <row r="580" spans="1:9">
      <c r="A580" s="93" t="s">
        <v>4156</v>
      </c>
      <c r="B580" t="s">
        <v>1874</v>
      </c>
      <c r="C580" t="s">
        <v>2308</v>
      </c>
      <c r="D580" t="s">
        <v>2122</v>
      </c>
      <c r="E580" t="s">
        <v>2309</v>
      </c>
      <c r="F580" t="s">
        <v>2312</v>
      </c>
      <c r="G580" t="s">
        <v>2970</v>
      </c>
      <c r="H580" t="s">
        <v>2311</v>
      </c>
      <c r="I580" t="s">
        <v>3984</v>
      </c>
    </row>
    <row r="581" spans="1:9">
      <c r="A581" s="93" t="s">
        <v>4156</v>
      </c>
      <c r="B581" t="s">
        <v>1874</v>
      </c>
      <c r="C581" t="s">
        <v>2114</v>
      </c>
      <c r="D581" t="s">
        <v>2115</v>
      </c>
      <c r="E581" t="s">
        <v>1559</v>
      </c>
      <c r="F581" t="s">
        <v>2117</v>
      </c>
      <c r="G581" t="s">
        <v>2970</v>
      </c>
      <c r="H581" t="s">
        <v>108</v>
      </c>
      <c r="I581" t="s">
        <v>3984</v>
      </c>
    </row>
    <row r="582" spans="1:9">
      <c r="A582" s="93" t="s">
        <v>4156</v>
      </c>
      <c r="B582" t="s">
        <v>1874</v>
      </c>
      <c r="C582" t="s">
        <v>2352</v>
      </c>
      <c r="E582" t="s">
        <v>1201</v>
      </c>
      <c r="G582" t="s">
        <v>2970</v>
      </c>
      <c r="H582" t="s">
        <v>1201</v>
      </c>
      <c r="I582" t="s">
        <v>3984</v>
      </c>
    </row>
    <row r="583" spans="1:9">
      <c r="A583" s="93" t="s">
        <v>4156</v>
      </c>
      <c r="B583" t="s">
        <v>1874</v>
      </c>
      <c r="C583" t="s">
        <v>2118</v>
      </c>
      <c r="E583" t="s">
        <v>2119</v>
      </c>
      <c r="G583" t="s">
        <v>2970</v>
      </c>
      <c r="H583" t="s">
        <v>2353</v>
      </c>
      <c r="I583" t="s">
        <v>3984</v>
      </c>
    </row>
    <row r="584" spans="1:9">
      <c r="A584" s="93" t="s">
        <v>4156</v>
      </c>
      <c r="B584" t="s">
        <v>1874</v>
      </c>
      <c r="C584" t="s">
        <v>2121</v>
      </c>
      <c r="D584" t="s">
        <v>2122</v>
      </c>
      <c r="E584" t="s">
        <v>108</v>
      </c>
      <c r="G584" t="s">
        <v>2970</v>
      </c>
      <c r="H584" t="s">
        <v>108</v>
      </c>
      <c r="I584" t="s">
        <v>3984</v>
      </c>
    </row>
    <row r="585" spans="1:9">
      <c r="A585" s="93" t="s">
        <v>4156</v>
      </c>
      <c r="B585" t="s">
        <v>1874</v>
      </c>
      <c r="C585" t="s">
        <v>2123</v>
      </c>
      <c r="D585" t="s">
        <v>2124</v>
      </c>
      <c r="E585" t="s">
        <v>108</v>
      </c>
      <c r="F585" t="s">
        <v>2125</v>
      </c>
      <c r="G585" t="s">
        <v>2970</v>
      </c>
      <c r="H585" t="s">
        <v>108</v>
      </c>
      <c r="I585" t="s">
        <v>3984</v>
      </c>
    </row>
    <row r="586" spans="1:9">
      <c r="A586" s="93" t="s">
        <v>4156</v>
      </c>
      <c r="B586" t="s">
        <v>1874</v>
      </c>
      <c r="C586" t="s">
        <v>2126</v>
      </c>
      <c r="E586" t="s">
        <v>108</v>
      </c>
      <c r="G586" t="s">
        <v>2970</v>
      </c>
      <c r="H586" t="s">
        <v>108</v>
      </c>
      <c r="I586" t="s">
        <v>3984</v>
      </c>
    </row>
    <row r="587" spans="1:9">
      <c r="A587" s="93" t="s">
        <v>4156</v>
      </c>
      <c r="B587" t="s">
        <v>1874</v>
      </c>
      <c r="C587" t="s">
        <v>2313</v>
      </c>
      <c r="D587" t="s">
        <v>2314</v>
      </c>
      <c r="E587" t="s">
        <v>2309</v>
      </c>
      <c r="G587" t="s">
        <v>2970</v>
      </c>
      <c r="H587" t="s">
        <v>2311</v>
      </c>
      <c r="I587" t="s">
        <v>3984</v>
      </c>
    </row>
    <row r="588" spans="1:9">
      <c r="A588" s="93" t="s">
        <v>4156</v>
      </c>
      <c r="B588" t="s">
        <v>1874</v>
      </c>
      <c r="C588" t="s">
        <v>2315</v>
      </c>
      <c r="D588" t="s">
        <v>2314</v>
      </c>
      <c r="E588" t="s">
        <v>2309</v>
      </c>
      <c r="G588" t="s">
        <v>2970</v>
      </c>
      <c r="H588" t="s">
        <v>2311</v>
      </c>
      <c r="I588" t="s">
        <v>3984</v>
      </c>
    </row>
    <row r="589" spans="1:9">
      <c r="A589" s="93" t="s">
        <v>4156</v>
      </c>
      <c r="B589" t="s">
        <v>1874</v>
      </c>
      <c r="C589" t="s">
        <v>2316</v>
      </c>
      <c r="D589" t="s">
        <v>2124</v>
      </c>
      <c r="E589" t="s">
        <v>2309</v>
      </c>
      <c r="G589" t="s">
        <v>2970</v>
      </c>
      <c r="H589" t="s">
        <v>2311</v>
      </c>
      <c r="I589" t="s">
        <v>3984</v>
      </c>
    </row>
    <row r="590" spans="1:9">
      <c r="A590" s="93" t="s">
        <v>4156</v>
      </c>
      <c r="B590" t="s">
        <v>1875</v>
      </c>
      <c r="C590" t="s">
        <v>2128</v>
      </c>
      <c r="D590" t="s">
        <v>2129</v>
      </c>
      <c r="E590" t="s">
        <v>108</v>
      </c>
      <c r="G590" t="s">
        <v>2970</v>
      </c>
      <c r="H590" t="s">
        <v>108</v>
      </c>
      <c r="I590" t="s">
        <v>3988</v>
      </c>
    </row>
    <row r="591" spans="1:9">
      <c r="A591" s="93" t="s">
        <v>4156</v>
      </c>
      <c r="B591" t="s">
        <v>1875</v>
      </c>
      <c r="C591" t="s">
        <v>2130</v>
      </c>
      <c r="D591" t="s">
        <v>2131</v>
      </c>
      <c r="E591" t="s">
        <v>108</v>
      </c>
      <c r="F591" t="s">
        <v>2132</v>
      </c>
      <c r="G591" t="s">
        <v>2970</v>
      </c>
      <c r="H591" t="s">
        <v>108</v>
      </c>
      <c r="I591" t="s">
        <v>3988</v>
      </c>
    </row>
    <row r="592" spans="1:9">
      <c r="A592" s="93" t="s">
        <v>4156</v>
      </c>
      <c r="B592" t="s">
        <v>1875</v>
      </c>
      <c r="C592" t="s">
        <v>2133</v>
      </c>
      <c r="D592" t="s">
        <v>2131</v>
      </c>
      <c r="E592" t="s">
        <v>108</v>
      </c>
      <c r="G592" t="s">
        <v>2970</v>
      </c>
      <c r="H592" t="s">
        <v>108</v>
      </c>
      <c r="I592" t="s">
        <v>3988</v>
      </c>
    </row>
    <row r="593" spans="1:9">
      <c r="A593" s="93" t="s">
        <v>4156</v>
      </c>
      <c r="B593" t="s">
        <v>1875</v>
      </c>
      <c r="C593" t="s">
        <v>2134</v>
      </c>
      <c r="E593" t="s">
        <v>2135</v>
      </c>
      <c r="F593" t="s">
        <v>2137</v>
      </c>
      <c r="G593" t="s">
        <v>2970</v>
      </c>
      <c r="H593" t="s">
        <v>2481</v>
      </c>
      <c r="I593" t="s">
        <v>3988</v>
      </c>
    </row>
    <row r="594" spans="1:9">
      <c r="A594" s="93" t="s">
        <v>4156</v>
      </c>
      <c r="B594" t="s">
        <v>1875</v>
      </c>
      <c r="C594" t="s">
        <v>2138</v>
      </c>
      <c r="D594" t="s">
        <v>2139</v>
      </c>
      <c r="E594" t="s">
        <v>108</v>
      </c>
      <c r="F594" t="s">
        <v>2140</v>
      </c>
      <c r="G594" t="s">
        <v>2970</v>
      </c>
      <c r="H594" t="s">
        <v>108</v>
      </c>
      <c r="I594" t="s">
        <v>3988</v>
      </c>
    </row>
    <row r="595" spans="1:9">
      <c r="A595" s="93" t="s">
        <v>4156</v>
      </c>
      <c r="B595" t="s">
        <v>3697</v>
      </c>
      <c r="C595" t="s">
        <v>2142</v>
      </c>
      <c r="D595" t="s">
        <v>2143</v>
      </c>
      <c r="E595" t="s">
        <v>108</v>
      </c>
      <c r="G595" t="s">
        <v>2970</v>
      </c>
      <c r="H595" t="s">
        <v>108</v>
      </c>
      <c r="I595" t="s">
        <v>3992</v>
      </c>
    </row>
    <row r="596" spans="1:9">
      <c r="A596" s="93" t="s">
        <v>4156</v>
      </c>
      <c r="B596" t="s">
        <v>3697</v>
      </c>
      <c r="C596" t="s">
        <v>2144</v>
      </c>
      <c r="D596" t="s">
        <v>2143</v>
      </c>
      <c r="E596" t="s">
        <v>2145</v>
      </c>
      <c r="G596" t="s">
        <v>2970</v>
      </c>
      <c r="H596" t="s">
        <v>2483</v>
      </c>
      <c r="I596" t="s">
        <v>3992</v>
      </c>
    </row>
    <row r="597" spans="1:9">
      <c r="A597" s="93" t="s">
        <v>4156</v>
      </c>
      <c r="B597" t="s">
        <v>3697</v>
      </c>
      <c r="C597" t="s">
        <v>2146</v>
      </c>
      <c r="D597" t="s">
        <v>2143</v>
      </c>
      <c r="E597" t="s">
        <v>2147</v>
      </c>
      <c r="F597" t="s">
        <v>2148</v>
      </c>
      <c r="G597" t="s">
        <v>2970</v>
      </c>
      <c r="H597" t="s">
        <v>108</v>
      </c>
      <c r="I597" t="s">
        <v>3992</v>
      </c>
    </row>
    <row r="598" spans="1:9">
      <c r="A598" s="93" t="s">
        <v>4156</v>
      </c>
      <c r="B598" t="s">
        <v>3697</v>
      </c>
      <c r="C598" t="s">
        <v>2149</v>
      </c>
      <c r="D598" t="s">
        <v>2143</v>
      </c>
      <c r="E598" t="s">
        <v>108</v>
      </c>
      <c r="G598" t="s">
        <v>2970</v>
      </c>
      <c r="H598" t="s">
        <v>108</v>
      </c>
      <c r="I598" t="s">
        <v>3992</v>
      </c>
    </row>
    <row r="599" spans="1:9">
      <c r="A599" s="93" t="s">
        <v>4156</v>
      </c>
      <c r="B599" t="s">
        <v>1881</v>
      </c>
      <c r="C599" t="s">
        <v>2151</v>
      </c>
      <c r="D599" t="s">
        <v>2152</v>
      </c>
      <c r="E599" t="s">
        <v>2153</v>
      </c>
      <c r="G599" t="s">
        <v>2970</v>
      </c>
      <c r="H599" t="s">
        <v>108</v>
      </c>
      <c r="I599" t="s">
        <v>3996</v>
      </c>
    </row>
    <row r="600" spans="1:9">
      <c r="A600" s="93" t="s">
        <v>4156</v>
      </c>
      <c r="B600" t="s">
        <v>1881</v>
      </c>
      <c r="C600" t="s">
        <v>2154</v>
      </c>
      <c r="D600" t="s">
        <v>2155</v>
      </c>
      <c r="E600" t="s">
        <v>108</v>
      </c>
      <c r="G600" t="s">
        <v>2970</v>
      </c>
      <c r="H600" t="s">
        <v>108</v>
      </c>
      <c r="I600" t="s">
        <v>3996</v>
      </c>
    </row>
    <row r="601" spans="1:9">
      <c r="A601" s="93" t="s">
        <v>4156</v>
      </c>
      <c r="B601" t="s">
        <v>1881</v>
      </c>
      <c r="C601" t="s">
        <v>2156</v>
      </c>
      <c r="D601" t="s">
        <v>2152</v>
      </c>
      <c r="E601" t="s">
        <v>2157</v>
      </c>
      <c r="G601" t="s">
        <v>2970</v>
      </c>
      <c r="H601" t="s">
        <v>108</v>
      </c>
      <c r="I601" t="s">
        <v>3996</v>
      </c>
    </row>
    <row r="602" spans="1:9">
      <c r="A602" s="93" t="s">
        <v>4156</v>
      </c>
      <c r="B602" t="s">
        <v>1881</v>
      </c>
      <c r="C602" t="s">
        <v>2158</v>
      </c>
      <c r="D602" t="s">
        <v>2155</v>
      </c>
      <c r="E602" t="s">
        <v>2159</v>
      </c>
      <c r="F602" t="s">
        <v>2160</v>
      </c>
      <c r="G602" t="s">
        <v>2970</v>
      </c>
      <c r="H602" t="s">
        <v>108</v>
      </c>
      <c r="I602" t="s">
        <v>3996</v>
      </c>
    </row>
    <row r="603" spans="1:9">
      <c r="A603" s="93" t="s">
        <v>4156</v>
      </c>
      <c r="B603" t="s">
        <v>1881</v>
      </c>
      <c r="C603" t="s">
        <v>2161</v>
      </c>
      <c r="D603" t="s">
        <v>2162</v>
      </c>
      <c r="E603" t="s">
        <v>108</v>
      </c>
      <c r="F603" t="s">
        <v>2163</v>
      </c>
      <c r="G603" t="s">
        <v>2970</v>
      </c>
      <c r="H603" t="s">
        <v>108</v>
      </c>
      <c r="I603" t="s">
        <v>3996</v>
      </c>
    </row>
    <row r="604" spans="1:9">
      <c r="A604" s="93" t="s">
        <v>4156</v>
      </c>
      <c r="B604" t="s">
        <v>1881</v>
      </c>
      <c r="C604" t="s">
        <v>2164</v>
      </c>
      <c r="D604" t="s">
        <v>2162</v>
      </c>
      <c r="E604" t="s">
        <v>108</v>
      </c>
      <c r="G604" t="s">
        <v>2970</v>
      </c>
      <c r="H604" t="s">
        <v>108</v>
      </c>
      <c r="I604" t="s">
        <v>3996</v>
      </c>
    </row>
    <row r="605" spans="1:9">
      <c r="A605" s="93" t="s">
        <v>4156</v>
      </c>
      <c r="B605" t="s">
        <v>1882</v>
      </c>
      <c r="C605" t="s">
        <v>2166</v>
      </c>
      <c r="D605" t="s">
        <v>2167</v>
      </c>
      <c r="E605" t="s">
        <v>108</v>
      </c>
      <c r="F605" t="s">
        <v>2168</v>
      </c>
      <c r="G605" t="s">
        <v>2970</v>
      </c>
      <c r="H605" t="s">
        <v>108</v>
      </c>
      <c r="I605" t="s">
        <v>4000</v>
      </c>
    </row>
    <row r="606" spans="1:9">
      <c r="A606" s="93" t="s">
        <v>4156</v>
      </c>
      <c r="B606" t="s">
        <v>1882</v>
      </c>
      <c r="C606" t="s">
        <v>2169</v>
      </c>
      <c r="D606" t="s">
        <v>2129</v>
      </c>
      <c r="E606" t="s">
        <v>2170</v>
      </c>
      <c r="G606" t="s">
        <v>2970</v>
      </c>
      <c r="H606" t="s">
        <v>2481</v>
      </c>
      <c r="I606" t="s">
        <v>4000</v>
      </c>
    </row>
    <row r="607" spans="1:9">
      <c r="A607" s="93" t="s">
        <v>4156</v>
      </c>
      <c r="B607" t="s">
        <v>1882</v>
      </c>
      <c r="C607" t="s">
        <v>2171</v>
      </c>
      <c r="D607" t="s">
        <v>2129</v>
      </c>
      <c r="E607" t="s">
        <v>2135</v>
      </c>
      <c r="G607" t="s">
        <v>2970</v>
      </c>
      <c r="H607" t="s">
        <v>2481</v>
      </c>
      <c r="I607" t="s">
        <v>4000</v>
      </c>
    </row>
    <row r="608" spans="1:9">
      <c r="A608" s="93" t="s">
        <v>4156</v>
      </c>
      <c r="B608" t="s">
        <v>1882</v>
      </c>
      <c r="C608" t="s">
        <v>2172</v>
      </c>
      <c r="D608" t="s">
        <v>2129</v>
      </c>
      <c r="E608" t="s">
        <v>2135</v>
      </c>
      <c r="G608" t="s">
        <v>2970</v>
      </c>
      <c r="H608" t="s">
        <v>2481</v>
      </c>
      <c r="I608" t="s">
        <v>4000</v>
      </c>
    </row>
    <row r="609" spans="1:9">
      <c r="A609" s="93" t="s">
        <v>4156</v>
      </c>
      <c r="B609" t="s">
        <v>1882</v>
      </c>
      <c r="C609" t="s">
        <v>2173</v>
      </c>
      <c r="D609" t="s">
        <v>2174</v>
      </c>
      <c r="E609" t="s">
        <v>2135</v>
      </c>
      <c r="G609" t="s">
        <v>2970</v>
      </c>
      <c r="H609" t="s">
        <v>2481</v>
      </c>
      <c r="I609" t="s">
        <v>4000</v>
      </c>
    </row>
    <row r="610" spans="1:9">
      <c r="A610" s="93" t="s">
        <v>4156</v>
      </c>
      <c r="B610" t="s">
        <v>1882</v>
      </c>
      <c r="C610" t="s">
        <v>2175</v>
      </c>
      <c r="E610" t="s">
        <v>2135</v>
      </c>
      <c r="G610" t="s">
        <v>2970</v>
      </c>
      <c r="H610" t="s">
        <v>2481</v>
      </c>
      <c r="I610" t="s">
        <v>4000</v>
      </c>
    </row>
    <row r="611" spans="1:9">
      <c r="A611" s="93" t="s">
        <v>4156</v>
      </c>
      <c r="B611" t="s">
        <v>1882</v>
      </c>
      <c r="C611" t="s">
        <v>2176</v>
      </c>
      <c r="E611" t="s">
        <v>2135</v>
      </c>
      <c r="G611" t="s">
        <v>2970</v>
      </c>
      <c r="H611" t="s">
        <v>2481</v>
      </c>
      <c r="I611" t="s">
        <v>4000</v>
      </c>
    </row>
    <row r="612" spans="1:9">
      <c r="A612" s="93" t="s">
        <v>4156</v>
      </c>
      <c r="B612" t="s">
        <v>1882</v>
      </c>
      <c r="C612" t="s">
        <v>2177</v>
      </c>
      <c r="E612" t="s">
        <v>2135</v>
      </c>
      <c r="G612" t="s">
        <v>2970</v>
      </c>
      <c r="H612" t="s">
        <v>2481</v>
      </c>
      <c r="I612" t="s">
        <v>4000</v>
      </c>
    </row>
    <row r="613" spans="1:9">
      <c r="A613" s="93" t="s">
        <v>4156</v>
      </c>
      <c r="B613" t="s">
        <v>1884</v>
      </c>
      <c r="C613" t="s">
        <v>2179</v>
      </c>
      <c r="D613" t="s">
        <v>2180</v>
      </c>
      <c r="E613" t="s">
        <v>108</v>
      </c>
      <c r="G613" t="s">
        <v>2970</v>
      </c>
      <c r="H613" t="s">
        <v>108</v>
      </c>
      <c r="I613" t="s">
        <v>4002</v>
      </c>
    </row>
    <row r="614" spans="1:9">
      <c r="A614" s="93" t="s">
        <v>4156</v>
      </c>
      <c r="B614" t="s">
        <v>1884</v>
      </c>
      <c r="C614" t="s">
        <v>2181</v>
      </c>
      <c r="D614" t="s">
        <v>2182</v>
      </c>
      <c r="E614" t="s">
        <v>108</v>
      </c>
      <c r="G614" t="s">
        <v>2970</v>
      </c>
      <c r="H614" t="s">
        <v>108</v>
      </c>
      <c r="I614" t="s">
        <v>4002</v>
      </c>
    </row>
    <row r="615" spans="1:9">
      <c r="A615" s="93" t="s">
        <v>4156</v>
      </c>
      <c r="B615" t="s">
        <v>1884</v>
      </c>
      <c r="C615" t="s">
        <v>2183</v>
      </c>
      <c r="D615" t="s">
        <v>2182</v>
      </c>
      <c r="E615" t="s">
        <v>2184</v>
      </c>
      <c r="F615" t="s">
        <v>2185</v>
      </c>
      <c r="G615" t="s">
        <v>2970</v>
      </c>
      <c r="H615" t="s">
        <v>108</v>
      </c>
      <c r="I615" t="s">
        <v>4002</v>
      </c>
    </row>
    <row r="616" spans="1:9">
      <c r="A616" s="93" t="s">
        <v>4156</v>
      </c>
      <c r="B616" t="s">
        <v>1884</v>
      </c>
      <c r="C616" t="s">
        <v>2186</v>
      </c>
      <c r="D616" t="s">
        <v>2187</v>
      </c>
      <c r="E616" t="s">
        <v>108</v>
      </c>
      <c r="G616" t="s">
        <v>2970</v>
      </c>
      <c r="H616" t="s">
        <v>108</v>
      </c>
      <c r="I616" t="s">
        <v>4002</v>
      </c>
    </row>
    <row r="617" spans="1:9">
      <c r="A617" s="93" t="s">
        <v>4156</v>
      </c>
      <c r="B617" t="s">
        <v>1884</v>
      </c>
      <c r="C617" t="s">
        <v>2188</v>
      </c>
      <c r="E617" t="s">
        <v>2189</v>
      </c>
      <c r="G617" t="s">
        <v>2970</v>
      </c>
      <c r="H617" t="s">
        <v>108</v>
      </c>
      <c r="I617" t="s">
        <v>4002</v>
      </c>
    </row>
    <row r="618" spans="1:9">
      <c r="A618" s="93" t="s">
        <v>4156</v>
      </c>
      <c r="B618" t="s">
        <v>1884</v>
      </c>
      <c r="C618" t="s">
        <v>2190</v>
      </c>
      <c r="E618" t="s">
        <v>2135</v>
      </c>
      <c r="G618" t="s">
        <v>2970</v>
      </c>
      <c r="H618" t="s">
        <v>2481</v>
      </c>
      <c r="I618" t="s">
        <v>4002</v>
      </c>
    </row>
    <row r="619" spans="1:9">
      <c r="A619" s="93" t="s">
        <v>4156</v>
      </c>
      <c r="B619" t="s">
        <v>1884</v>
      </c>
      <c r="C619" t="s">
        <v>2191</v>
      </c>
      <c r="E619" t="s">
        <v>2135</v>
      </c>
      <c r="G619" t="s">
        <v>2970</v>
      </c>
      <c r="H619" t="s">
        <v>2481</v>
      </c>
      <c r="I619" t="s">
        <v>4002</v>
      </c>
    </row>
    <row r="620" spans="1:9">
      <c r="A620" s="93" t="s">
        <v>4156</v>
      </c>
      <c r="B620" t="s">
        <v>1884</v>
      </c>
      <c r="C620" t="s">
        <v>2192</v>
      </c>
      <c r="D620" t="s">
        <v>2182</v>
      </c>
      <c r="E620" t="s">
        <v>2193</v>
      </c>
      <c r="G620" t="s">
        <v>2970</v>
      </c>
      <c r="H620" t="s">
        <v>2193</v>
      </c>
      <c r="I620" t="s">
        <v>4002</v>
      </c>
    </row>
    <row r="621" spans="1:9">
      <c r="A621" s="93" t="s">
        <v>4156</v>
      </c>
      <c r="B621" t="s">
        <v>1884</v>
      </c>
      <c r="C621" t="s">
        <v>2194</v>
      </c>
      <c r="D621" t="s">
        <v>2187</v>
      </c>
      <c r="E621" t="s">
        <v>108</v>
      </c>
      <c r="G621" t="s">
        <v>2970</v>
      </c>
      <c r="H621" t="s">
        <v>108</v>
      </c>
      <c r="I621" t="s">
        <v>4002</v>
      </c>
    </row>
    <row r="622" spans="1:9">
      <c r="A622" s="93" t="s">
        <v>4156</v>
      </c>
      <c r="B622" t="s">
        <v>1889</v>
      </c>
      <c r="C622" t="s">
        <v>2488</v>
      </c>
      <c r="D622" t="s">
        <v>2182</v>
      </c>
      <c r="E622" t="s">
        <v>2489</v>
      </c>
      <c r="G622" t="s">
        <v>2970</v>
      </c>
      <c r="H622" t="s">
        <v>1997</v>
      </c>
      <c r="I622" t="s">
        <v>4004</v>
      </c>
    </row>
    <row r="623" spans="1:9">
      <c r="A623" s="93" t="s">
        <v>4156</v>
      </c>
      <c r="B623" t="s">
        <v>1889</v>
      </c>
      <c r="C623" t="s">
        <v>2490</v>
      </c>
      <c r="D623" t="s">
        <v>2174</v>
      </c>
      <c r="E623" t="s">
        <v>2489</v>
      </c>
      <c r="G623" t="s">
        <v>2970</v>
      </c>
      <c r="H623" t="s">
        <v>1997</v>
      </c>
      <c r="I623" t="s">
        <v>4004</v>
      </c>
    </row>
    <row r="624" spans="1:9">
      <c r="A624" s="93" t="s">
        <v>4156</v>
      </c>
      <c r="B624" t="s">
        <v>1889</v>
      </c>
      <c r="C624" t="s">
        <v>2196</v>
      </c>
      <c r="E624" t="s">
        <v>2193</v>
      </c>
      <c r="G624" t="s">
        <v>2970</v>
      </c>
      <c r="H624" t="s">
        <v>2193</v>
      </c>
      <c r="I624" t="s">
        <v>4004</v>
      </c>
    </row>
    <row r="625" spans="1:9">
      <c r="A625" s="93" t="s">
        <v>4156</v>
      </c>
      <c r="B625" t="s">
        <v>1889</v>
      </c>
      <c r="C625" t="s">
        <v>2197</v>
      </c>
      <c r="E625" t="s">
        <v>2193</v>
      </c>
      <c r="G625" t="s">
        <v>2970</v>
      </c>
      <c r="H625" t="s">
        <v>2193</v>
      </c>
      <c r="I625" t="s">
        <v>4004</v>
      </c>
    </row>
    <row r="626" spans="1:9">
      <c r="A626" s="93" t="s">
        <v>4156</v>
      </c>
      <c r="B626" t="s">
        <v>1889</v>
      </c>
      <c r="C626" t="s">
        <v>2198</v>
      </c>
      <c r="E626" t="s">
        <v>2199</v>
      </c>
      <c r="G626" t="s">
        <v>2970</v>
      </c>
      <c r="H626" t="s">
        <v>2193</v>
      </c>
      <c r="I626" t="s">
        <v>4004</v>
      </c>
    </row>
    <row r="627" spans="1:9">
      <c r="A627" s="93" t="s">
        <v>4156</v>
      </c>
      <c r="B627" t="s">
        <v>1889</v>
      </c>
      <c r="C627" t="s">
        <v>2200</v>
      </c>
      <c r="D627" t="s">
        <v>2182</v>
      </c>
      <c r="E627" t="s">
        <v>108</v>
      </c>
      <c r="G627" t="s">
        <v>2970</v>
      </c>
      <c r="H627" t="s">
        <v>108</v>
      </c>
      <c r="I627" t="s">
        <v>4004</v>
      </c>
    </row>
    <row r="628" spans="1:9">
      <c r="A628" s="93" t="s">
        <v>4156</v>
      </c>
      <c r="B628" t="s">
        <v>1889</v>
      </c>
      <c r="C628" t="s">
        <v>2201</v>
      </c>
      <c r="D628" t="s">
        <v>2182</v>
      </c>
      <c r="E628" t="s">
        <v>108</v>
      </c>
      <c r="G628" t="s">
        <v>2970</v>
      </c>
      <c r="H628" t="s">
        <v>108</v>
      </c>
      <c r="I628" t="s">
        <v>4004</v>
      </c>
    </row>
    <row r="629" spans="1:9">
      <c r="A629" s="93" t="s">
        <v>4156</v>
      </c>
      <c r="B629" t="s">
        <v>1889</v>
      </c>
      <c r="C629" t="s">
        <v>2202</v>
      </c>
      <c r="D629" t="s">
        <v>2174</v>
      </c>
      <c r="E629" t="s">
        <v>108</v>
      </c>
      <c r="G629" t="s">
        <v>2970</v>
      </c>
      <c r="H629" t="s">
        <v>108</v>
      </c>
      <c r="I629" t="s">
        <v>4004</v>
      </c>
    </row>
    <row r="630" spans="1:9">
      <c r="A630" s="93" t="s">
        <v>4156</v>
      </c>
      <c r="B630" t="s">
        <v>1889</v>
      </c>
      <c r="C630" t="s">
        <v>2203</v>
      </c>
      <c r="D630" t="s">
        <v>2204</v>
      </c>
      <c r="E630" t="s">
        <v>2193</v>
      </c>
      <c r="G630" t="s">
        <v>2970</v>
      </c>
      <c r="H630" t="s">
        <v>2193</v>
      </c>
      <c r="I630" t="s">
        <v>4004</v>
      </c>
    </row>
    <row r="631" spans="1:9">
      <c r="A631" s="93" t="s">
        <v>4156</v>
      </c>
      <c r="B631" t="s">
        <v>1889</v>
      </c>
      <c r="C631" t="s">
        <v>2205</v>
      </c>
      <c r="D631" t="s">
        <v>2204</v>
      </c>
      <c r="E631" t="s">
        <v>2193</v>
      </c>
      <c r="G631" t="s">
        <v>2970</v>
      </c>
      <c r="H631" t="s">
        <v>2193</v>
      </c>
      <c r="I631" t="s">
        <v>4004</v>
      </c>
    </row>
    <row r="632" spans="1:9">
      <c r="A632" s="93" t="s">
        <v>4156</v>
      </c>
      <c r="B632" t="s">
        <v>1889</v>
      </c>
      <c r="C632" t="s">
        <v>2206</v>
      </c>
      <c r="E632" t="s">
        <v>2135</v>
      </c>
      <c r="G632" t="s">
        <v>2970</v>
      </c>
      <c r="H632" t="s">
        <v>2481</v>
      </c>
      <c r="I632" t="s">
        <v>4004</v>
      </c>
    </row>
    <row r="633" spans="1:9">
      <c r="A633" s="93" t="s">
        <v>4156</v>
      </c>
      <c r="B633" t="s">
        <v>1889</v>
      </c>
      <c r="C633" t="s">
        <v>2207</v>
      </c>
      <c r="D633" t="s">
        <v>2204</v>
      </c>
      <c r="E633" t="s">
        <v>108</v>
      </c>
      <c r="F633" t="s">
        <v>2208</v>
      </c>
      <c r="G633" t="s">
        <v>2970</v>
      </c>
      <c r="H633" t="s">
        <v>108</v>
      </c>
      <c r="I633" t="s">
        <v>4004</v>
      </c>
    </row>
    <row r="634" spans="1:9">
      <c r="A634" s="93" t="s">
        <v>4156</v>
      </c>
      <c r="B634" t="s">
        <v>1891</v>
      </c>
      <c r="C634" t="s">
        <v>2210</v>
      </c>
      <c r="D634" t="s">
        <v>2211</v>
      </c>
      <c r="E634" t="s">
        <v>108</v>
      </c>
      <c r="G634" t="s">
        <v>2970</v>
      </c>
      <c r="H634" t="s">
        <v>108</v>
      </c>
      <c r="I634" t="s">
        <v>4008</v>
      </c>
    </row>
    <row r="635" spans="1:9">
      <c r="A635" s="93" t="s">
        <v>4156</v>
      </c>
      <c r="B635" t="s">
        <v>1891</v>
      </c>
      <c r="C635" t="s">
        <v>2212</v>
      </c>
      <c r="D635" t="s">
        <v>2213</v>
      </c>
      <c r="E635" t="s">
        <v>108</v>
      </c>
      <c r="G635" t="s">
        <v>2970</v>
      </c>
      <c r="H635" t="s">
        <v>108</v>
      </c>
      <c r="I635" t="s">
        <v>4008</v>
      </c>
    </row>
    <row r="636" spans="1:9">
      <c r="A636" s="93" t="s">
        <v>4156</v>
      </c>
      <c r="B636" t="s">
        <v>1891</v>
      </c>
      <c r="C636" t="s">
        <v>2214</v>
      </c>
      <c r="D636" t="s">
        <v>2213</v>
      </c>
      <c r="E636" t="s">
        <v>108</v>
      </c>
      <c r="G636" t="s">
        <v>2970</v>
      </c>
      <c r="H636" t="s">
        <v>108</v>
      </c>
      <c r="I636" t="s">
        <v>4008</v>
      </c>
    </row>
    <row r="637" spans="1:9">
      <c r="A637" s="93" t="s">
        <v>4156</v>
      </c>
      <c r="B637" t="s">
        <v>1893</v>
      </c>
      <c r="C637" t="s">
        <v>2328</v>
      </c>
      <c r="D637" t="s">
        <v>2217</v>
      </c>
      <c r="E637" t="s">
        <v>2309</v>
      </c>
      <c r="F637" t="s">
        <v>2329</v>
      </c>
      <c r="G637" t="s">
        <v>2970</v>
      </c>
      <c r="H637" t="s">
        <v>2311</v>
      </c>
      <c r="I637" t="s">
        <v>4012</v>
      </c>
    </row>
    <row r="638" spans="1:9">
      <c r="A638" s="93" t="s">
        <v>4156</v>
      </c>
      <c r="B638" t="s">
        <v>1893</v>
      </c>
      <c r="C638" t="s">
        <v>2330</v>
      </c>
      <c r="D638" t="s">
        <v>2331</v>
      </c>
      <c r="E638" t="s">
        <v>2309</v>
      </c>
      <c r="F638" t="s">
        <v>2332</v>
      </c>
      <c r="G638" t="s">
        <v>2970</v>
      </c>
      <c r="H638" t="s">
        <v>2311</v>
      </c>
      <c r="I638" t="s">
        <v>4012</v>
      </c>
    </row>
    <row r="639" spans="1:9">
      <c r="A639" s="93" t="s">
        <v>4156</v>
      </c>
      <c r="B639" t="s">
        <v>1893</v>
      </c>
      <c r="C639" t="s">
        <v>2216</v>
      </c>
      <c r="D639" t="s">
        <v>2217</v>
      </c>
      <c r="E639" t="s">
        <v>2193</v>
      </c>
      <c r="F639" t="s">
        <v>2218</v>
      </c>
      <c r="G639" t="s">
        <v>2970</v>
      </c>
      <c r="H639" t="s">
        <v>2193</v>
      </c>
      <c r="I639" t="s">
        <v>4012</v>
      </c>
    </row>
    <row r="640" spans="1:9">
      <c r="A640" s="93" t="s">
        <v>4156</v>
      </c>
      <c r="B640" t="s">
        <v>1893</v>
      </c>
      <c r="C640" t="s">
        <v>2219</v>
      </c>
      <c r="D640" t="s">
        <v>2220</v>
      </c>
      <c r="E640" t="s">
        <v>108</v>
      </c>
      <c r="F640" t="s">
        <v>2221</v>
      </c>
      <c r="G640" t="s">
        <v>2970</v>
      </c>
      <c r="H640" t="s">
        <v>108</v>
      </c>
      <c r="I640" t="s">
        <v>4012</v>
      </c>
    </row>
    <row r="641" spans="1:9">
      <c r="A641" s="93" t="s">
        <v>4156</v>
      </c>
      <c r="B641" t="s">
        <v>1893</v>
      </c>
      <c r="C641" t="s">
        <v>2222</v>
      </c>
      <c r="D641" t="s">
        <v>2223</v>
      </c>
      <c r="E641" t="s">
        <v>108</v>
      </c>
      <c r="F641" t="s">
        <v>2224</v>
      </c>
      <c r="G641" t="s">
        <v>2970</v>
      </c>
      <c r="H641" t="s">
        <v>108</v>
      </c>
      <c r="I641" t="s">
        <v>4012</v>
      </c>
    </row>
    <row r="642" spans="1:9">
      <c r="A642" s="93" t="s">
        <v>4156</v>
      </c>
      <c r="B642" t="s">
        <v>1893</v>
      </c>
      <c r="C642" t="s">
        <v>2225</v>
      </c>
      <c r="D642" t="s">
        <v>2226</v>
      </c>
      <c r="E642" t="s">
        <v>108</v>
      </c>
      <c r="F642" t="s">
        <v>2227</v>
      </c>
      <c r="G642" t="s">
        <v>2970</v>
      </c>
      <c r="H642" t="s">
        <v>108</v>
      </c>
      <c r="I642" t="s">
        <v>4012</v>
      </c>
    </row>
    <row r="643" spans="1:9">
      <c r="A643" s="93" t="s">
        <v>4156</v>
      </c>
      <c r="B643" t="s">
        <v>1893</v>
      </c>
      <c r="C643" t="s">
        <v>2228</v>
      </c>
      <c r="E643" t="s">
        <v>2135</v>
      </c>
      <c r="G643" t="s">
        <v>2970</v>
      </c>
      <c r="H643" t="s">
        <v>2481</v>
      </c>
      <c r="I643" t="s">
        <v>4012</v>
      </c>
    </row>
    <row r="644" spans="1:9">
      <c r="A644" s="93" t="s">
        <v>4156</v>
      </c>
      <c r="B644" t="s">
        <v>1896</v>
      </c>
      <c r="C644" t="s">
        <v>2230</v>
      </c>
      <c r="D644" t="s">
        <v>2220</v>
      </c>
      <c r="E644" t="s">
        <v>108</v>
      </c>
      <c r="F644" t="s">
        <v>2231</v>
      </c>
      <c r="G644" t="s">
        <v>2970</v>
      </c>
      <c r="H644" t="s">
        <v>108</v>
      </c>
      <c r="I644" t="s">
        <v>4016</v>
      </c>
    </row>
    <row r="645" spans="1:9">
      <c r="A645" s="93" t="s">
        <v>4156</v>
      </c>
      <c r="B645" t="s">
        <v>1896</v>
      </c>
      <c r="C645" t="s">
        <v>2232</v>
      </c>
      <c r="D645" t="s">
        <v>2220</v>
      </c>
      <c r="E645" t="s">
        <v>108</v>
      </c>
      <c r="G645" t="s">
        <v>2970</v>
      </c>
      <c r="H645" t="s">
        <v>108</v>
      </c>
      <c r="I645" t="s">
        <v>4016</v>
      </c>
    </row>
    <row r="646" spans="1:9">
      <c r="A646" s="93" t="s">
        <v>4156</v>
      </c>
      <c r="B646" t="s">
        <v>1896</v>
      </c>
      <c r="C646" t="s">
        <v>2233</v>
      </c>
      <c r="D646" t="s">
        <v>2234</v>
      </c>
      <c r="E646" t="s">
        <v>108</v>
      </c>
      <c r="F646" t="s">
        <v>2235</v>
      </c>
      <c r="G646" t="s">
        <v>2970</v>
      </c>
      <c r="H646" t="s">
        <v>108</v>
      </c>
      <c r="I646" t="s">
        <v>4016</v>
      </c>
    </row>
    <row r="647" spans="1:9">
      <c r="A647" s="93" t="s">
        <v>4156</v>
      </c>
      <c r="B647" t="s">
        <v>1896</v>
      </c>
      <c r="C647" t="s">
        <v>2236</v>
      </c>
      <c r="D647" t="s">
        <v>2237</v>
      </c>
      <c r="E647" t="s">
        <v>108</v>
      </c>
      <c r="F647" t="s">
        <v>2231</v>
      </c>
      <c r="G647" t="s">
        <v>2970</v>
      </c>
      <c r="H647" t="s">
        <v>108</v>
      </c>
      <c r="I647" t="s">
        <v>4016</v>
      </c>
    </row>
    <row r="648" spans="1:9">
      <c r="A648" s="93" t="s">
        <v>4156</v>
      </c>
      <c r="B648" t="s">
        <v>1896</v>
      </c>
      <c r="C648" t="s">
        <v>2238</v>
      </c>
      <c r="D648" t="s">
        <v>2237</v>
      </c>
      <c r="E648" t="s">
        <v>108</v>
      </c>
      <c r="F648" t="s">
        <v>2239</v>
      </c>
      <c r="G648" t="s">
        <v>2970</v>
      </c>
      <c r="H648" t="s">
        <v>108</v>
      </c>
      <c r="I648" t="s">
        <v>4016</v>
      </c>
    </row>
    <row r="649" spans="1:9">
      <c r="A649" s="93" t="s">
        <v>4156</v>
      </c>
      <c r="B649" t="s">
        <v>1896</v>
      </c>
      <c r="C649" t="s">
        <v>2240</v>
      </c>
      <c r="D649" t="s">
        <v>2241</v>
      </c>
      <c r="E649" t="s">
        <v>2193</v>
      </c>
      <c r="G649" t="s">
        <v>2970</v>
      </c>
      <c r="H649" t="s">
        <v>2193</v>
      </c>
      <c r="I649" t="s">
        <v>4016</v>
      </c>
    </row>
    <row r="650" spans="1:9">
      <c r="A650" s="93" t="s">
        <v>4156</v>
      </c>
      <c r="B650" t="s">
        <v>1896</v>
      </c>
      <c r="C650" t="s">
        <v>2242</v>
      </c>
      <c r="D650" t="s">
        <v>2220</v>
      </c>
      <c r="E650" t="s">
        <v>2243</v>
      </c>
      <c r="F650" t="s">
        <v>2244</v>
      </c>
      <c r="G650" t="s">
        <v>2970</v>
      </c>
      <c r="H650" t="s">
        <v>2994</v>
      </c>
      <c r="I650" t="s">
        <v>4016</v>
      </c>
    </row>
    <row r="651" spans="1:9">
      <c r="A651" s="93" t="s">
        <v>4156</v>
      </c>
      <c r="B651" t="s">
        <v>1896</v>
      </c>
      <c r="C651" t="s">
        <v>2245</v>
      </c>
      <c r="D651" t="s">
        <v>2241</v>
      </c>
      <c r="E651" t="s">
        <v>2246</v>
      </c>
      <c r="G651" t="s">
        <v>2970</v>
      </c>
      <c r="H651" t="s">
        <v>108</v>
      </c>
      <c r="I651" t="s">
        <v>4016</v>
      </c>
    </row>
    <row r="652" spans="1:9">
      <c r="A652" s="93" t="s">
        <v>4156</v>
      </c>
      <c r="B652" t="s">
        <v>1896</v>
      </c>
      <c r="C652" t="s">
        <v>2335</v>
      </c>
      <c r="E652" t="s">
        <v>2309</v>
      </c>
      <c r="F652" t="s">
        <v>2336</v>
      </c>
      <c r="G652" t="s">
        <v>2970</v>
      </c>
      <c r="H652" t="s">
        <v>2311</v>
      </c>
      <c r="I652" t="s">
        <v>4016</v>
      </c>
    </row>
    <row r="653" spans="1:9">
      <c r="A653" s="93" t="s">
        <v>4156</v>
      </c>
      <c r="B653" t="s">
        <v>1896</v>
      </c>
      <c r="C653" t="s">
        <v>2247</v>
      </c>
      <c r="D653" t="s">
        <v>2248</v>
      </c>
      <c r="E653" t="s">
        <v>108</v>
      </c>
      <c r="F653" t="s">
        <v>2249</v>
      </c>
      <c r="G653" t="s">
        <v>2970</v>
      </c>
      <c r="H653" t="s">
        <v>108</v>
      </c>
      <c r="I653" t="s">
        <v>4016</v>
      </c>
    </row>
    <row r="654" spans="1:9">
      <c r="A654" s="93" t="s">
        <v>4156</v>
      </c>
      <c r="B654" t="s">
        <v>1896</v>
      </c>
      <c r="C654" t="s">
        <v>2337</v>
      </c>
      <c r="D654" t="s">
        <v>2248</v>
      </c>
      <c r="E654" t="s">
        <v>2338</v>
      </c>
      <c r="G654" t="s">
        <v>2970</v>
      </c>
      <c r="H654" t="s">
        <v>2339</v>
      </c>
      <c r="I654" t="s">
        <v>4016</v>
      </c>
    </row>
    <row r="655" spans="1:9">
      <c r="A655" s="93" t="s">
        <v>4156</v>
      </c>
      <c r="B655" t="s">
        <v>1898</v>
      </c>
      <c r="C655" t="s">
        <v>2251</v>
      </c>
      <c r="D655" t="s">
        <v>2252</v>
      </c>
      <c r="E655" t="s">
        <v>108</v>
      </c>
      <c r="G655" t="s">
        <v>2970</v>
      </c>
      <c r="H655" t="s">
        <v>108</v>
      </c>
      <c r="I655" t="s">
        <v>4020</v>
      </c>
    </row>
    <row r="656" spans="1:9">
      <c r="A656" s="93" t="s">
        <v>4156</v>
      </c>
      <c r="B656" t="s">
        <v>1898</v>
      </c>
      <c r="C656" t="s">
        <v>2253</v>
      </c>
      <c r="D656" t="s">
        <v>2252</v>
      </c>
      <c r="E656" t="s">
        <v>2193</v>
      </c>
      <c r="F656" t="s">
        <v>2254</v>
      </c>
      <c r="G656" t="s">
        <v>2970</v>
      </c>
      <c r="H656" t="s">
        <v>2193</v>
      </c>
      <c r="I656" t="s">
        <v>4020</v>
      </c>
    </row>
    <row r="657" spans="1:9">
      <c r="A657" s="93" t="s">
        <v>4156</v>
      </c>
      <c r="B657" t="s">
        <v>1898</v>
      </c>
      <c r="C657" t="s">
        <v>2255</v>
      </c>
      <c r="D657" t="s">
        <v>2256</v>
      </c>
      <c r="E657" t="s">
        <v>2257</v>
      </c>
      <c r="G657" t="s">
        <v>2970</v>
      </c>
      <c r="H657" t="s">
        <v>108</v>
      </c>
      <c r="I657" t="s">
        <v>4020</v>
      </c>
    </row>
    <row r="658" spans="1:9">
      <c r="A658" s="93" t="s">
        <v>4156</v>
      </c>
      <c r="B658" t="s">
        <v>1898</v>
      </c>
      <c r="C658" t="s">
        <v>2258</v>
      </c>
      <c r="D658" t="s">
        <v>2259</v>
      </c>
      <c r="E658" t="s">
        <v>2260</v>
      </c>
      <c r="F658" t="s">
        <v>2261</v>
      </c>
      <c r="G658" t="s">
        <v>2970</v>
      </c>
      <c r="H658" t="s">
        <v>2995</v>
      </c>
      <c r="I658" t="s">
        <v>4020</v>
      </c>
    </row>
    <row r="659" spans="1:9">
      <c r="A659" s="93" t="s">
        <v>4156</v>
      </c>
      <c r="B659" t="s">
        <v>1898</v>
      </c>
      <c r="C659" t="s">
        <v>2262</v>
      </c>
      <c r="D659" t="s">
        <v>2259</v>
      </c>
      <c r="E659" t="s">
        <v>2147</v>
      </c>
      <c r="F659" t="s">
        <v>2263</v>
      </c>
      <c r="G659" t="s">
        <v>2970</v>
      </c>
      <c r="H659" t="s">
        <v>108</v>
      </c>
      <c r="I659" t="s">
        <v>4020</v>
      </c>
    </row>
    <row r="660" spans="1:9">
      <c r="A660" s="93" t="s">
        <v>4156</v>
      </c>
      <c r="B660" t="s">
        <v>1898</v>
      </c>
      <c r="C660" t="s">
        <v>2264</v>
      </c>
      <c r="D660" t="s">
        <v>2252</v>
      </c>
      <c r="E660" t="s">
        <v>2265</v>
      </c>
      <c r="G660" t="s">
        <v>2970</v>
      </c>
      <c r="H660" t="s">
        <v>108</v>
      </c>
      <c r="I660" t="s">
        <v>4020</v>
      </c>
    </row>
    <row r="661" spans="1:9">
      <c r="A661" s="93" t="s">
        <v>4156</v>
      </c>
      <c r="B661" t="s">
        <v>1898</v>
      </c>
      <c r="C661" t="s">
        <v>2266</v>
      </c>
      <c r="D661" t="s">
        <v>2252</v>
      </c>
      <c r="E661" t="s">
        <v>2267</v>
      </c>
      <c r="F661" t="s">
        <v>2268</v>
      </c>
      <c r="G661" t="s">
        <v>2970</v>
      </c>
      <c r="H661" t="s">
        <v>108</v>
      </c>
      <c r="I661" t="s">
        <v>4020</v>
      </c>
    </row>
    <row r="662" spans="1:9">
      <c r="A662" s="93" t="s">
        <v>4156</v>
      </c>
      <c r="B662" t="s">
        <v>1898</v>
      </c>
      <c r="C662" t="s">
        <v>2269</v>
      </c>
      <c r="D662" t="s">
        <v>2252</v>
      </c>
      <c r="E662" t="s">
        <v>2270</v>
      </c>
      <c r="G662" t="s">
        <v>2970</v>
      </c>
      <c r="H662" t="s">
        <v>108</v>
      </c>
      <c r="I662" t="s">
        <v>4020</v>
      </c>
    </row>
    <row r="663" spans="1:9">
      <c r="A663" s="93" t="s">
        <v>4156</v>
      </c>
      <c r="B663" t="s">
        <v>1902</v>
      </c>
      <c r="C663" t="s">
        <v>2342</v>
      </c>
      <c r="E663" t="s">
        <v>2309</v>
      </c>
      <c r="F663" t="s">
        <v>2343</v>
      </c>
      <c r="G663" t="s">
        <v>2970</v>
      </c>
      <c r="H663" t="s">
        <v>2311</v>
      </c>
      <c r="I663" t="s">
        <v>4024</v>
      </c>
    </row>
    <row r="664" spans="1:9">
      <c r="A664" s="93" t="s">
        <v>4156</v>
      </c>
      <c r="B664" t="s">
        <v>1902</v>
      </c>
      <c r="C664" t="s">
        <v>2272</v>
      </c>
      <c r="D664" t="s">
        <v>2273</v>
      </c>
      <c r="E664" t="s">
        <v>2274</v>
      </c>
      <c r="F664" t="s">
        <v>2275</v>
      </c>
      <c r="G664" t="s">
        <v>2970</v>
      </c>
      <c r="H664" t="s">
        <v>108</v>
      </c>
      <c r="I664" t="s">
        <v>4024</v>
      </c>
    </row>
    <row r="665" spans="1:9">
      <c r="A665" s="93" t="s">
        <v>4156</v>
      </c>
      <c r="B665" t="s">
        <v>1902</v>
      </c>
      <c r="C665" t="s">
        <v>2276</v>
      </c>
      <c r="D665" t="s">
        <v>2248</v>
      </c>
      <c r="E665" t="s">
        <v>2277</v>
      </c>
      <c r="F665" t="s">
        <v>2278</v>
      </c>
      <c r="G665" t="s">
        <v>2970</v>
      </c>
      <c r="H665" t="s">
        <v>108</v>
      </c>
      <c r="I665" t="s">
        <v>4024</v>
      </c>
    </row>
    <row r="666" spans="1:9">
      <c r="A666" s="93" t="s">
        <v>4156</v>
      </c>
      <c r="B666" t="s">
        <v>1902</v>
      </c>
      <c r="C666" t="s">
        <v>2279</v>
      </c>
      <c r="D666" t="s">
        <v>2280</v>
      </c>
      <c r="E666" t="s">
        <v>2281</v>
      </c>
      <c r="F666" t="s">
        <v>2282</v>
      </c>
      <c r="G666" t="s">
        <v>2970</v>
      </c>
      <c r="H666" t="s">
        <v>108</v>
      </c>
      <c r="I666" t="s">
        <v>4024</v>
      </c>
    </row>
    <row r="667" spans="1:9">
      <c r="A667" s="93" t="s">
        <v>4156</v>
      </c>
      <c r="B667" t="s">
        <v>1902</v>
      </c>
      <c r="C667" t="s">
        <v>2283</v>
      </c>
      <c r="D667" t="s">
        <v>2273</v>
      </c>
      <c r="E667" t="s">
        <v>108</v>
      </c>
      <c r="F667" t="s">
        <v>2284</v>
      </c>
      <c r="G667" t="s">
        <v>2970</v>
      </c>
      <c r="H667" t="s">
        <v>108</v>
      </c>
      <c r="I667" t="s">
        <v>4024</v>
      </c>
    </row>
    <row r="668" spans="1:9">
      <c r="A668" s="93" t="s">
        <v>4156</v>
      </c>
      <c r="B668" t="s">
        <v>1902</v>
      </c>
      <c r="C668" t="s">
        <v>2344</v>
      </c>
      <c r="D668" t="s">
        <v>2273</v>
      </c>
      <c r="E668" t="s">
        <v>2309</v>
      </c>
      <c r="F668" t="s">
        <v>2345</v>
      </c>
      <c r="G668" t="s">
        <v>2970</v>
      </c>
      <c r="H668" t="s">
        <v>2311</v>
      </c>
      <c r="I668" t="s">
        <v>4024</v>
      </c>
    </row>
    <row r="669" spans="1:9">
      <c r="A669" s="93" t="s">
        <v>4156</v>
      </c>
      <c r="B669" t="s">
        <v>1902</v>
      </c>
      <c r="C669" t="s">
        <v>2285</v>
      </c>
      <c r="E669" t="s">
        <v>2135</v>
      </c>
      <c r="G669" t="s">
        <v>2970</v>
      </c>
      <c r="H669" t="s">
        <v>2481</v>
      </c>
      <c r="I669" t="s">
        <v>4024</v>
      </c>
    </row>
    <row r="670" spans="1:9">
      <c r="A670" s="93" t="s">
        <v>4156</v>
      </c>
      <c r="B670" t="s">
        <v>1902</v>
      </c>
      <c r="C670" t="s">
        <v>2286</v>
      </c>
      <c r="E670" t="s">
        <v>108</v>
      </c>
      <c r="G670" t="s">
        <v>2970</v>
      </c>
      <c r="H670" t="s">
        <v>108</v>
      </c>
      <c r="I670" t="s">
        <v>4024</v>
      </c>
    </row>
    <row r="671" spans="1:9">
      <c r="A671" s="93" t="s">
        <v>4156</v>
      </c>
      <c r="B671" t="s">
        <v>1902</v>
      </c>
      <c r="C671" t="s">
        <v>2287</v>
      </c>
      <c r="D671" t="s">
        <v>2273</v>
      </c>
      <c r="E671" t="s">
        <v>2288</v>
      </c>
      <c r="F671" t="s">
        <v>2289</v>
      </c>
      <c r="G671" t="s">
        <v>2970</v>
      </c>
      <c r="H671" t="s">
        <v>2288</v>
      </c>
      <c r="I671" t="s">
        <v>4024</v>
      </c>
    </row>
    <row r="672" spans="1:9">
      <c r="A672" s="93" t="s">
        <v>4156</v>
      </c>
      <c r="B672" t="s">
        <v>3926</v>
      </c>
      <c r="C672" t="s">
        <v>2291</v>
      </c>
      <c r="E672" t="s">
        <v>2135</v>
      </c>
      <c r="F672" t="s">
        <v>2292</v>
      </c>
      <c r="G672" t="s">
        <v>2970</v>
      </c>
      <c r="H672" t="s">
        <v>2481</v>
      </c>
    </row>
    <row r="673" spans="1:9">
      <c r="A673" s="93" t="s">
        <v>4156</v>
      </c>
      <c r="B673" t="s">
        <v>3926</v>
      </c>
      <c r="C673" t="s">
        <v>2293</v>
      </c>
      <c r="D673" t="s">
        <v>2294</v>
      </c>
      <c r="E673" t="s">
        <v>2295</v>
      </c>
      <c r="F673" t="s">
        <v>2296</v>
      </c>
      <c r="G673" t="s">
        <v>2970</v>
      </c>
      <c r="H673" t="s">
        <v>108</v>
      </c>
    </row>
    <row r="674" spans="1:9">
      <c r="A674" s="93" t="s">
        <v>4156</v>
      </c>
      <c r="B674" t="s">
        <v>3926</v>
      </c>
      <c r="C674" t="s">
        <v>2297</v>
      </c>
      <c r="D674" t="s">
        <v>2298</v>
      </c>
      <c r="E674" t="s">
        <v>108</v>
      </c>
      <c r="F674" t="s">
        <v>2299</v>
      </c>
      <c r="G674" t="s">
        <v>2970</v>
      </c>
      <c r="H674" t="s">
        <v>108</v>
      </c>
    </row>
    <row r="675" spans="1:9">
      <c r="A675" s="93" t="s">
        <v>4156</v>
      </c>
      <c r="B675" t="s">
        <v>3926</v>
      </c>
      <c r="C675" t="s">
        <v>2300</v>
      </c>
      <c r="D675" t="s">
        <v>2294</v>
      </c>
      <c r="E675" t="s">
        <v>108</v>
      </c>
      <c r="F675" t="s">
        <v>2299</v>
      </c>
      <c r="G675" t="s">
        <v>2970</v>
      </c>
      <c r="H675" t="s">
        <v>108</v>
      </c>
    </row>
    <row r="676" spans="1:9">
      <c r="A676" s="93" t="s">
        <v>4156</v>
      </c>
      <c r="B676" t="s">
        <v>3926</v>
      </c>
      <c r="C676" t="s">
        <v>2301</v>
      </c>
      <c r="D676" t="s">
        <v>2302</v>
      </c>
      <c r="E676" t="s">
        <v>2193</v>
      </c>
      <c r="F676" t="s">
        <v>2303</v>
      </c>
      <c r="G676" t="s">
        <v>2970</v>
      </c>
      <c r="H676" t="s">
        <v>2193</v>
      </c>
    </row>
    <row r="677" spans="1:9">
      <c r="A677" s="93" t="s">
        <v>4156</v>
      </c>
      <c r="B677" t="s">
        <v>3926</v>
      </c>
      <c r="C677" t="s">
        <v>2304</v>
      </c>
      <c r="D677" t="s">
        <v>2305</v>
      </c>
      <c r="E677" t="s">
        <v>2257</v>
      </c>
      <c r="F677" t="s">
        <v>2306</v>
      </c>
      <c r="G677" t="s">
        <v>2970</v>
      </c>
      <c r="H677" t="s">
        <v>108</v>
      </c>
    </row>
    <row r="678" spans="1:9">
      <c r="A678" s="93" t="s">
        <v>4158</v>
      </c>
      <c r="B678" t="s">
        <v>1874</v>
      </c>
      <c r="C678" t="s">
        <v>2352</v>
      </c>
      <c r="E678" t="s">
        <v>1201</v>
      </c>
      <c r="G678" t="s">
        <v>2970</v>
      </c>
      <c r="H678" t="s">
        <v>1201</v>
      </c>
      <c r="I678" t="s">
        <v>3984</v>
      </c>
    </row>
    <row r="679" spans="1:9">
      <c r="A679" s="93" t="s">
        <v>4158</v>
      </c>
      <c r="B679" t="s">
        <v>1874</v>
      </c>
      <c r="C679" t="s">
        <v>2118</v>
      </c>
      <c r="E679" t="s">
        <v>2119</v>
      </c>
      <c r="G679" t="s">
        <v>2970</v>
      </c>
      <c r="H679" t="s">
        <v>1201</v>
      </c>
      <c r="I679" t="s">
        <v>3984</v>
      </c>
    </row>
    <row r="680" spans="1:9">
      <c r="A680" s="93" t="s">
        <v>4158</v>
      </c>
      <c r="B680" t="s">
        <v>3697</v>
      </c>
      <c r="C680" t="s">
        <v>2144</v>
      </c>
      <c r="D680" t="s">
        <v>2143</v>
      </c>
      <c r="E680" t="s">
        <v>2145</v>
      </c>
      <c r="G680" t="s">
        <v>2970</v>
      </c>
      <c r="H680" t="s">
        <v>2990</v>
      </c>
      <c r="I680" t="s">
        <v>3992</v>
      </c>
    </row>
    <row r="681" spans="1:9">
      <c r="A681" s="93" t="s">
        <v>4158</v>
      </c>
      <c r="B681" t="s">
        <v>1881</v>
      </c>
      <c r="C681" t="s">
        <v>2465</v>
      </c>
      <c r="D681" t="s">
        <v>2248</v>
      </c>
      <c r="E681" t="s">
        <v>2466</v>
      </c>
      <c r="G681" t="s">
        <v>2970</v>
      </c>
      <c r="H681" t="s">
        <v>2463</v>
      </c>
      <c r="I681" t="s">
        <v>3996</v>
      </c>
    </row>
    <row r="682" spans="1:9">
      <c r="A682" s="93" t="s">
        <v>4158</v>
      </c>
      <c r="B682" t="s">
        <v>1881</v>
      </c>
      <c r="C682" t="s">
        <v>2158</v>
      </c>
      <c r="D682" t="s">
        <v>2155</v>
      </c>
      <c r="E682" t="s">
        <v>2159</v>
      </c>
      <c r="F682" t="s">
        <v>2160</v>
      </c>
      <c r="G682" t="s">
        <v>2970</v>
      </c>
      <c r="H682" t="s">
        <v>2463</v>
      </c>
      <c r="I682" t="s">
        <v>3996</v>
      </c>
    </row>
    <row r="683" spans="1:9">
      <c r="A683" s="93" t="s">
        <v>4158</v>
      </c>
      <c r="B683" t="s">
        <v>1896</v>
      </c>
      <c r="C683" t="s">
        <v>2242</v>
      </c>
      <c r="D683" t="s">
        <v>2220</v>
      </c>
      <c r="E683" t="s">
        <v>2243</v>
      </c>
      <c r="F683" t="s">
        <v>2244</v>
      </c>
      <c r="G683" t="s">
        <v>2970</v>
      </c>
      <c r="H683" t="s">
        <v>2997</v>
      </c>
      <c r="I683" t="s">
        <v>4016</v>
      </c>
    </row>
    <row r="684" spans="1:9">
      <c r="A684" s="93" t="s">
        <v>4158</v>
      </c>
      <c r="B684" t="s">
        <v>1898</v>
      </c>
      <c r="C684" t="s">
        <v>2255</v>
      </c>
      <c r="D684" t="s">
        <v>2256</v>
      </c>
      <c r="E684" t="s">
        <v>2257</v>
      </c>
      <c r="G684" t="s">
        <v>2970</v>
      </c>
      <c r="H684" t="s">
        <v>2463</v>
      </c>
      <c r="I684" t="s">
        <v>4020</v>
      </c>
    </row>
    <row r="685" spans="1:9">
      <c r="A685" s="93" t="s">
        <v>4158</v>
      </c>
      <c r="B685" t="s">
        <v>1898</v>
      </c>
      <c r="C685" t="s">
        <v>2258</v>
      </c>
      <c r="D685" t="s">
        <v>2259</v>
      </c>
      <c r="E685" t="s">
        <v>2260</v>
      </c>
      <c r="F685" t="s">
        <v>2261</v>
      </c>
      <c r="G685" t="s">
        <v>2970</v>
      </c>
      <c r="H685" t="s">
        <v>2992</v>
      </c>
      <c r="I685" t="s">
        <v>4020</v>
      </c>
    </row>
    <row r="686" spans="1:9">
      <c r="A686" s="93" t="s">
        <v>4158</v>
      </c>
      <c r="B686" t="s">
        <v>3926</v>
      </c>
      <c r="C686" t="s">
        <v>2304</v>
      </c>
      <c r="D686" t="s">
        <v>2305</v>
      </c>
      <c r="E686" t="s">
        <v>2257</v>
      </c>
      <c r="F686" t="s">
        <v>2306</v>
      </c>
      <c r="G686" t="s">
        <v>2970</v>
      </c>
      <c r="H686" t="s">
        <v>2463</v>
      </c>
    </row>
    <row r="687" spans="1:9">
      <c r="A687" s="93" t="s">
        <v>4158</v>
      </c>
      <c r="B687" t="s">
        <v>3926</v>
      </c>
      <c r="C687" t="s">
        <v>2477</v>
      </c>
      <c r="D687" t="s">
        <v>2213</v>
      </c>
      <c r="E687" t="s">
        <v>2463</v>
      </c>
      <c r="F687" t="s">
        <v>2292</v>
      </c>
      <c r="G687" t="s">
        <v>2970</v>
      </c>
      <c r="H687" t="s">
        <v>2463</v>
      </c>
    </row>
    <row r="688" spans="1:9">
      <c r="A688" s="93" t="s">
        <v>4160</v>
      </c>
      <c r="B688" t="s">
        <v>1874</v>
      </c>
      <c r="C688" t="s">
        <v>2308</v>
      </c>
      <c r="D688" t="s">
        <v>2122</v>
      </c>
      <c r="E688" t="s">
        <v>2309</v>
      </c>
      <c r="F688" t="s">
        <v>2312</v>
      </c>
      <c r="G688" t="s">
        <v>2970</v>
      </c>
      <c r="H688" t="s">
        <v>2311</v>
      </c>
      <c r="I688" t="s">
        <v>3984</v>
      </c>
    </row>
    <row r="689" spans="1:9">
      <c r="A689" s="93" t="s">
        <v>4160</v>
      </c>
      <c r="B689" t="s">
        <v>1874</v>
      </c>
      <c r="C689" t="s">
        <v>2352</v>
      </c>
      <c r="E689" t="s">
        <v>1201</v>
      </c>
      <c r="G689" t="s">
        <v>2970</v>
      </c>
      <c r="H689" t="s">
        <v>1201</v>
      </c>
      <c r="I689" t="s">
        <v>3984</v>
      </c>
    </row>
    <row r="690" spans="1:9">
      <c r="A690" s="93" t="s">
        <v>4160</v>
      </c>
      <c r="B690" t="s">
        <v>1874</v>
      </c>
      <c r="C690" t="s">
        <v>2118</v>
      </c>
      <c r="E690" t="s">
        <v>2119</v>
      </c>
      <c r="G690" t="s">
        <v>2970</v>
      </c>
      <c r="H690" t="s">
        <v>1201</v>
      </c>
      <c r="I690" t="s">
        <v>3984</v>
      </c>
    </row>
    <row r="691" spans="1:9">
      <c r="A691" s="93" t="s">
        <v>4160</v>
      </c>
      <c r="B691" t="s">
        <v>1874</v>
      </c>
      <c r="C691" t="s">
        <v>2313</v>
      </c>
      <c r="D691" t="s">
        <v>2314</v>
      </c>
      <c r="E691" t="s">
        <v>2309</v>
      </c>
      <c r="G691" t="s">
        <v>2970</v>
      </c>
      <c r="H691" t="s">
        <v>2311</v>
      </c>
      <c r="I691" t="s">
        <v>3984</v>
      </c>
    </row>
    <row r="692" spans="1:9">
      <c r="A692" s="93" t="s">
        <v>4160</v>
      </c>
      <c r="B692" t="s">
        <v>1874</v>
      </c>
      <c r="C692" t="s">
        <v>2315</v>
      </c>
      <c r="D692" t="s">
        <v>2314</v>
      </c>
      <c r="E692" t="s">
        <v>2309</v>
      </c>
      <c r="G692" t="s">
        <v>2970</v>
      </c>
      <c r="H692" t="s">
        <v>2311</v>
      </c>
      <c r="I692" t="s">
        <v>3984</v>
      </c>
    </row>
    <row r="693" spans="1:9">
      <c r="A693" s="93" t="s">
        <v>4160</v>
      </c>
      <c r="B693" t="s">
        <v>1874</v>
      </c>
      <c r="C693" t="s">
        <v>2316</v>
      </c>
      <c r="D693" t="s">
        <v>2124</v>
      </c>
      <c r="E693" t="s">
        <v>2309</v>
      </c>
      <c r="G693" t="s">
        <v>2970</v>
      </c>
      <c r="H693" t="s">
        <v>2311</v>
      </c>
      <c r="I693" t="s">
        <v>3984</v>
      </c>
    </row>
    <row r="694" spans="1:9">
      <c r="A694" s="93" t="s">
        <v>4160</v>
      </c>
      <c r="B694" t="s">
        <v>1875</v>
      </c>
      <c r="C694" t="s">
        <v>2134</v>
      </c>
      <c r="E694" t="s">
        <v>2135</v>
      </c>
      <c r="F694" t="s">
        <v>2137</v>
      </c>
      <c r="G694" t="s">
        <v>2970</v>
      </c>
      <c r="H694" t="s">
        <v>2318</v>
      </c>
      <c r="I694" t="s">
        <v>3988</v>
      </c>
    </row>
    <row r="695" spans="1:9">
      <c r="A695" s="93" t="s">
        <v>4160</v>
      </c>
      <c r="B695" t="s">
        <v>1882</v>
      </c>
      <c r="C695" t="s">
        <v>2169</v>
      </c>
      <c r="D695" t="s">
        <v>2129</v>
      </c>
      <c r="E695" t="s">
        <v>2170</v>
      </c>
      <c r="G695" t="s">
        <v>2970</v>
      </c>
      <c r="H695" t="s">
        <v>2318</v>
      </c>
      <c r="I695" t="s">
        <v>4000</v>
      </c>
    </row>
    <row r="696" spans="1:9">
      <c r="A696" s="93" t="s">
        <v>4160</v>
      </c>
      <c r="B696" t="s">
        <v>1882</v>
      </c>
      <c r="C696" t="s">
        <v>2171</v>
      </c>
      <c r="D696" t="s">
        <v>2129</v>
      </c>
      <c r="E696" t="s">
        <v>2135</v>
      </c>
      <c r="G696" t="s">
        <v>2970</v>
      </c>
      <c r="H696" t="s">
        <v>2318</v>
      </c>
      <c r="I696" t="s">
        <v>4000</v>
      </c>
    </row>
    <row r="697" spans="1:9">
      <c r="A697" s="93" t="s">
        <v>4160</v>
      </c>
      <c r="B697" t="s">
        <v>1882</v>
      </c>
      <c r="C697" t="s">
        <v>2172</v>
      </c>
      <c r="D697" t="s">
        <v>2129</v>
      </c>
      <c r="E697" t="s">
        <v>2135</v>
      </c>
      <c r="G697" t="s">
        <v>2970</v>
      </c>
      <c r="H697" t="s">
        <v>2318</v>
      </c>
      <c r="I697" t="s">
        <v>4000</v>
      </c>
    </row>
    <row r="698" spans="1:9">
      <c r="A698" s="93" t="s">
        <v>4160</v>
      </c>
      <c r="B698" t="s">
        <v>1882</v>
      </c>
      <c r="C698" t="s">
        <v>2173</v>
      </c>
      <c r="D698" t="s">
        <v>2174</v>
      </c>
      <c r="E698" t="s">
        <v>2135</v>
      </c>
      <c r="G698" t="s">
        <v>2970</v>
      </c>
      <c r="H698" t="s">
        <v>2318</v>
      </c>
      <c r="I698" t="s">
        <v>4000</v>
      </c>
    </row>
    <row r="699" spans="1:9">
      <c r="A699" s="93" t="s">
        <v>4160</v>
      </c>
      <c r="B699" t="s">
        <v>1882</v>
      </c>
      <c r="C699" t="s">
        <v>2175</v>
      </c>
      <c r="E699" t="s">
        <v>2135</v>
      </c>
      <c r="G699" t="s">
        <v>2970</v>
      </c>
      <c r="H699" t="s">
        <v>2318</v>
      </c>
      <c r="I699" t="s">
        <v>4000</v>
      </c>
    </row>
    <row r="700" spans="1:9">
      <c r="A700" s="93" t="s">
        <v>4160</v>
      </c>
      <c r="B700" t="s">
        <v>1882</v>
      </c>
      <c r="C700" t="s">
        <v>2176</v>
      </c>
      <c r="E700" t="s">
        <v>2135</v>
      </c>
      <c r="G700" t="s">
        <v>2970</v>
      </c>
      <c r="H700" t="s">
        <v>2318</v>
      </c>
      <c r="I700" t="s">
        <v>4000</v>
      </c>
    </row>
    <row r="701" spans="1:9">
      <c r="A701" s="93" t="s">
        <v>4160</v>
      </c>
      <c r="B701" t="s">
        <v>1882</v>
      </c>
      <c r="C701" t="s">
        <v>2177</v>
      </c>
      <c r="E701" t="s">
        <v>2135</v>
      </c>
      <c r="G701" t="s">
        <v>2970</v>
      </c>
      <c r="H701" t="s">
        <v>2318</v>
      </c>
      <c r="I701" t="s">
        <v>4000</v>
      </c>
    </row>
    <row r="702" spans="1:9">
      <c r="A702" s="93" t="s">
        <v>4160</v>
      </c>
      <c r="B702" t="s">
        <v>1884</v>
      </c>
      <c r="C702" t="s">
        <v>2190</v>
      </c>
      <c r="E702" t="s">
        <v>2135</v>
      </c>
      <c r="G702" t="s">
        <v>2970</v>
      </c>
      <c r="H702" t="s">
        <v>2318</v>
      </c>
      <c r="I702" t="s">
        <v>4002</v>
      </c>
    </row>
    <row r="703" spans="1:9">
      <c r="A703" s="93" t="s">
        <v>4160</v>
      </c>
      <c r="B703" t="s">
        <v>1884</v>
      </c>
      <c r="C703" t="s">
        <v>2191</v>
      </c>
      <c r="E703" t="s">
        <v>2135</v>
      </c>
      <c r="G703" t="s">
        <v>2970</v>
      </c>
      <c r="H703" t="s">
        <v>2318</v>
      </c>
      <c r="I703" t="s">
        <v>4002</v>
      </c>
    </row>
    <row r="704" spans="1:9">
      <c r="A704" s="93" t="s">
        <v>4160</v>
      </c>
      <c r="B704" t="s">
        <v>1889</v>
      </c>
      <c r="C704" t="s">
        <v>2206</v>
      </c>
      <c r="E704" t="s">
        <v>2135</v>
      </c>
      <c r="G704" t="s">
        <v>2970</v>
      </c>
      <c r="H704" t="s">
        <v>2318</v>
      </c>
      <c r="I704" t="s">
        <v>4004</v>
      </c>
    </row>
    <row r="705" spans="1:9">
      <c r="A705" s="93" t="s">
        <v>4160</v>
      </c>
      <c r="B705" t="s">
        <v>1893</v>
      </c>
      <c r="C705" t="s">
        <v>2328</v>
      </c>
      <c r="D705" t="s">
        <v>2217</v>
      </c>
      <c r="E705" t="s">
        <v>2309</v>
      </c>
      <c r="F705" t="s">
        <v>2329</v>
      </c>
      <c r="G705" t="s">
        <v>2970</v>
      </c>
      <c r="H705" t="s">
        <v>2311</v>
      </c>
      <c r="I705" t="s">
        <v>4012</v>
      </c>
    </row>
    <row r="706" spans="1:9">
      <c r="A706" s="93" t="s">
        <v>4160</v>
      </c>
      <c r="B706" t="s">
        <v>1893</v>
      </c>
      <c r="C706" t="s">
        <v>2330</v>
      </c>
      <c r="D706" t="s">
        <v>2331</v>
      </c>
      <c r="E706" t="s">
        <v>2309</v>
      </c>
      <c r="F706" t="s">
        <v>2332</v>
      </c>
      <c r="G706" t="s">
        <v>2970</v>
      </c>
      <c r="H706" t="s">
        <v>2311</v>
      </c>
      <c r="I706" t="s">
        <v>4012</v>
      </c>
    </row>
    <row r="707" spans="1:9">
      <c r="A707" s="93" t="s">
        <v>4160</v>
      </c>
      <c r="B707" t="s">
        <v>1893</v>
      </c>
      <c r="C707" t="s">
        <v>2228</v>
      </c>
      <c r="E707" t="s">
        <v>2135</v>
      </c>
      <c r="G707" t="s">
        <v>2970</v>
      </c>
      <c r="H707" t="s">
        <v>2318</v>
      </c>
      <c r="I707" t="s">
        <v>4012</v>
      </c>
    </row>
    <row r="708" spans="1:9">
      <c r="A708" s="93" t="s">
        <v>4160</v>
      </c>
      <c r="B708" t="s">
        <v>1896</v>
      </c>
      <c r="C708" t="s">
        <v>2242</v>
      </c>
      <c r="D708" t="s">
        <v>2220</v>
      </c>
      <c r="E708" t="s">
        <v>2243</v>
      </c>
      <c r="F708" t="s">
        <v>2244</v>
      </c>
      <c r="G708" t="s">
        <v>2970</v>
      </c>
      <c r="H708" t="s">
        <v>2999</v>
      </c>
      <c r="I708" t="s">
        <v>4016</v>
      </c>
    </row>
    <row r="709" spans="1:9">
      <c r="A709" s="93" t="s">
        <v>4160</v>
      </c>
      <c r="B709" t="s">
        <v>1896</v>
      </c>
      <c r="C709" t="s">
        <v>2335</v>
      </c>
      <c r="E709" t="s">
        <v>2309</v>
      </c>
      <c r="F709" t="s">
        <v>2336</v>
      </c>
      <c r="G709" t="s">
        <v>2970</v>
      </c>
      <c r="H709" t="s">
        <v>2311</v>
      </c>
      <c r="I709" t="s">
        <v>4016</v>
      </c>
    </row>
    <row r="710" spans="1:9">
      <c r="A710" s="93" t="s">
        <v>4160</v>
      </c>
      <c r="B710" t="s">
        <v>1896</v>
      </c>
      <c r="C710" t="s">
        <v>2337</v>
      </c>
      <c r="D710" t="s">
        <v>2248</v>
      </c>
      <c r="E710" t="s">
        <v>2338</v>
      </c>
      <c r="G710" t="s">
        <v>2970</v>
      </c>
      <c r="H710" t="s">
        <v>2339</v>
      </c>
      <c r="I710" t="s">
        <v>4016</v>
      </c>
    </row>
    <row r="711" spans="1:9">
      <c r="A711" s="93" t="s">
        <v>4160</v>
      </c>
      <c r="B711" t="s">
        <v>1898</v>
      </c>
      <c r="C711" t="s">
        <v>2258</v>
      </c>
      <c r="D711" t="s">
        <v>2259</v>
      </c>
      <c r="E711" t="s">
        <v>2260</v>
      </c>
      <c r="F711" t="s">
        <v>2261</v>
      </c>
      <c r="G711" t="s">
        <v>2970</v>
      </c>
      <c r="H711" t="s">
        <v>3000</v>
      </c>
      <c r="I711" t="s">
        <v>4020</v>
      </c>
    </row>
    <row r="712" spans="1:9">
      <c r="A712" s="93" t="s">
        <v>4160</v>
      </c>
      <c r="B712" t="s">
        <v>1898</v>
      </c>
      <c r="C712" t="s">
        <v>3001</v>
      </c>
      <c r="E712" t="s">
        <v>3002</v>
      </c>
      <c r="G712" t="s">
        <v>2970</v>
      </c>
      <c r="H712" t="s">
        <v>3003</v>
      </c>
      <c r="I712" t="s">
        <v>4020</v>
      </c>
    </row>
    <row r="713" spans="1:9">
      <c r="A713" s="93" t="s">
        <v>4160</v>
      </c>
      <c r="B713" t="s">
        <v>1902</v>
      </c>
      <c r="C713" t="s">
        <v>2342</v>
      </c>
      <c r="E713" t="s">
        <v>2309</v>
      </c>
      <c r="F713" t="s">
        <v>2343</v>
      </c>
      <c r="G713" t="s">
        <v>2970</v>
      </c>
      <c r="H713" t="s">
        <v>2311</v>
      </c>
      <c r="I713" t="s">
        <v>4024</v>
      </c>
    </row>
    <row r="714" spans="1:9">
      <c r="A714" s="93" t="s">
        <v>4160</v>
      </c>
      <c r="B714" t="s">
        <v>1902</v>
      </c>
      <c r="C714" t="s">
        <v>2344</v>
      </c>
      <c r="D714" t="s">
        <v>2273</v>
      </c>
      <c r="E714" t="s">
        <v>2309</v>
      </c>
      <c r="F714" t="s">
        <v>2345</v>
      </c>
      <c r="G714" t="s">
        <v>2970</v>
      </c>
      <c r="H714" t="s">
        <v>2311</v>
      </c>
      <c r="I714" t="s">
        <v>4024</v>
      </c>
    </row>
    <row r="715" spans="1:9">
      <c r="A715" s="93" t="s">
        <v>4160</v>
      </c>
      <c r="B715" t="s">
        <v>1902</v>
      </c>
      <c r="C715" t="s">
        <v>2285</v>
      </c>
      <c r="E715" t="s">
        <v>2135</v>
      </c>
      <c r="G715" t="s">
        <v>2970</v>
      </c>
      <c r="H715" t="s">
        <v>2318</v>
      </c>
      <c r="I715" t="s">
        <v>4024</v>
      </c>
    </row>
    <row r="716" spans="1:9">
      <c r="A716" s="93" t="s">
        <v>4160</v>
      </c>
      <c r="B716" t="s">
        <v>3926</v>
      </c>
      <c r="C716" t="s">
        <v>2291</v>
      </c>
      <c r="E716" t="s">
        <v>2135</v>
      </c>
      <c r="F716" t="s">
        <v>2292</v>
      </c>
      <c r="G716" t="s">
        <v>2970</v>
      </c>
      <c r="H716" t="s">
        <v>2318</v>
      </c>
    </row>
    <row r="717" spans="1:9">
      <c r="A717" s="93" t="s">
        <v>4162</v>
      </c>
      <c r="B717" t="s">
        <v>1874</v>
      </c>
      <c r="C717" t="s">
        <v>2114</v>
      </c>
      <c r="D717" t="s">
        <v>2115</v>
      </c>
      <c r="E717" t="s">
        <v>1559</v>
      </c>
      <c r="F717" t="s">
        <v>2117</v>
      </c>
      <c r="G717" t="s">
        <v>2970</v>
      </c>
      <c r="H717" t="s">
        <v>108</v>
      </c>
      <c r="I717" t="s">
        <v>3984</v>
      </c>
    </row>
    <row r="718" spans="1:9">
      <c r="A718" s="93" t="s">
        <v>4162</v>
      </c>
      <c r="B718" t="s">
        <v>1874</v>
      </c>
      <c r="C718" t="s">
        <v>2352</v>
      </c>
      <c r="E718" t="s">
        <v>1201</v>
      </c>
      <c r="G718" t="s">
        <v>2970</v>
      </c>
      <c r="H718" t="s">
        <v>1201</v>
      </c>
      <c r="I718" t="s">
        <v>3984</v>
      </c>
    </row>
    <row r="719" spans="1:9">
      <c r="A719" s="93" t="s">
        <v>4162</v>
      </c>
      <c r="B719" t="s">
        <v>1874</v>
      </c>
      <c r="C719" t="s">
        <v>2118</v>
      </c>
      <c r="E719" t="s">
        <v>2119</v>
      </c>
      <c r="G719" t="s">
        <v>2970</v>
      </c>
      <c r="H719" t="s">
        <v>2119</v>
      </c>
      <c r="I719" t="s">
        <v>3984</v>
      </c>
    </row>
    <row r="720" spans="1:9">
      <c r="A720" s="93" t="s">
        <v>4162</v>
      </c>
      <c r="B720" t="s">
        <v>1874</v>
      </c>
      <c r="C720" t="s">
        <v>2121</v>
      </c>
      <c r="D720" t="s">
        <v>2122</v>
      </c>
      <c r="E720" t="s">
        <v>108</v>
      </c>
      <c r="G720" t="s">
        <v>2970</v>
      </c>
      <c r="H720" t="s">
        <v>108</v>
      </c>
      <c r="I720" t="s">
        <v>3984</v>
      </c>
    </row>
    <row r="721" spans="1:9">
      <c r="A721" s="93" t="s">
        <v>4162</v>
      </c>
      <c r="B721" t="s">
        <v>1874</v>
      </c>
      <c r="C721" t="s">
        <v>2123</v>
      </c>
      <c r="D721" t="s">
        <v>2124</v>
      </c>
      <c r="E721" t="s">
        <v>108</v>
      </c>
      <c r="F721" t="s">
        <v>2125</v>
      </c>
      <c r="G721" t="s">
        <v>2970</v>
      </c>
      <c r="H721" t="s">
        <v>108</v>
      </c>
      <c r="I721" t="s">
        <v>3984</v>
      </c>
    </row>
    <row r="722" spans="1:9">
      <c r="A722" s="93" t="s">
        <v>4162</v>
      </c>
      <c r="B722" t="s">
        <v>1874</v>
      </c>
      <c r="C722" t="s">
        <v>2126</v>
      </c>
      <c r="E722" t="s">
        <v>108</v>
      </c>
      <c r="G722" t="s">
        <v>2970</v>
      </c>
      <c r="H722" t="s">
        <v>108</v>
      </c>
      <c r="I722" t="s">
        <v>3984</v>
      </c>
    </row>
    <row r="723" spans="1:9">
      <c r="A723" s="93" t="s">
        <v>4162</v>
      </c>
      <c r="B723" t="s">
        <v>1875</v>
      </c>
      <c r="C723" t="s">
        <v>2128</v>
      </c>
      <c r="D723" t="s">
        <v>2129</v>
      </c>
      <c r="E723" t="s">
        <v>108</v>
      </c>
      <c r="G723" t="s">
        <v>2970</v>
      </c>
      <c r="H723" t="s">
        <v>108</v>
      </c>
      <c r="I723" t="s">
        <v>3988</v>
      </c>
    </row>
    <row r="724" spans="1:9">
      <c r="A724" s="93" t="s">
        <v>4162</v>
      </c>
      <c r="B724" t="s">
        <v>1875</v>
      </c>
      <c r="C724" t="s">
        <v>2130</v>
      </c>
      <c r="D724" t="s">
        <v>2131</v>
      </c>
      <c r="E724" t="s">
        <v>108</v>
      </c>
      <c r="F724" t="s">
        <v>2132</v>
      </c>
      <c r="G724" t="s">
        <v>2970</v>
      </c>
      <c r="H724" t="s">
        <v>108</v>
      </c>
      <c r="I724" t="s">
        <v>3988</v>
      </c>
    </row>
    <row r="725" spans="1:9">
      <c r="A725" s="93" t="s">
        <v>4162</v>
      </c>
      <c r="B725" t="s">
        <v>1875</v>
      </c>
      <c r="C725" t="s">
        <v>2133</v>
      </c>
      <c r="D725" t="s">
        <v>2131</v>
      </c>
      <c r="E725" t="s">
        <v>108</v>
      </c>
      <c r="G725" t="s">
        <v>2970</v>
      </c>
      <c r="H725" t="s">
        <v>108</v>
      </c>
      <c r="I725" t="s">
        <v>3988</v>
      </c>
    </row>
    <row r="726" spans="1:9">
      <c r="A726" s="93" t="s">
        <v>4162</v>
      </c>
      <c r="B726" t="s">
        <v>1875</v>
      </c>
      <c r="C726" t="s">
        <v>2134</v>
      </c>
      <c r="E726" t="s">
        <v>2135</v>
      </c>
      <c r="F726" t="s">
        <v>2137</v>
      </c>
      <c r="G726" t="s">
        <v>2970</v>
      </c>
      <c r="H726" t="s">
        <v>2136</v>
      </c>
      <c r="I726" t="s">
        <v>3988</v>
      </c>
    </row>
    <row r="727" spans="1:9">
      <c r="A727" s="93" t="s">
        <v>4162</v>
      </c>
      <c r="B727" t="s">
        <v>1875</v>
      </c>
      <c r="C727" t="s">
        <v>2138</v>
      </c>
      <c r="D727" t="s">
        <v>2139</v>
      </c>
      <c r="E727" t="s">
        <v>108</v>
      </c>
      <c r="F727" t="s">
        <v>2140</v>
      </c>
      <c r="G727" t="s">
        <v>2970</v>
      </c>
      <c r="H727" t="s">
        <v>108</v>
      </c>
      <c r="I727" t="s">
        <v>3988</v>
      </c>
    </row>
    <row r="728" spans="1:9">
      <c r="A728" s="93" t="s">
        <v>4162</v>
      </c>
      <c r="B728" t="s">
        <v>3697</v>
      </c>
      <c r="C728" t="s">
        <v>2142</v>
      </c>
      <c r="D728" t="s">
        <v>2143</v>
      </c>
      <c r="E728" t="s">
        <v>108</v>
      </c>
      <c r="G728" t="s">
        <v>2970</v>
      </c>
      <c r="H728" t="s">
        <v>108</v>
      </c>
      <c r="I728" t="s">
        <v>3992</v>
      </c>
    </row>
    <row r="729" spans="1:9">
      <c r="A729" s="93" t="s">
        <v>4162</v>
      </c>
      <c r="B729" t="s">
        <v>3697</v>
      </c>
      <c r="C729" t="s">
        <v>2144</v>
      </c>
      <c r="D729" t="s">
        <v>2143</v>
      </c>
      <c r="E729" t="s">
        <v>2145</v>
      </c>
      <c r="G729" t="s">
        <v>2970</v>
      </c>
      <c r="H729" t="s">
        <v>108</v>
      </c>
      <c r="I729" t="s">
        <v>3992</v>
      </c>
    </row>
    <row r="730" spans="1:9">
      <c r="A730" s="93" t="s">
        <v>4162</v>
      </c>
      <c r="B730" t="s">
        <v>3697</v>
      </c>
      <c r="C730" t="s">
        <v>2146</v>
      </c>
      <c r="D730" t="s">
        <v>2143</v>
      </c>
      <c r="E730" t="s">
        <v>2147</v>
      </c>
      <c r="F730" t="s">
        <v>2148</v>
      </c>
      <c r="G730" t="s">
        <v>2970</v>
      </c>
      <c r="H730" t="s">
        <v>108</v>
      </c>
      <c r="I730" t="s">
        <v>3992</v>
      </c>
    </row>
    <row r="731" spans="1:9">
      <c r="A731" s="93" t="s">
        <v>4162</v>
      </c>
      <c r="B731" t="s">
        <v>3697</v>
      </c>
      <c r="C731" t="s">
        <v>2149</v>
      </c>
      <c r="D731" t="s">
        <v>2143</v>
      </c>
      <c r="E731" t="s">
        <v>108</v>
      </c>
      <c r="G731" t="s">
        <v>2970</v>
      </c>
      <c r="H731" t="s">
        <v>108</v>
      </c>
      <c r="I731" t="s">
        <v>3992</v>
      </c>
    </row>
    <row r="732" spans="1:9">
      <c r="A732" s="93" t="s">
        <v>4162</v>
      </c>
      <c r="B732" t="s">
        <v>1881</v>
      </c>
      <c r="C732" t="s">
        <v>2151</v>
      </c>
      <c r="D732" t="s">
        <v>2152</v>
      </c>
      <c r="E732" t="s">
        <v>2153</v>
      </c>
      <c r="G732" t="s">
        <v>2970</v>
      </c>
      <c r="H732" t="s">
        <v>108</v>
      </c>
      <c r="I732" t="s">
        <v>3996</v>
      </c>
    </row>
    <row r="733" spans="1:9">
      <c r="A733" s="93" t="s">
        <v>4162</v>
      </c>
      <c r="B733" t="s">
        <v>1881</v>
      </c>
      <c r="C733" t="s">
        <v>2154</v>
      </c>
      <c r="D733" t="s">
        <v>2155</v>
      </c>
      <c r="E733" t="s">
        <v>108</v>
      </c>
      <c r="G733" t="s">
        <v>2970</v>
      </c>
      <c r="H733" t="s">
        <v>108</v>
      </c>
      <c r="I733" t="s">
        <v>3996</v>
      </c>
    </row>
    <row r="734" spans="1:9">
      <c r="A734" s="93" t="s">
        <v>4162</v>
      </c>
      <c r="B734" t="s">
        <v>1881</v>
      </c>
      <c r="C734" t="s">
        <v>2156</v>
      </c>
      <c r="D734" t="s">
        <v>2152</v>
      </c>
      <c r="E734" t="s">
        <v>2157</v>
      </c>
      <c r="G734" t="s">
        <v>2970</v>
      </c>
      <c r="H734" t="s">
        <v>108</v>
      </c>
      <c r="I734" t="s">
        <v>3996</v>
      </c>
    </row>
    <row r="735" spans="1:9">
      <c r="A735" s="93" t="s">
        <v>4162</v>
      </c>
      <c r="B735" t="s">
        <v>1881</v>
      </c>
      <c r="C735" t="s">
        <v>2158</v>
      </c>
      <c r="D735" t="s">
        <v>2155</v>
      </c>
      <c r="E735" t="s">
        <v>2159</v>
      </c>
      <c r="F735" t="s">
        <v>2160</v>
      </c>
      <c r="G735" t="s">
        <v>2970</v>
      </c>
      <c r="H735" t="s">
        <v>108</v>
      </c>
      <c r="I735" t="s">
        <v>3996</v>
      </c>
    </row>
    <row r="736" spans="1:9">
      <c r="A736" s="93" t="s">
        <v>4162</v>
      </c>
      <c r="B736" t="s">
        <v>1881</v>
      </c>
      <c r="C736" t="s">
        <v>2161</v>
      </c>
      <c r="D736" t="s">
        <v>2162</v>
      </c>
      <c r="E736" t="s">
        <v>108</v>
      </c>
      <c r="F736" t="s">
        <v>2163</v>
      </c>
      <c r="G736" t="s">
        <v>2970</v>
      </c>
      <c r="H736" t="s">
        <v>108</v>
      </c>
      <c r="I736" t="s">
        <v>3996</v>
      </c>
    </row>
    <row r="737" spans="1:9">
      <c r="A737" s="93" t="s">
        <v>4162</v>
      </c>
      <c r="B737" t="s">
        <v>1881</v>
      </c>
      <c r="C737" t="s">
        <v>2164</v>
      </c>
      <c r="D737" t="s">
        <v>2162</v>
      </c>
      <c r="E737" t="s">
        <v>108</v>
      </c>
      <c r="G737" t="s">
        <v>2970</v>
      </c>
      <c r="H737" t="s">
        <v>108</v>
      </c>
      <c r="I737" t="s">
        <v>3996</v>
      </c>
    </row>
    <row r="738" spans="1:9">
      <c r="A738" s="93" t="s">
        <v>4162</v>
      </c>
      <c r="B738" t="s">
        <v>1882</v>
      </c>
      <c r="C738" t="s">
        <v>2166</v>
      </c>
      <c r="D738" t="s">
        <v>2167</v>
      </c>
      <c r="E738" t="s">
        <v>108</v>
      </c>
      <c r="F738" t="s">
        <v>2168</v>
      </c>
      <c r="G738" t="s">
        <v>2970</v>
      </c>
      <c r="H738" t="s">
        <v>108</v>
      </c>
      <c r="I738" t="s">
        <v>4000</v>
      </c>
    </row>
    <row r="739" spans="1:9">
      <c r="A739" s="93" t="s">
        <v>4162</v>
      </c>
      <c r="B739" t="s">
        <v>1882</v>
      </c>
      <c r="C739" t="s">
        <v>2169</v>
      </c>
      <c r="D739" t="s">
        <v>2129</v>
      </c>
      <c r="E739" t="s">
        <v>2170</v>
      </c>
      <c r="G739" t="s">
        <v>2970</v>
      </c>
      <c r="H739" t="s">
        <v>2136</v>
      </c>
      <c r="I739" t="s">
        <v>4000</v>
      </c>
    </row>
    <row r="740" spans="1:9">
      <c r="A740" s="93" t="s">
        <v>4162</v>
      </c>
      <c r="B740" t="s">
        <v>1882</v>
      </c>
      <c r="C740" t="s">
        <v>2171</v>
      </c>
      <c r="D740" t="s">
        <v>2129</v>
      </c>
      <c r="E740" t="s">
        <v>2135</v>
      </c>
      <c r="G740" t="s">
        <v>2970</v>
      </c>
      <c r="H740" t="s">
        <v>2136</v>
      </c>
      <c r="I740" t="s">
        <v>4000</v>
      </c>
    </row>
    <row r="741" spans="1:9">
      <c r="A741" s="93" t="s">
        <v>4162</v>
      </c>
      <c r="B741" t="s">
        <v>1882</v>
      </c>
      <c r="C741" t="s">
        <v>2172</v>
      </c>
      <c r="D741" t="s">
        <v>2129</v>
      </c>
      <c r="E741" t="s">
        <v>2135</v>
      </c>
      <c r="G741" t="s">
        <v>2970</v>
      </c>
      <c r="H741" t="s">
        <v>2136</v>
      </c>
      <c r="I741" t="s">
        <v>4000</v>
      </c>
    </row>
    <row r="742" spans="1:9">
      <c r="A742" s="93" t="s">
        <v>4162</v>
      </c>
      <c r="B742" t="s">
        <v>1882</v>
      </c>
      <c r="C742" t="s">
        <v>2173</v>
      </c>
      <c r="D742" t="s">
        <v>2174</v>
      </c>
      <c r="E742" t="s">
        <v>2135</v>
      </c>
      <c r="G742" t="s">
        <v>2970</v>
      </c>
      <c r="H742" t="s">
        <v>2136</v>
      </c>
      <c r="I742" t="s">
        <v>4000</v>
      </c>
    </row>
    <row r="743" spans="1:9">
      <c r="A743" s="93" t="s">
        <v>4162</v>
      </c>
      <c r="B743" t="s">
        <v>1882</v>
      </c>
      <c r="C743" t="s">
        <v>2175</v>
      </c>
      <c r="E743" t="s">
        <v>2135</v>
      </c>
      <c r="G743" t="s">
        <v>2970</v>
      </c>
      <c r="H743" t="s">
        <v>2136</v>
      </c>
      <c r="I743" t="s">
        <v>4000</v>
      </c>
    </row>
    <row r="744" spans="1:9">
      <c r="A744" s="93" t="s">
        <v>4162</v>
      </c>
      <c r="B744" t="s">
        <v>1882</v>
      </c>
      <c r="C744" t="s">
        <v>2176</v>
      </c>
      <c r="E744" t="s">
        <v>2135</v>
      </c>
      <c r="G744" t="s">
        <v>2970</v>
      </c>
      <c r="H744" t="s">
        <v>2136</v>
      </c>
      <c r="I744" t="s">
        <v>4000</v>
      </c>
    </row>
    <row r="745" spans="1:9">
      <c r="A745" s="93" t="s">
        <v>4162</v>
      </c>
      <c r="B745" t="s">
        <v>1882</v>
      </c>
      <c r="C745" t="s">
        <v>2177</v>
      </c>
      <c r="E745" t="s">
        <v>2135</v>
      </c>
      <c r="G745" t="s">
        <v>2970</v>
      </c>
      <c r="H745" t="s">
        <v>2136</v>
      </c>
      <c r="I745" t="s">
        <v>4000</v>
      </c>
    </row>
    <row r="746" spans="1:9">
      <c r="A746" s="93" t="s">
        <v>4162</v>
      </c>
      <c r="B746" t="s">
        <v>1884</v>
      </c>
      <c r="C746" t="s">
        <v>2179</v>
      </c>
      <c r="D746" t="s">
        <v>2180</v>
      </c>
      <c r="E746" t="s">
        <v>108</v>
      </c>
      <c r="G746" t="s">
        <v>2970</v>
      </c>
      <c r="H746" t="s">
        <v>108</v>
      </c>
      <c r="I746" t="s">
        <v>4002</v>
      </c>
    </row>
    <row r="747" spans="1:9">
      <c r="A747" s="93" t="s">
        <v>4162</v>
      </c>
      <c r="B747" t="s">
        <v>1884</v>
      </c>
      <c r="C747" t="s">
        <v>2181</v>
      </c>
      <c r="D747" t="s">
        <v>2182</v>
      </c>
      <c r="E747" t="s">
        <v>108</v>
      </c>
      <c r="G747" t="s">
        <v>2970</v>
      </c>
      <c r="H747" t="s">
        <v>108</v>
      </c>
      <c r="I747" t="s">
        <v>4002</v>
      </c>
    </row>
    <row r="748" spans="1:9">
      <c r="A748" s="93" t="s">
        <v>4162</v>
      </c>
      <c r="B748" t="s">
        <v>1884</v>
      </c>
      <c r="C748" t="s">
        <v>2183</v>
      </c>
      <c r="D748" t="s">
        <v>2182</v>
      </c>
      <c r="E748" t="s">
        <v>2184</v>
      </c>
      <c r="F748" t="s">
        <v>2185</v>
      </c>
      <c r="G748" t="s">
        <v>2970</v>
      </c>
      <c r="H748" t="s">
        <v>108</v>
      </c>
      <c r="I748" t="s">
        <v>4002</v>
      </c>
    </row>
    <row r="749" spans="1:9">
      <c r="A749" s="93" t="s">
        <v>4162</v>
      </c>
      <c r="B749" t="s">
        <v>1884</v>
      </c>
      <c r="C749" t="s">
        <v>2186</v>
      </c>
      <c r="D749" t="s">
        <v>2187</v>
      </c>
      <c r="E749" t="s">
        <v>108</v>
      </c>
      <c r="G749" t="s">
        <v>2970</v>
      </c>
      <c r="H749" t="s">
        <v>108</v>
      </c>
      <c r="I749" t="s">
        <v>4002</v>
      </c>
    </row>
    <row r="750" spans="1:9">
      <c r="A750" s="93" t="s">
        <v>4162</v>
      </c>
      <c r="B750" t="s">
        <v>1884</v>
      </c>
      <c r="C750" t="s">
        <v>2188</v>
      </c>
      <c r="E750" t="s">
        <v>2189</v>
      </c>
      <c r="G750" t="s">
        <v>2970</v>
      </c>
      <c r="H750" t="s">
        <v>108</v>
      </c>
      <c r="I750" t="s">
        <v>4002</v>
      </c>
    </row>
    <row r="751" spans="1:9">
      <c r="A751" s="93" t="s">
        <v>4162</v>
      </c>
      <c r="B751" t="s">
        <v>1884</v>
      </c>
      <c r="C751" t="s">
        <v>2190</v>
      </c>
      <c r="E751" t="s">
        <v>2135</v>
      </c>
      <c r="G751" t="s">
        <v>2970</v>
      </c>
      <c r="H751" t="s">
        <v>2136</v>
      </c>
      <c r="I751" t="s">
        <v>4002</v>
      </c>
    </row>
    <row r="752" spans="1:9">
      <c r="A752" s="93" t="s">
        <v>4162</v>
      </c>
      <c r="B752" t="s">
        <v>1884</v>
      </c>
      <c r="C752" t="s">
        <v>2191</v>
      </c>
      <c r="E752" t="s">
        <v>2135</v>
      </c>
      <c r="G752" t="s">
        <v>2970</v>
      </c>
      <c r="H752" t="s">
        <v>2136</v>
      </c>
      <c r="I752" t="s">
        <v>4002</v>
      </c>
    </row>
    <row r="753" spans="1:9">
      <c r="A753" s="93" t="s">
        <v>4162</v>
      </c>
      <c r="B753" t="s">
        <v>1884</v>
      </c>
      <c r="C753" t="s">
        <v>2192</v>
      </c>
      <c r="D753" t="s">
        <v>2182</v>
      </c>
      <c r="E753" t="s">
        <v>2193</v>
      </c>
      <c r="G753" t="s">
        <v>2970</v>
      </c>
      <c r="H753" t="s">
        <v>2193</v>
      </c>
      <c r="I753" t="s">
        <v>4002</v>
      </c>
    </row>
    <row r="754" spans="1:9">
      <c r="A754" s="93" t="s">
        <v>4162</v>
      </c>
      <c r="B754" t="s">
        <v>1884</v>
      </c>
      <c r="C754" t="s">
        <v>2194</v>
      </c>
      <c r="D754" t="s">
        <v>2187</v>
      </c>
      <c r="E754" t="s">
        <v>108</v>
      </c>
      <c r="G754" t="s">
        <v>2970</v>
      </c>
      <c r="H754" t="s">
        <v>108</v>
      </c>
      <c r="I754" t="s">
        <v>4002</v>
      </c>
    </row>
    <row r="755" spans="1:9">
      <c r="A755" s="93" t="s">
        <v>4162</v>
      </c>
      <c r="B755" t="s">
        <v>1889</v>
      </c>
      <c r="C755" t="s">
        <v>2196</v>
      </c>
      <c r="E755" t="s">
        <v>2193</v>
      </c>
      <c r="G755" t="s">
        <v>2970</v>
      </c>
      <c r="H755" t="s">
        <v>2193</v>
      </c>
      <c r="I755" t="s">
        <v>4004</v>
      </c>
    </row>
    <row r="756" spans="1:9">
      <c r="A756" s="93" t="s">
        <v>4162</v>
      </c>
      <c r="B756" t="s">
        <v>1889</v>
      </c>
      <c r="C756" t="s">
        <v>2197</v>
      </c>
      <c r="E756" t="s">
        <v>2193</v>
      </c>
      <c r="G756" t="s">
        <v>2970</v>
      </c>
      <c r="H756" t="s">
        <v>2193</v>
      </c>
      <c r="I756" t="s">
        <v>4004</v>
      </c>
    </row>
    <row r="757" spans="1:9">
      <c r="A757" s="93" t="s">
        <v>4162</v>
      </c>
      <c r="B757" t="s">
        <v>1889</v>
      </c>
      <c r="C757" t="s">
        <v>2198</v>
      </c>
      <c r="E757" t="s">
        <v>2199</v>
      </c>
      <c r="G757" t="s">
        <v>2970</v>
      </c>
      <c r="H757" t="s">
        <v>2193</v>
      </c>
      <c r="I757" t="s">
        <v>4004</v>
      </c>
    </row>
    <row r="758" spans="1:9">
      <c r="A758" s="93" t="s">
        <v>4162</v>
      </c>
      <c r="B758" t="s">
        <v>1889</v>
      </c>
      <c r="C758" t="s">
        <v>2200</v>
      </c>
      <c r="D758" t="s">
        <v>2182</v>
      </c>
      <c r="E758" t="s">
        <v>108</v>
      </c>
      <c r="G758" t="s">
        <v>2970</v>
      </c>
      <c r="H758" t="s">
        <v>108</v>
      </c>
      <c r="I758" t="s">
        <v>4004</v>
      </c>
    </row>
    <row r="759" spans="1:9">
      <c r="A759" s="93" t="s">
        <v>4162</v>
      </c>
      <c r="B759" t="s">
        <v>1889</v>
      </c>
      <c r="C759" t="s">
        <v>2201</v>
      </c>
      <c r="D759" t="s">
        <v>2182</v>
      </c>
      <c r="E759" t="s">
        <v>108</v>
      </c>
      <c r="G759" t="s">
        <v>2970</v>
      </c>
      <c r="H759" t="s">
        <v>108</v>
      </c>
      <c r="I759" t="s">
        <v>4004</v>
      </c>
    </row>
    <row r="760" spans="1:9">
      <c r="A760" s="93" t="s">
        <v>4162</v>
      </c>
      <c r="B760" t="s">
        <v>1889</v>
      </c>
      <c r="C760" t="s">
        <v>2202</v>
      </c>
      <c r="D760" t="s">
        <v>2174</v>
      </c>
      <c r="E760" t="s">
        <v>108</v>
      </c>
      <c r="G760" t="s">
        <v>2970</v>
      </c>
      <c r="H760" t="s">
        <v>108</v>
      </c>
      <c r="I760" t="s">
        <v>4004</v>
      </c>
    </row>
    <row r="761" spans="1:9">
      <c r="A761" s="93" t="s">
        <v>4162</v>
      </c>
      <c r="B761" t="s">
        <v>1889</v>
      </c>
      <c r="C761" t="s">
        <v>2203</v>
      </c>
      <c r="D761" t="s">
        <v>2204</v>
      </c>
      <c r="E761" t="s">
        <v>2193</v>
      </c>
      <c r="G761" t="s">
        <v>2970</v>
      </c>
      <c r="H761" t="s">
        <v>2193</v>
      </c>
      <c r="I761" t="s">
        <v>4004</v>
      </c>
    </row>
    <row r="762" spans="1:9">
      <c r="A762" s="93" t="s">
        <v>4162</v>
      </c>
      <c r="B762" t="s">
        <v>1889</v>
      </c>
      <c r="C762" t="s">
        <v>2205</v>
      </c>
      <c r="D762" t="s">
        <v>2204</v>
      </c>
      <c r="E762" t="s">
        <v>2193</v>
      </c>
      <c r="G762" t="s">
        <v>2970</v>
      </c>
      <c r="H762" t="s">
        <v>2193</v>
      </c>
      <c r="I762" t="s">
        <v>4004</v>
      </c>
    </row>
    <row r="763" spans="1:9">
      <c r="A763" s="93" t="s">
        <v>4162</v>
      </c>
      <c r="B763" t="s">
        <v>1889</v>
      </c>
      <c r="C763" t="s">
        <v>2206</v>
      </c>
      <c r="E763" t="s">
        <v>2135</v>
      </c>
      <c r="G763" t="s">
        <v>2970</v>
      </c>
      <c r="H763" t="s">
        <v>2136</v>
      </c>
      <c r="I763" t="s">
        <v>4004</v>
      </c>
    </row>
    <row r="764" spans="1:9">
      <c r="A764" s="93" t="s">
        <v>4162</v>
      </c>
      <c r="B764" t="s">
        <v>1889</v>
      </c>
      <c r="C764" t="s">
        <v>2207</v>
      </c>
      <c r="D764" t="s">
        <v>2204</v>
      </c>
      <c r="E764" t="s">
        <v>108</v>
      </c>
      <c r="F764" t="s">
        <v>2208</v>
      </c>
      <c r="G764" t="s">
        <v>2970</v>
      </c>
      <c r="H764" t="s">
        <v>108</v>
      </c>
      <c r="I764" t="s">
        <v>4004</v>
      </c>
    </row>
    <row r="765" spans="1:9">
      <c r="A765" s="93" t="s">
        <v>4162</v>
      </c>
      <c r="B765" t="s">
        <v>1891</v>
      </c>
      <c r="C765" t="s">
        <v>2210</v>
      </c>
      <c r="D765" t="s">
        <v>2211</v>
      </c>
      <c r="E765" t="s">
        <v>108</v>
      </c>
      <c r="G765" t="s">
        <v>2970</v>
      </c>
      <c r="H765" t="s">
        <v>108</v>
      </c>
      <c r="I765" t="s">
        <v>4008</v>
      </c>
    </row>
    <row r="766" spans="1:9">
      <c r="A766" s="93" t="s">
        <v>4162</v>
      </c>
      <c r="B766" t="s">
        <v>1891</v>
      </c>
      <c r="C766" t="s">
        <v>2212</v>
      </c>
      <c r="D766" t="s">
        <v>2213</v>
      </c>
      <c r="E766" t="s">
        <v>108</v>
      </c>
      <c r="G766" t="s">
        <v>2970</v>
      </c>
      <c r="H766" t="s">
        <v>108</v>
      </c>
      <c r="I766" t="s">
        <v>4008</v>
      </c>
    </row>
    <row r="767" spans="1:9">
      <c r="A767" s="93" t="s">
        <v>4162</v>
      </c>
      <c r="B767" t="s">
        <v>1891</v>
      </c>
      <c r="C767" t="s">
        <v>2214</v>
      </c>
      <c r="D767" t="s">
        <v>2213</v>
      </c>
      <c r="E767" t="s">
        <v>108</v>
      </c>
      <c r="G767" t="s">
        <v>2970</v>
      </c>
      <c r="H767" t="s">
        <v>108</v>
      </c>
      <c r="I767" t="s">
        <v>4008</v>
      </c>
    </row>
    <row r="768" spans="1:9">
      <c r="A768" s="93" t="s">
        <v>4162</v>
      </c>
      <c r="B768" t="s">
        <v>1893</v>
      </c>
      <c r="C768" t="s">
        <v>2216</v>
      </c>
      <c r="D768" t="s">
        <v>2217</v>
      </c>
      <c r="E768" t="s">
        <v>2193</v>
      </c>
      <c r="F768" t="s">
        <v>2218</v>
      </c>
      <c r="G768" t="s">
        <v>2970</v>
      </c>
      <c r="H768" t="s">
        <v>2193</v>
      </c>
      <c r="I768" t="s">
        <v>4012</v>
      </c>
    </row>
    <row r="769" spans="1:9">
      <c r="A769" s="93" t="s">
        <v>4162</v>
      </c>
      <c r="B769" t="s">
        <v>1893</v>
      </c>
      <c r="C769" t="s">
        <v>2219</v>
      </c>
      <c r="D769" t="s">
        <v>2220</v>
      </c>
      <c r="E769" t="s">
        <v>108</v>
      </c>
      <c r="F769" t="s">
        <v>2221</v>
      </c>
      <c r="G769" t="s">
        <v>2970</v>
      </c>
      <c r="H769" t="s">
        <v>108</v>
      </c>
      <c r="I769" t="s">
        <v>4012</v>
      </c>
    </row>
    <row r="770" spans="1:9">
      <c r="A770" s="93" t="s">
        <v>4162</v>
      </c>
      <c r="B770" t="s">
        <v>1893</v>
      </c>
      <c r="C770" t="s">
        <v>2222</v>
      </c>
      <c r="D770" t="s">
        <v>2223</v>
      </c>
      <c r="E770" t="s">
        <v>108</v>
      </c>
      <c r="F770" t="s">
        <v>2224</v>
      </c>
      <c r="G770" t="s">
        <v>2970</v>
      </c>
      <c r="H770" t="s">
        <v>108</v>
      </c>
      <c r="I770" t="s">
        <v>4012</v>
      </c>
    </row>
    <row r="771" spans="1:9">
      <c r="A771" s="93" t="s">
        <v>4162</v>
      </c>
      <c r="B771" t="s">
        <v>1893</v>
      </c>
      <c r="C771" t="s">
        <v>2225</v>
      </c>
      <c r="D771" t="s">
        <v>2226</v>
      </c>
      <c r="E771" t="s">
        <v>108</v>
      </c>
      <c r="F771" t="s">
        <v>2227</v>
      </c>
      <c r="G771" t="s">
        <v>2970</v>
      </c>
      <c r="H771" t="s">
        <v>108</v>
      </c>
      <c r="I771" t="s">
        <v>4012</v>
      </c>
    </row>
    <row r="772" spans="1:9">
      <c r="A772" s="93" t="s">
        <v>4162</v>
      </c>
      <c r="B772" t="s">
        <v>1893</v>
      </c>
      <c r="C772" t="s">
        <v>2228</v>
      </c>
      <c r="E772" t="s">
        <v>2135</v>
      </c>
      <c r="G772" t="s">
        <v>2970</v>
      </c>
      <c r="H772" t="s">
        <v>2136</v>
      </c>
      <c r="I772" t="s">
        <v>4012</v>
      </c>
    </row>
    <row r="773" spans="1:9">
      <c r="A773" s="93" t="s">
        <v>4162</v>
      </c>
      <c r="B773" t="s">
        <v>1896</v>
      </c>
      <c r="C773" t="s">
        <v>2230</v>
      </c>
      <c r="D773" t="s">
        <v>2220</v>
      </c>
      <c r="E773" t="s">
        <v>108</v>
      </c>
      <c r="F773" t="s">
        <v>2231</v>
      </c>
      <c r="G773" t="s">
        <v>2970</v>
      </c>
      <c r="H773" t="s">
        <v>108</v>
      </c>
      <c r="I773" t="s">
        <v>4016</v>
      </c>
    </row>
    <row r="774" spans="1:9">
      <c r="A774" s="93" t="s">
        <v>4162</v>
      </c>
      <c r="B774" t="s">
        <v>1896</v>
      </c>
      <c r="C774" t="s">
        <v>2232</v>
      </c>
      <c r="D774" t="s">
        <v>2220</v>
      </c>
      <c r="E774" t="s">
        <v>108</v>
      </c>
      <c r="G774" t="s">
        <v>2970</v>
      </c>
      <c r="H774" t="s">
        <v>108</v>
      </c>
      <c r="I774" t="s">
        <v>4016</v>
      </c>
    </row>
    <row r="775" spans="1:9">
      <c r="A775" s="93" t="s">
        <v>4162</v>
      </c>
      <c r="B775" t="s">
        <v>1896</v>
      </c>
      <c r="C775" t="s">
        <v>2233</v>
      </c>
      <c r="D775" t="s">
        <v>2234</v>
      </c>
      <c r="E775" t="s">
        <v>108</v>
      </c>
      <c r="F775" t="s">
        <v>2235</v>
      </c>
      <c r="G775" t="s">
        <v>2970</v>
      </c>
      <c r="H775" t="s">
        <v>108</v>
      </c>
      <c r="I775" t="s">
        <v>4016</v>
      </c>
    </row>
    <row r="776" spans="1:9">
      <c r="A776" s="93" t="s">
        <v>4162</v>
      </c>
      <c r="B776" t="s">
        <v>1896</v>
      </c>
      <c r="C776" t="s">
        <v>2236</v>
      </c>
      <c r="D776" t="s">
        <v>2237</v>
      </c>
      <c r="E776" t="s">
        <v>108</v>
      </c>
      <c r="F776" t="s">
        <v>2231</v>
      </c>
      <c r="G776" t="s">
        <v>2970</v>
      </c>
      <c r="H776" t="s">
        <v>108</v>
      </c>
      <c r="I776" t="s">
        <v>4016</v>
      </c>
    </row>
    <row r="777" spans="1:9">
      <c r="A777" s="93" t="s">
        <v>4162</v>
      </c>
      <c r="B777" t="s">
        <v>1896</v>
      </c>
      <c r="C777" t="s">
        <v>2238</v>
      </c>
      <c r="D777" t="s">
        <v>2237</v>
      </c>
      <c r="E777" t="s">
        <v>108</v>
      </c>
      <c r="F777" t="s">
        <v>2239</v>
      </c>
      <c r="G777" t="s">
        <v>2970</v>
      </c>
      <c r="H777" t="s">
        <v>108</v>
      </c>
      <c r="I777" t="s">
        <v>4016</v>
      </c>
    </row>
    <row r="778" spans="1:9">
      <c r="A778" s="93" t="s">
        <v>4162</v>
      </c>
      <c r="B778" t="s">
        <v>1896</v>
      </c>
      <c r="C778" t="s">
        <v>2240</v>
      </c>
      <c r="D778" t="s">
        <v>2241</v>
      </c>
      <c r="E778" t="s">
        <v>2193</v>
      </c>
      <c r="G778" t="s">
        <v>2970</v>
      </c>
      <c r="H778" t="s">
        <v>2193</v>
      </c>
      <c r="I778" t="s">
        <v>4016</v>
      </c>
    </row>
    <row r="779" spans="1:9">
      <c r="A779" s="93" t="s">
        <v>4162</v>
      </c>
      <c r="B779" t="s">
        <v>1896</v>
      </c>
      <c r="C779" t="s">
        <v>2242</v>
      </c>
      <c r="D779" t="s">
        <v>2220</v>
      </c>
      <c r="E779" t="s">
        <v>2243</v>
      </c>
      <c r="F779" t="s">
        <v>2244</v>
      </c>
      <c r="G779" t="s">
        <v>2970</v>
      </c>
      <c r="H779" t="s">
        <v>2962</v>
      </c>
      <c r="I779" t="s">
        <v>4016</v>
      </c>
    </row>
    <row r="780" spans="1:9">
      <c r="A780" s="93" t="s">
        <v>4162</v>
      </c>
      <c r="B780" t="s">
        <v>1896</v>
      </c>
      <c r="C780" t="s">
        <v>2245</v>
      </c>
      <c r="D780" t="s">
        <v>2241</v>
      </c>
      <c r="E780" t="s">
        <v>2246</v>
      </c>
      <c r="G780" t="s">
        <v>2970</v>
      </c>
      <c r="H780" t="s">
        <v>108</v>
      </c>
      <c r="I780" t="s">
        <v>4016</v>
      </c>
    </row>
    <row r="781" spans="1:9">
      <c r="A781" s="93" t="s">
        <v>4162</v>
      </c>
      <c r="B781" t="s">
        <v>1896</v>
      </c>
      <c r="C781" t="s">
        <v>2247</v>
      </c>
      <c r="D781" t="s">
        <v>2248</v>
      </c>
      <c r="E781" t="s">
        <v>108</v>
      </c>
      <c r="F781" t="s">
        <v>2249</v>
      </c>
      <c r="G781" t="s">
        <v>2970</v>
      </c>
      <c r="H781" t="s">
        <v>108</v>
      </c>
      <c r="I781" t="s">
        <v>4016</v>
      </c>
    </row>
    <row r="782" spans="1:9">
      <c r="A782" s="93" t="s">
        <v>4162</v>
      </c>
      <c r="B782" t="s">
        <v>1898</v>
      </c>
      <c r="C782" t="s">
        <v>2251</v>
      </c>
      <c r="D782" t="s">
        <v>2252</v>
      </c>
      <c r="E782" t="s">
        <v>108</v>
      </c>
      <c r="G782" t="s">
        <v>2970</v>
      </c>
      <c r="H782" t="s">
        <v>108</v>
      </c>
      <c r="I782" t="s">
        <v>4020</v>
      </c>
    </row>
    <row r="783" spans="1:9">
      <c r="A783" s="93" t="s">
        <v>4162</v>
      </c>
      <c r="B783" t="s">
        <v>1898</v>
      </c>
      <c r="C783" t="s">
        <v>2253</v>
      </c>
      <c r="D783" t="s">
        <v>2252</v>
      </c>
      <c r="E783" t="s">
        <v>2193</v>
      </c>
      <c r="F783" t="s">
        <v>2254</v>
      </c>
      <c r="G783" t="s">
        <v>2970</v>
      </c>
      <c r="H783" t="s">
        <v>2193</v>
      </c>
      <c r="I783" t="s">
        <v>4020</v>
      </c>
    </row>
    <row r="784" spans="1:9">
      <c r="A784" s="93" t="s">
        <v>4162</v>
      </c>
      <c r="B784" t="s">
        <v>1898</v>
      </c>
      <c r="C784" t="s">
        <v>2255</v>
      </c>
      <c r="D784" t="s">
        <v>2256</v>
      </c>
      <c r="E784" t="s">
        <v>2257</v>
      </c>
      <c r="G784" t="s">
        <v>2970</v>
      </c>
      <c r="H784" t="s">
        <v>108</v>
      </c>
      <c r="I784" t="s">
        <v>4020</v>
      </c>
    </row>
    <row r="785" spans="1:9">
      <c r="A785" s="93" t="s">
        <v>4162</v>
      </c>
      <c r="B785" t="s">
        <v>1898</v>
      </c>
      <c r="C785" t="s">
        <v>2258</v>
      </c>
      <c r="D785" t="s">
        <v>2259</v>
      </c>
      <c r="E785" t="s">
        <v>2260</v>
      </c>
      <c r="F785" t="s">
        <v>2261</v>
      </c>
      <c r="G785" t="s">
        <v>2970</v>
      </c>
      <c r="H785" t="s">
        <v>2964</v>
      </c>
      <c r="I785" t="s">
        <v>4020</v>
      </c>
    </row>
    <row r="786" spans="1:9">
      <c r="A786" s="93" t="s">
        <v>4162</v>
      </c>
      <c r="B786" t="s">
        <v>1898</v>
      </c>
      <c r="C786" t="s">
        <v>2262</v>
      </c>
      <c r="D786" t="s">
        <v>2259</v>
      </c>
      <c r="E786" t="s">
        <v>2147</v>
      </c>
      <c r="F786" t="s">
        <v>2263</v>
      </c>
      <c r="G786" t="s">
        <v>2970</v>
      </c>
      <c r="H786" t="s">
        <v>108</v>
      </c>
      <c r="I786" t="s">
        <v>4020</v>
      </c>
    </row>
    <row r="787" spans="1:9">
      <c r="A787" s="93" t="s">
        <v>4162</v>
      </c>
      <c r="B787" t="s">
        <v>1898</v>
      </c>
      <c r="C787" t="s">
        <v>2264</v>
      </c>
      <c r="D787" t="s">
        <v>2252</v>
      </c>
      <c r="E787" t="s">
        <v>2265</v>
      </c>
      <c r="G787" t="s">
        <v>2970</v>
      </c>
      <c r="H787" t="s">
        <v>108</v>
      </c>
      <c r="I787" t="s">
        <v>4020</v>
      </c>
    </row>
    <row r="788" spans="1:9">
      <c r="A788" s="93" t="s">
        <v>4162</v>
      </c>
      <c r="B788" t="s">
        <v>1898</v>
      </c>
      <c r="C788" t="s">
        <v>2266</v>
      </c>
      <c r="D788" t="s">
        <v>2252</v>
      </c>
      <c r="E788" t="s">
        <v>2267</v>
      </c>
      <c r="F788" t="s">
        <v>2268</v>
      </c>
      <c r="G788" t="s">
        <v>2970</v>
      </c>
      <c r="H788" t="s">
        <v>108</v>
      </c>
      <c r="I788" t="s">
        <v>4020</v>
      </c>
    </row>
    <row r="789" spans="1:9">
      <c r="A789" s="93" t="s">
        <v>4162</v>
      </c>
      <c r="B789" t="s">
        <v>1898</v>
      </c>
      <c r="C789" t="s">
        <v>2269</v>
      </c>
      <c r="D789" t="s">
        <v>2252</v>
      </c>
      <c r="E789" t="s">
        <v>2270</v>
      </c>
      <c r="G789" t="s">
        <v>2970</v>
      </c>
      <c r="H789" t="s">
        <v>108</v>
      </c>
      <c r="I789" t="s">
        <v>4020</v>
      </c>
    </row>
    <row r="790" spans="1:9">
      <c r="A790" s="93" t="s">
        <v>4162</v>
      </c>
      <c r="B790" t="s">
        <v>1902</v>
      </c>
      <c r="C790" t="s">
        <v>2272</v>
      </c>
      <c r="D790" t="s">
        <v>2273</v>
      </c>
      <c r="E790" t="s">
        <v>2274</v>
      </c>
      <c r="F790" t="s">
        <v>2275</v>
      </c>
      <c r="G790" t="s">
        <v>2970</v>
      </c>
      <c r="H790" t="s">
        <v>108</v>
      </c>
      <c r="I790" t="s">
        <v>4024</v>
      </c>
    </row>
    <row r="791" spans="1:9">
      <c r="A791" s="93" t="s">
        <v>4162</v>
      </c>
      <c r="B791" t="s">
        <v>1902</v>
      </c>
      <c r="C791" t="s">
        <v>2276</v>
      </c>
      <c r="D791" t="s">
        <v>2248</v>
      </c>
      <c r="E791" t="s">
        <v>2277</v>
      </c>
      <c r="F791" t="s">
        <v>2278</v>
      </c>
      <c r="G791" t="s">
        <v>2970</v>
      </c>
      <c r="H791" t="s">
        <v>108</v>
      </c>
      <c r="I791" t="s">
        <v>4024</v>
      </c>
    </row>
    <row r="792" spans="1:9">
      <c r="A792" s="93" t="s">
        <v>4162</v>
      </c>
      <c r="B792" t="s">
        <v>1902</v>
      </c>
      <c r="C792" t="s">
        <v>2279</v>
      </c>
      <c r="D792" t="s">
        <v>2280</v>
      </c>
      <c r="E792" t="s">
        <v>2281</v>
      </c>
      <c r="F792" t="s">
        <v>2282</v>
      </c>
      <c r="G792" t="s">
        <v>2970</v>
      </c>
      <c r="H792" t="s">
        <v>108</v>
      </c>
      <c r="I792" t="s">
        <v>4024</v>
      </c>
    </row>
    <row r="793" spans="1:9">
      <c r="A793" s="93" t="s">
        <v>4162</v>
      </c>
      <c r="B793" t="s">
        <v>1902</v>
      </c>
      <c r="C793" t="s">
        <v>2283</v>
      </c>
      <c r="D793" t="s">
        <v>2273</v>
      </c>
      <c r="E793" t="s">
        <v>108</v>
      </c>
      <c r="F793" t="s">
        <v>2284</v>
      </c>
      <c r="G793" t="s">
        <v>2970</v>
      </c>
      <c r="H793" t="s">
        <v>108</v>
      </c>
      <c r="I793" t="s">
        <v>4024</v>
      </c>
    </row>
    <row r="794" spans="1:9">
      <c r="A794" s="93" t="s">
        <v>4162</v>
      </c>
      <c r="B794" t="s">
        <v>1902</v>
      </c>
      <c r="C794" t="s">
        <v>2285</v>
      </c>
      <c r="E794" t="s">
        <v>2135</v>
      </c>
      <c r="G794" t="s">
        <v>2970</v>
      </c>
      <c r="H794" t="s">
        <v>2136</v>
      </c>
      <c r="I794" t="s">
        <v>4024</v>
      </c>
    </row>
    <row r="795" spans="1:9">
      <c r="A795" s="93" t="s">
        <v>4162</v>
      </c>
      <c r="B795" t="s">
        <v>1902</v>
      </c>
      <c r="C795" t="s">
        <v>2286</v>
      </c>
      <c r="E795" t="s">
        <v>108</v>
      </c>
      <c r="G795" t="s">
        <v>2970</v>
      </c>
      <c r="H795" t="s">
        <v>108</v>
      </c>
      <c r="I795" t="s">
        <v>4024</v>
      </c>
    </row>
    <row r="796" spans="1:9">
      <c r="A796" s="93" t="s">
        <v>4162</v>
      </c>
      <c r="B796" t="s">
        <v>1902</v>
      </c>
      <c r="C796" t="s">
        <v>2287</v>
      </c>
      <c r="D796" t="s">
        <v>2273</v>
      </c>
      <c r="E796" t="s">
        <v>2288</v>
      </c>
      <c r="F796" t="s">
        <v>2289</v>
      </c>
      <c r="G796" t="s">
        <v>2970</v>
      </c>
      <c r="H796" t="s">
        <v>2288</v>
      </c>
      <c r="I796" t="s">
        <v>4024</v>
      </c>
    </row>
    <row r="797" spans="1:9">
      <c r="A797" s="93" t="s">
        <v>4162</v>
      </c>
      <c r="B797" t="s">
        <v>3926</v>
      </c>
      <c r="C797" t="s">
        <v>2291</v>
      </c>
      <c r="E797" t="s">
        <v>2135</v>
      </c>
      <c r="F797" t="s">
        <v>2292</v>
      </c>
      <c r="G797" t="s">
        <v>2970</v>
      </c>
      <c r="H797" t="s">
        <v>2136</v>
      </c>
    </row>
    <row r="798" spans="1:9">
      <c r="A798" s="93" t="s">
        <v>4162</v>
      </c>
      <c r="B798" t="s">
        <v>3926</v>
      </c>
      <c r="C798" t="s">
        <v>2293</v>
      </c>
      <c r="D798" t="s">
        <v>2294</v>
      </c>
      <c r="E798" t="s">
        <v>2295</v>
      </c>
      <c r="F798" t="s">
        <v>2296</v>
      </c>
      <c r="G798" t="s">
        <v>2970</v>
      </c>
      <c r="H798" t="s">
        <v>108</v>
      </c>
    </row>
    <row r="799" spans="1:9">
      <c r="A799" s="93" t="s">
        <v>4162</v>
      </c>
      <c r="B799" t="s">
        <v>3926</v>
      </c>
      <c r="C799" t="s">
        <v>2297</v>
      </c>
      <c r="D799" t="s">
        <v>2298</v>
      </c>
      <c r="E799" t="s">
        <v>108</v>
      </c>
      <c r="F799" t="s">
        <v>2299</v>
      </c>
      <c r="G799" t="s">
        <v>2970</v>
      </c>
      <c r="H799" t="s">
        <v>108</v>
      </c>
    </row>
    <row r="800" spans="1:9">
      <c r="A800" s="93" t="s">
        <v>4162</v>
      </c>
      <c r="B800" t="s">
        <v>3926</v>
      </c>
      <c r="C800" t="s">
        <v>2300</v>
      </c>
      <c r="D800" t="s">
        <v>2294</v>
      </c>
      <c r="E800" t="s">
        <v>108</v>
      </c>
      <c r="F800" t="s">
        <v>2299</v>
      </c>
      <c r="G800" t="s">
        <v>2970</v>
      </c>
      <c r="H800" t="s">
        <v>108</v>
      </c>
    </row>
    <row r="801" spans="1:9">
      <c r="A801" s="93" t="s">
        <v>4162</v>
      </c>
      <c r="B801" t="s">
        <v>3926</v>
      </c>
      <c r="C801" t="s">
        <v>2301</v>
      </c>
      <c r="D801" t="s">
        <v>2302</v>
      </c>
      <c r="E801" t="s">
        <v>2193</v>
      </c>
      <c r="F801" t="s">
        <v>2303</v>
      </c>
      <c r="G801" t="s">
        <v>2970</v>
      </c>
      <c r="H801" t="s">
        <v>2193</v>
      </c>
    </row>
    <row r="802" spans="1:9">
      <c r="A802" s="93" t="s">
        <v>4162</v>
      </c>
      <c r="B802" t="s">
        <v>3926</v>
      </c>
      <c r="C802" t="s">
        <v>2304</v>
      </c>
      <c r="D802" t="s">
        <v>2305</v>
      </c>
      <c r="E802" t="s">
        <v>2257</v>
      </c>
      <c r="F802" t="s">
        <v>2306</v>
      </c>
      <c r="G802" t="s">
        <v>2970</v>
      </c>
      <c r="H802" t="s">
        <v>108</v>
      </c>
    </row>
    <row r="803" spans="1:9">
      <c r="A803" s="93" t="s">
        <v>4164</v>
      </c>
      <c r="B803" t="s">
        <v>1874</v>
      </c>
      <c r="C803" t="s">
        <v>2352</v>
      </c>
      <c r="E803" t="s">
        <v>1201</v>
      </c>
      <c r="G803" t="s">
        <v>2970</v>
      </c>
      <c r="H803" t="s">
        <v>1201</v>
      </c>
      <c r="I803" t="s">
        <v>3984</v>
      </c>
    </row>
    <row r="804" spans="1:9">
      <c r="A804" s="93" t="s">
        <v>4164</v>
      </c>
      <c r="B804" t="s">
        <v>1874</v>
      </c>
      <c r="C804" t="s">
        <v>2118</v>
      </c>
      <c r="E804" t="s">
        <v>2119</v>
      </c>
      <c r="G804" t="s">
        <v>2970</v>
      </c>
      <c r="H804" t="s">
        <v>1201</v>
      </c>
      <c r="I804" t="s">
        <v>3984</v>
      </c>
    </row>
    <row r="805" spans="1:9">
      <c r="A805" s="93" t="s">
        <v>4164</v>
      </c>
      <c r="B805" t="s">
        <v>1896</v>
      </c>
      <c r="C805" t="s">
        <v>2242</v>
      </c>
      <c r="D805" t="s">
        <v>2220</v>
      </c>
      <c r="E805" t="s">
        <v>2243</v>
      </c>
      <c r="F805" t="s">
        <v>2244</v>
      </c>
      <c r="G805" t="s">
        <v>2970</v>
      </c>
      <c r="H805" t="s">
        <v>3009</v>
      </c>
      <c r="I805" t="s">
        <v>4016</v>
      </c>
    </row>
    <row r="806" spans="1:9">
      <c r="A806" s="93" t="s">
        <v>4164</v>
      </c>
      <c r="B806" t="s">
        <v>1898</v>
      </c>
      <c r="C806" t="s">
        <v>2258</v>
      </c>
      <c r="D806" t="s">
        <v>2259</v>
      </c>
      <c r="E806" t="s">
        <v>2260</v>
      </c>
      <c r="F806" t="s">
        <v>2261</v>
      </c>
      <c r="G806" t="s">
        <v>2970</v>
      </c>
      <c r="H806" t="s">
        <v>3000</v>
      </c>
      <c r="I806" t="s">
        <v>4020</v>
      </c>
    </row>
    <row r="807" spans="1:9">
      <c r="A807" s="93" t="s">
        <v>4166</v>
      </c>
      <c r="B807" t="s">
        <v>1874</v>
      </c>
      <c r="C807" t="s">
        <v>2352</v>
      </c>
      <c r="E807" t="s">
        <v>1201</v>
      </c>
      <c r="G807" t="s">
        <v>2970</v>
      </c>
      <c r="H807" t="s">
        <v>1201</v>
      </c>
      <c r="I807" t="s">
        <v>3984</v>
      </c>
    </row>
    <row r="808" spans="1:9">
      <c r="A808" s="93" t="s">
        <v>4166</v>
      </c>
      <c r="B808" t="s">
        <v>1874</v>
      </c>
      <c r="C808" t="s">
        <v>2118</v>
      </c>
      <c r="E808" t="s">
        <v>2119</v>
      </c>
      <c r="G808" t="s">
        <v>2970</v>
      </c>
      <c r="H808" t="s">
        <v>1201</v>
      </c>
      <c r="I808" t="s">
        <v>3984</v>
      </c>
    </row>
    <row r="809" spans="1:9">
      <c r="A809" s="93" t="s">
        <v>4166</v>
      </c>
      <c r="B809" t="s">
        <v>3697</v>
      </c>
      <c r="C809" t="s">
        <v>2144</v>
      </c>
      <c r="D809" t="s">
        <v>2143</v>
      </c>
      <c r="E809" t="s">
        <v>2145</v>
      </c>
      <c r="G809" t="s">
        <v>2970</v>
      </c>
      <c r="H809" t="s">
        <v>2463</v>
      </c>
      <c r="I809" t="s">
        <v>3992</v>
      </c>
    </row>
    <row r="810" spans="1:9">
      <c r="A810" s="93" t="s">
        <v>4166</v>
      </c>
      <c r="B810" t="s">
        <v>1881</v>
      </c>
      <c r="C810" t="s">
        <v>2465</v>
      </c>
      <c r="D810" t="s">
        <v>2248</v>
      </c>
      <c r="E810" t="s">
        <v>2466</v>
      </c>
      <c r="G810" t="s">
        <v>2970</v>
      </c>
      <c r="H810" t="s">
        <v>2463</v>
      </c>
      <c r="I810" t="s">
        <v>3996</v>
      </c>
    </row>
    <row r="811" spans="1:9">
      <c r="A811" s="93" t="s">
        <v>4166</v>
      </c>
      <c r="B811" t="s">
        <v>1881</v>
      </c>
      <c r="C811" t="s">
        <v>2158</v>
      </c>
      <c r="D811" t="s">
        <v>2155</v>
      </c>
      <c r="E811" t="s">
        <v>2159</v>
      </c>
      <c r="F811" t="s">
        <v>2160</v>
      </c>
      <c r="G811" t="s">
        <v>2970</v>
      </c>
      <c r="H811" t="s">
        <v>2463</v>
      </c>
      <c r="I811" t="s">
        <v>3996</v>
      </c>
    </row>
    <row r="812" spans="1:9">
      <c r="A812" s="93" t="s">
        <v>4166</v>
      </c>
      <c r="B812" t="s">
        <v>1896</v>
      </c>
      <c r="C812" t="s">
        <v>2242</v>
      </c>
      <c r="D812" t="s">
        <v>2220</v>
      </c>
      <c r="E812" t="s">
        <v>2243</v>
      </c>
      <c r="F812" t="s">
        <v>2244</v>
      </c>
      <c r="G812" t="s">
        <v>2970</v>
      </c>
      <c r="H812" t="s">
        <v>2773</v>
      </c>
      <c r="I812" t="s">
        <v>4016</v>
      </c>
    </row>
    <row r="813" spans="1:9">
      <c r="A813" s="93" t="s">
        <v>4166</v>
      </c>
      <c r="B813" t="s">
        <v>1898</v>
      </c>
      <c r="C813" t="s">
        <v>2255</v>
      </c>
      <c r="D813" t="s">
        <v>2256</v>
      </c>
      <c r="E813" t="s">
        <v>2257</v>
      </c>
      <c r="G813" t="s">
        <v>2970</v>
      </c>
      <c r="H813" t="s">
        <v>2463</v>
      </c>
      <c r="I813" t="s">
        <v>4020</v>
      </c>
    </row>
    <row r="814" spans="1:9">
      <c r="A814" s="93" t="s">
        <v>4166</v>
      </c>
      <c r="B814" t="s">
        <v>1898</v>
      </c>
      <c r="C814" t="s">
        <v>2258</v>
      </c>
      <c r="D814" t="s">
        <v>2259</v>
      </c>
      <c r="E814" t="s">
        <v>2260</v>
      </c>
      <c r="F814" t="s">
        <v>2261</v>
      </c>
      <c r="G814" t="s">
        <v>2970</v>
      </c>
      <c r="H814" t="s">
        <v>2775</v>
      </c>
      <c r="I814" t="s">
        <v>4020</v>
      </c>
    </row>
    <row r="815" spans="1:9">
      <c r="A815" s="93" t="s">
        <v>4166</v>
      </c>
      <c r="B815" t="s">
        <v>3926</v>
      </c>
      <c r="C815" t="s">
        <v>2304</v>
      </c>
      <c r="D815" t="s">
        <v>2305</v>
      </c>
      <c r="E815" t="s">
        <v>2257</v>
      </c>
      <c r="F815" t="s">
        <v>2306</v>
      </c>
      <c r="G815" t="s">
        <v>2970</v>
      </c>
      <c r="H815" t="s">
        <v>2463</v>
      </c>
    </row>
    <row r="816" spans="1:9">
      <c r="A816" s="93" t="s">
        <v>4166</v>
      </c>
      <c r="B816" t="s">
        <v>3926</v>
      </c>
      <c r="C816" t="s">
        <v>2477</v>
      </c>
      <c r="D816" t="s">
        <v>2213</v>
      </c>
      <c r="E816" t="s">
        <v>2463</v>
      </c>
      <c r="F816" t="s">
        <v>2292</v>
      </c>
      <c r="G816" t="s">
        <v>2970</v>
      </c>
      <c r="H816" t="s">
        <v>2463</v>
      </c>
    </row>
    <row r="817" spans="1:9">
      <c r="A817" s="93" t="s">
        <v>4167</v>
      </c>
      <c r="B817" t="s">
        <v>1874</v>
      </c>
      <c r="C817" t="s">
        <v>2308</v>
      </c>
      <c r="D817" t="s">
        <v>2122</v>
      </c>
      <c r="E817" t="s">
        <v>2309</v>
      </c>
      <c r="F817" t="s">
        <v>2312</v>
      </c>
      <c r="G817" t="s">
        <v>2970</v>
      </c>
      <c r="H817" t="s">
        <v>2311</v>
      </c>
      <c r="I817" t="s">
        <v>3984</v>
      </c>
    </row>
    <row r="818" spans="1:9">
      <c r="A818" s="93" t="s">
        <v>4167</v>
      </c>
      <c r="B818" t="s">
        <v>1874</v>
      </c>
      <c r="C818" t="s">
        <v>2352</v>
      </c>
      <c r="E818" t="s">
        <v>1201</v>
      </c>
      <c r="G818" t="s">
        <v>2970</v>
      </c>
      <c r="H818" t="s">
        <v>1201</v>
      </c>
      <c r="I818" t="s">
        <v>3984</v>
      </c>
    </row>
    <row r="819" spans="1:9">
      <c r="A819" s="93" t="s">
        <v>4167</v>
      </c>
      <c r="B819" t="s">
        <v>1874</v>
      </c>
      <c r="C819" t="s">
        <v>2118</v>
      </c>
      <c r="E819" t="s">
        <v>2119</v>
      </c>
      <c r="G819" t="s">
        <v>2970</v>
      </c>
      <c r="H819" t="s">
        <v>1201</v>
      </c>
      <c r="I819" t="s">
        <v>3984</v>
      </c>
    </row>
    <row r="820" spans="1:9">
      <c r="A820" s="93" t="s">
        <v>4167</v>
      </c>
      <c r="B820" t="s">
        <v>1874</v>
      </c>
      <c r="C820" t="s">
        <v>2313</v>
      </c>
      <c r="D820" t="s">
        <v>2314</v>
      </c>
      <c r="E820" t="s">
        <v>2309</v>
      </c>
      <c r="G820" t="s">
        <v>2970</v>
      </c>
      <c r="H820" t="s">
        <v>2311</v>
      </c>
      <c r="I820" t="s">
        <v>3984</v>
      </c>
    </row>
    <row r="821" spans="1:9">
      <c r="A821" s="93" t="s">
        <v>4167</v>
      </c>
      <c r="B821" t="s">
        <v>1874</v>
      </c>
      <c r="C821" t="s">
        <v>2315</v>
      </c>
      <c r="D821" t="s">
        <v>2314</v>
      </c>
      <c r="E821" t="s">
        <v>2309</v>
      </c>
      <c r="G821" t="s">
        <v>2970</v>
      </c>
      <c r="H821" t="s">
        <v>2311</v>
      </c>
      <c r="I821" t="s">
        <v>3984</v>
      </c>
    </row>
    <row r="822" spans="1:9">
      <c r="A822" s="93" t="s">
        <v>4167</v>
      </c>
      <c r="B822" t="s">
        <v>1874</v>
      </c>
      <c r="C822" t="s">
        <v>2316</v>
      </c>
      <c r="D822" t="s">
        <v>2124</v>
      </c>
      <c r="E822" t="s">
        <v>2309</v>
      </c>
      <c r="G822" t="s">
        <v>2970</v>
      </c>
      <c r="H822" t="s">
        <v>2311</v>
      </c>
      <c r="I822" t="s">
        <v>3984</v>
      </c>
    </row>
    <row r="823" spans="1:9">
      <c r="A823" s="93" t="s">
        <v>4167</v>
      </c>
      <c r="B823" t="s">
        <v>1875</v>
      </c>
      <c r="C823" t="s">
        <v>2134</v>
      </c>
      <c r="E823" t="s">
        <v>2135</v>
      </c>
      <c r="F823" t="s">
        <v>2137</v>
      </c>
      <c r="G823" t="s">
        <v>2970</v>
      </c>
      <c r="H823" t="s">
        <v>2318</v>
      </c>
      <c r="I823" t="s">
        <v>3988</v>
      </c>
    </row>
    <row r="824" spans="1:9">
      <c r="A824" s="93" t="s">
        <v>4167</v>
      </c>
      <c r="B824" t="s">
        <v>3697</v>
      </c>
      <c r="C824" t="s">
        <v>2144</v>
      </c>
      <c r="D824" t="s">
        <v>2143</v>
      </c>
      <c r="E824" t="s">
        <v>2145</v>
      </c>
      <c r="G824" t="s">
        <v>2970</v>
      </c>
      <c r="H824" t="s">
        <v>2463</v>
      </c>
      <c r="I824" t="s">
        <v>3992</v>
      </c>
    </row>
    <row r="825" spans="1:9">
      <c r="A825" s="93" t="s">
        <v>4167</v>
      </c>
      <c r="B825" t="s">
        <v>1881</v>
      </c>
      <c r="C825" t="s">
        <v>2465</v>
      </c>
      <c r="D825" t="s">
        <v>2248</v>
      </c>
      <c r="E825" t="s">
        <v>2466</v>
      </c>
      <c r="G825" t="s">
        <v>2970</v>
      </c>
      <c r="H825" t="s">
        <v>2463</v>
      </c>
      <c r="I825" t="s">
        <v>3996</v>
      </c>
    </row>
    <row r="826" spans="1:9">
      <c r="A826" s="93" t="s">
        <v>4167</v>
      </c>
      <c r="B826" t="s">
        <v>1881</v>
      </c>
      <c r="C826" t="s">
        <v>2156</v>
      </c>
      <c r="D826" t="s">
        <v>2152</v>
      </c>
      <c r="E826" t="s">
        <v>2157</v>
      </c>
      <c r="G826" t="s">
        <v>2970</v>
      </c>
      <c r="H826" t="s">
        <v>3013</v>
      </c>
      <c r="I826" t="s">
        <v>3996</v>
      </c>
    </row>
    <row r="827" spans="1:9">
      <c r="A827" s="93" t="s">
        <v>4167</v>
      </c>
      <c r="B827" t="s">
        <v>1881</v>
      </c>
      <c r="C827" t="s">
        <v>2158</v>
      </c>
      <c r="D827" t="s">
        <v>2155</v>
      </c>
      <c r="E827" t="s">
        <v>2159</v>
      </c>
      <c r="F827" t="s">
        <v>2160</v>
      </c>
      <c r="G827" t="s">
        <v>2970</v>
      </c>
      <c r="H827" t="s">
        <v>2463</v>
      </c>
      <c r="I827" t="s">
        <v>3996</v>
      </c>
    </row>
    <row r="828" spans="1:9">
      <c r="A828" s="93" t="s">
        <v>4167</v>
      </c>
      <c r="B828" t="s">
        <v>1882</v>
      </c>
      <c r="C828" t="s">
        <v>2169</v>
      </c>
      <c r="D828" t="s">
        <v>2129</v>
      </c>
      <c r="E828" t="s">
        <v>2170</v>
      </c>
      <c r="G828" t="s">
        <v>2970</v>
      </c>
      <c r="H828" t="s">
        <v>2318</v>
      </c>
      <c r="I828" t="s">
        <v>4000</v>
      </c>
    </row>
    <row r="829" spans="1:9">
      <c r="A829" s="93" t="s">
        <v>4167</v>
      </c>
      <c r="B829" t="s">
        <v>1882</v>
      </c>
      <c r="C829" t="s">
        <v>2171</v>
      </c>
      <c r="D829" t="s">
        <v>2129</v>
      </c>
      <c r="E829" t="s">
        <v>2135</v>
      </c>
      <c r="G829" t="s">
        <v>2970</v>
      </c>
      <c r="H829" t="s">
        <v>2318</v>
      </c>
      <c r="I829" t="s">
        <v>4000</v>
      </c>
    </row>
    <row r="830" spans="1:9">
      <c r="A830" s="93" t="s">
        <v>4167</v>
      </c>
      <c r="B830" t="s">
        <v>1882</v>
      </c>
      <c r="C830" t="s">
        <v>2172</v>
      </c>
      <c r="D830" t="s">
        <v>2129</v>
      </c>
      <c r="E830" t="s">
        <v>2135</v>
      </c>
      <c r="G830" t="s">
        <v>2970</v>
      </c>
      <c r="H830" t="s">
        <v>2318</v>
      </c>
      <c r="I830" t="s">
        <v>4000</v>
      </c>
    </row>
    <row r="831" spans="1:9">
      <c r="A831" s="93" t="s">
        <v>4167</v>
      </c>
      <c r="B831" t="s">
        <v>1882</v>
      </c>
      <c r="C831" t="s">
        <v>2173</v>
      </c>
      <c r="D831" t="s">
        <v>2174</v>
      </c>
      <c r="E831" t="s">
        <v>2135</v>
      </c>
      <c r="G831" t="s">
        <v>2970</v>
      </c>
      <c r="H831" t="s">
        <v>2318</v>
      </c>
      <c r="I831" t="s">
        <v>4000</v>
      </c>
    </row>
    <row r="832" spans="1:9">
      <c r="A832" s="93" t="s">
        <v>4167</v>
      </c>
      <c r="B832" t="s">
        <v>1882</v>
      </c>
      <c r="C832" t="s">
        <v>2175</v>
      </c>
      <c r="E832" t="s">
        <v>2135</v>
      </c>
      <c r="G832" t="s">
        <v>2970</v>
      </c>
      <c r="H832" t="s">
        <v>2318</v>
      </c>
      <c r="I832" t="s">
        <v>4000</v>
      </c>
    </row>
    <row r="833" spans="1:9">
      <c r="A833" s="93" t="s">
        <v>4167</v>
      </c>
      <c r="B833" t="s">
        <v>1882</v>
      </c>
      <c r="C833" t="s">
        <v>2176</v>
      </c>
      <c r="E833" t="s">
        <v>2135</v>
      </c>
      <c r="G833" t="s">
        <v>2970</v>
      </c>
      <c r="H833" t="s">
        <v>2318</v>
      </c>
      <c r="I833" t="s">
        <v>4000</v>
      </c>
    </row>
    <row r="834" spans="1:9">
      <c r="A834" s="93" t="s">
        <v>4167</v>
      </c>
      <c r="B834" t="s">
        <v>1882</v>
      </c>
      <c r="C834" t="s">
        <v>2177</v>
      </c>
      <c r="E834" t="s">
        <v>2135</v>
      </c>
      <c r="G834" t="s">
        <v>2970</v>
      </c>
      <c r="H834" t="s">
        <v>2318</v>
      </c>
      <c r="I834" t="s">
        <v>4000</v>
      </c>
    </row>
    <row r="835" spans="1:9">
      <c r="A835" s="93" t="s">
        <v>4167</v>
      </c>
      <c r="B835" t="s">
        <v>1884</v>
      </c>
      <c r="C835" t="s">
        <v>2190</v>
      </c>
      <c r="E835" t="s">
        <v>2135</v>
      </c>
      <c r="G835" t="s">
        <v>2970</v>
      </c>
      <c r="H835" t="s">
        <v>2318</v>
      </c>
      <c r="I835" t="s">
        <v>4002</v>
      </c>
    </row>
    <row r="836" spans="1:9">
      <c r="A836" s="93" t="s">
        <v>4167</v>
      </c>
      <c r="B836" t="s">
        <v>1884</v>
      </c>
      <c r="C836" t="s">
        <v>2191</v>
      </c>
      <c r="E836" t="s">
        <v>2135</v>
      </c>
      <c r="G836" t="s">
        <v>2970</v>
      </c>
      <c r="H836" t="s">
        <v>2318</v>
      </c>
      <c r="I836" t="s">
        <v>4002</v>
      </c>
    </row>
    <row r="837" spans="1:9">
      <c r="A837" s="93" t="s">
        <v>4167</v>
      </c>
      <c r="B837" t="s">
        <v>1889</v>
      </c>
      <c r="C837" t="s">
        <v>2206</v>
      </c>
      <c r="E837" t="s">
        <v>2135</v>
      </c>
      <c r="G837" t="s">
        <v>2970</v>
      </c>
      <c r="H837" t="s">
        <v>2318</v>
      </c>
      <c r="I837" t="s">
        <v>4004</v>
      </c>
    </row>
    <row r="838" spans="1:9">
      <c r="A838" s="93" t="s">
        <v>4167</v>
      </c>
      <c r="B838" t="s">
        <v>1893</v>
      </c>
      <c r="C838" t="s">
        <v>2372</v>
      </c>
      <c r="D838" t="s">
        <v>2220</v>
      </c>
      <c r="E838" t="s">
        <v>2373</v>
      </c>
      <c r="F838" t="s">
        <v>2374</v>
      </c>
      <c r="G838" t="s">
        <v>2970</v>
      </c>
      <c r="H838" t="s">
        <v>3013</v>
      </c>
      <c r="I838" t="s">
        <v>4012</v>
      </c>
    </row>
    <row r="839" spans="1:9">
      <c r="A839" s="93" t="s">
        <v>4167</v>
      </c>
      <c r="B839" t="s">
        <v>1893</v>
      </c>
      <c r="C839" t="s">
        <v>2328</v>
      </c>
      <c r="D839" t="s">
        <v>2217</v>
      </c>
      <c r="E839" t="s">
        <v>2309</v>
      </c>
      <c r="F839" t="s">
        <v>2329</v>
      </c>
      <c r="G839" t="s">
        <v>2970</v>
      </c>
      <c r="H839" t="s">
        <v>2311</v>
      </c>
      <c r="I839" t="s">
        <v>4012</v>
      </c>
    </row>
    <row r="840" spans="1:9">
      <c r="A840" s="93" t="s">
        <v>4167</v>
      </c>
      <c r="B840" t="s">
        <v>1893</v>
      </c>
      <c r="C840" t="s">
        <v>2330</v>
      </c>
      <c r="D840" t="s">
        <v>2331</v>
      </c>
      <c r="E840" t="s">
        <v>2309</v>
      </c>
      <c r="F840" t="s">
        <v>2332</v>
      </c>
      <c r="G840" t="s">
        <v>2970</v>
      </c>
      <c r="H840" t="s">
        <v>2311</v>
      </c>
      <c r="I840" t="s">
        <v>4012</v>
      </c>
    </row>
    <row r="841" spans="1:9">
      <c r="A841" s="93" t="s">
        <v>4167</v>
      </c>
      <c r="B841" t="s">
        <v>1893</v>
      </c>
      <c r="C841" t="s">
        <v>2228</v>
      </c>
      <c r="E841" t="s">
        <v>2135</v>
      </c>
      <c r="G841" t="s">
        <v>2970</v>
      </c>
      <c r="H841" t="s">
        <v>2318</v>
      </c>
      <c r="I841" t="s">
        <v>4012</v>
      </c>
    </row>
    <row r="842" spans="1:9">
      <c r="A842" s="93" t="s">
        <v>4167</v>
      </c>
      <c r="B842" t="s">
        <v>1896</v>
      </c>
      <c r="C842" t="s">
        <v>2242</v>
      </c>
      <c r="D842" t="s">
        <v>2220</v>
      </c>
      <c r="E842" t="s">
        <v>2243</v>
      </c>
      <c r="F842" t="s">
        <v>2244</v>
      </c>
      <c r="G842" t="s">
        <v>2970</v>
      </c>
      <c r="H842" t="s">
        <v>3014</v>
      </c>
      <c r="I842" t="s">
        <v>4016</v>
      </c>
    </row>
    <row r="843" spans="1:9">
      <c r="A843" s="93" t="s">
        <v>4167</v>
      </c>
      <c r="B843" t="s">
        <v>1896</v>
      </c>
      <c r="C843" t="s">
        <v>2335</v>
      </c>
      <c r="E843" t="s">
        <v>2309</v>
      </c>
      <c r="F843" t="s">
        <v>2336</v>
      </c>
      <c r="G843" t="s">
        <v>2970</v>
      </c>
      <c r="H843" t="s">
        <v>2311</v>
      </c>
      <c r="I843" t="s">
        <v>4016</v>
      </c>
    </row>
    <row r="844" spans="1:9">
      <c r="A844" s="93" t="s">
        <v>4167</v>
      </c>
      <c r="B844" t="s">
        <v>1896</v>
      </c>
      <c r="C844" t="s">
        <v>2337</v>
      </c>
      <c r="D844" t="s">
        <v>2248</v>
      </c>
      <c r="E844" t="s">
        <v>2338</v>
      </c>
      <c r="G844" t="s">
        <v>2970</v>
      </c>
      <c r="H844" t="s">
        <v>2339</v>
      </c>
      <c r="I844" t="s">
        <v>4016</v>
      </c>
    </row>
    <row r="845" spans="1:9">
      <c r="A845" s="93" t="s">
        <v>4167</v>
      </c>
      <c r="B845" t="s">
        <v>1898</v>
      </c>
      <c r="C845" t="s">
        <v>2255</v>
      </c>
      <c r="D845" t="s">
        <v>2256</v>
      </c>
      <c r="E845" t="s">
        <v>2257</v>
      </c>
      <c r="G845" t="s">
        <v>2970</v>
      </c>
      <c r="H845" t="s">
        <v>2463</v>
      </c>
      <c r="I845" t="s">
        <v>4020</v>
      </c>
    </row>
    <row r="846" spans="1:9">
      <c r="A846" s="93" t="s">
        <v>4167</v>
      </c>
      <c r="B846" t="s">
        <v>1898</v>
      </c>
      <c r="C846" t="s">
        <v>2258</v>
      </c>
      <c r="D846" t="s">
        <v>2259</v>
      </c>
      <c r="E846" t="s">
        <v>2260</v>
      </c>
      <c r="F846" t="s">
        <v>2261</v>
      </c>
      <c r="G846" t="s">
        <v>2970</v>
      </c>
      <c r="H846" t="s">
        <v>3015</v>
      </c>
      <c r="I846" t="s">
        <v>4020</v>
      </c>
    </row>
    <row r="847" spans="1:9">
      <c r="A847" s="93" t="s">
        <v>4167</v>
      </c>
      <c r="B847" t="s">
        <v>1898</v>
      </c>
      <c r="C847" t="s">
        <v>3016</v>
      </c>
      <c r="D847" t="s">
        <v>2252</v>
      </c>
      <c r="E847" t="s">
        <v>3013</v>
      </c>
      <c r="G847" t="s">
        <v>2970</v>
      </c>
      <c r="H847" t="s">
        <v>3013</v>
      </c>
      <c r="I847" t="s">
        <v>4020</v>
      </c>
    </row>
    <row r="848" spans="1:9">
      <c r="A848" s="93" t="s">
        <v>4167</v>
      </c>
      <c r="B848" t="s">
        <v>1902</v>
      </c>
      <c r="C848" t="s">
        <v>2342</v>
      </c>
      <c r="E848" t="s">
        <v>2309</v>
      </c>
      <c r="F848" t="s">
        <v>2343</v>
      </c>
      <c r="G848" t="s">
        <v>2970</v>
      </c>
      <c r="H848" t="s">
        <v>2311</v>
      </c>
      <c r="I848" t="s">
        <v>4024</v>
      </c>
    </row>
    <row r="849" spans="1:9">
      <c r="A849" s="93" t="s">
        <v>4167</v>
      </c>
      <c r="B849" t="s">
        <v>1902</v>
      </c>
      <c r="C849" t="s">
        <v>2344</v>
      </c>
      <c r="D849" t="s">
        <v>2273</v>
      </c>
      <c r="E849" t="s">
        <v>2309</v>
      </c>
      <c r="F849" t="s">
        <v>2345</v>
      </c>
      <c r="G849" t="s">
        <v>2970</v>
      </c>
      <c r="H849" t="s">
        <v>2311</v>
      </c>
      <c r="I849" t="s">
        <v>4024</v>
      </c>
    </row>
    <row r="850" spans="1:9">
      <c r="A850" s="93" t="s">
        <v>4167</v>
      </c>
      <c r="B850" t="s">
        <v>1902</v>
      </c>
      <c r="C850" t="s">
        <v>2285</v>
      </c>
      <c r="E850" t="s">
        <v>2135</v>
      </c>
      <c r="G850" t="s">
        <v>2970</v>
      </c>
      <c r="H850" t="s">
        <v>2318</v>
      </c>
      <c r="I850" t="s">
        <v>4024</v>
      </c>
    </row>
    <row r="851" spans="1:9">
      <c r="A851" s="93" t="s">
        <v>4167</v>
      </c>
      <c r="B851" t="s">
        <v>3926</v>
      </c>
      <c r="C851" t="s">
        <v>2291</v>
      </c>
      <c r="E851" t="s">
        <v>2135</v>
      </c>
      <c r="F851" t="s">
        <v>2292</v>
      </c>
      <c r="G851" t="s">
        <v>2970</v>
      </c>
      <c r="H851" t="s">
        <v>2318</v>
      </c>
    </row>
    <row r="852" spans="1:9">
      <c r="A852" s="93" t="s">
        <v>4167</v>
      </c>
      <c r="B852" t="s">
        <v>3926</v>
      </c>
      <c r="C852" t="s">
        <v>2304</v>
      </c>
      <c r="D852" t="s">
        <v>2305</v>
      </c>
      <c r="E852" t="s">
        <v>2257</v>
      </c>
      <c r="F852" t="s">
        <v>2306</v>
      </c>
      <c r="G852" t="s">
        <v>2970</v>
      </c>
      <c r="H852" t="s">
        <v>2463</v>
      </c>
    </row>
    <row r="853" spans="1:9">
      <c r="A853" s="93" t="s">
        <v>4167</v>
      </c>
      <c r="B853" t="s">
        <v>3926</v>
      </c>
      <c r="C853" t="s">
        <v>2477</v>
      </c>
      <c r="D853" t="s">
        <v>2213</v>
      </c>
      <c r="E853" t="s">
        <v>2463</v>
      </c>
      <c r="F853" t="s">
        <v>2292</v>
      </c>
      <c r="G853" t="s">
        <v>2970</v>
      </c>
      <c r="H853" t="s">
        <v>2463</v>
      </c>
    </row>
    <row r="854" spans="1:9">
      <c r="A854" s="93" t="s">
        <v>4169</v>
      </c>
      <c r="B854" t="s">
        <v>1874</v>
      </c>
      <c r="C854" t="s">
        <v>2308</v>
      </c>
      <c r="D854" t="s">
        <v>2122</v>
      </c>
      <c r="E854" t="s">
        <v>2309</v>
      </c>
      <c r="F854" t="s">
        <v>2312</v>
      </c>
      <c r="G854" t="s">
        <v>2970</v>
      </c>
      <c r="H854" t="s">
        <v>2311</v>
      </c>
      <c r="I854" t="s">
        <v>3984</v>
      </c>
    </row>
    <row r="855" spans="1:9">
      <c r="A855" s="93" t="s">
        <v>4169</v>
      </c>
      <c r="B855" t="s">
        <v>1874</v>
      </c>
      <c r="C855" t="s">
        <v>2352</v>
      </c>
      <c r="E855" t="s">
        <v>1201</v>
      </c>
      <c r="G855" t="s">
        <v>2970</v>
      </c>
      <c r="H855" t="s">
        <v>1201</v>
      </c>
      <c r="I855" t="s">
        <v>3984</v>
      </c>
    </row>
    <row r="856" spans="1:9">
      <c r="A856" s="93" t="s">
        <v>4169</v>
      </c>
      <c r="B856" t="s">
        <v>1874</v>
      </c>
      <c r="C856" t="s">
        <v>2118</v>
      </c>
      <c r="E856" t="s">
        <v>2119</v>
      </c>
      <c r="G856" t="s">
        <v>2970</v>
      </c>
      <c r="H856" t="s">
        <v>1201</v>
      </c>
      <c r="I856" t="s">
        <v>3984</v>
      </c>
    </row>
    <row r="857" spans="1:9">
      <c r="A857" s="93" t="s">
        <v>4169</v>
      </c>
      <c r="B857" t="s">
        <v>1874</v>
      </c>
      <c r="C857" t="s">
        <v>2313</v>
      </c>
      <c r="D857" t="s">
        <v>2314</v>
      </c>
      <c r="E857" t="s">
        <v>2309</v>
      </c>
      <c r="G857" t="s">
        <v>2970</v>
      </c>
      <c r="H857" t="s">
        <v>2311</v>
      </c>
      <c r="I857" t="s">
        <v>3984</v>
      </c>
    </row>
    <row r="858" spans="1:9">
      <c r="A858" s="93" t="s">
        <v>4169</v>
      </c>
      <c r="B858" t="s">
        <v>1874</v>
      </c>
      <c r="C858" t="s">
        <v>2315</v>
      </c>
      <c r="D858" t="s">
        <v>2314</v>
      </c>
      <c r="E858" t="s">
        <v>2309</v>
      </c>
      <c r="G858" t="s">
        <v>2970</v>
      </c>
      <c r="H858" t="s">
        <v>2311</v>
      </c>
      <c r="I858" t="s">
        <v>3984</v>
      </c>
    </row>
    <row r="859" spans="1:9">
      <c r="A859" s="93" t="s">
        <v>4169</v>
      </c>
      <c r="B859" t="s">
        <v>1874</v>
      </c>
      <c r="C859" t="s">
        <v>2316</v>
      </c>
      <c r="D859" t="s">
        <v>2124</v>
      </c>
      <c r="E859" t="s">
        <v>2309</v>
      </c>
      <c r="G859" t="s">
        <v>2970</v>
      </c>
      <c r="H859" t="s">
        <v>2311</v>
      </c>
      <c r="I859" t="s">
        <v>3984</v>
      </c>
    </row>
    <row r="860" spans="1:9">
      <c r="A860" s="93" t="s">
        <v>4169</v>
      </c>
      <c r="B860" t="s">
        <v>1875</v>
      </c>
      <c r="C860" t="s">
        <v>2134</v>
      </c>
      <c r="E860" t="s">
        <v>2135</v>
      </c>
      <c r="F860" t="s">
        <v>2137</v>
      </c>
      <c r="G860" t="s">
        <v>2970</v>
      </c>
      <c r="H860" t="s">
        <v>2318</v>
      </c>
      <c r="I860" t="s">
        <v>3988</v>
      </c>
    </row>
    <row r="861" spans="1:9">
      <c r="A861" s="93" t="s">
        <v>4169</v>
      </c>
      <c r="B861" t="s">
        <v>1882</v>
      </c>
      <c r="C861" t="s">
        <v>2169</v>
      </c>
      <c r="D861" t="s">
        <v>2129</v>
      </c>
      <c r="E861" t="s">
        <v>2170</v>
      </c>
      <c r="G861" t="s">
        <v>2970</v>
      </c>
      <c r="H861" t="s">
        <v>2318</v>
      </c>
      <c r="I861" t="s">
        <v>4000</v>
      </c>
    </row>
    <row r="862" spans="1:9">
      <c r="A862" s="93" t="s">
        <v>4169</v>
      </c>
      <c r="B862" t="s">
        <v>1882</v>
      </c>
      <c r="C862" t="s">
        <v>2171</v>
      </c>
      <c r="D862" t="s">
        <v>2129</v>
      </c>
      <c r="E862" t="s">
        <v>2135</v>
      </c>
      <c r="G862" t="s">
        <v>2970</v>
      </c>
      <c r="H862" t="s">
        <v>2318</v>
      </c>
      <c r="I862" t="s">
        <v>4000</v>
      </c>
    </row>
    <row r="863" spans="1:9">
      <c r="A863" s="93" t="s">
        <v>4169</v>
      </c>
      <c r="B863" t="s">
        <v>1882</v>
      </c>
      <c r="C863" t="s">
        <v>2172</v>
      </c>
      <c r="D863" t="s">
        <v>2129</v>
      </c>
      <c r="E863" t="s">
        <v>2135</v>
      </c>
      <c r="G863" t="s">
        <v>2970</v>
      </c>
      <c r="H863" t="s">
        <v>2318</v>
      </c>
      <c r="I863" t="s">
        <v>4000</v>
      </c>
    </row>
    <row r="864" spans="1:9">
      <c r="A864" s="93" t="s">
        <v>4169</v>
      </c>
      <c r="B864" t="s">
        <v>1882</v>
      </c>
      <c r="C864" t="s">
        <v>2173</v>
      </c>
      <c r="D864" t="s">
        <v>2174</v>
      </c>
      <c r="E864" t="s">
        <v>2135</v>
      </c>
      <c r="G864" t="s">
        <v>2970</v>
      </c>
      <c r="H864" t="s">
        <v>2318</v>
      </c>
      <c r="I864" t="s">
        <v>4000</v>
      </c>
    </row>
    <row r="865" spans="1:9">
      <c r="A865" s="93" t="s">
        <v>4169</v>
      </c>
      <c r="B865" t="s">
        <v>1882</v>
      </c>
      <c r="C865" t="s">
        <v>2175</v>
      </c>
      <c r="E865" t="s">
        <v>2135</v>
      </c>
      <c r="G865" t="s">
        <v>2970</v>
      </c>
      <c r="H865" t="s">
        <v>2318</v>
      </c>
      <c r="I865" t="s">
        <v>4000</v>
      </c>
    </row>
    <row r="866" spans="1:9">
      <c r="A866" s="93" t="s">
        <v>4169</v>
      </c>
      <c r="B866" t="s">
        <v>1882</v>
      </c>
      <c r="C866" t="s">
        <v>2176</v>
      </c>
      <c r="E866" t="s">
        <v>2135</v>
      </c>
      <c r="G866" t="s">
        <v>2970</v>
      </c>
      <c r="H866" t="s">
        <v>2318</v>
      </c>
      <c r="I866" t="s">
        <v>4000</v>
      </c>
    </row>
    <row r="867" spans="1:9">
      <c r="A867" s="93" t="s">
        <v>4169</v>
      </c>
      <c r="B867" t="s">
        <v>1882</v>
      </c>
      <c r="C867" t="s">
        <v>2177</v>
      </c>
      <c r="E867" t="s">
        <v>2135</v>
      </c>
      <c r="G867" t="s">
        <v>2970</v>
      </c>
      <c r="H867" t="s">
        <v>2318</v>
      </c>
      <c r="I867" t="s">
        <v>4000</v>
      </c>
    </row>
    <row r="868" spans="1:9">
      <c r="A868" s="93" t="s">
        <v>4169</v>
      </c>
      <c r="B868" t="s">
        <v>1884</v>
      </c>
      <c r="C868" t="s">
        <v>2190</v>
      </c>
      <c r="E868" t="s">
        <v>2135</v>
      </c>
      <c r="G868" t="s">
        <v>2970</v>
      </c>
      <c r="H868" t="s">
        <v>2318</v>
      </c>
      <c r="I868" t="s">
        <v>4002</v>
      </c>
    </row>
    <row r="869" spans="1:9">
      <c r="A869" s="93" t="s">
        <v>4169</v>
      </c>
      <c r="B869" t="s">
        <v>1884</v>
      </c>
      <c r="C869" t="s">
        <v>2191</v>
      </c>
      <c r="E869" t="s">
        <v>2135</v>
      </c>
      <c r="G869" t="s">
        <v>2970</v>
      </c>
      <c r="H869" t="s">
        <v>2318</v>
      </c>
      <c r="I869" t="s">
        <v>4002</v>
      </c>
    </row>
    <row r="870" spans="1:9">
      <c r="A870" s="93" t="s">
        <v>4169</v>
      </c>
      <c r="B870" t="s">
        <v>1889</v>
      </c>
      <c r="C870" t="s">
        <v>2206</v>
      </c>
      <c r="E870" t="s">
        <v>2135</v>
      </c>
      <c r="G870" t="s">
        <v>2970</v>
      </c>
      <c r="H870" t="s">
        <v>2318</v>
      </c>
      <c r="I870" t="s">
        <v>4004</v>
      </c>
    </row>
    <row r="871" spans="1:9">
      <c r="A871" s="93" t="s">
        <v>4169</v>
      </c>
      <c r="B871" t="s">
        <v>1893</v>
      </c>
      <c r="C871" t="s">
        <v>2328</v>
      </c>
      <c r="D871" t="s">
        <v>2217</v>
      </c>
      <c r="E871" t="s">
        <v>2309</v>
      </c>
      <c r="F871" t="s">
        <v>2329</v>
      </c>
      <c r="G871" t="s">
        <v>2970</v>
      </c>
      <c r="H871" t="s">
        <v>2311</v>
      </c>
      <c r="I871" t="s">
        <v>4012</v>
      </c>
    </row>
    <row r="872" spans="1:9">
      <c r="A872" s="93" t="s">
        <v>4169</v>
      </c>
      <c r="B872" t="s">
        <v>1893</v>
      </c>
      <c r="C872" t="s">
        <v>2330</v>
      </c>
      <c r="D872" t="s">
        <v>2331</v>
      </c>
      <c r="E872" t="s">
        <v>2309</v>
      </c>
      <c r="F872" t="s">
        <v>2332</v>
      </c>
      <c r="G872" t="s">
        <v>2970</v>
      </c>
      <c r="H872" t="s">
        <v>2311</v>
      </c>
      <c r="I872" t="s">
        <v>4012</v>
      </c>
    </row>
    <row r="873" spans="1:9">
      <c r="A873" s="93" t="s">
        <v>4169</v>
      </c>
      <c r="B873" t="s">
        <v>1893</v>
      </c>
      <c r="C873" t="s">
        <v>2228</v>
      </c>
      <c r="E873" t="s">
        <v>2135</v>
      </c>
      <c r="G873" t="s">
        <v>2970</v>
      </c>
      <c r="H873" t="s">
        <v>2318</v>
      </c>
      <c r="I873" t="s">
        <v>4012</v>
      </c>
    </row>
    <row r="874" spans="1:9">
      <c r="A874" s="93" t="s">
        <v>4169</v>
      </c>
      <c r="B874" t="s">
        <v>1896</v>
      </c>
      <c r="C874" t="s">
        <v>2242</v>
      </c>
      <c r="D874" t="s">
        <v>2220</v>
      </c>
      <c r="E874" t="s">
        <v>2243</v>
      </c>
      <c r="F874" t="s">
        <v>2244</v>
      </c>
      <c r="G874" t="s">
        <v>2970</v>
      </c>
      <c r="H874" t="s">
        <v>2976</v>
      </c>
      <c r="I874" t="s">
        <v>4016</v>
      </c>
    </row>
    <row r="875" spans="1:9">
      <c r="A875" s="93" t="s">
        <v>4169</v>
      </c>
      <c r="B875" t="s">
        <v>1896</v>
      </c>
      <c r="C875" t="s">
        <v>2335</v>
      </c>
      <c r="E875" t="s">
        <v>2309</v>
      </c>
      <c r="F875" t="s">
        <v>2336</v>
      </c>
      <c r="G875" t="s">
        <v>2970</v>
      </c>
      <c r="H875" t="s">
        <v>2311</v>
      </c>
      <c r="I875" t="s">
        <v>4016</v>
      </c>
    </row>
    <row r="876" spans="1:9">
      <c r="A876" s="93" t="s">
        <v>4169</v>
      </c>
      <c r="B876" t="s">
        <v>1896</v>
      </c>
      <c r="C876" t="s">
        <v>2337</v>
      </c>
      <c r="D876" t="s">
        <v>2248</v>
      </c>
      <c r="E876" t="s">
        <v>2338</v>
      </c>
      <c r="G876" t="s">
        <v>2970</v>
      </c>
      <c r="H876" t="s">
        <v>2339</v>
      </c>
      <c r="I876" t="s">
        <v>4016</v>
      </c>
    </row>
    <row r="877" spans="1:9">
      <c r="A877" s="93" t="s">
        <v>4169</v>
      </c>
      <c r="B877" t="s">
        <v>1898</v>
      </c>
      <c r="C877" t="s">
        <v>2258</v>
      </c>
      <c r="D877" t="s">
        <v>2259</v>
      </c>
      <c r="E877" t="s">
        <v>2260</v>
      </c>
      <c r="F877" t="s">
        <v>2261</v>
      </c>
      <c r="G877" t="s">
        <v>2970</v>
      </c>
      <c r="H877" t="s">
        <v>2775</v>
      </c>
      <c r="I877" t="s">
        <v>4020</v>
      </c>
    </row>
    <row r="878" spans="1:9">
      <c r="A878" s="93" t="s">
        <v>4169</v>
      </c>
      <c r="B878" t="s">
        <v>1898</v>
      </c>
      <c r="C878" t="s">
        <v>3001</v>
      </c>
      <c r="E878" t="s">
        <v>3002</v>
      </c>
      <c r="G878" t="s">
        <v>2970</v>
      </c>
      <c r="H878" t="s">
        <v>3003</v>
      </c>
      <c r="I878" t="s">
        <v>4020</v>
      </c>
    </row>
    <row r="879" spans="1:9">
      <c r="A879" s="93" t="s">
        <v>4169</v>
      </c>
      <c r="B879" t="s">
        <v>1902</v>
      </c>
      <c r="C879" t="s">
        <v>2342</v>
      </c>
      <c r="E879" t="s">
        <v>2309</v>
      </c>
      <c r="F879" t="s">
        <v>2343</v>
      </c>
      <c r="G879" t="s">
        <v>2970</v>
      </c>
      <c r="H879" t="s">
        <v>2311</v>
      </c>
      <c r="I879" t="s">
        <v>4024</v>
      </c>
    </row>
    <row r="880" spans="1:9">
      <c r="A880" s="93" t="s">
        <v>4169</v>
      </c>
      <c r="B880" t="s">
        <v>1902</v>
      </c>
      <c r="C880" t="s">
        <v>2344</v>
      </c>
      <c r="D880" t="s">
        <v>2273</v>
      </c>
      <c r="E880" t="s">
        <v>2309</v>
      </c>
      <c r="F880" t="s">
        <v>2345</v>
      </c>
      <c r="G880" t="s">
        <v>2970</v>
      </c>
      <c r="H880" t="s">
        <v>2311</v>
      </c>
      <c r="I880" t="s">
        <v>4024</v>
      </c>
    </row>
    <row r="881" spans="1:9">
      <c r="A881" s="93" t="s">
        <v>4169</v>
      </c>
      <c r="B881" t="s">
        <v>1902</v>
      </c>
      <c r="C881" t="s">
        <v>2285</v>
      </c>
      <c r="E881" t="s">
        <v>2135</v>
      </c>
      <c r="G881" t="s">
        <v>2970</v>
      </c>
      <c r="H881" t="s">
        <v>2318</v>
      </c>
      <c r="I881" t="s">
        <v>4024</v>
      </c>
    </row>
    <row r="882" spans="1:9">
      <c r="A882" s="93" t="s">
        <v>4169</v>
      </c>
      <c r="B882" t="s">
        <v>3926</v>
      </c>
      <c r="C882" t="s">
        <v>2291</v>
      </c>
      <c r="E882" t="s">
        <v>2135</v>
      </c>
      <c r="F882" t="s">
        <v>2292</v>
      </c>
      <c r="G882" t="s">
        <v>2970</v>
      </c>
      <c r="H882" t="s">
        <v>2318</v>
      </c>
    </row>
    <row r="883" spans="1:9">
      <c r="A883" s="93" t="s">
        <v>4171</v>
      </c>
      <c r="B883" t="s">
        <v>1874</v>
      </c>
      <c r="C883" t="s">
        <v>2114</v>
      </c>
      <c r="D883" t="s">
        <v>2115</v>
      </c>
      <c r="E883" t="s">
        <v>1559</v>
      </c>
      <c r="F883" t="s">
        <v>2117</v>
      </c>
      <c r="G883" t="s">
        <v>2970</v>
      </c>
      <c r="H883" t="s">
        <v>108</v>
      </c>
      <c r="I883" t="s">
        <v>3984</v>
      </c>
    </row>
    <row r="884" spans="1:9">
      <c r="A884" s="93" t="s">
        <v>4171</v>
      </c>
      <c r="B884" t="s">
        <v>1874</v>
      </c>
      <c r="C884" t="s">
        <v>2352</v>
      </c>
      <c r="E884" t="s">
        <v>1201</v>
      </c>
      <c r="G884" t="s">
        <v>2970</v>
      </c>
      <c r="H884" t="s">
        <v>1201</v>
      </c>
      <c r="I884" t="s">
        <v>3984</v>
      </c>
    </row>
    <row r="885" spans="1:9">
      <c r="A885" s="93" t="s">
        <v>4171</v>
      </c>
      <c r="B885" t="s">
        <v>1874</v>
      </c>
      <c r="C885" t="s">
        <v>2118</v>
      </c>
      <c r="E885" t="s">
        <v>2119</v>
      </c>
      <c r="G885" t="s">
        <v>2970</v>
      </c>
      <c r="H885" t="s">
        <v>2119</v>
      </c>
      <c r="I885" t="s">
        <v>3984</v>
      </c>
    </row>
    <row r="886" spans="1:9">
      <c r="A886" s="93" t="s">
        <v>4171</v>
      </c>
      <c r="B886" t="s">
        <v>1874</v>
      </c>
      <c r="C886" t="s">
        <v>2121</v>
      </c>
      <c r="D886" t="s">
        <v>2122</v>
      </c>
      <c r="E886" t="s">
        <v>108</v>
      </c>
      <c r="G886" t="s">
        <v>2970</v>
      </c>
      <c r="H886" t="s">
        <v>108</v>
      </c>
      <c r="I886" t="s">
        <v>3984</v>
      </c>
    </row>
    <row r="887" spans="1:9">
      <c r="A887" s="93" t="s">
        <v>4171</v>
      </c>
      <c r="B887" t="s">
        <v>1874</v>
      </c>
      <c r="C887" t="s">
        <v>2123</v>
      </c>
      <c r="D887" t="s">
        <v>2124</v>
      </c>
      <c r="E887" t="s">
        <v>108</v>
      </c>
      <c r="F887" t="s">
        <v>2125</v>
      </c>
      <c r="G887" t="s">
        <v>2970</v>
      </c>
      <c r="H887" t="s">
        <v>108</v>
      </c>
      <c r="I887" t="s">
        <v>3984</v>
      </c>
    </row>
    <row r="888" spans="1:9">
      <c r="A888" s="93" t="s">
        <v>4171</v>
      </c>
      <c r="B888" t="s">
        <v>1874</v>
      </c>
      <c r="C888" t="s">
        <v>2126</v>
      </c>
      <c r="E888" t="s">
        <v>108</v>
      </c>
      <c r="G888" t="s">
        <v>2970</v>
      </c>
      <c r="H888" t="s">
        <v>108</v>
      </c>
      <c r="I888" t="s">
        <v>3984</v>
      </c>
    </row>
    <row r="889" spans="1:9">
      <c r="A889" s="93" t="s">
        <v>4171</v>
      </c>
      <c r="B889" t="s">
        <v>1875</v>
      </c>
      <c r="C889" t="s">
        <v>2128</v>
      </c>
      <c r="D889" t="s">
        <v>2129</v>
      </c>
      <c r="E889" t="s">
        <v>108</v>
      </c>
      <c r="G889" t="s">
        <v>2970</v>
      </c>
      <c r="H889" t="s">
        <v>108</v>
      </c>
      <c r="I889" t="s">
        <v>3988</v>
      </c>
    </row>
    <row r="890" spans="1:9">
      <c r="A890" s="93" t="s">
        <v>4171</v>
      </c>
      <c r="B890" t="s">
        <v>1875</v>
      </c>
      <c r="C890" t="s">
        <v>2130</v>
      </c>
      <c r="D890" t="s">
        <v>2131</v>
      </c>
      <c r="E890" t="s">
        <v>108</v>
      </c>
      <c r="F890" t="s">
        <v>2132</v>
      </c>
      <c r="G890" t="s">
        <v>2970</v>
      </c>
      <c r="H890" t="s">
        <v>108</v>
      </c>
      <c r="I890" t="s">
        <v>3988</v>
      </c>
    </row>
    <row r="891" spans="1:9">
      <c r="A891" s="93" t="s">
        <v>4171</v>
      </c>
      <c r="B891" t="s">
        <v>1875</v>
      </c>
      <c r="C891" t="s">
        <v>2133</v>
      </c>
      <c r="D891" t="s">
        <v>2131</v>
      </c>
      <c r="E891" t="s">
        <v>108</v>
      </c>
      <c r="G891" t="s">
        <v>2970</v>
      </c>
      <c r="H891" t="s">
        <v>108</v>
      </c>
      <c r="I891" t="s">
        <v>3988</v>
      </c>
    </row>
    <row r="892" spans="1:9">
      <c r="A892" s="93" t="s">
        <v>4171</v>
      </c>
      <c r="B892" t="s">
        <v>1875</v>
      </c>
      <c r="C892" t="s">
        <v>2134</v>
      </c>
      <c r="E892" t="s">
        <v>2135</v>
      </c>
      <c r="F892" t="s">
        <v>2137</v>
      </c>
      <c r="G892" t="s">
        <v>2970</v>
      </c>
      <c r="H892" t="s">
        <v>2136</v>
      </c>
      <c r="I892" t="s">
        <v>3988</v>
      </c>
    </row>
    <row r="893" spans="1:9">
      <c r="A893" s="93" t="s">
        <v>4171</v>
      </c>
      <c r="B893" t="s">
        <v>1875</v>
      </c>
      <c r="C893" t="s">
        <v>2138</v>
      </c>
      <c r="D893" t="s">
        <v>2139</v>
      </c>
      <c r="E893" t="s">
        <v>108</v>
      </c>
      <c r="F893" t="s">
        <v>2140</v>
      </c>
      <c r="G893" t="s">
        <v>2970</v>
      </c>
      <c r="H893" t="s">
        <v>108</v>
      </c>
      <c r="I893" t="s">
        <v>3988</v>
      </c>
    </row>
    <row r="894" spans="1:9">
      <c r="A894" s="93" t="s">
        <v>4171</v>
      </c>
      <c r="B894" t="s">
        <v>3697</v>
      </c>
      <c r="C894" t="s">
        <v>2142</v>
      </c>
      <c r="D894" t="s">
        <v>2143</v>
      </c>
      <c r="E894" t="s">
        <v>108</v>
      </c>
      <c r="G894" t="s">
        <v>2970</v>
      </c>
      <c r="H894" t="s">
        <v>108</v>
      </c>
      <c r="I894" t="s">
        <v>3992</v>
      </c>
    </row>
    <row r="895" spans="1:9">
      <c r="A895" s="93" t="s">
        <v>4171</v>
      </c>
      <c r="B895" t="s">
        <v>3697</v>
      </c>
      <c r="C895" t="s">
        <v>2144</v>
      </c>
      <c r="D895" t="s">
        <v>2143</v>
      </c>
      <c r="E895" t="s">
        <v>2145</v>
      </c>
      <c r="G895" t="s">
        <v>2970</v>
      </c>
      <c r="H895" t="s">
        <v>2979</v>
      </c>
      <c r="I895" t="s">
        <v>3992</v>
      </c>
    </row>
    <row r="896" spans="1:9">
      <c r="A896" s="93" t="s">
        <v>4171</v>
      </c>
      <c r="B896" t="s">
        <v>3697</v>
      </c>
      <c r="C896" t="s">
        <v>2146</v>
      </c>
      <c r="D896" t="s">
        <v>2143</v>
      </c>
      <c r="E896" t="s">
        <v>2147</v>
      </c>
      <c r="F896" t="s">
        <v>2148</v>
      </c>
      <c r="G896" t="s">
        <v>2970</v>
      </c>
      <c r="H896" t="s">
        <v>108</v>
      </c>
      <c r="I896" t="s">
        <v>3992</v>
      </c>
    </row>
    <row r="897" spans="1:9">
      <c r="A897" s="93" t="s">
        <v>4171</v>
      </c>
      <c r="B897" t="s">
        <v>3697</v>
      </c>
      <c r="C897" t="s">
        <v>2149</v>
      </c>
      <c r="D897" t="s">
        <v>2143</v>
      </c>
      <c r="E897" t="s">
        <v>108</v>
      </c>
      <c r="G897" t="s">
        <v>2970</v>
      </c>
      <c r="H897" t="s">
        <v>108</v>
      </c>
      <c r="I897" t="s">
        <v>3992</v>
      </c>
    </row>
    <row r="898" spans="1:9">
      <c r="A898" s="93" t="s">
        <v>4171</v>
      </c>
      <c r="B898" t="s">
        <v>1881</v>
      </c>
      <c r="C898" t="s">
        <v>2151</v>
      </c>
      <c r="D898" t="s">
        <v>2152</v>
      </c>
      <c r="E898" t="s">
        <v>2153</v>
      </c>
      <c r="G898" t="s">
        <v>2970</v>
      </c>
      <c r="H898" t="s">
        <v>108</v>
      </c>
      <c r="I898" t="s">
        <v>3996</v>
      </c>
    </row>
    <row r="899" spans="1:9">
      <c r="A899" s="93" t="s">
        <v>4171</v>
      </c>
      <c r="B899" t="s">
        <v>1881</v>
      </c>
      <c r="C899" t="s">
        <v>2154</v>
      </c>
      <c r="D899" t="s">
        <v>2155</v>
      </c>
      <c r="E899" t="s">
        <v>108</v>
      </c>
      <c r="G899" t="s">
        <v>2970</v>
      </c>
      <c r="H899" t="s">
        <v>108</v>
      </c>
      <c r="I899" t="s">
        <v>3996</v>
      </c>
    </row>
    <row r="900" spans="1:9">
      <c r="A900" s="93" t="s">
        <v>4171</v>
      </c>
      <c r="B900" t="s">
        <v>1881</v>
      </c>
      <c r="C900" t="s">
        <v>2156</v>
      </c>
      <c r="D900" t="s">
        <v>2152</v>
      </c>
      <c r="E900" t="s">
        <v>2157</v>
      </c>
      <c r="G900" t="s">
        <v>2970</v>
      </c>
      <c r="H900" t="s">
        <v>108</v>
      </c>
      <c r="I900" t="s">
        <v>3996</v>
      </c>
    </row>
    <row r="901" spans="1:9">
      <c r="A901" s="93" t="s">
        <v>4171</v>
      </c>
      <c r="B901" t="s">
        <v>1881</v>
      </c>
      <c r="C901" t="s">
        <v>2158</v>
      </c>
      <c r="D901" t="s">
        <v>2155</v>
      </c>
      <c r="E901" t="s">
        <v>2159</v>
      </c>
      <c r="F901" t="s">
        <v>2160</v>
      </c>
      <c r="G901" t="s">
        <v>2970</v>
      </c>
      <c r="H901" t="s">
        <v>108</v>
      </c>
      <c r="I901" t="s">
        <v>3996</v>
      </c>
    </row>
    <row r="902" spans="1:9">
      <c r="A902" s="93" t="s">
        <v>4171</v>
      </c>
      <c r="B902" t="s">
        <v>1881</v>
      </c>
      <c r="C902" t="s">
        <v>2161</v>
      </c>
      <c r="D902" t="s">
        <v>2162</v>
      </c>
      <c r="E902" t="s">
        <v>108</v>
      </c>
      <c r="F902" t="s">
        <v>2163</v>
      </c>
      <c r="G902" t="s">
        <v>2970</v>
      </c>
      <c r="H902" t="s">
        <v>108</v>
      </c>
      <c r="I902" t="s">
        <v>3996</v>
      </c>
    </row>
    <row r="903" spans="1:9">
      <c r="A903" s="93" t="s">
        <v>4171</v>
      </c>
      <c r="B903" t="s">
        <v>1881</v>
      </c>
      <c r="C903" t="s">
        <v>2164</v>
      </c>
      <c r="D903" t="s">
        <v>2162</v>
      </c>
      <c r="E903" t="s">
        <v>108</v>
      </c>
      <c r="G903" t="s">
        <v>2970</v>
      </c>
      <c r="H903" t="s">
        <v>108</v>
      </c>
      <c r="I903" t="s">
        <v>3996</v>
      </c>
    </row>
    <row r="904" spans="1:9">
      <c r="A904" s="93" t="s">
        <v>4171</v>
      </c>
      <c r="B904" t="s">
        <v>1882</v>
      </c>
      <c r="C904" t="s">
        <v>2166</v>
      </c>
      <c r="D904" t="s">
        <v>2167</v>
      </c>
      <c r="E904" t="s">
        <v>108</v>
      </c>
      <c r="F904" t="s">
        <v>2168</v>
      </c>
      <c r="G904" t="s">
        <v>2970</v>
      </c>
      <c r="H904" t="s">
        <v>108</v>
      </c>
      <c r="I904" t="s">
        <v>4000</v>
      </c>
    </row>
    <row r="905" spans="1:9">
      <c r="A905" s="93" t="s">
        <v>4171</v>
      </c>
      <c r="B905" t="s">
        <v>1882</v>
      </c>
      <c r="C905" t="s">
        <v>2169</v>
      </c>
      <c r="D905" t="s">
        <v>2129</v>
      </c>
      <c r="E905" t="s">
        <v>2170</v>
      </c>
      <c r="G905" t="s">
        <v>2970</v>
      </c>
      <c r="H905" t="s">
        <v>2136</v>
      </c>
      <c r="I905" t="s">
        <v>4000</v>
      </c>
    </row>
    <row r="906" spans="1:9">
      <c r="A906" s="93" t="s">
        <v>4171</v>
      </c>
      <c r="B906" t="s">
        <v>1882</v>
      </c>
      <c r="C906" t="s">
        <v>2171</v>
      </c>
      <c r="D906" t="s">
        <v>2129</v>
      </c>
      <c r="E906" t="s">
        <v>2135</v>
      </c>
      <c r="G906" t="s">
        <v>2970</v>
      </c>
      <c r="H906" t="s">
        <v>2136</v>
      </c>
      <c r="I906" t="s">
        <v>4000</v>
      </c>
    </row>
    <row r="907" spans="1:9">
      <c r="A907" s="93" t="s">
        <v>4171</v>
      </c>
      <c r="B907" t="s">
        <v>1882</v>
      </c>
      <c r="C907" t="s">
        <v>2172</v>
      </c>
      <c r="D907" t="s">
        <v>2129</v>
      </c>
      <c r="E907" t="s">
        <v>2135</v>
      </c>
      <c r="G907" t="s">
        <v>2970</v>
      </c>
      <c r="H907" t="s">
        <v>2136</v>
      </c>
      <c r="I907" t="s">
        <v>4000</v>
      </c>
    </row>
    <row r="908" spans="1:9">
      <c r="A908" s="93" t="s">
        <v>4171</v>
      </c>
      <c r="B908" t="s">
        <v>1882</v>
      </c>
      <c r="C908" t="s">
        <v>2173</v>
      </c>
      <c r="D908" t="s">
        <v>2174</v>
      </c>
      <c r="E908" t="s">
        <v>2135</v>
      </c>
      <c r="G908" t="s">
        <v>2970</v>
      </c>
      <c r="H908" t="s">
        <v>2136</v>
      </c>
      <c r="I908" t="s">
        <v>4000</v>
      </c>
    </row>
    <row r="909" spans="1:9">
      <c r="A909" s="93" t="s">
        <v>4171</v>
      </c>
      <c r="B909" t="s">
        <v>1882</v>
      </c>
      <c r="C909" t="s">
        <v>2175</v>
      </c>
      <c r="E909" t="s">
        <v>2135</v>
      </c>
      <c r="G909" t="s">
        <v>2970</v>
      </c>
      <c r="H909" t="s">
        <v>2136</v>
      </c>
      <c r="I909" t="s">
        <v>4000</v>
      </c>
    </row>
    <row r="910" spans="1:9">
      <c r="A910" s="93" t="s">
        <v>4171</v>
      </c>
      <c r="B910" t="s">
        <v>1882</v>
      </c>
      <c r="C910" t="s">
        <v>2176</v>
      </c>
      <c r="E910" t="s">
        <v>2135</v>
      </c>
      <c r="G910" t="s">
        <v>2970</v>
      </c>
      <c r="H910" t="s">
        <v>2136</v>
      </c>
      <c r="I910" t="s">
        <v>4000</v>
      </c>
    </row>
    <row r="911" spans="1:9">
      <c r="A911" s="93" t="s">
        <v>4171</v>
      </c>
      <c r="B911" t="s">
        <v>1882</v>
      </c>
      <c r="C911" t="s">
        <v>2177</v>
      </c>
      <c r="E911" t="s">
        <v>2135</v>
      </c>
      <c r="G911" t="s">
        <v>2970</v>
      </c>
      <c r="H911" t="s">
        <v>2136</v>
      </c>
      <c r="I911" t="s">
        <v>4000</v>
      </c>
    </row>
    <row r="912" spans="1:9">
      <c r="A912" s="93" t="s">
        <v>4171</v>
      </c>
      <c r="B912" t="s">
        <v>1884</v>
      </c>
      <c r="C912" t="s">
        <v>2179</v>
      </c>
      <c r="D912" t="s">
        <v>2180</v>
      </c>
      <c r="E912" t="s">
        <v>108</v>
      </c>
      <c r="G912" t="s">
        <v>2970</v>
      </c>
      <c r="H912" t="s">
        <v>108</v>
      </c>
      <c r="I912" t="s">
        <v>4002</v>
      </c>
    </row>
    <row r="913" spans="1:9">
      <c r="A913" s="93" t="s">
        <v>4171</v>
      </c>
      <c r="B913" t="s">
        <v>1884</v>
      </c>
      <c r="C913" t="s">
        <v>2181</v>
      </c>
      <c r="D913" t="s">
        <v>2182</v>
      </c>
      <c r="E913" t="s">
        <v>108</v>
      </c>
      <c r="G913" t="s">
        <v>2970</v>
      </c>
      <c r="H913" t="s">
        <v>108</v>
      </c>
      <c r="I913" t="s">
        <v>4002</v>
      </c>
    </row>
    <row r="914" spans="1:9">
      <c r="A914" s="93" t="s">
        <v>4171</v>
      </c>
      <c r="B914" t="s">
        <v>1884</v>
      </c>
      <c r="C914" t="s">
        <v>2183</v>
      </c>
      <c r="D914" t="s">
        <v>2182</v>
      </c>
      <c r="E914" t="s">
        <v>2184</v>
      </c>
      <c r="F914" t="s">
        <v>2185</v>
      </c>
      <c r="G914" t="s">
        <v>2970</v>
      </c>
      <c r="H914" t="s">
        <v>108</v>
      </c>
      <c r="I914" t="s">
        <v>4002</v>
      </c>
    </row>
    <row r="915" spans="1:9">
      <c r="A915" s="93" t="s">
        <v>4171</v>
      </c>
      <c r="B915" t="s">
        <v>1884</v>
      </c>
      <c r="C915" t="s">
        <v>2186</v>
      </c>
      <c r="D915" t="s">
        <v>2187</v>
      </c>
      <c r="E915" t="s">
        <v>108</v>
      </c>
      <c r="G915" t="s">
        <v>2970</v>
      </c>
      <c r="H915" t="s">
        <v>108</v>
      </c>
      <c r="I915" t="s">
        <v>4002</v>
      </c>
    </row>
    <row r="916" spans="1:9">
      <c r="A916" s="93" t="s">
        <v>4171</v>
      </c>
      <c r="B916" t="s">
        <v>1884</v>
      </c>
      <c r="C916" t="s">
        <v>2188</v>
      </c>
      <c r="E916" t="s">
        <v>2189</v>
      </c>
      <c r="G916" t="s">
        <v>2970</v>
      </c>
      <c r="H916" t="s">
        <v>108</v>
      </c>
      <c r="I916" t="s">
        <v>4002</v>
      </c>
    </row>
    <row r="917" spans="1:9">
      <c r="A917" s="93" t="s">
        <v>4171</v>
      </c>
      <c r="B917" t="s">
        <v>1884</v>
      </c>
      <c r="C917" t="s">
        <v>2190</v>
      </c>
      <c r="E917" t="s">
        <v>2135</v>
      </c>
      <c r="G917" t="s">
        <v>2970</v>
      </c>
      <c r="H917" t="s">
        <v>2136</v>
      </c>
      <c r="I917" t="s">
        <v>4002</v>
      </c>
    </row>
    <row r="918" spans="1:9">
      <c r="A918" s="93" t="s">
        <v>4171</v>
      </c>
      <c r="B918" t="s">
        <v>1884</v>
      </c>
      <c r="C918" t="s">
        <v>2191</v>
      </c>
      <c r="E918" t="s">
        <v>2135</v>
      </c>
      <c r="G918" t="s">
        <v>2970</v>
      </c>
      <c r="H918" t="s">
        <v>2136</v>
      </c>
      <c r="I918" t="s">
        <v>4002</v>
      </c>
    </row>
    <row r="919" spans="1:9">
      <c r="A919" s="93" t="s">
        <v>4171</v>
      </c>
      <c r="B919" t="s">
        <v>1884</v>
      </c>
      <c r="C919" t="s">
        <v>2192</v>
      </c>
      <c r="D919" t="s">
        <v>2182</v>
      </c>
      <c r="E919" t="s">
        <v>2193</v>
      </c>
      <c r="G919" t="s">
        <v>2970</v>
      </c>
      <c r="H919" t="s">
        <v>2193</v>
      </c>
      <c r="I919" t="s">
        <v>4002</v>
      </c>
    </row>
    <row r="920" spans="1:9">
      <c r="A920" s="93" t="s">
        <v>4171</v>
      </c>
      <c r="B920" t="s">
        <v>1884</v>
      </c>
      <c r="C920" t="s">
        <v>2194</v>
      </c>
      <c r="D920" t="s">
        <v>2187</v>
      </c>
      <c r="E920" t="s">
        <v>108</v>
      </c>
      <c r="G920" t="s">
        <v>2970</v>
      </c>
      <c r="H920" t="s">
        <v>108</v>
      </c>
      <c r="I920" t="s">
        <v>4002</v>
      </c>
    </row>
    <row r="921" spans="1:9">
      <c r="A921" s="93" t="s">
        <v>4171</v>
      </c>
      <c r="B921" t="s">
        <v>1889</v>
      </c>
      <c r="C921" t="s">
        <v>2196</v>
      </c>
      <c r="E921" t="s">
        <v>2193</v>
      </c>
      <c r="G921" t="s">
        <v>2970</v>
      </c>
      <c r="H921" t="s">
        <v>2193</v>
      </c>
      <c r="I921" t="s">
        <v>4004</v>
      </c>
    </row>
    <row r="922" spans="1:9">
      <c r="A922" s="93" t="s">
        <v>4171</v>
      </c>
      <c r="B922" t="s">
        <v>1889</v>
      </c>
      <c r="C922" t="s">
        <v>2197</v>
      </c>
      <c r="E922" t="s">
        <v>2193</v>
      </c>
      <c r="G922" t="s">
        <v>2970</v>
      </c>
      <c r="H922" t="s">
        <v>2193</v>
      </c>
      <c r="I922" t="s">
        <v>4004</v>
      </c>
    </row>
    <row r="923" spans="1:9">
      <c r="A923" s="93" t="s">
        <v>4171</v>
      </c>
      <c r="B923" t="s">
        <v>1889</v>
      </c>
      <c r="C923" t="s">
        <v>2198</v>
      </c>
      <c r="E923" t="s">
        <v>2199</v>
      </c>
      <c r="G923" t="s">
        <v>2970</v>
      </c>
      <c r="H923" t="s">
        <v>2193</v>
      </c>
      <c r="I923" t="s">
        <v>4004</v>
      </c>
    </row>
    <row r="924" spans="1:9">
      <c r="A924" s="93" t="s">
        <v>4171</v>
      </c>
      <c r="B924" t="s">
        <v>1889</v>
      </c>
      <c r="C924" t="s">
        <v>2200</v>
      </c>
      <c r="D924" t="s">
        <v>2182</v>
      </c>
      <c r="E924" t="s">
        <v>108</v>
      </c>
      <c r="G924" t="s">
        <v>2970</v>
      </c>
      <c r="H924" t="s">
        <v>108</v>
      </c>
      <c r="I924" t="s">
        <v>4004</v>
      </c>
    </row>
    <row r="925" spans="1:9">
      <c r="A925" s="93" t="s">
        <v>4171</v>
      </c>
      <c r="B925" t="s">
        <v>1889</v>
      </c>
      <c r="C925" t="s">
        <v>2201</v>
      </c>
      <c r="D925" t="s">
        <v>2182</v>
      </c>
      <c r="E925" t="s">
        <v>108</v>
      </c>
      <c r="G925" t="s">
        <v>2970</v>
      </c>
      <c r="H925" t="s">
        <v>108</v>
      </c>
      <c r="I925" t="s">
        <v>4004</v>
      </c>
    </row>
    <row r="926" spans="1:9">
      <c r="A926" s="93" t="s">
        <v>4171</v>
      </c>
      <c r="B926" t="s">
        <v>1889</v>
      </c>
      <c r="C926" t="s">
        <v>2202</v>
      </c>
      <c r="D926" t="s">
        <v>2174</v>
      </c>
      <c r="E926" t="s">
        <v>108</v>
      </c>
      <c r="G926" t="s">
        <v>2970</v>
      </c>
      <c r="H926" t="s">
        <v>108</v>
      </c>
      <c r="I926" t="s">
        <v>4004</v>
      </c>
    </row>
    <row r="927" spans="1:9">
      <c r="A927" s="93" t="s">
        <v>4171</v>
      </c>
      <c r="B927" t="s">
        <v>1889</v>
      </c>
      <c r="C927" t="s">
        <v>2203</v>
      </c>
      <c r="D927" t="s">
        <v>2204</v>
      </c>
      <c r="E927" t="s">
        <v>2193</v>
      </c>
      <c r="G927" t="s">
        <v>2970</v>
      </c>
      <c r="H927" t="s">
        <v>2193</v>
      </c>
      <c r="I927" t="s">
        <v>4004</v>
      </c>
    </row>
    <row r="928" spans="1:9">
      <c r="A928" s="93" t="s">
        <v>4171</v>
      </c>
      <c r="B928" t="s">
        <v>1889</v>
      </c>
      <c r="C928" t="s">
        <v>2205</v>
      </c>
      <c r="D928" t="s">
        <v>2204</v>
      </c>
      <c r="E928" t="s">
        <v>2193</v>
      </c>
      <c r="G928" t="s">
        <v>2970</v>
      </c>
      <c r="H928" t="s">
        <v>2193</v>
      </c>
      <c r="I928" t="s">
        <v>4004</v>
      </c>
    </row>
    <row r="929" spans="1:9">
      <c r="A929" s="93" t="s">
        <v>4171</v>
      </c>
      <c r="B929" t="s">
        <v>1889</v>
      </c>
      <c r="C929" t="s">
        <v>2206</v>
      </c>
      <c r="E929" t="s">
        <v>2135</v>
      </c>
      <c r="G929" t="s">
        <v>2970</v>
      </c>
      <c r="H929" t="s">
        <v>2136</v>
      </c>
      <c r="I929" t="s">
        <v>4004</v>
      </c>
    </row>
    <row r="930" spans="1:9">
      <c r="A930" s="93" t="s">
        <v>4171</v>
      </c>
      <c r="B930" t="s">
        <v>1889</v>
      </c>
      <c r="C930" t="s">
        <v>2207</v>
      </c>
      <c r="D930" t="s">
        <v>2204</v>
      </c>
      <c r="E930" t="s">
        <v>108</v>
      </c>
      <c r="F930" t="s">
        <v>2208</v>
      </c>
      <c r="G930" t="s">
        <v>2970</v>
      </c>
      <c r="H930" t="s">
        <v>108</v>
      </c>
      <c r="I930" t="s">
        <v>4004</v>
      </c>
    </row>
    <row r="931" spans="1:9">
      <c r="A931" s="93" t="s">
        <v>4171</v>
      </c>
      <c r="B931" t="s">
        <v>1891</v>
      </c>
      <c r="C931" t="s">
        <v>2210</v>
      </c>
      <c r="D931" t="s">
        <v>2211</v>
      </c>
      <c r="E931" t="s">
        <v>108</v>
      </c>
      <c r="G931" t="s">
        <v>2970</v>
      </c>
      <c r="H931" t="s">
        <v>108</v>
      </c>
      <c r="I931" t="s">
        <v>4008</v>
      </c>
    </row>
    <row r="932" spans="1:9">
      <c r="A932" s="93" t="s">
        <v>4171</v>
      </c>
      <c r="B932" t="s">
        <v>1891</v>
      </c>
      <c r="C932" t="s">
        <v>2212</v>
      </c>
      <c r="D932" t="s">
        <v>2213</v>
      </c>
      <c r="E932" t="s">
        <v>108</v>
      </c>
      <c r="G932" t="s">
        <v>2970</v>
      </c>
      <c r="H932" t="s">
        <v>108</v>
      </c>
      <c r="I932" t="s">
        <v>4008</v>
      </c>
    </row>
    <row r="933" spans="1:9">
      <c r="A933" s="93" t="s">
        <v>4171</v>
      </c>
      <c r="B933" t="s">
        <v>1891</v>
      </c>
      <c r="C933" t="s">
        <v>2214</v>
      </c>
      <c r="D933" t="s">
        <v>2213</v>
      </c>
      <c r="E933" t="s">
        <v>108</v>
      </c>
      <c r="G933" t="s">
        <v>2970</v>
      </c>
      <c r="H933" t="s">
        <v>108</v>
      </c>
      <c r="I933" t="s">
        <v>4008</v>
      </c>
    </row>
    <row r="934" spans="1:9">
      <c r="A934" s="93" t="s">
        <v>4171</v>
      </c>
      <c r="B934" t="s">
        <v>1893</v>
      </c>
      <c r="C934" t="s">
        <v>2216</v>
      </c>
      <c r="D934" t="s">
        <v>2217</v>
      </c>
      <c r="E934" t="s">
        <v>2193</v>
      </c>
      <c r="F934" t="s">
        <v>2218</v>
      </c>
      <c r="G934" t="s">
        <v>2970</v>
      </c>
      <c r="H934" t="s">
        <v>2193</v>
      </c>
      <c r="I934" t="s">
        <v>4012</v>
      </c>
    </row>
    <row r="935" spans="1:9">
      <c r="A935" s="93" t="s">
        <v>4171</v>
      </c>
      <c r="B935" t="s">
        <v>1893</v>
      </c>
      <c r="C935" t="s">
        <v>2219</v>
      </c>
      <c r="D935" t="s">
        <v>2220</v>
      </c>
      <c r="E935" t="s">
        <v>108</v>
      </c>
      <c r="F935" t="s">
        <v>2221</v>
      </c>
      <c r="G935" t="s">
        <v>2970</v>
      </c>
      <c r="H935" t="s">
        <v>108</v>
      </c>
      <c r="I935" t="s">
        <v>4012</v>
      </c>
    </row>
    <row r="936" spans="1:9">
      <c r="A936" s="93" t="s">
        <v>4171</v>
      </c>
      <c r="B936" t="s">
        <v>1893</v>
      </c>
      <c r="C936" t="s">
        <v>2222</v>
      </c>
      <c r="D936" t="s">
        <v>2223</v>
      </c>
      <c r="E936" t="s">
        <v>108</v>
      </c>
      <c r="F936" t="s">
        <v>2224</v>
      </c>
      <c r="G936" t="s">
        <v>2970</v>
      </c>
      <c r="H936" t="s">
        <v>108</v>
      </c>
      <c r="I936" t="s">
        <v>4012</v>
      </c>
    </row>
    <row r="937" spans="1:9">
      <c r="A937" s="93" t="s">
        <v>4171</v>
      </c>
      <c r="B937" t="s">
        <v>1893</v>
      </c>
      <c r="C937" t="s">
        <v>2225</v>
      </c>
      <c r="D937" t="s">
        <v>2226</v>
      </c>
      <c r="E937" t="s">
        <v>108</v>
      </c>
      <c r="F937" t="s">
        <v>2227</v>
      </c>
      <c r="G937" t="s">
        <v>2970</v>
      </c>
      <c r="H937" t="s">
        <v>108</v>
      </c>
      <c r="I937" t="s">
        <v>4012</v>
      </c>
    </row>
    <row r="938" spans="1:9">
      <c r="A938" s="93" t="s">
        <v>4171</v>
      </c>
      <c r="B938" t="s">
        <v>1893</v>
      </c>
      <c r="C938" t="s">
        <v>2228</v>
      </c>
      <c r="E938" t="s">
        <v>2135</v>
      </c>
      <c r="G938" t="s">
        <v>2970</v>
      </c>
      <c r="H938" t="s">
        <v>2136</v>
      </c>
      <c r="I938" t="s">
        <v>4012</v>
      </c>
    </row>
    <row r="939" spans="1:9">
      <c r="A939" s="93" t="s">
        <v>4171</v>
      </c>
      <c r="B939" t="s">
        <v>1896</v>
      </c>
      <c r="C939" t="s">
        <v>2230</v>
      </c>
      <c r="D939" t="s">
        <v>2220</v>
      </c>
      <c r="E939" t="s">
        <v>108</v>
      </c>
      <c r="F939" t="s">
        <v>2231</v>
      </c>
      <c r="G939" t="s">
        <v>2970</v>
      </c>
      <c r="H939" t="s">
        <v>108</v>
      </c>
      <c r="I939" t="s">
        <v>4016</v>
      </c>
    </row>
    <row r="940" spans="1:9">
      <c r="A940" s="93" t="s">
        <v>4171</v>
      </c>
      <c r="B940" t="s">
        <v>1896</v>
      </c>
      <c r="C940" t="s">
        <v>2232</v>
      </c>
      <c r="D940" t="s">
        <v>2220</v>
      </c>
      <c r="E940" t="s">
        <v>108</v>
      </c>
      <c r="G940" t="s">
        <v>2970</v>
      </c>
      <c r="H940" t="s">
        <v>108</v>
      </c>
      <c r="I940" t="s">
        <v>4016</v>
      </c>
    </row>
    <row r="941" spans="1:9">
      <c r="A941" s="93" t="s">
        <v>4171</v>
      </c>
      <c r="B941" t="s">
        <v>1896</v>
      </c>
      <c r="C941" t="s">
        <v>2233</v>
      </c>
      <c r="D941" t="s">
        <v>2234</v>
      </c>
      <c r="E941" t="s">
        <v>108</v>
      </c>
      <c r="F941" t="s">
        <v>2235</v>
      </c>
      <c r="G941" t="s">
        <v>2970</v>
      </c>
      <c r="H941" t="s">
        <v>108</v>
      </c>
      <c r="I941" t="s">
        <v>4016</v>
      </c>
    </row>
    <row r="942" spans="1:9">
      <c r="A942" s="93" t="s">
        <v>4171</v>
      </c>
      <c r="B942" t="s">
        <v>1896</v>
      </c>
      <c r="C942" t="s">
        <v>2236</v>
      </c>
      <c r="D942" t="s">
        <v>2237</v>
      </c>
      <c r="E942" t="s">
        <v>108</v>
      </c>
      <c r="F942" t="s">
        <v>2231</v>
      </c>
      <c r="G942" t="s">
        <v>2970</v>
      </c>
      <c r="H942" t="s">
        <v>108</v>
      </c>
      <c r="I942" t="s">
        <v>4016</v>
      </c>
    </row>
    <row r="943" spans="1:9">
      <c r="A943" s="93" t="s">
        <v>4171</v>
      </c>
      <c r="B943" t="s">
        <v>1896</v>
      </c>
      <c r="C943" t="s">
        <v>2238</v>
      </c>
      <c r="D943" t="s">
        <v>2237</v>
      </c>
      <c r="E943" t="s">
        <v>108</v>
      </c>
      <c r="F943" t="s">
        <v>2239</v>
      </c>
      <c r="G943" t="s">
        <v>2970</v>
      </c>
      <c r="H943" t="s">
        <v>108</v>
      </c>
      <c r="I943" t="s">
        <v>4016</v>
      </c>
    </row>
    <row r="944" spans="1:9">
      <c r="A944" s="93" t="s">
        <v>4171</v>
      </c>
      <c r="B944" t="s">
        <v>1896</v>
      </c>
      <c r="C944" t="s">
        <v>2240</v>
      </c>
      <c r="D944" t="s">
        <v>2241</v>
      </c>
      <c r="E944" t="s">
        <v>2193</v>
      </c>
      <c r="G944" t="s">
        <v>2970</v>
      </c>
      <c r="H944" t="s">
        <v>2193</v>
      </c>
      <c r="I944" t="s">
        <v>4016</v>
      </c>
    </row>
    <row r="945" spans="1:9">
      <c r="A945" s="93" t="s">
        <v>4171</v>
      </c>
      <c r="B945" t="s">
        <v>1896</v>
      </c>
      <c r="C945" t="s">
        <v>2242</v>
      </c>
      <c r="D945" t="s">
        <v>2220</v>
      </c>
      <c r="E945" t="s">
        <v>2243</v>
      </c>
      <c r="F945" t="s">
        <v>2244</v>
      </c>
      <c r="G945" t="s">
        <v>2970</v>
      </c>
      <c r="H945" t="s">
        <v>2982</v>
      </c>
      <c r="I945" t="s">
        <v>4016</v>
      </c>
    </row>
    <row r="946" spans="1:9">
      <c r="A946" s="93" t="s">
        <v>4171</v>
      </c>
      <c r="B946" t="s">
        <v>1896</v>
      </c>
      <c r="C946" t="s">
        <v>2245</v>
      </c>
      <c r="D946" t="s">
        <v>2241</v>
      </c>
      <c r="E946" t="s">
        <v>2246</v>
      </c>
      <c r="G946" t="s">
        <v>2970</v>
      </c>
      <c r="H946" t="s">
        <v>108</v>
      </c>
      <c r="I946" t="s">
        <v>4016</v>
      </c>
    </row>
    <row r="947" spans="1:9">
      <c r="A947" s="93" t="s">
        <v>4171</v>
      </c>
      <c r="B947" t="s">
        <v>1896</v>
      </c>
      <c r="C947" t="s">
        <v>2247</v>
      </c>
      <c r="D947" t="s">
        <v>2248</v>
      </c>
      <c r="E947" t="s">
        <v>108</v>
      </c>
      <c r="F947" t="s">
        <v>2249</v>
      </c>
      <c r="G947" t="s">
        <v>2970</v>
      </c>
      <c r="H947" t="s">
        <v>108</v>
      </c>
      <c r="I947" t="s">
        <v>4016</v>
      </c>
    </row>
    <row r="948" spans="1:9">
      <c r="A948" s="93" t="s">
        <v>4171</v>
      </c>
      <c r="B948" t="s">
        <v>1898</v>
      </c>
      <c r="C948" t="s">
        <v>2251</v>
      </c>
      <c r="D948" t="s">
        <v>2252</v>
      </c>
      <c r="E948" t="s">
        <v>108</v>
      </c>
      <c r="G948" t="s">
        <v>2970</v>
      </c>
      <c r="H948" t="s">
        <v>108</v>
      </c>
      <c r="I948" t="s">
        <v>4020</v>
      </c>
    </row>
    <row r="949" spans="1:9">
      <c r="A949" s="93" t="s">
        <v>4171</v>
      </c>
      <c r="B949" t="s">
        <v>1898</v>
      </c>
      <c r="C949" t="s">
        <v>2253</v>
      </c>
      <c r="D949" t="s">
        <v>2252</v>
      </c>
      <c r="E949" t="s">
        <v>2193</v>
      </c>
      <c r="F949" t="s">
        <v>2254</v>
      </c>
      <c r="G949" t="s">
        <v>2970</v>
      </c>
      <c r="H949" t="s">
        <v>2193</v>
      </c>
      <c r="I949" t="s">
        <v>4020</v>
      </c>
    </row>
    <row r="950" spans="1:9">
      <c r="A950" s="93" t="s">
        <v>4171</v>
      </c>
      <c r="B950" t="s">
        <v>1898</v>
      </c>
      <c r="C950" t="s">
        <v>2255</v>
      </c>
      <c r="D950" t="s">
        <v>2256</v>
      </c>
      <c r="E950" t="s">
        <v>2257</v>
      </c>
      <c r="G950" t="s">
        <v>2970</v>
      </c>
      <c r="H950" t="s">
        <v>108</v>
      </c>
      <c r="I950" t="s">
        <v>4020</v>
      </c>
    </row>
    <row r="951" spans="1:9">
      <c r="A951" s="93" t="s">
        <v>4171</v>
      </c>
      <c r="B951" t="s">
        <v>1898</v>
      </c>
      <c r="C951" t="s">
        <v>2258</v>
      </c>
      <c r="D951" t="s">
        <v>2259</v>
      </c>
      <c r="E951" t="s">
        <v>2260</v>
      </c>
      <c r="F951" t="s">
        <v>2261</v>
      </c>
      <c r="G951" t="s">
        <v>2970</v>
      </c>
      <c r="H951" t="s">
        <v>2984</v>
      </c>
      <c r="I951" t="s">
        <v>4020</v>
      </c>
    </row>
    <row r="952" spans="1:9">
      <c r="A952" s="93" t="s">
        <v>4171</v>
      </c>
      <c r="B952" t="s">
        <v>1898</v>
      </c>
      <c r="C952" t="s">
        <v>2262</v>
      </c>
      <c r="D952" t="s">
        <v>2259</v>
      </c>
      <c r="E952" t="s">
        <v>2147</v>
      </c>
      <c r="F952" t="s">
        <v>2263</v>
      </c>
      <c r="G952" t="s">
        <v>2970</v>
      </c>
      <c r="H952" t="s">
        <v>108</v>
      </c>
      <c r="I952" t="s">
        <v>4020</v>
      </c>
    </row>
    <row r="953" spans="1:9">
      <c r="A953" s="93" t="s">
        <v>4171</v>
      </c>
      <c r="B953" t="s">
        <v>1898</v>
      </c>
      <c r="C953" t="s">
        <v>2264</v>
      </c>
      <c r="D953" t="s">
        <v>2252</v>
      </c>
      <c r="E953" t="s">
        <v>2265</v>
      </c>
      <c r="G953" t="s">
        <v>2970</v>
      </c>
      <c r="H953" t="s">
        <v>108</v>
      </c>
      <c r="I953" t="s">
        <v>4020</v>
      </c>
    </row>
    <row r="954" spans="1:9">
      <c r="A954" s="93" t="s">
        <v>4171</v>
      </c>
      <c r="B954" t="s">
        <v>1898</v>
      </c>
      <c r="C954" t="s">
        <v>2266</v>
      </c>
      <c r="D954" t="s">
        <v>2252</v>
      </c>
      <c r="E954" t="s">
        <v>2267</v>
      </c>
      <c r="F954" t="s">
        <v>2268</v>
      </c>
      <c r="G954" t="s">
        <v>2970</v>
      </c>
      <c r="H954" t="s">
        <v>108</v>
      </c>
      <c r="I954" t="s">
        <v>4020</v>
      </c>
    </row>
    <row r="955" spans="1:9">
      <c r="A955" s="93" t="s">
        <v>4171</v>
      </c>
      <c r="B955" t="s">
        <v>1898</v>
      </c>
      <c r="C955" t="s">
        <v>2269</v>
      </c>
      <c r="D955" t="s">
        <v>2252</v>
      </c>
      <c r="E955" t="s">
        <v>2270</v>
      </c>
      <c r="G955" t="s">
        <v>2970</v>
      </c>
      <c r="H955" t="s">
        <v>108</v>
      </c>
      <c r="I955" t="s">
        <v>4020</v>
      </c>
    </row>
    <row r="956" spans="1:9">
      <c r="A956" s="93" t="s">
        <v>4171</v>
      </c>
      <c r="B956" t="s">
        <v>1902</v>
      </c>
      <c r="C956" t="s">
        <v>2272</v>
      </c>
      <c r="D956" t="s">
        <v>2273</v>
      </c>
      <c r="E956" t="s">
        <v>2274</v>
      </c>
      <c r="F956" t="s">
        <v>2275</v>
      </c>
      <c r="G956" t="s">
        <v>2970</v>
      </c>
      <c r="H956" t="s">
        <v>108</v>
      </c>
      <c r="I956" t="s">
        <v>4024</v>
      </c>
    </row>
    <row r="957" spans="1:9">
      <c r="A957" s="93" t="s">
        <v>4171</v>
      </c>
      <c r="B957" t="s">
        <v>1902</v>
      </c>
      <c r="C957" t="s">
        <v>2276</v>
      </c>
      <c r="D957" t="s">
        <v>2248</v>
      </c>
      <c r="E957" t="s">
        <v>2277</v>
      </c>
      <c r="F957" t="s">
        <v>2278</v>
      </c>
      <c r="G957" t="s">
        <v>2970</v>
      </c>
      <c r="H957" t="s">
        <v>108</v>
      </c>
      <c r="I957" t="s">
        <v>4024</v>
      </c>
    </row>
    <row r="958" spans="1:9">
      <c r="A958" s="93" t="s">
        <v>4171</v>
      </c>
      <c r="B958" t="s">
        <v>1902</v>
      </c>
      <c r="C958" t="s">
        <v>2279</v>
      </c>
      <c r="D958" t="s">
        <v>2280</v>
      </c>
      <c r="E958" t="s">
        <v>2281</v>
      </c>
      <c r="F958" t="s">
        <v>2282</v>
      </c>
      <c r="G958" t="s">
        <v>2970</v>
      </c>
      <c r="H958" t="s">
        <v>108</v>
      </c>
      <c r="I958" t="s">
        <v>4024</v>
      </c>
    </row>
    <row r="959" spans="1:9">
      <c r="A959" s="93" t="s">
        <v>4171</v>
      </c>
      <c r="B959" t="s">
        <v>1902</v>
      </c>
      <c r="C959" t="s">
        <v>2283</v>
      </c>
      <c r="D959" t="s">
        <v>2273</v>
      </c>
      <c r="E959" t="s">
        <v>108</v>
      </c>
      <c r="F959" t="s">
        <v>2284</v>
      </c>
      <c r="G959" t="s">
        <v>2970</v>
      </c>
      <c r="H959" t="s">
        <v>108</v>
      </c>
      <c r="I959" t="s">
        <v>4024</v>
      </c>
    </row>
    <row r="960" spans="1:9">
      <c r="A960" s="93" t="s">
        <v>4171</v>
      </c>
      <c r="B960" t="s">
        <v>1902</v>
      </c>
      <c r="C960" t="s">
        <v>2285</v>
      </c>
      <c r="E960" t="s">
        <v>2135</v>
      </c>
      <c r="G960" t="s">
        <v>2970</v>
      </c>
      <c r="H960" t="s">
        <v>2136</v>
      </c>
      <c r="I960" t="s">
        <v>4024</v>
      </c>
    </row>
    <row r="961" spans="1:9">
      <c r="A961" s="93" t="s">
        <v>4171</v>
      </c>
      <c r="B961" t="s">
        <v>1902</v>
      </c>
      <c r="C961" t="s">
        <v>2286</v>
      </c>
      <c r="E961" t="s">
        <v>108</v>
      </c>
      <c r="G961" t="s">
        <v>2970</v>
      </c>
      <c r="H961" t="s">
        <v>108</v>
      </c>
      <c r="I961" t="s">
        <v>4024</v>
      </c>
    </row>
    <row r="962" spans="1:9">
      <c r="A962" s="93" t="s">
        <v>4171</v>
      </c>
      <c r="B962" t="s">
        <v>1902</v>
      </c>
      <c r="C962" t="s">
        <v>2287</v>
      </c>
      <c r="D962" t="s">
        <v>2273</v>
      </c>
      <c r="E962" t="s">
        <v>2288</v>
      </c>
      <c r="F962" t="s">
        <v>2289</v>
      </c>
      <c r="G962" t="s">
        <v>2970</v>
      </c>
      <c r="H962" t="s">
        <v>2288</v>
      </c>
      <c r="I962" t="s">
        <v>4024</v>
      </c>
    </row>
    <row r="963" spans="1:9">
      <c r="A963" s="93" t="s">
        <v>4171</v>
      </c>
      <c r="B963" t="s">
        <v>3926</v>
      </c>
      <c r="C963" t="s">
        <v>2291</v>
      </c>
      <c r="E963" t="s">
        <v>2135</v>
      </c>
      <c r="F963" t="s">
        <v>2292</v>
      </c>
      <c r="G963" t="s">
        <v>2970</v>
      </c>
      <c r="H963" t="s">
        <v>2136</v>
      </c>
    </row>
    <row r="964" spans="1:9">
      <c r="A964" s="93" t="s">
        <v>4171</v>
      </c>
      <c r="B964" t="s">
        <v>3926</v>
      </c>
      <c r="C964" t="s">
        <v>2293</v>
      </c>
      <c r="D964" t="s">
        <v>2294</v>
      </c>
      <c r="E964" t="s">
        <v>2295</v>
      </c>
      <c r="F964" t="s">
        <v>2296</v>
      </c>
      <c r="G964" t="s">
        <v>2970</v>
      </c>
      <c r="H964" t="s">
        <v>108</v>
      </c>
    </row>
    <row r="965" spans="1:9">
      <c r="A965" s="93" t="s">
        <v>4171</v>
      </c>
      <c r="B965" t="s">
        <v>3926</v>
      </c>
      <c r="C965" t="s">
        <v>2297</v>
      </c>
      <c r="D965" t="s">
        <v>2298</v>
      </c>
      <c r="E965" t="s">
        <v>108</v>
      </c>
      <c r="F965" t="s">
        <v>2299</v>
      </c>
      <c r="G965" t="s">
        <v>2970</v>
      </c>
      <c r="H965" t="s">
        <v>108</v>
      </c>
    </row>
    <row r="966" spans="1:9">
      <c r="A966" s="93" t="s">
        <v>4171</v>
      </c>
      <c r="B966" t="s">
        <v>3926</v>
      </c>
      <c r="C966" t="s">
        <v>2300</v>
      </c>
      <c r="D966" t="s">
        <v>2294</v>
      </c>
      <c r="E966" t="s">
        <v>108</v>
      </c>
      <c r="F966" t="s">
        <v>2299</v>
      </c>
      <c r="G966" t="s">
        <v>2970</v>
      </c>
      <c r="H966" t="s">
        <v>108</v>
      </c>
    </row>
    <row r="967" spans="1:9">
      <c r="A967" s="93" t="s">
        <v>4171</v>
      </c>
      <c r="B967" t="s">
        <v>3926</v>
      </c>
      <c r="C967" t="s">
        <v>2301</v>
      </c>
      <c r="D967" t="s">
        <v>2302</v>
      </c>
      <c r="E967" t="s">
        <v>2193</v>
      </c>
      <c r="F967" t="s">
        <v>2303</v>
      </c>
      <c r="G967" t="s">
        <v>2970</v>
      </c>
      <c r="H967" t="s">
        <v>2193</v>
      </c>
    </row>
    <row r="968" spans="1:9">
      <c r="A968" s="93" t="s">
        <v>4171</v>
      </c>
      <c r="B968" t="s">
        <v>3926</v>
      </c>
      <c r="C968" t="s">
        <v>2304</v>
      </c>
      <c r="D968" t="s">
        <v>2305</v>
      </c>
      <c r="E968" t="s">
        <v>2257</v>
      </c>
      <c r="F968" t="s">
        <v>2306</v>
      </c>
      <c r="G968" t="s">
        <v>2970</v>
      </c>
      <c r="H968" t="s">
        <v>108</v>
      </c>
    </row>
    <row r="969" spans="1:9">
      <c r="A969" s="93" t="s">
        <v>4173</v>
      </c>
      <c r="B969" t="s">
        <v>1874</v>
      </c>
      <c r="C969" t="s">
        <v>2308</v>
      </c>
      <c r="D969" t="s">
        <v>2122</v>
      </c>
      <c r="E969" t="s">
        <v>2309</v>
      </c>
      <c r="F969" t="s">
        <v>2312</v>
      </c>
      <c r="G969" t="s">
        <v>2970</v>
      </c>
      <c r="H969" t="s">
        <v>2311</v>
      </c>
      <c r="I969" t="s">
        <v>3984</v>
      </c>
    </row>
    <row r="970" spans="1:9">
      <c r="A970" s="93" t="s">
        <v>4173</v>
      </c>
      <c r="B970" t="s">
        <v>1874</v>
      </c>
      <c r="C970" t="s">
        <v>2352</v>
      </c>
      <c r="E970" t="s">
        <v>1201</v>
      </c>
      <c r="G970" t="s">
        <v>2970</v>
      </c>
      <c r="H970" t="s">
        <v>1201</v>
      </c>
      <c r="I970" t="s">
        <v>3984</v>
      </c>
    </row>
    <row r="971" spans="1:9">
      <c r="A971" s="93" t="s">
        <v>4173</v>
      </c>
      <c r="B971" t="s">
        <v>1874</v>
      </c>
      <c r="C971" t="s">
        <v>2118</v>
      </c>
      <c r="E971" t="s">
        <v>2119</v>
      </c>
      <c r="G971" t="s">
        <v>2970</v>
      </c>
      <c r="H971" t="s">
        <v>1201</v>
      </c>
      <c r="I971" t="s">
        <v>3984</v>
      </c>
    </row>
    <row r="972" spans="1:9">
      <c r="A972" s="93" t="s">
        <v>4173</v>
      </c>
      <c r="B972" t="s">
        <v>1874</v>
      </c>
      <c r="C972" t="s">
        <v>2313</v>
      </c>
      <c r="D972" t="s">
        <v>2314</v>
      </c>
      <c r="E972" t="s">
        <v>2309</v>
      </c>
      <c r="G972" t="s">
        <v>2970</v>
      </c>
      <c r="H972" t="s">
        <v>2311</v>
      </c>
      <c r="I972" t="s">
        <v>3984</v>
      </c>
    </row>
    <row r="973" spans="1:9">
      <c r="A973" s="93" t="s">
        <v>4173</v>
      </c>
      <c r="B973" t="s">
        <v>1874</v>
      </c>
      <c r="C973" t="s">
        <v>2315</v>
      </c>
      <c r="D973" t="s">
        <v>2314</v>
      </c>
      <c r="E973" t="s">
        <v>2309</v>
      </c>
      <c r="G973" t="s">
        <v>2970</v>
      </c>
      <c r="H973" t="s">
        <v>2311</v>
      </c>
      <c r="I973" t="s">
        <v>3984</v>
      </c>
    </row>
    <row r="974" spans="1:9">
      <c r="A974" s="93" t="s">
        <v>4173</v>
      </c>
      <c r="B974" t="s">
        <v>1874</v>
      </c>
      <c r="C974" t="s">
        <v>2316</v>
      </c>
      <c r="D974" t="s">
        <v>2124</v>
      </c>
      <c r="E974" t="s">
        <v>2309</v>
      </c>
      <c r="G974" t="s">
        <v>2970</v>
      </c>
      <c r="H974" t="s">
        <v>2311</v>
      </c>
      <c r="I974" t="s">
        <v>3984</v>
      </c>
    </row>
    <row r="975" spans="1:9">
      <c r="A975" s="93" t="s">
        <v>4173</v>
      </c>
      <c r="B975" t="s">
        <v>1875</v>
      </c>
      <c r="C975" t="s">
        <v>2134</v>
      </c>
      <c r="E975" t="s">
        <v>2135</v>
      </c>
      <c r="F975" t="s">
        <v>2137</v>
      </c>
      <c r="G975" t="s">
        <v>2970</v>
      </c>
      <c r="H975" t="s">
        <v>2318</v>
      </c>
      <c r="I975" t="s">
        <v>3988</v>
      </c>
    </row>
    <row r="976" spans="1:9">
      <c r="A976" s="93" t="s">
        <v>4173</v>
      </c>
      <c r="B976" t="s">
        <v>3697</v>
      </c>
      <c r="C976" t="s">
        <v>2144</v>
      </c>
      <c r="D976" t="s">
        <v>2143</v>
      </c>
      <c r="E976" t="s">
        <v>2145</v>
      </c>
      <c r="G976" t="s">
        <v>2970</v>
      </c>
      <c r="H976" t="s">
        <v>2990</v>
      </c>
      <c r="I976" t="s">
        <v>3992</v>
      </c>
    </row>
    <row r="977" spans="1:9">
      <c r="A977" s="93" t="s">
        <v>4173</v>
      </c>
      <c r="B977" t="s">
        <v>1881</v>
      </c>
      <c r="C977" t="s">
        <v>2465</v>
      </c>
      <c r="D977" t="s">
        <v>2248</v>
      </c>
      <c r="E977" t="s">
        <v>2466</v>
      </c>
      <c r="G977" t="s">
        <v>2970</v>
      </c>
      <c r="H977" t="s">
        <v>2463</v>
      </c>
      <c r="I977" t="s">
        <v>3996</v>
      </c>
    </row>
    <row r="978" spans="1:9">
      <c r="A978" s="93" t="s">
        <v>4173</v>
      </c>
      <c r="B978" t="s">
        <v>1881</v>
      </c>
      <c r="C978" t="s">
        <v>2158</v>
      </c>
      <c r="D978" t="s">
        <v>2155</v>
      </c>
      <c r="E978" t="s">
        <v>2159</v>
      </c>
      <c r="F978" t="s">
        <v>2160</v>
      </c>
      <c r="G978" t="s">
        <v>2970</v>
      </c>
      <c r="H978" t="s">
        <v>2463</v>
      </c>
      <c r="I978" t="s">
        <v>3996</v>
      </c>
    </row>
    <row r="979" spans="1:9">
      <c r="A979" s="93" t="s">
        <v>4173</v>
      </c>
      <c r="B979" t="s">
        <v>1882</v>
      </c>
      <c r="C979" t="s">
        <v>2169</v>
      </c>
      <c r="D979" t="s">
        <v>2129</v>
      </c>
      <c r="E979" t="s">
        <v>2170</v>
      </c>
      <c r="G979" t="s">
        <v>2970</v>
      </c>
      <c r="H979" t="s">
        <v>2318</v>
      </c>
      <c r="I979" t="s">
        <v>4000</v>
      </c>
    </row>
    <row r="980" spans="1:9">
      <c r="A980" s="93" t="s">
        <v>4173</v>
      </c>
      <c r="B980" t="s">
        <v>1882</v>
      </c>
      <c r="C980" t="s">
        <v>2171</v>
      </c>
      <c r="D980" t="s">
        <v>2129</v>
      </c>
      <c r="E980" t="s">
        <v>2135</v>
      </c>
      <c r="G980" t="s">
        <v>2970</v>
      </c>
      <c r="H980" t="s">
        <v>2318</v>
      </c>
      <c r="I980" t="s">
        <v>4000</v>
      </c>
    </row>
    <row r="981" spans="1:9">
      <c r="A981" s="93" t="s">
        <v>4173</v>
      </c>
      <c r="B981" t="s">
        <v>1882</v>
      </c>
      <c r="C981" t="s">
        <v>2172</v>
      </c>
      <c r="D981" t="s">
        <v>2129</v>
      </c>
      <c r="E981" t="s">
        <v>2135</v>
      </c>
      <c r="G981" t="s">
        <v>2970</v>
      </c>
      <c r="H981" t="s">
        <v>2318</v>
      </c>
      <c r="I981" t="s">
        <v>4000</v>
      </c>
    </row>
    <row r="982" spans="1:9">
      <c r="A982" s="93" t="s">
        <v>4173</v>
      </c>
      <c r="B982" t="s">
        <v>1882</v>
      </c>
      <c r="C982" t="s">
        <v>2173</v>
      </c>
      <c r="D982" t="s">
        <v>2174</v>
      </c>
      <c r="E982" t="s">
        <v>2135</v>
      </c>
      <c r="G982" t="s">
        <v>2970</v>
      </c>
      <c r="H982" t="s">
        <v>2318</v>
      </c>
      <c r="I982" t="s">
        <v>4000</v>
      </c>
    </row>
    <row r="983" spans="1:9">
      <c r="A983" s="93" t="s">
        <v>4173</v>
      </c>
      <c r="B983" t="s">
        <v>1882</v>
      </c>
      <c r="C983" t="s">
        <v>2175</v>
      </c>
      <c r="E983" t="s">
        <v>2135</v>
      </c>
      <c r="G983" t="s">
        <v>2970</v>
      </c>
      <c r="H983" t="s">
        <v>2318</v>
      </c>
      <c r="I983" t="s">
        <v>4000</v>
      </c>
    </row>
    <row r="984" spans="1:9">
      <c r="A984" s="93" t="s">
        <v>4173</v>
      </c>
      <c r="B984" t="s">
        <v>1882</v>
      </c>
      <c r="C984" t="s">
        <v>2176</v>
      </c>
      <c r="E984" t="s">
        <v>2135</v>
      </c>
      <c r="G984" t="s">
        <v>2970</v>
      </c>
      <c r="H984" t="s">
        <v>2318</v>
      </c>
      <c r="I984" t="s">
        <v>4000</v>
      </c>
    </row>
    <row r="985" spans="1:9">
      <c r="A985" s="93" t="s">
        <v>4173</v>
      </c>
      <c r="B985" t="s">
        <v>1882</v>
      </c>
      <c r="C985" t="s">
        <v>2177</v>
      </c>
      <c r="E985" t="s">
        <v>2135</v>
      </c>
      <c r="G985" t="s">
        <v>2970</v>
      </c>
      <c r="H985" t="s">
        <v>2318</v>
      </c>
      <c r="I985" t="s">
        <v>4000</v>
      </c>
    </row>
    <row r="986" spans="1:9">
      <c r="A986" s="93" t="s">
        <v>4173</v>
      </c>
      <c r="B986" t="s">
        <v>1884</v>
      </c>
      <c r="C986" t="s">
        <v>2190</v>
      </c>
      <c r="E986" t="s">
        <v>2135</v>
      </c>
      <c r="G986" t="s">
        <v>2970</v>
      </c>
      <c r="H986" t="s">
        <v>2318</v>
      </c>
      <c r="I986" t="s">
        <v>4002</v>
      </c>
    </row>
    <row r="987" spans="1:9">
      <c r="A987" s="93" t="s">
        <v>4173</v>
      </c>
      <c r="B987" t="s">
        <v>1884</v>
      </c>
      <c r="C987" t="s">
        <v>2191</v>
      </c>
      <c r="E987" t="s">
        <v>2135</v>
      </c>
      <c r="G987" t="s">
        <v>2970</v>
      </c>
      <c r="H987" t="s">
        <v>2318</v>
      </c>
      <c r="I987" t="s">
        <v>4002</v>
      </c>
    </row>
    <row r="988" spans="1:9">
      <c r="A988" s="93" t="s">
        <v>4173</v>
      </c>
      <c r="B988" t="s">
        <v>1889</v>
      </c>
      <c r="C988" t="s">
        <v>2206</v>
      </c>
      <c r="E988" t="s">
        <v>2135</v>
      </c>
      <c r="G988" t="s">
        <v>2970</v>
      </c>
      <c r="H988" t="s">
        <v>2318</v>
      </c>
      <c r="I988" t="s">
        <v>4004</v>
      </c>
    </row>
    <row r="989" spans="1:9">
      <c r="A989" s="93" t="s">
        <v>4173</v>
      </c>
      <c r="B989" t="s">
        <v>1893</v>
      </c>
      <c r="C989" t="s">
        <v>2328</v>
      </c>
      <c r="D989" t="s">
        <v>2217</v>
      </c>
      <c r="E989" t="s">
        <v>2309</v>
      </c>
      <c r="F989" t="s">
        <v>2329</v>
      </c>
      <c r="G989" t="s">
        <v>2970</v>
      </c>
      <c r="H989" t="s">
        <v>2311</v>
      </c>
      <c r="I989" t="s">
        <v>4012</v>
      </c>
    </row>
    <row r="990" spans="1:9">
      <c r="A990" s="93" t="s">
        <v>4173</v>
      </c>
      <c r="B990" t="s">
        <v>1893</v>
      </c>
      <c r="C990" t="s">
        <v>2330</v>
      </c>
      <c r="D990" t="s">
        <v>2331</v>
      </c>
      <c r="E990" t="s">
        <v>2309</v>
      </c>
      <c r="F990" t="s">
        <v>2332</v>
      </c>
      <c r="G990" t="s">
        <v>2970</v>
      </c>
      <c r="H990" t="s">
        <v>2311</v>
      </c>
      <c r="I990" t="s">
        <v>4012</v>
      </c>
    </row>
    <row r="991" spans="1:9">
      <c r="A991" s="93" t="s">
        <v>4173</v>
      </c>
      <c r="B991" t="s">
        <v>1893</v>
      </c>
      <c r="C991" t="s">
        <v>2228</v>
      </c>
      <c r="E991" t="s">
        <v>2135</v>
      </c>
      <c r="G991" t="s">
        <v>2970</v>
      </c>
      <c r="H991" t="s">
        <v>2318</v>
      </c>
      <c r="I991" t="s">
        <v>4012</v>
      </c>
    </row>
    <row r="992" spans="1:9">
      <c r="A992" s="93" t="s">
        <v>4173</v>
      </c>
      <c r="B992" t="s">
        <v>1896</v>
      </c>
      <c r="C992" t="s">
        <v>2242</v>
      </c>
      <c r="D992" t="s">
        <v>2220</v>
      </c>
      <c r="E992" t="s">
        <v>2243</v>
      </c>
      <c r="F992" t="s">
        <v>2244</v>
      </c>
      <c r="G992" t="s">
        <v>2970</v>
      </c>
      <c r="H992" t="s">
        <v>2991</v>
      </c>
      <c r="I992" t="s">
        <v>4016</v>
      </c>
    </row>
    <row r="993" spans="1:9">
      <c r="A993" s="93" t="s">
        <v>4173</v>
      </c>
      <c r="B993" t="s">
        <v>1896</v>
      </c>
      <c r="C993" t="s">
        <v>2335</v>
      </c>
      <c r="E993" t="s">
        <v>2309</v>
      </c>
      <c r="F993" t="s">
        <v>2336</v>
      </c>
      <c r="G993" t="s">
        <v>2970</v>
      </c>
      <c r="H993" t="s">
        <v>2311</v>
      </c>
      <c r="I993" t="s">
        <v>4016</v>
      </c>
    </row>
    <row r="994" spans="1:9">
      <c r="A994" s="93" t="s">
        <v>4173</v>
      </c>
      <c r="B994" t="s">
        <v>1896</v>
      </c>
      <c r="C994" t="s">
        <v>2337</v>
      </c>
      <c r="D994" t="s">
        <v>2248</v>
      </c>
      <c r="E994" t="s">
        <v>2338</v>
      </c>
      <c r="G994" t="s">
        <v>2970</v>
      </c>
      <c r="H994" t="s">
        <v>2339</v>
      </c>
      <c r="I994" t="s">
        <v>4016</v>
      </c>
    </row>
    <row r="995" spans="1:9">
      <c r="A995" s="93" t="s">
        <v>4173</v>
      </c>
      <c r="B995" t="s">
        <v>1898</v>
      </c>
      <c r="C995" t="s">
        <v>2255</v>
      </c>
      <c r="D995" t="s">
        <v>2256</v>
      </c>
      <c r="E995" t="s">
        <v>2257</v>
      </c>
      <c r="G995" t="s">
        <v>2970</v>
      </c>
      <c r="H995" t="s">
        <v>2463</v>
      </c>
      <c r="I995" t="s">
        <v>4020</v>
      </c>
    </row>
    <row r="996" spans="1:9">
      <c r="A996" s="93" t="s">
        <v>4173</v>
      </c>
      <c r="B996" t="s">
        <v>1898</v>
      </c>
      <c r="C996" t="s">
        <v>2258</v>
      </c>
      <c r="D996" t="s">
        <v>2259</v>
      </c>
      <c r="E996" t="s">
        <v>2260</v>
      </c>
      <c r="F996" t="s">
        <v>2261</v>
      </c>
      <c r="G996" t="s">
        <v>2970</v>
      </c>
      <c r="H996" t="s">
        <v>2992</v>
      </c>
      <c r="I996" t="s">
        <v>4020</v>
      </c>
    </row>
    <row r="997" spans="1:9">
      <c r="A997" s="93" t="s">
        <v>4173</v>
      </c>
      <c r="B997" t="s">
        <v>1902</v>
      </c>
      <c r="C997" t="s">
        <v>2342</v>
      </c>
      <c r="E997" t="s">
        <v>2309</v>
      </c>
      <c r="F997" t="s">
        <v>2343</v>
      </c>
      <c r="G997" t="s">
        <v>2970</v>
      </c>
      <c r="H997" t="s">
        <v>2311</v>
      </c>
      <c r="I997" t="s">
        <v>4024</v>
      </c>
    </row>
    <row r="998" spans="1:9">
      <c r="A998" s="93" t="s">
        <v>4173</v>
      </c>
      <c r="B998" t="s">
        <v>1902</v>
      </c>
      <c r="C998" t="s">
        <v>2344</v>
      </c>
      <c r="D998" t="s">
        <v>2273</v>
      </c>
      <c r="E998" t="s">
        <v>2309</v>
      </c>
      <c r="F998" t="s">
        <v>2345</v>
      </c>
      <c r="G998" t="s">
        <v>2970</v>
      </c>
      <c r="H998" t="s">
        <v>2311</v>
      </c>
      <c r="I998" t="s">
        <v>4024</v>
      </c>
    </row>
    <row r="999" spans="1:9">
      <c r="A999" s="93" t="s">
        <v>4173</v>
      </c>
      <c r="B999" t="s">
        <v>1902</v>
      </c>
      <c r="C999" t="s">
        <v>2285</v>
      </c>
      <c r="E999" t="s">
        <v>2135</v>
      </c>
      <c r="G999" t="s">
        <v>2970</v>
      </c>
      <c r="H999" t="s">
        <v>2318</v>
      </c>
      <c r="I999" t="s">
        <v>4024</v>
      </c>
    </row>
    <row r="1000" spans="1:9">
      <c r="A1000" s="93" t="s">
        <v>4173</v>
      </c>
      <c r="B1000" t="s">
        <v>3926</v>
      </c>
      <c r="C1000" t="s">
        <v>2291</v>
      </c>
      <c r="E1000" t="s">
        <v>2135</v>
      </c>
      <c r="F1000" t="s">
        <v>2292</v>
      </c>
      <c r="G1000" t="s">
        <v>2970</v>
      </c>
      <c r="H1000" t="s">
        <v>2318</v>
      </c>
    </row>
    <row r="1001" spans="1:9">
      <c r="A1001" s="93" t="s">
        <v>4173</v>
      </c>
      <c r="B1001" t="s">
        <v>3926</v>
      </c>
      <c r="C1001" t="s">
        <v>2304</v>
      </c>
      <c r="D1001" t="s">
        <v>2305</v>
      </c>
      <c r="E1001" t="s">
        <v>2257</v>
      </c>
      <c r="F1001" t="s">
        <v>2306</v>
      </c>
      <c r="G1001" t="s">
        <v>2970</v>
      </c>
      <c r="H1001" t="s">
        <v>2463</v>
      </c>
    </row>
    <row r="1002" spans="1:9">
      <c r="A1002" s="93" t="s">
        <v>4173</v>
      </c>
      <c r="B1002" t="s">
        <v>3926</v>
      </c>
      <c r="C1002" t="s">
        <v>2477</v>
      </c>
      <c r="D1002" t="s">
        <v>2213</v>
      </c>
      <c r="E1002" t="s">
        <v>2463</v>
      </c>
      <c r="F1002" t="s">
        <v>2292</v>
      </c>
      <c r="G1002" t="s">
        <v>2970</v>
      </c>
      <c r="H1002" t="s">
        <v>2463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4174</v>
      </c>
      <c r="B1" s="177"/>
      <c r="C1" s="177"/>
      <c r="D1" s="177"/>
      <c r="E1" s="177"/>
    </row>
    <row r="2" spans="1:6">
      <c r="A2" t="s">
        <v>1445</v>
      </c>
      <c r="B2" t="s">
        <v>4175</v>
      </c>
      <c r="C2" t="s">
        <v>4176</v>
      </c>
      <c r="D2" t="s">
        <v>4177</v>
      </c>
      <c r="E2" t="s">
        <v>4178</v>
      </c>
      <c r="F2" t="s">
        <v>4179</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4180</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4181</v>
      </c>
      <c r="B17">
        <f>SUMIFS(Réttabanki!$T:$T,Réttabanki!$W:$W,$A17)</f>
        <v>0</v>
      </c>
      <c r="C17">
        <f>SUMIFS(Réttabanki!$C:$C,Réttabanki!$W:$W,$A17)/1000</f>
        <v>0</v>
      </c>
      <c r="D17" t="str">
        <f t="shared" si="0"/>
        <v/>
      </c>
      <c r="E17">
        <f>COUNTIFS(Réttabanki!$W:$W,$A17,Réttabanki!$B:$B,"&lt;&gt;")</f>
        <v>0</v>
      </c>
      <c r="F17" s="180">
        <v>46262</v>
      </c>
    </row>
    <row r="18" spans="1:6">
      <c r="A18" t="s">
        <v>4182</v>
      </c>
      <c r="B18">
        <f>SUMIFS(Réttabanki!$T:$T,Réttabanki!$W:$W,$A18)</f>
        <v>0</v>
      </c>
      <c r="C18">
        <f>SUMIFS(Réttabanki!$C:$C,Réttabanki!$W:$W,$A18)/1000</f>
        <v>0</v>
      </c>
      <c r="D18" t="str">
        <f t="shared" si="0"/>
        <v/>
      </c>
      <c r="E18">
        <f>COUNTIFS(Réttabanki!$W:$W,$A18,Réttabanki!$B:$B,"&lt;&gt;")</f>
        <v>0</v>
      </c>
      <c r="F18" s="180">
        <v>46265</v>
      </c>
    </row>
    <row r="19" spans="1:6">
      <c r="A19" t="s">
        <v>4183</v>
      </c>
      <c r="B19">
        <f>SUMIFS(Réttabanki!$T:$T,Réttabanki!$W:$W,$A19)</f>
        <v>0</v>
      </c>
      <c r="C19">
        <f>SUMIFS(Réttabanki!$C:$C,Réttabanki!$W:$W,$A19)/1000</f>
        <v>0</v>
      </c>
      <c r="D19" t="str">
        <f t="shared" si="0"/>
        <v/>
      </c>
      <c r="E19">
        <f>COUNTIFS(Réttabanki!$W:$W,$A19,Réttabanki!$B:$B,"&lt;&gt;")</f>
        <v>0</v>
      </c>
      <c r="F19" s="180">
        <v>46266</v>
      </c>
    </row>
    <row r="20" spans="1:6">
      <c r="A20" t="s">
        <v>4184</v>
      </c>
      <c r="B20">
        <f>SUMIFS(Réttabanki!$T:$T,Réttabanki!$W:$W,$A20)</f>
        <v>0</v>
      </c>
      <c r="C20">
        <f>SUMIFS(Réttabanki!$C:$C,Réttabanki!$W:$W,$A20)/1000</f>
        <v>0</v>
      </c>
      <c r="D20" t="str">
        <f t="shared" si="0"/>
        <v/>
      </c>
      <c r="E20">
        <f>COUNTIFS(Réttabanki!$W:$W,$A20,Réttabanki!$B:$B,"&lt;&gt;")</f>
        <v>0</v>
      </c>
      <c r="F20" s="180">
        <v>46267</v>
      </c>
    </row>
    <row r="21" spans="1:6">
      <c r="A21" t="s">
        <v>4185</v>
      </c>
      <c r="B21">
        <f>SUMIFS(Réttabanki!$T:$T,Réttabanki!$W:$W,$A21)</f>
        <v>0</v>
      </c>
      <c r="C21">
        <f>SUMIFS(Réttabanki!$C:$C,Réttabanki!$W:$W,$A21)/1000</f>
        <v>0</v>
      </c>
      <c r="D21" t="str">
        <f t="shared" si="0"/>
        <v/>
      </c>
      <c r="E21">
        <f>COUNTIFS(Réttabanki!$W:$W,$A21,Réttabanki!$B:$B,"&lt;&gt;")</f>
        <v>0</v>
      </c>
      <c r="F21" s="180">
        <v>46268</v>
      </c>
    </row>
    <row r="22" spans="1:6">
      <c r="A22" t="s">
        <v>4186</v>
      </c>
      <c r="B22">
        <f>SUMIFS(Réttabanki!$T:$T,Réttabanki!$W:$W,$A22)</f>
        <v>0</v>
      </c>
      <c r="C22">
        <f>SUMIFS(Réttabanki!$C:$C,Réttabanki!$W:$W,$A22)/1000</f>
        <v>0</v>
      </c>
      <c r="D22" t="str">
        <f t="shared" si="0"/>
        <v/>
      </c>
      <c r="E22">
        <f>COUNTIFS(Réttabanki!$W:$W,$A22,Réttabanki!$B:$B,"&lt;&gt;")</f>
        <v>0</v>
      </c>
      <c r="F22" s="180">
        <v>46269</v>
      </c>
    </row>
    <row r="23" spans="1:6">
      <c r="A23" t="s">
        <v>4187</v>
      </c>
      <c r="B23">
        <f>SUMIFS(Réttabanki!$T:$T,Réttabanki!$W:$W,$A23)</f>
        <v>0</v>
      </c>
      <c r="C23">
        <f>SUMIFS(Réttabanki!$C:$C,Réttabanki!$W:$W,$A23)/1000</f>
        <v>0</v>
      </c>
      <c r="D23" t="str">
        <f t="shared" si="0"/>
        <v/>
      </c>
      <c r="E23">
        <f>COUNTIFS(Réttabanki!$W:$W,$A23,Réttabanki!$B:$B,"&lt;&gt;")</f>
        <v>0</v>
      </c>
      <c r="F23" s="180">
        <v>46272</v>
      </c>
    </row>
    <row r="24" spans="1:6">
      <c r="A24" t="s">
        <v>4188</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4189</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4190</v>
      </c>
      <c r="B34">
        <f>SUMIFS(Réttabanki!$T:$T,Réttabanki!$W:$W,$A34)</f>
        <v>0</v>
      </c>
      <c r="C34">
        <f>SUMIFS(Réttabanki!$C:$C,Réttabanki!$W:$W,$A34)/1000</f>
        <v>0</v>
      </c>
      <c r="D34" t="str">
        <f t="shared" si="0"/>
        <v/>
      </c>
      <c r="E34">
        <f>COUNTIFS(Réttabanki!$W:$W,$A34,Réttabanki!$B:$B,"&lt;&gt;")</f>
        <v>0</v>
      </c>
      <c r="F34" s="180">
        <v>46287</v>
      </c>
    </row>
    <row r="35" spans="1:6">
      <c r="A35" t="s">
        <v>4191</v>
      </c>
      <c r="B35">
        <f>SUMIFS(Réttabanki!$T:$T,Réttabanki!$W:$W,$A35)</f>
        <v>0</v>
      </c>
      <c r="C35">
        <f>SUMIFS(Réttabanki!$C:$C,Réttabanki!$W:$W,$A35)/1000</f>
        <v>0</v>
      </c>
      <c r="D35" t="str">
        <f t="shared" ref="D35:D66" si="1">IFERROR(B35/C35,"")</f>
        <v/>
      </c>
      <c r="E35">
        <f>COUNTIFS(Réttabanki!$W:$W,$A35,Réttabanki!$B:$B,"&lt;&gt;")</f>
        <v>0</v>
      </c>
      <c r="F35" s="180">
        <v>46288</v>
      </c>
    </row>
    <row r="36" spans="1:6">
      <c r="A36" t="s">
        <v>4192</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4193</v>
      </c>
      <c r="B40">
        <f>SUMIFS(Réttabanki!$T:$T,Réttabanki!$W:$W,$A40)</f>
        <v>0</v>
      </c>
      <c r="C40">
        <f>SUMIFS(Réttabanki!$C:$C,Réttabanki!$W:$W,$A40)/1000</f>
        <v>0</v>
      </c>
      <c r="D40" t="str">
        <f t="shared" si="1"/>
        <v/>
      </c>
      <c r="E40">
        <f>COUNTIFS(Réttabanki!$W:$W,$A40,Réttabanki!$B:$B,"&lt;&gt;")</f>
        <v>0</v>
      </c>
      <c r="F40" s="180">
        <v>46295</v>
      </c>
    </row>
    <row r="41" spans="1:6">
      <c r="A41" t="s">
        <v>4194</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P445" sqref="P445"/>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4195</v>
      </c>
      <c r="B1" s="182" t="s">
        <v>4196</v>
      </c>
      <c r="C1" s="182" t="s">
        <v>4197</v>
      </c>
      <c r="D1" s="182" t="s">
        <v>4198</v>
      </c>
      <c r="E1" s="182" t="s">
        <v>4199</v>
      </c>
      <c r="F1" s="182" t="s">
        <v>4200</v>
      </c>
      <c r="G1" s="182" t="s">
        <v>4201</v>
      </c>
      <c r="H1" s="182" t="s">
        <v>4202</v>
      </c>
      <c r="I1" s="182" t="s">
        <v>4203</v>
      </c>
      <c r="J1" s="182" t="s">
        <v>4204</v>
      </c>
      <c r="K1" s="182" t="s">
        <v>4205</v>
      </c>
      <c r="L1" s="182" t="s">
        <v>4206</v>
      </c>
      <c r="M1" s="182" t="s">
        <v>4207</v>
      </c>
      <c r="N1" s="182" t="s">
        <v>19</v>
      </c>
      <c r="O1" s="182" t="s">
        <v>4208</v>
      </c>
      <c r="P1" s="182" t="s">
        <v>4209</v>
      </c>
    </row>
    <row r="2" spans="1:16" ht="18" customHeight="1" outlineLevel="1">
      <c r="A2" s="192">
        <v>46216</v>
      </c>
      <c r="B2" s="193"/>
      <c r="C2" s="193" t="s">
        <v>4210</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1911</v>
      </c>
      <c r="E3" s="185"/>
      <c r="F3" s="184"/>
      <c r="G3" s="184"/>
      <c r="H3" s="184"/>
      <c r="I3" s="184" t="s">
        <v>3669</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3669</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3669</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3669</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3669</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3669</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3669</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3669</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3669</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3669</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3669</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3669</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3669</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3669</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3669</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1867</v>
      </c>
      <c r="E19" s="185"/>
      <c r="F19" s="184"/>
      <c r="G19" s="184"/>
      <c r="H19" s="184"/>
      <c r="I19" s="184" t="s">
        <v>3669</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1867</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1867</v>
      </c>
      <c r="E21" s="185">
        <f>Hráefnaskrá!$D$144/1000</f>
        <v>25</v>
      </c>
      <c r="F21" s="184"/>
      <c r="G21" s="184"/>
      <c r="H21" s="184"/>
      <c r="I21" s="184" t="s">
        <v>3669</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1867</v>
      </c>
      <c r="E22" s="185">
        <f>Hráefnaskrá!$D$145/1000</f>
        <v>0.5</v>
      </c>
      <c r="F22" s="184"/>
      <c r="G22" s="184"/>
      <c r="H22" s="184"/>
      <c r="I22" s="184" t="s">
        <v>3669</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1867</v>
      </c>
      <c r="E23" s="185">
        <f>Hráefnaskrá!$D$146/1000</f>
        <v>8</v>
      </c>
      <c r="F23" s="184"/>
      <c r="G23" s="184"/>
      <c r="H23" s="184"/>
      <c r="I23" s="184" t="s">
        <v>3669</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1867</v>
      </c>
      <c r="E24" s="185">
        <f>Hráefnaskrá!$D$147/1000</f>
        <v>8</v>
      </c>
      <c r="F24" s="184"/>
      <c r="G24" s="184"/>
      <c r="H24" s="184"/>
      <c r="I24" s="184" t="s">
        <v>3669</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1867</v>
      </c>
      <c r="E25" s="185">
        <f>Hráefnaskrá!$D$148/1000</f>
        <v>12</v>
      </c>
      <c r="F25" s="184"/>
      <c r="G25" s="184"/>
      <c r="H25" s="184"/>
      <c r="I25" s="184" t="s">
        <v>3669</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1867</v>
      </c>
      <c r="E26" s="185">
        <f>Hráefnaskrá!$D$149/1000</f>
        <v>0.5</v>
      </c>
      <c r="F26" s="184"/>
      <c r="G26" s="184"/>
      <c r="H26" s="184"/>
      <c r="I26" s="184" t="s">
        <v>3669</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1867</v>
      </c>
      <c r="E27" s="185">
        <f>Hráefnaskrá!$D$150/1000</f>
        <v>1</v>
      </c>
      <c r="F27" s="184"/>
      <c r="G27" s="184"/>
      <c r="H27" s="184"/>
      <c r="I27" s="184" t="s">
        <v>3669</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1867</v>
      </c>
      <c r="E28" s="185">
        <f>Hráefnaskrá!$D$151/1000</f>
        <v>0.6</v>
      </c>
      <c r="F28" s="184"/>
      <c r="G28" s="184"/>
      <c r="H28" s="184"/>
      <c r="I28" s="184" t="s">
        <v>3669</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1867</v>
      </c>
      <c r="E29" s="185">
        <f>Hráefnaskrá!$D$152/1000</f>
        <v>7.6</v>
      </c>
      <c r="F29" s="184"/>
      <c r="G29" s="184"/>
      <c r="H29" s="184"/>
      <c r="I29" s="184" t="s">
        <v>3669</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1885</v>
      </c>
      <c r="E30" s="185"/>
      <c r="F30" s="184"/>
      <c r="G30" s="184"/>
      <c r="H30" s="184"/>
      <c r="I30" s="184" t="s">
        <v>3669</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1885</v>
      </c>
      <c r="E31" s="185"/>
      <c r="F31" s="184"/>
      <c r="G31" s="184"/>
      <c r="H31" s="184"/>
      <c r="I31" s="184" t="s">
        <v>3669</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4210</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3669</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3669</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3669</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3669</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1911</v>
      </c>
      <c r="E37" s="185"/>
      <c r="F37" s="184"/>
      <c r="G37" s="184"/>
      <c r="H37" s="184"/>
      <c r="I37" s="184" t="s">
        <v>3669</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3669</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3669</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3669</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3669</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3669</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3669</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3669</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3669</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3669</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3669</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3669</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3669</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3669</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1867</v>
      </c>
      <c r="E52" s="185"/>
      <c r="F52" s="184"/>
      <c r="G52" s="184"/>
      <c r="H52" s="184"/>
      <c r="I52" s="184" t="s">
        <v>3669</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1867</v>
      </c>
      <c r="E53" s="185"/>
      <c r="F53" s="184"/>
      <c r="G53" s="184"/>
      <c r="H53" s="184"/>
      <c r="I53" s="184" t="s">
        <v>3669</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1911</v>
      </c>
      <c r="E54" s="185"/>
      <c r="F54" s="184"/>
      <c r="G54" s="184"/>
      <c r="H54" s="184"/>
      <c r="I54" s="184" t="s">
        <v>3669</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1877</v>
      </c>
      <c r="E55" s="185"/>
      <c r="F55" s="184"/>
      <c r="G55" s="184"/>
      <c r="H55" s="184"/>
      <c r="I55" s="184" t="s">
        <v>3669</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1885</v>
      </c>
      <c r="E56" s="185"/>
      <c r="F56" s="184"/>
      <c r="G56" s="184"/>
      <c r="H56" s="184"/>
      <c r="I56" s="184" t="s">
        <v>3669</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1911</v>
      </c>
      <c r="E57" s="185"/>
      <c r="F57" s="184"/>
      <c r="G57" s="184"/>
      <c r="H57" s="184"/>
      <c r="I57" s="184" t="s">
        <v>3669</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3669</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4210</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3669</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3669</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3669</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3669</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3669</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3669</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1911</v>
      </c>
      <c r="E67" s="185"/>
      <c r="F67" s="184"/>
      <c r="G67" s="184"/>
      <c r="H67" s="184"/>
      <c r="I67" s="184" t="s">
        <v>3669</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1867</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1867</v>
      </c>
      <c r="E69" s="185">
        <f>Hráefnaskrá!$D$617/1000</f>
        <v>13</v>
      </c>
      <c r="F69" s="184"/>
      <c r="G69" s="184"/>
      <c r="H69" s="184"/>
      <c r="I69" s="184" t="s">
        <v>3669</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1867</v>
      </c>
      <c r="E70" s="185">
        <f>Hráefnaskrá!$D$618/1000</f>
        <v>30</v>
      </c>
      <c r="F70" s="184"/>
      <c r="G70" s="184"/>
      <c r="H70" s="184"/>
      <c r="I70" s="184" t="s">
        <v>3669</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1867</v>
      </c>
      <c r="E71" s="185">
        <f>Hráefnaskrá!$D$619/1000</f>
        <v>35</v>
      </c>
      <c r="F71" s="184"/>
      <c r="G71" s="184"/>
      <c r="H71" s="184"/>
      <c r="I71" s="184" t="s">
        <v>3669</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1867</v>
      </c>
      <c r="E72" s="185">
        <f>Hráefnaskrá!$D$620/1000</f>
        <v>1.8</v>
      </c>
      <c r="F72" s="184"/>
      <c r="G72" s="184"/>
      <c r="H72" s="184"/>
      <c r="I72" s="184" t="s">
        <v>3669</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1867</v>
      </c>
      <c r="E73" s="185">
        <f>Hráefnaskrá!$D$621/1000</f>
        <v>0.18</v>
      </c>
      <c r="F73" s="184"/>
      <c r="G73" s="184"/>
      <c r="H73" s="184"/>
      <c r="I73" s="184" t="s">
        <v>3669</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1877</v>
      </c>
      <c r="E74" s="185"/>
      <c r="F74" s="184"/>
      <c r="G74" s="184"/>
      <c r="H74" s="184"/>
      <c r="I74" s="184" t="s">
        <v>3669</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1877</v>
      </c>
      <c r="E75" s="185"/>
      <c r="F75" s="184"/>
      <c r="G75" s="184"/>
      <c r="H75" s="184"/>
      <c r="I75" s="184" t="s">
        <v>3669</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1877</v>
      </c>
      <c r="E76" s="185"/>
      <c r="F76" s="184"/>
      <c r="G76" s="184"/>
      <c r="H76" s="184"/>
      <c r="I76" s="184" t="s">
        <v>3669</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3669</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1885</v>
      </c>
      <c r="E78" s="185"/>
      <c r="F78" s="184"/>
      <c r="G78" s="184"/>
      <c r="H78" s="184"/>
      <c r="I78" s="184" t="s">
        <v>3669</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3669</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4210</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3669</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3669</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3669</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3669</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1867</v>
      </c>
      <c r="E85" s="185"/>
      <c r="F85" s="184"/>
      <c r="G85" s="184"/>
      <c r="H85" s="184"/>
      <c r="I85" s="184" t="s">
        <v>3669</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1867</v>
      </c>
      <c r="E86" s="185"/>
      <c r="F86" s="184"/>
      <c r="G86" s="184"/>
      <c r="H86" s="184"/>
      <c r="I86" s="184" t="s">
        <v>3669</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1867</v>
      </c>
      <c r="E87" s="185"/>
      <c r="F87" s="184"/>
      <c r="G87" s="184"/>
      <c r="H87" s="184"/>
      <c r="I87" s="184" t="s">
        <v>3669</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1877</v>
      </c>
      <c r="E88" s="185"/>
      <c r="F88" s="184"/>
      <c r="G88" s="184"/>
      <c r="H88" s="184"/>
      <c r="I88" s="184" t="s">
        <v>3669</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1885</v>
      </c>
      <c r="E89" s="185"/>
      <c r="F89" s="184"/>
      <c r="G89" s="184"/>
      <c r="H89" s="184"/>
      <c r="I89" s="184" t="s">
        <v>3669</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1885</v>
      </c>
      <c r="E90" s="185"/>
      <c r="F90" s="184"/>
      <c r="G90" s="184"/>
      <c r="H90" s="184"/>
      <c r="I90" s="184" t="s">
        <v>3669</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4210</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3669</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3669</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1911</v>
      </c>
      <c r="E94" s="185"/>
      <c r="F94" s="184"/>
      <c r="G94" s="184"/>
      <c r="H94" s="184"/>
      <c r="I94" s="184" t="s">
        <v>3669</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1911</v>
      </c>
      <c r="E95" s="185"/>
      <c r="F95" s="184"/>
      <c r="G95" s="184"/>
      <c r="H95" s="184"/>
      <c r="I95" s="184" t="s">
        <v>3669</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1867</v>
      </c>
      <c r="E96" s="185"/>
      <c r="F96" s="184"/>
      <c r="G96" s="184"/>
      <c r="H96" s="184"/>
      <c r="I96" s="184" t="s">
        <v>3669</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1867</v>
      </c>
      <c r="E97" s="185"/>
      <c r="F97" s="184"/>
      <c r="G97" s="184"/>
      <c r="H97" s="184"/>
      <c r="I97" s="184" t="s">
        <v>3669</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1867</v>
      </c>
      <c r="E98" s="185"/>
      <c r="F98" s="184"/>
      <c r="G98" s="184"/>
      <c r="H98" s="184"/>
      <c r="I98" s="184" t="s">
        <v>3669</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1877</v>
      </c>
      <c r="E99" s="185"/>
      <c r="F99" s="184"/>
      <c r="G99" s="184"/>
      <c r="H99" s="184"/>
      <c r="I99" s="184" t="s">
        <v>3669</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1885</v>
      </c>
      <c r="E100" s="185"/>
      <c r="F100" s="184"/>
      <c r="G100" s="184"/>
      <c r="H100" s="184"/>
      <c r="I100" s="184" t="s">
        <v>3669</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1885</v>
      </c>
      <c r="E101" s="185"/>
      <c r="F101" s="184"/>
      <c r="G101" s="184"/>
      <c r="H101" s="184"/>
      <c r="I101" s="184" t="s">
        <v>3669</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4210</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4211</v>
      </c>
      <c r="I103" s="184" t="s">
        <v>4212</v>
      </c>
      <c r="J103" s="184"/>
      <c r="K103" s="184" t="str">
        <f>IFERROR(IF(INDEX(Vöruskrá!$C:$C,MATCH($C103,Vöruskrá!$B:$B,0))=0,"",INDEX(Vöruskrá!$C:$C,MATCH($C103,Vöruskrá!$B:$B,0))),"")</f>
        <v>Arna</v>
      </c>
      <c r="L103" s="184" t="s">
        <v>4213</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3669</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3669</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1867</v>
      </c>
      <c r="E106" s="185"/>
      <c r="F106" s="184"/>
      <c r="G106" s="184"/>
      <c r="H106" s="184"/>
      <c r="I106" s="184" t="s">
        <v>3669</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1867</v>
      </c>
      <c r="E107" s="185"/>
      <c r="F107" s="184"/>
      <c r="G107" s="184"/>
      <c r="H107" s="184"/>
      <c r="I107" s="184" t="s">
        <v>3669</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1867</v>
      </c>
      <c r="E108" s="185"/>
      <c r="F108" s="184"/>
      <c r="G108" s="184"/>
      <c r="H108" s="184"/>
      <c r="I108" s="184" t="s">
        <v>3669</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3669</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3669</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1877</v>
      </c>
      <c r="E111" s="185"/>
      <c r="F111" s="184"/>
      <c r="G111" s="184"/>
      <c r="H111" s="184"/>
      <c r="I111" s="184" t="s">
        <v>3669</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1877</v>
      </c>
      <c r="E112" s="185"/>
      <c r="F112" s="184"/>
      <c r="G112" s="184"/>
      <c r="H112" s="184"/>
      <c r="I112" s="184" t="s">
        <v>3669</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1885</v>
      </c>
      <c r="E113" s="185"/>
      <c r="F113" s="184"/>
      <c r="G113" s="184"/>
      <c r="H113" s="184"/>
      <c r="I113" s="184" t="s">
        <v>3669</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1885</v>
      </c>
      <c r="E114" s="185"/>
      <c r="F114" s="184"/>
      <c r="G114" s="184"/>
      <c r="H114" s="184"/>
      <c r="I114" s="184" t="s">
        <v>3669</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4210</v>
      </c>
      <c r="D115" s="193"/>
      <c r="E115" s="194"/>
      <c r="F115" s="193"/>
      <c r="G115" s="193"/>
      <c r="H115" s="193"/>
      <c r="I115" s="193"/>
      <c r="J115" s="193"/>
      <c r="K115" s="193"/>
      <c r="L115" s="193"/>
      <c r="M115" s="193"/>
      <c r="N115" s="193"/>
      <c r="O115" s="193"/>
      <c r="P115" s="193"/>
    </row>
    <row r="116" spans="1:16" ht="18" customHeight="1" outlineLevel="1">
      <c r="A116" s="183">
        <v>46239</v>
      </c>
      <c r="B116" s="184" t="str">
        <f t="shared" ref="B116:B125" ca="1" si="6">IF($A116&lt;TODAY(),"Expired","Active")</f>
        <v>Active</v>
      </c>
      <c r="C116" s="184" t="s">
        <v>592</v>
      </c>
      <c r="D116" s="184" t="s">
        <v>1852</v>
      </c>
      <c r="E116" s="185"/>
      <c r="F116" s="184"/>
      <c r="G116" s="184"/>
      <c r="H116" s="184"/>
      <c r="I116" s="184" t="s">
        <v>3669</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t="shared" ca="1" si="6"/>
        <v>Active</v>
      </c>
      <c r="C117" s="184" t="s">
        <v>1097</v>
      </c>
      <c r="D117" s="184" t="s">
        <v>1852</v>
      </c>
      <c r="E117" s="185"/>
      <c r="F117" s="184"/>
      <c r="G117" s="184"/>
      <c r="H117" s="184"/>
      <c r="I117" s="184" t="s">
        <v>3669</v>
      </c>
      <c r="J117" s="184"/>
      <c r="K117" s="184" t="str">
        <f>IFERROR(IF(INDEX(Vöruskrá!$C:$C,MATCH($C117,Vöruskrá!$B:$B,0))=0,"",INDEX(Vöruskrá!$C:$C,MATCH($C117,Vöruskrá!$B:$B,0))),"")</f>
        <v>ÓJK - Ísam</v>
      </c>
      <c r="L117" s="184"/>
      <c r="M117" s="184"/>
      <c r="N117" s="184"/>
      <c r="O117" s="184" t="str">
        <f>IFERROR(IF(INDEX(Vöruskrá!$I:$I,MATCH($C117,Vöruskrá!$B:$B,0))=0,"",INDEX(Vöruskrá!$I:$I,MATCH($C117,Vöruskrá!$B:$B,0))),"")</f>
        <v>https://vefverslun.ojk-isam.is/api/BlobForward/inline/ojkisam/bef943db-09be-4d78-bd72-ee6f417fb2a8.pdf</v>
      </c>
      <c r="P117" s="184"/>
    </row>
    <row r="118" spans="1:16" ht="18" customHeight="1" outlineLevel="1">
      <c r="A118" s="183">
        <v>46239</v>
      </c>
      <c r="B118" s="184" t="str">
        <f t="shared" ca="1" si="6"/>
        <v>Active</v>
      </c>
      <c r="C118" s="184" t="s">
        <v>261</v>
      </c>
      <c r="D118" s="184" t="s">
        <v>1852</v>
      </c>
      <c r="E118" s="185"/>
      <c r="F118" s="184"/>
      <c r="G118" s="184"/>
      <c r="H118" s="184"/>
      <c r="I118" s="184" t="s">
        <v>3669</v>
      </c>
      <c r="J118" s="184"/>
      <c r="K118" s="184" t="str">
        <f>IFERROR(IF(INDEX(Vöruskrá!$C:$C,MATCH($C118,Vöruskrá!$B:$B,0))=0,"",INDEX(Vöruskrá!$C:$C,MATCH($C118,Vöruskrá!$B:$B,0))),"")</f>
        <v>Knorr / Unilever</v>
      </c>
      <c r="L118" s="184"/>
      <c r="M118" s="184"/>
      <c r="N118" s="184"/>
      <c r="O118" s="184" t="str">
        <f>IFERROR(IF(INDEX(Vöruskrá!$I:$I,MATCH($C118,Vöruskrá!$B:$B,0))=0,"",INDEX(Vöruskrá!$I:$I,MATCH($C118,Vöruskrá!$B:$B,0))),"")</f>
        <v>https://drive.google.com/file/d/1A544lje2nijReN8m6qcUAXHEHx-gg4OG/view?usp=sharing</v>
      </c>
      <c r="P118" s="184"/>
    </row>
    <row r="119" spans="1:16" ht="18" customHeight="1" outlineLevel="1">
      <c r="A119" s="183">
        <v>46239</v>
      </c>
      <c r="B119" s="184" t="str">
        <f t="shared" ca="1" si="6"/>
        <v>Active</v>
      </c>
      <c r="C119" s="184" t="s">
        <v>819</v>
      </c>
      <c r="D119" s="184" t="s">
        <v>1867</v>
      </c>
      <c r="E119" s="185"/>
      <c r="F119" s="184"/>
      <c r="G119" s="184"/>
      <c r="H119" s="184"/>
      <c r="I119" s="184" t="s">
        <v>3669</v>
      </c>
      <c r="J119" s="184"/>
      <c r="K119" s="184" t="str">
        <f>IFERROR(IF(INDEX(Vöruskrá!$C:$C,MATCH($C119,Vöruskrá!$B:$B,0))=0,"",INDEX(Vöruskrá!$C:$C,MATCH($C119,Vöruskrá!$B:$B,0))),"")</f>
        <v>Álfasaga ehf. (Móðir Náttúra)</v>
      </c>
      <c r="L119" s="184"/>
      <c r="M119" s="184"/>
      <c r="N119" s="184"/>
      <c r="O119" s="184" t="str">
        <f>IFERROR(IF(INDEX(Vöruskrá!$I:$I,MATCH($C119,Vöruskrá!$B:$B,0))=0,"",INDEX(Vöruskrá!$I:$I,MATCH($C119,Vöruskrá!$B:$B,0))),"")</f>
        <v>https://innnes.is/tilbunir-rettir/graenkerarettir/mn-dehli-koftas-5kg/</v>
      </c>
      <c r="P119" s="184"/>
    </row>
    <row r="120" spans="1:16" ht="18" customHeight="1" outlineLevel="1">
      <c r="A120" s="183">
        <v>46239</v>
      </c>
      <c r="B120" s="184" t="str">
        <f t="shared" ca="1" si="6"/>
        <v>Active</v>
      </c>
      <c r="C120" s="184" t="s">
        <v>552</v>
      </c>
      <c r="D120" s="184" t="s">
        <v>1867</v>
      </c>
      <c r="E120" s="185"/>
      <c r="F120" s="184"/>
      <c r="G120" s="184"/>
      <c r="H120" s="184"/>
      <c r="I120" s="184" t="s">
        <v>3669</v>
      </c>
      <c r="J120" s="184"/>
      <c r="K120" s="184" t="str">
        <f>IFERROR(IF(INDEX(Vöruskrá!$C:$C,MATCH($C120,Vöruskrá!$B:$B,0))=0,"",INDEX(Vöruskrá!$C:$C,MATCH($C120,Vöruskrá!$B:$B,0))),"")</f>
        <v>Þykkvabæjar</v>
      </c>
      <c r="L120" s="184"/>
      <c r="M120" s="184"/>
      <c r="N120" s="184"/>
      <c r="O120" s="184" t="str">
        <f>IFERROR(IF(INDEX(Vöruskrá!$I:$I,MATCH($C120,Vöruskrá!$B:$B,0))=0,"",INDEX(Vöruskrá!$I:$I,MATCH($C120,Vöruskrá!$B:$B,0))),"")</f>
        <v>https://docs.google.com/document/d/1Atant-r86RZWqXEplXhjh9elA5JzhIYPs0d8GsZe0cM/edit?usp=sharing</v>
      </c>
      <c r="P120" s="184"/>
    </row>
    <row r="121" spans="1:16" ht="18" customHeight="1" outlineLevel="1">
      <c r="A121" s="183">
        <v>46239</v>
      </c>
      <c r="B121" s="184" t="str">
        <f t="shared" ca="1" si="6"/>
        <v>Active</v>
      </c>
      <c r="C121" s="184" t="s">
        <v>261</v>
      </c>
      <c r="D121" s="184" t="s">
        <v>1867</v>
      </c>
      <c r="E121" s="185"/>
      <c r="F121" s="184"/>
      <c r="G121" s="184"/>
      <c r="H121" s="184"/>
      <c r="I121" s="184" t="s">
        <v>3669</v>
      </c>
      <c r="J121" s="184"/>
      <c r="K121" s="184" t="str">
        <f>IFERROR(IF(INDEX(Vöruskrá!$C:$C,MATCH($C121,Vöruskrá!$B:$B,0))=0,"",INDEX(Vöruskrá!$C:$C,MATCH($C121,Vöruskrá!$B:$B,0))),"")</f>
        <v>Knorr / Unilever</v>
      </c>
      <c r="L121" s="184"/>
      <c r="M121" s="184"/>
      <c r="N121" s="184"/>
      <c r="O121" s="184" t="str">
        <f>IFERROR(IF(INDEX(Vöruskrá!$I:$I,MATCH($C121,Vöruskrá!$B:$B,0))=0,"",INDEX(Vöruskrá!$I:$I,MATCH($C121,Vöruskrá!$B:$B,0))),"")</f>
        <v>https://drive.google.com/file/d/1A544lje2nijReN8m6qcUAXHEHx-gg4OG/view?usp=sharing</v>
      </c>
      <c r="P121" s="184"/>
    </row>
    <row r="122" spans="1:16" ht="18" customHeight="1" outlineLevel="1">
      <c r="A122" s="183">
        <v>46239</v>
      </c>
      <c r="B122" s="184" t="str">
        <f t="shared" ca="1" si="6"/>
        <v>Active</v>
      </c>
      <c r="C122" s="184" t="s">
        <v>552</v>
      </c>
      <c r="D122" s="184" t="s">
        <v>946</v>
      </c>
      <c r="E122" s="185"/>
      <c r="F122" s="184"/>
      <c r="G122" s="184"/>
      <c r="H122" s="184"/>
      <c r="I122" s="184" t="s">
        <v>3669</v>
      </c>
      <c r="J122" s="184"/>
      <c r="K122" s="184" t="str">
        <f>IFERROR(IF(INDEX(Vöruskrá!$C:$C,MATCH($C122,Vöruskrá!$B:$B,0))=0,"",INDEX(Vöruskrá!$C:$C,MATCH($C122,Vöruskrá!$B:$B,0))),"")</f>
        <v>Þykkvabæjar</v>
      </c>
      <c r="L122" s="184"/>
      <c r="M122" s="184"/>
      <c r="N122" s="184"/>
      <c r="O122" s="184" t="str">
        <f>IFERROR(IF(INDEX(Vöruskrá!$I:$I,MATCH($C122,Vöruskrá!$B:$B,0))=0,"",INDEX(Vöruskrá!$I:$I,MATCH($C122,Vöruskrá!$B:$B,0))),"")</f>
        <v>https://docs.google.com/document/d/1Atant-r86RZWqXEplXhjh9elA5JzhIYPs0d8GsZe0cM/edit?usp=sharing</v>
      </c>
      <c r="P122" s="184"/>
    </row>
    <row r="123" spans="1:16" ht="18" customHeight="1" outlineLevel="1">
      <c r="A123" s="183">
        <v>46239</v>
      </c>
      <c r="B123" s="184" t="str">
        <f t="shared" ca="1" si="6"/>
        <v>Active</v>
      </c>
      <c r="C123" s="184" t="s">
        <v>826</v>
      </c>
      <c r="D123" s="184" t="s">
        <v>1877</v>
      </c>
      <c r="E123" s="185"/>
      <c r="F123" s="184"/>
      <c r="G123" s="184"/>
      <c r="H123" s="184"/>
      <c r="I123" s="184" t="s">
        <v>3669</v>
      </c>
      <c r="J123" s="184"/>
      <c r="K123" s="184" t="str">
        <f>IFERROR(IF(INDEX(Vöruskrá!$C:$C,MATCH($C123,Vöruskrá!$B:$B,0))=0,"",INDEX(Vöruskrá!$C:$C,MATCH($C123,Vöruskrá!$B:$B,0))),"")</f>
        <v>Garri</v>
      </c>
      <c r="L123" s="184"/>
      <c r="M123" s="184"/>
      <c r="N123" s="184"/>
      <c r="O123" s="184" t="str">
        <f>IFERROR(IF(INDEX(Vöruskrá!$I:$I,MATCH($C123,Vöruskrá!$B:$B,0))=0,"",INDEX(Vöruskrá!$I:$I,MATCH($C123,Vöruskrá!$B:$B,0))),"")</f>
        <v>https://www.garri.is/vara/42010002330/</v>
      </c>
      <c r="P123" s="184"/>
    </row>
    <row r="124" spans="1:16" ht="18" customHeight="1" outlineLevel="1">
      <c r="A124" s="183">
        <v>46239</v>
      </c>
      <c r="B124" s="184" t="str">
        <f t="shared" ca="1" si="6"/>
        <v>Active</v>
      </c>
      <c r="C124" s="184" t="s">
        <v>340</v>
      </c>
      <c r="D124" s="184" t="s">
        <v>1885</v>
      </c>
      <c r="E124" s="185"/>
      <c r="F124" s="184"/>
      <c r="G124" s="184"/>
      <c r="H124" s="184"/>
      <c r="I124" s="184" t="s">
        <v>3669</v>
      </c>
      <c r="J124" s="184"/>
      <c r="K124" s="184" t="str">
        <f>IFERROR(IF(INDEX(Vöruskrá!$C:$C,MATCH($C124,Vöruskrá!$B:$B,0))=0,"",INDEX(Vöruskrá!$C:$C,MATCH($C124,Vöruskrá!$B:$B,0))),"")</f>
        <v>Pågen AB/ÓJK</v>
      </c>
      <c r="L124" s="184"/>
      <c r="M124" s="184"/>
      <c r="N124" s="184"/>
      <c r="O124" s="184" t="str">
        <f>IFERROR(IF(INDEX(Vöruskrá!$I:$I,MATCH($C124,Vöruskrá!$B:$B,0))=0,"",INDEX(Vöruskrá!$I:$I,MATCH($C124,Vöruskrá!$B:$B,0))),"")</f>
        <v>https://drive.google.com/file/d/1wQ6Aj25cbHnFwYYRVBbBao0ceJotW3tK/view?usp=sharing</v>
      </c>
      <c r="P124" s="184"/>
    </row>
    <row r="125" spans="1:16" ht="18" customHeight="1" outlineLevel="1">
      <c r="A125" s="183">
        <v>46239</v>
      </c>
      <c r="B125" s="184" t="str">
        <f t="shared" ca="1" si="6"/>
        <v>Active</v>
      </c>
      <c r="C125" s="184" t="s">
        <v>395</v>
      </c>
      <c r="D125" s="184" t="s">
        <v>1885</v>
      </c>
      <c r="E125" s="185"/>
      <c r="F125" s="184"/>
      <c r="G125" s="184"/>
      <c r="H125" s="184"/>
      <c r="I125" s="184" t="s">
        <v>3669</v>
      </c>
      <c r="J125" s="184"/>
      <c r="K125" s="184" t="str">
        <f>IFERROR(IF(INDEX(Vöruskrá!$C:$C,MATCH($C125,Vöruskrá!$B:$B,0))=0,"",INDEX(Vöruskrá!$C:$C,MATCH($C125,Vöruskrá!$B:$B,0))),"")</f>
        <v>MS</v>
      </c>
      <c r="L125" s="184"/>
      <c r="M125" s="184"/>
      <c r="N125" s="184"/>
      <c r="O125" s="184" t="str">
        <f>IFERROR(IF(INDEX(Vöruskrá!$I:$I,MATCH($C125,Vöruskrá!$B:$B,0))=0,"",INDEX(Vöruskrá!$I:$I,MATCH($C125,Vöruskrá!$B:$B,0))),"")</f>
        <v>https://docs.google.com/document/d/1UjBm-Tv-Iec76nq1yK04YofrHL0yfr89sWsBhPn2Bfg/edit?usp=sharing</v>
      </c>
      <c r="P125" s="184"/>
    </row>
    <row r="126" spans="1:16" ht="18" customHeight="1" outlineLevel="1">
      <c r="A126" s="192">
        <v>46240</v>
      </c>
      <c r="B126" s="193"/>
      <c r="C126" s="193" t="s">
        <v>4210</v>
      </c>
      <c r="D126" s="193"/>
      <c r="E126" s="194"/>
      <c r="F126" s="193"/>
      <c r="G126" s="193"/>
      <c r="H126" s="193"/>
      <c r="I126" s="193"/>
      <c r="J126" s="193"/>
      <c r="K126" s="193"/>
      <c r="L126" s="193"/>
      <c r="M126" s="193"/>
      <c r="N126" s="193"/>
      <c r="O126" s="193"/>
      <c r="P126" s="193"/>
    </row>
    <row r="127" spans="1:16" ht="18" customHeight="1" outlineLevel="1">
      <c r="A127" s="183">
        <v>46240</v>
      </c>
      <c r="B127" s="184" t="str">
        <f t="shared" ref="B127:B137" ca="1" si="7">IF($A127&lt;TODAY(),"Expired","Active")</f>
        <v>Active</v>
      </c>
      <c r="C127" s="184" t="s">
        <v>792</v>
      </c>
      <c r="D127" s="184" t="s">
        <v>1852</v>
      </c>
      <c r="E127" s="185"/>
      <c r="F127" s="184"/>
      <c r="G127" s="184"/>
      <c r="H127" s="184"/>
      <c r="I127" s="184" t="s">
        <v>3669</v>
      </c>
      <c r="J127" s="184"/>
      <c r="K127" s="184" t="str">
        <f>IFERROR(IF(INDEX(Vöruskrá!$C:$C,MATCH($C127,Vöruskrá!$B:$B,0))=0,"",INDEX(Vöruskrá!$C:$C,MATCH($C127,Vöruskrá!$B:$B,0))),"")</f>
        <v>Hafið</v>
      </c>
      <c r="L127" s="184"/>
      <c r="M127" s="184"/>
      <c r="N127" s="184"/>
      <c r="O127" s="184" t="str">
        <f>IFERROR(IF(INDEX(Vöruskrá!$I:$I,MATCH($C127,Vöruskrá!$B:$B,0))=0,"",INDEX(Vöruskrá!$I:$I,MATCH($C127,Vöruskrá!$B:$B,0))),"")</f>
        <v/>
      </c>
      <c r="P127" s="184"/>
    </row>
    <row r="128" spans="1:16" ht="18" customHeight="1" outlineLevel="1">
      <c r="A128" s="183">
        <v>46240</v>
      </c>
      <c r="B128" s="184" t="str">
        <f t="shared" ca="1" si="7"/>
        <v>Active</v>
      </c>
      <c r="C128" s="184" t="s">
        <v>867</v>
      </c>
      <c r="D128" s="184" t="s">
        <v>1852</v>
      </c>
      <c r="E128" s="185"/>
      <c r="F128" s="184"/>
      <c r="G128" s="184"/>
      <c r="H128" s="184"/>
      <c r="I128" s="184" t="s">
        <v>3669</v>
      </c>
      <c r="J128" s="184"/>
      <c r="K128" s="184" t="str">
        <f>IFERROR(IF(INDEX(Vöruskrá!$C:$C,MATCH($C128,Vöruskrá!$B:$B,0))=0,"",INDEX(Vöruskrá!$C:$C,MATCH($C128,Vöruskrá!$B:$B,0))),"")</f>
        <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390</v>
      </c>
      <c r="D129" s="184" t="s">
        <v>1852</v>
      </c>
      <c r="E129" s="185"/>
      <c r="F129" s="184"/>
      <c r="G129" s="184"/>
      <c r="H129" s="184"/>
      <c r="I129" s="184" t="s">
        <v>3669</v>
      </c>
      <c r="J129" s="184"/>
      <c r="K129" s="184" t="str">
        <f>IFERROR(IF(INDEX(Vöruskrá!$C:$C,MATCH($C129,Vöruskrá!$B:$B,0))=0,"",INDEX(Vöruskrá!$C:$C,MATCH($C129,Vöruskrá!$B:$B,0))),"")</f>
        <v>MS</v>
      </c>
      <c r="L129" s="184"/>
      <c r="M129" s="184"/>
      <c r="N129" s="184"/>
      <c r="O129" s="184" t="str">
        <f>IFERROR(IF(INDEX(Vöruskrá!$I:$I,MATCH($C129,Vöruskrá!$B:$B,0))=0,"",INDEX(Vöruskrá!$I:$I,MATCH($C129,Vöruskrá!$B:$B,0))),"")</f>
        <v>https://docs.google.com/document/d/149N3quKMoWawGv9LE2FddvRhKdpdb7Cxfmhury4OOtc/edit?usp=sharing</v>
      </c>
      <c r="P129" s="184"/>
    </row>
    <row r="130" spans="1:16" ht="18" customHeight="1" outlineLevel="1">
      <c r="A130" s="183">
        <v>46240</v>
      </c>
      <c r="B130" s="184" t="str">
        <f t="shared" ca="1" si="7"/>
        <v>Active</v>
      </c>
      <c r="C130" s="184" t="s">
        <v>324</v>
      </c>
      <c r="D130" s="184" t="s">
        <v>1852</v>
      </c>
      <c r="E130" s="185"/>
      <c r="F130" s="184"/>
      <c r="G130" s="184"/>
      <c r="H130" s="184"/>
      <c r="I130" s="184" t="s">
        <v>3669</v>
      </c>
      <c r="J130" s="184"/>
      <c r="K130" s="184" t="str">
        <f>IFERROR(IF(INDEX(Vöruskrá!$C:$C,MATCH($C130,Vöruskrá!$B:$B,0))=0,"",INDEX(Vöruskrá!$C:$C,MATCH($C130,Vöruskrá!$B:$B,0))),"")</f>
        <v>Gæðabakstur / Ömmubakstur ehf.</v>
      </c>
      <c r="L130" s="184"/>
      <c r="M130" s="184"/>
      <c r="N130" s="184"/>
      <c r="O130" s="184" t="str">
        <f>IFERROR(IF(INDEX(Vöruskrá!$I:$I,MATCH($C130,Vöruskrá!$B:$B,0))=0,"",INDEX(Vöruskrá!$I:$I,MATCH($C130,Vöruskrá!$B:$B,0))),"")</f>
        <v>https://gaedabakstur.is/vara/ommurugbraud-30-sneida/</v>
      </c>
      <c r="P130" s="184"/>
    </row>
    <row r="131" spans="1:16" ht="18" customHeight="1" outlineLevel="1">
      <c r="A131" s="183">
        <v>46240</v>
      </c>
      <c r="B131" s="184" t="str">
        <f t="shared" ca="1" si="7"/>
        <v>Active</v>
      </c>
      <c r="C131" s="184" t="s">
        <v>1117</v>
      </c>
      <c r="D131" s="184" t="s">
        <v>1867</v>
      </c>
      <c r="E131" s="185"/>
      <c r="F131" s="184"/>
      <c r="G131" s="184"/>
      <c r="H131" s="184"/>
      <c r="I131" s="184" t="s">
        <v>3669</v>
      </c>
      <c r="J131" s="184"/>
      <c r="K131" s="184" t="str">
        <f>IFERROR(IF(INDEX(Vöruskrá!$C:$C,MATCH($C131,Vöruskrá!$B:$B,0))=0,"",INDEX(Vöruskrá!$C:$C,MATCH($C131,Vöruskrá!$B:$B,0))),"")</f>
        <v>Álfasaga</v>
      </c>
      <c r="L131" s="184"/>
      <c r="M131" s="184"/>
      <c r="N131" s="184"/>
      <c r="O131" s="184" t="str">
        <f>IFERROR(IF(INDEX(Vöruskrá!$I:$I,MATCH($C131,Vöruskrá!$B:$B,0))=0,"",INDEX(Vöruskrá!$I:$I,MATCH($C131,Vöruskrá!$B:$B,0))),"")</f>
        <v>https://innnes.is/tilbunir-rettir/graenkerarettir/mn-kjuklingabaunaborgari-50x80gr/</v>
      </c>
      <c r="P131" s="184"/>
    </row>
    <row r="132" spans="1:16" ht="18" customHeight="1" outlineLevel="1">
      <c r="A132" s="183">
        <v>46240</v>
      </c>
      <c r="B132" s="184" t="str">
        <f t="shared" ca="1" si="7"/>
        <v>Active</v>
      </c>
      <c r="C132" s="184" t="s">
        <v>867</v>
      </c>
      <c r="D132" s="184" t="s">
        <v>1867</v>
      </c>
      <c r="E132" s="185"/>
      <c r="F132" s="184"/>
      <c r="G132" s="184"/>
      <c r="H132" s="184"/>
      <c r="I132" s="184" t="s">
        <v>3669</v>
      </c>
      <c r="J132" s="184"/>
      <c r="K132" s="184" t="str">
        <f>IFERROR(IF(INDEX(Vöruskrá!$C:$C,MATCH($C132,Vöruskrá!$B:$B,0))=0,"",INDEX(Vöruskrá!$C:$C,MATCH($C132,Vöruskrá!$B:$B,0))),"")</f>
        <v/>
      </c>
      <c r="L132" s="184"/>
      <c r="M132" s="184"/>
      <c r="N132" s="184"/>
      <c r="O132" s="184" t="str">
        <f>IFERROR(IF(INDEX(Vöruskrá!$I:$I,MATCH($C132,Vöruskrá!$B:$B,0))=0,"",INDEX(Vöruskrá!$I:$I,MATCH($C132,Vöruskrá!$B:$B,0))),"")</f>
        <v/>
      </c>
      <c r="P132" s="184"/>
    </row>
    <row r="133" spans="1:16" ht="18" customHeight="1" outlineLevel="1">
      <c r="A133" s="183">
        <v>46240</v>
      </c>
      <c r="B133" s="184" t="str">
        <f t="shared" ca="1" si="7"/>
        <v>Active</v>
      </c>
      <c r="C133" s="184" t="s">
        <v>257</v>
      </c>
      <c r="D133" s="184" t="s">
        <v>1867</v>
      </c>
      <c r="E133" s="185"/>
      <c r="F133" s="184"/>
      <c r="G133" s="184"/>
      <c r="H133" s="184"/>
      <c r="I133" s="184" t="s">
        <v>3669</v>
      </c>
      <c r="J133" s="184"/>
      <c r="K133" s="184" t="str">
        <f>IFERROR(IF(INDEX(Vöruskrá!$C:$C,MATCH($C133,Vöruskrá!$B:$B,0))=0,"",INDEX(Vöruskrá!$C:$C,MATCH($C133,Vöruskrá!$B:$B,0))),"")</f>
        <v>Kjarnavörur hf.</v>
      </c>
      <c r="L133" s="184"/>
      <c r="M133" s="184"/>
      <c r="N133" s="184"/>
      <c r="O133" s="184" t="str">
        <f>IFERROR(IF(INDEX(Vöruskrá!$I:$I,MATCH($C133,Vöruskrá!$B:$B,0))=0,"",INDEX(Vöruskrá!$I:$I,MATCH($C133,Vöruskrá!$B:$B,0))),"")</f>
        <v>https://docs.google.com/document/d/1jjpLQLnejNxDdmA90ekhQ3HbNVINXitkS6-S1W5yeak/edit?usp=sharing</v>
      </c>
      <c r="P133" s="184"/>
    </row>
    <row r="134" spans="1:16" ht="18" customHeight="1" outlineLevel="1">
      <c r="A134" s="183">
        <v>46240</v>
      </c>
      <c r="B134" s="184" t="str">
        <f t="shared" ca="1" si="7"/>
        <v>Active</v>
      </c>
      <c r="C134" s="184" t="s">
        <v>142</v>
      </c>
      <c r="D134" s="184" t="s">
        <v>946</v>
      </c>
      <c r="E134" s="185"/>
      <c r="F134" s="184"/>
      <c r="G134" s="184"/>
      <c r="H134" s="184"/>
      <c r="I134" s="184" t="s">
        <v>3669</v>
      </c>
      <c r="J134" s="184"/>
      <c r="K134" s="184" t="str">
        <f>IFERROR(IF(INDEX(Vöruskrá!$C:$C,MATCH($C134,Vöruskrá!$B:$B,0))=0,"",INDEX(Vöruskrá!$C:$C,MATCH($C134,Vöruskrá!$B:$B,0))),"")</f>
        <v>Matfugl ehf.</v>
      </c>
      <c r="L134" s="184"/>
      <c r="M134" s="184"/>
      <c r="N134" s="184"/>
      <c r="O134" s="184" t="str">
        <f>IFERROR(IF(INDEX(Vöruskrá!$I:$I,MATCH($C134,Vöruskrá!$B:$B,0))=0,"",INDEX(Vöruskrá!$I:$I,MATCH($C134,Vöruskrá!$B:$B,0))),"")</f>
        <v>https://drive.google.com/file/d/1eikdCgUrXnNjx_B4w2fUH_3E5nIrr0Kz/view?usp=sharing</v>
      </c>
      <c r="P134" s="184"/>
    </row>
    <row r="135" spans="1:16" ht="18" customHeight="1" outlineLevel="1">
      <c r="A135" s="183">
        <v>46240</v>
      </c>
      <c r="B135" s="184" t="str">
        <f t="shared" ca="1" si="7"/>
        <v>Active</v>
      </c>
      <c r="C135" s="184" t="s">
        <v>257</v>
      </c>
      <c r="D135" s="184" t="s">
        <v>946</v>
      </c>
      <c r="E135" s="185"/>
      <c r="F135" s="184"/>
      <c r="G135" s="184"/>
      <c r="H135" s="184"/>
      <c r="I135" s="184" t="s">
        <v>3669</v>
      </c>
      <c r="J135" s="184"/>
      <c r="K135" s="184" t="str">
        <f>IFERROR(IF(INDEX(Vöruskrá!$C:$C,MATCH($C135,Vöruskrá!$B:$B,0))=0,"",INDEX(Vöruskrá!$C:$C,MATCH($C135,Vöruskrá!$B:$B,0))),"")</f>
        <v>Kjarnavörur hf.</v>
      </c>
      <c r="L135" s="184"/>
      <c r="M135" s="184"/>
      <c r="N135" s="184"/>
      <c r="O135" s="184" t="str">
        <f>IFERROR(IF(INDEX(Vöruskrá!$I:$I,MATCH($C135,Vöruskrá!$B:$B,0))=0,"",INDEX(Vöruskrá!$I:$I,MATCH($C135,Vöruskrá!$B:$B,0))),"")</f>
        <v>https://docs.google.com/document/d/1jjpLQLnejNxDdmA90ekhQ3HbNVINXitkS6-S1W5yeak/edit?usp=sharing</v>
      </c>
      <c r="P135" s="184"/>
    </row>
    <row r="136" spans="1:16" ht="18" customHeight="1" outlineLevel="1">
      <c r="A136" s="183">
        <v>46240</v>
      </c>
      <c r="B136" s="184" t="str">
        <f t="shared" ca="1" si="7"/>
        <v>Active</v>
      </c>
      <c r="C136" s="184" t="s">
        <v>40</v>
      </c>
      <c r="D136" s="184" t="s">
        <v>1885</v>
      </c>
      <c r="E136" s="185"/>
      <c r="F136" s="184"/>
      <c r="G136" s="184"/>
      <c r="H136" s="184"/>
      <c r="I136" s="184" t="s">
        <v>3669</v>
      </c>
      <c r="J136" s="184"/>
      <c r="K136" s="184" t="str">
        <f>IFERROR(IF(INDEX(Vöruskrá!$C:$C,MATCH($C136,Vöruskrá!$B:$B,0))=0,"",INDEX(Vöruskrá!$C:$C,MATCH($C136,Vöruskrá!$B:$B,0))),"")</f>
        <v>Myllan</v>
      </c>
      <c r="L136" s="184"/>
      <c r="M136" s="184"/>
      <c r="N136" s="184"/>
      <c r="O136" s="184" t="str">
        <f>IFERROR(IF(INDEX(Vöruskrá!$I:$I,MATCH($C136,Vöruskrá!$B:$B,0))=0,"",INDEX(Vöruskrá!$I:$I,MATCH($C136,Vöruskrá!$B:$B,0))),"")</f>
        <v>https://www.myllan.is/is/vorulinur/frosin-pokkud-vara/beyglur-finar</v>
      </c>
      <c r="P136" s="184"/>
    </row>
    <row r="137" spans="1:16" ht="18" customHeight="1" outlineLevel="1">
      <c r="A137" s="183">
        <v>46240</v>
      </c>
      <c r="B137" s="184" t="str">
        <f t="shared" ca="1" si="7"/>
        <v>Active</v>
      </c>
      <c r="C137" s="184" t="s">
        <v>829</v>
      </c>
      <c r="D137" s="184" t="s">
        <v>1885</v>
      </c>
      <c r="E137" s="185"/>
      <c r="F137" s="184"/>
      <c r="G137" s="184"/>
      <c r="H137" s="184"/>
      <c r="I137" s="184" t="s">
        <v>3669</v>
      </c>
      <c r="J137" s="184"/>
      <c r="K137" s="184" t="str">
        <f>IFERROR(IF(INDEX(Vöruskrá!$C:$C,MATCH($C137,Vöruskrá!$B:$B,0))=0,"",INDEX(Vöruskrá!$C:$C,MATCH($C137,Vöruskrá!$B:$B,0))),"")</f>
        <v>MS</v>
      </c>
      <c r="L137" s="184"/>
      <c r="M137" s="184"/>
      <c r="N137" s="184"/>
      <c r="O137" s="184" t="str">
        <f>IFERROR(IF(INDEX(Vöruskrá!$I:$I,MATCH($C137,Vöruskrá!$B:$B,0))=0,"",INDEX(Vöruskrá!$I:$I,MATCH($C137,Vöruskrá!$B:$B,0))),"")</f>
        <v>https://www.ms.is/vorur/vara/smurostur-litill-20-g</v>
      </c>
      <c r="P137" s="184"/>
    </row>
    <row r="138" spans="1:16" ht="18" customHeight="1" outlineLevel="1">
      <c r="A138" s="192">
        <v>46241</v>
      </c>
      <c r="B138" s="193"/>
      <c r="C138" s="193" t="s">
        <v>4210</v>
      </c>
      <c r="D138" s="193"/>
      <c r="E138" s="194"/>
      <c r="F138" s="193"/>
      <c r="G138" s="193"/>
      <c r="H138" s="193"/>
      <c r="I138" s="193"/>
      <c r="J138" s="193"/>
      <c r="K138" s="193"/>
      <c r="L138" s="193"/>
      <c r="M138" s="193"/>
      <c r="N138" s="193"/>
      <c r="O138" s="193"/>
      <c r="P138" s="193"/>
    </row>
    <row r="139" spans="1:16" ht="18" customHeight="1" outlineLevel="1">
      <c r="A139" s="183">
        <v>46241</v>
      </c>
      <c r="B139" s="184" t="str">
        <f t="shared" ref="B139:B156" ca="1" si="8">IF($A139&lt;TODAY(),"Expired","Active")</f>
        <v>Active</v>
      </c>
      <c r="C139" s="184" t="s">
        <v>785</v>
      </c>
      <c r="D139" s="184" t="s">
        <v>1852</v>
      </c>
      <c r="E139" s="185"/>
      <c r="F139" s="184"/>
      <c r="G139" s="184"/>
      <c r="H139" s="184"/>
      <c r="I139" s="184" t="s">
        <v>3669</v>
      </c>
      <c r="J139" s="184"/>
      <c r="K139" s="184" t="str">
        <f>IFERROR(IF(INDEX(Vöruskrá!$C:$C,MATCH($C139,Vöruskrá!$B:$B,0))=0,"",INDEX(Vöruskrá!$C:$C,MATCH($C139,Vöruskrá!$B:$B,0))),"")</f>
        <v>Matarstund</v>
      </c>
      <c r="L139" s="184"/>
      <c r="M139" s="184"/>
      <c r="N139" s="184"/>
      <c r="O139" s="184" t="str">
        <f>IFERROR(IF(INDEX(Vöruskrá!$I:$I,MATCH($C139,Vöruskrá!$B:$B,0))=0,"",INDEX(Vöruskrá!$I:$I,MATCH($C139,Vöruskrá!$B:$B,0))),"")</f>
        <v/>
      </c>
      <c r="P139" s="184"/>
    </row>
    <row r="140" spans="1:16" ht="18" customHeight="1" outlineLevel="1">
      <c r="A140" s="183">
        <v>46241</v>
      </c>
      <c r="B140" s="184" t="str">
        <f t="shared" ca="1" si="8"/>
        <v>Active</v>
      </c>
      <c r="C140" s="184" t="s">
        <v>1079</v>
      </c>
      <c r="D140" s="184" t="s">
        <v>1852</v>
      </c>
      <c r="E140" s="185"/>
      <c r="F140" s="184"/>
      <c r="G140" s="184"/>
      <c r="H140" s="184"/>
      <c r="I140" s="184" t="s">
        <v>3669</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https://vefverslun.ojk-isam.is/api/BlobForward/inline/ojkisam/782687bd-f424-4094-828f-3fdf68bef8e0.pdf</v>
      </c>
      <c r="P140" s="184"/>
    </row>
    <row r="141" spans="1:16" ht="18" customHeight="1" outlineLevel="1">
      <c r="A141" s="195">
        <v>46241</v>
      </c>
      <c r="B141" s="196" t="str">
        <f t="shared" ca="1" si="8"/>
        <v>Active</v>
      </c>
      <c r="C141" s="198" t="s">
        <v>1700</v>
      </c>
      <c r="D141" s="196" t="s">
        <v>1867</v>
      </c>
      <c r="E141" s="197"/>
      <c r="F141" s="196"/>
      <c r="G141" s="196"/>
      <c r="H141" s="196"/>
      <c r="I141" s="196"/>
      <c r="J141" s="196"/>
      <c r="K141" s="196"/>
      <c r="L141" s="196"/>
      <c r="M141" s="196"/>
      <c r="N141" s="196"/>
      <c r="O141" s="196"/>
      <c r="P141" s="196"/>
    </row>
    <row r="142" spans="1:16" ht="18" customHeight="1" outlineLevel="1">
      <c r="A142" s="183">
        <v>46241</v>
      </c>
      <c r="B142" s="184" t="str">
        <f t="shared" ca="1" si="8"/>
        <v>Active</v>
      </c>
      <c r="C142" s="184" t="s">
        <v>455</v>
      </c>
      <c r="D142" s="184" t="s">
        <v>1867</v>
      </c>
      <c r="E142" s="185">
        <f>Hráefnaskrá!$D$440/1000</f>
        <v>40</v>
      </c>
      <c r="F142" s="184"/>
      <c r="G142" s="184"/>
      <c r="H142" s="184"/>
      <c r="I142" s="184" t="s">
        <v>3669</v>
      </c>
      <c r="J142" s="184"/>
      <c r="K142" s="184" t="str">
        <f>IFERROR(IF(INDEX(Vöruskrá!$C:$C,MATCH($C142,Vöruskrá!$B:$B,0))=0,"",INDEX(Vöruskrá!$C:$C,MATCH($C142,Vöruskrá!$B:$B,0))),"")</f>
        <v>Nestlé Professional/ Innnes</v>
      </c>
      <c r="L142" s="184"/>
      <c r="M142" s="184"/>
      <c r="N142" s="184"/>
      <c r="O142" s="184" t="str">
        <f>IFERROR(IF(INDEX(Vöruskrá!$I:$I,MATCH($C142,Vöruskrá!$B:$B,0))=0,"",INDEX(Vöruskrá!$I:$I,MATCH($C142,Vöruskrá!$B:$B,0))),"")</f>
        <v>https://drive.google.com/file/d/1dLk5SlPKdYyJqdOZST2ULLFV06BQ8Wyr/view?usp=sharing</v>
      </c>
      <c r="P142" s="184"/>
    </row>
    <row r="143" spans="1:16" ht="18" customHeight="1" outlineLevel="1">
      <c r="A143" s="183">
        <v>46241</v>
      </c>
      <c r="B143" s="184" t="str">
        <f t="shared" ca="1" si="8"/>
        <v>Active</v>
      </c>
      <c r="C143" s="184" t="s">
        <v>642</v>
      </c>
      <c r="D143" s="184" t="s">
        <v>1867</v>
      </c>
      <c r="E143" s="185">
        <f>Hráefnaskrá!$D$441/1000</f>
        <v>33.299999999999997</v>
      </c>
      <c r="F143" s="184"/>
      <c r="G143" s="184"/>
      <c r="H143" s="184"/>
      <c r="I143" s="184" t="s">
        <v>3669</v>
      </c>
      <c r="J143" s="184"/>
      <c r="K143" s="184" t="str">
        <f>IFERROR(IF(INDEX(Vöruskrá!$C:$C,MATCH($C143,Vöruskrá!$B:$B,0))=0,"",INDEX(Vöruskrá!$C:$C,MATCH($C143,Vöruskrá!$B:$B,0))),"")</f>
        <v>Garri</v>
      </c>
      <c r="L143" s="184"/>
      <c r="M143" s="184"/>
      <c r="N143" s="184"/>
      <c r="O143" s="184" t="str">
        <f>IFERROR(IF(INDEX(Vöruskrá!$I:$I,MATCH($C143,Vöruskrá!$B:$B,0))=0,"",INDEX(Vöruskrá!$I:$I,MATCH($C143,Vöruskrá!$B:$B,0))),"")</f>
        <v>https://drive.google.com/file/d/1KpmvS2RLTpOgjAXxWnqkP5oIiiwt-ypx/view?usp=sharing</v>
      </c>
      <c r="P143" s="184"/>
    </row>
    <row r="144" spans="1:16" ht="18" customHeight="1" outlineLevel="1">
      <c r="A144" s="183">
        <v>46241</v>
      </c>
      <c r="B144" s="184" t="str">
        <f t="shared" ca="1" si="8"/>
        <v>Active</v>
      </c>
      <c r="C144" s="184" t="s">
        <v>439</v>
      </c>
      <c r="D144" s="184" t="s">
        <v>1867</v>
      </c>
      <c r="E144" s="185">
        <f>Hráefnaskrá!$D$442/1000</f>
        <v>5</v>
      </c>
      <c r="F144" s="184"/>
      <c r="G144" s="184"/>
      <c r="H144" s="184"/>
      <c r="I144" s="184" t="s">
        <v>3669</v>
      </c>
      <c r="J144" s="184"/>
      <c r="K144" s="184" t="str">
        <f>IFERROR(IF(INDEX(Vöruskrá!$C:$C,MATCH($C144,Vöruskrá!$B:$B,0))=0,"",INDEX(Vöruskrá!$C:$C,MATCH($C144,Vöruskrá!$B:$B,0))),"")</f>
        <v>Menu SRL</v>
      </c>
      <c r="L144" s="184"/>
      <c r="M144" s="184"/>
      <c r="N144" s="184"/>
      <c r="O144" s="184" t="str">
        <f>IFERROR(IF(INDEX(Vöruskrá!$I:$I,MATCH($C144,Vöruskrá!$B:$B,0))=0,"",INDEX(Vöruskrá!$I:$I,MATCH($C144,Vöruskrá!$B:$B,0))),"")</f>
        <v>https://drive.google.com/file/d/1d9nwUjnSzxKmopD1MmL_m-j_PclKxewh/view?usp=sharing</v>
      </c>
      <c r="P144" s="184"/>
    </row>
    <row r="145" spans="1:16" ht="18" customHeight="1" outlineLevel="1">
      <c r="A145" s="183">
        <v>46241</v>
      </c>
      <c r="B145" s="184" t="str">
        <f t="shared" ca="1" si="8"/>
        <v>Active</v>
      </c>
      <c r="C145" s="184" t="s">
        <v>222</v>
      </c>
      <c r="D145" s="184" t="s">
        <v>1867</v>
      </c>
      <c r="E145" s="185">
        <f>Hráefnaskrá!$D$443/1000</f>
        <v>6.7</v>
      </c>
      <c r="F145" s="184"/>
      <c r="G145" s="184"/>
      <c r="H145" s="184"/>
      <c r="I145" s="184" t="s">
        <v>3669</v>
      </c>
      <c r="J145" s="184"/>
      <c r="K145" s="184" t="str">
        <f>IFERROR(IF(INDEX(Vöruskrá!$C:$C,MATCH($C145,Vöruskrá!$B:$B,0))=0,"",INDEX(Vöruskrá!$C:$C,MATCH($C145,Vöruskrá!$B:$B,0))),"")</f>
        <v>Ardo/Garri</v>
      </c>
      <c r="L145" s="184"/>
      <c r="M145" s="184"/>
      <c r="N145" s="184"/>
      <c r="O145" s="184" t="str">
        <f>IFERROR(IF(INDEX(Vöruskrá!$I:$I,MATCH($C145,Vöruskrá!$B:$B,0))=0,"",INDEX(Vöruskrá!$I:$I,MATCH($C145,Vöruskrá!$B:$B,0))),"")</f>
        <v>https://drive.google.com/file/d/1GJCXmg1Vj2I1EBYaQMCFT7B1s7hEMNUD/view?usp=sharing</v>
      </c>
      <c r="P145" s="184"/>
    </row>
    <row r="146" spans="1:16" ht="18" customHeight="1" outlineLevel="1">
      <c r="A146" s="183">
        <v>46241</v>
      </c>
      <c r="B146" s="184" t="str">
        <f t="shared" ca="1" si="8"/>
        <v>Active</v>
      </c>
      <c r="C146" s="184" t="s">
        <v>920</v>
      </c>
      <c r="D146" s="184" t="s">
        <v>1867</v>
      </c>
      <c r="E146" s="185">
        <f>Hráefnaskrá!$D$444/1000</f>
        <v>2</v>
      </c>
      <c r="F146" s="184"/>
      <c r="G146" s="184"/>
      <c r="H146" s="184"/>
      <c r="I146" s="184" t="s">
        <v>3669</v>
      </c>
      <c r="J146" s="184"/>
      <c r="K146" s="184" t="str">
        <f>IFERROR(IF(INDEX(Vöruskrá!$C:$C,MATCH($C146,Vöruskrá!$B:$B,0))=0,"",INDEX(Vöruskrá!$C:$C,MATCH($C146,Vöruskrá!$B:$B,0))),"")</f>
        <v>Essential Cuisine Ltd. / Garri</v>
      </c>
      <c r="L146" s="184"/>
      <c r="M146" s="184"/>
      <c r="N146" s="184"/>
      <c r="O146" s="184" t="str">
        <f>IFERROR(IF(INDEX(Vöruskrá!$I:$I,MATCH($C146,Vöruskrá!$B:$B,0))=0,"",INDEX(Vöruskrá!$I:$I,MATCH($C146,Vöruskrá!$B:$B,0))),"")</f>
        <v>https://garri.overcastcdn.com/documents/230HALBSM1B.pdf</v>
      </c>
      <c r="P146" s="184"/>
    </row>
    <row r="147" spans="1:16" ht="18" customHeight="1" outlineLevel="1">
      <c r="A147" s="183">
        <v>46241</v>
      </c>
      <c r="B147" s="184" t="str">
        <f t="shared" ca="1" si="8"/>
        <v>Active</v>
      </c>
      <c r="C147" s="184" t="s">
        <v>502</v>
      </c>
      <c r="D147" s="184" t="s">
        <v>1867</v>
      </c>
      <c r="E147" s="185">
        <f>Hráefnaskrá!$D$445/1000</f>
        <v>0.83</v>
      </c>
      <c r="F147" s="184"/>
      <c r="G147" s="184"/>
      <c r="H147" s="184"/>
      <c r="I147" s="184" t="s">
        <v>3669</v>
      </c>
      <c r="J147" s="184"/>
      <c r="K147" s="184" t="str">
        <f>IFERROR(IF(INDEX(Vöruskrá!$C:$C,MATCH($C147,Vöruskrá!$B:$B,0))=0,"",INDEX(Vöruskrá!$C:$C,MATCH($C147,Vöruskrá!$B:$B,0))),"")</f>
        <v>APPETIT Levnedsmidler A/S / Wiik &amp; Co.</v>
      </c>
      <c r="L147" s="184"/>
      <c r="M147" s="184"/>
      <c r="N147" s="184"/>
      <c r="O147" s="184" t="str">
        <f>IFERROR(IF(INDEX(Vöruskrá!$I:$I,MATCH($C147,Vöruskrá!$B:$B,0))=0,"",INDEX(Vöruskrá!$I:$I,MATCH($C147,Vöruskrá!$B:$B,0))),"")</f>
        <v>https://drive.google.com/file/d/1LQQG6zdc-XSLzYb6RKlxdzBpQOUufTtB/view?usp=sharing</v>
      </c>
      <c r="P147" s="184"/>
    </row>
    <row r="148" spans="1:16" ht="18" customHeight="1" outlineLevel="1">
      <c r="A148" s="183">
        <v>46241</v>
      </c>
      <c r="B148" s="184" t="str">
        <f t="shared" ca="1" si="8"/>
        <v>Active</v>
      </c>
      <c r="C148" s="184" t="s">
        <v>877</v>
      </c>
      <c r="D148" s="184" t="s">
        <v>1867</v>
      </c>
      <c r="E148" s="185">
        <f>Hráefnaskrá!$D$446/1000</f>
        <v>1.3</v>
      </c>
      <c r="F148" s="184"/>
      <c r="G148" s="184"/>
      <c r="H148" s="184"/>
      <c r="I148" s="184" t="s">
        <v>3669</v>
      </c>
      <c r="J148" s="184"/>
      <c r="K148" s="184" t="str">
        <f>IFERROR(IF(INDEX(Vöruskrá!$C:$C,MATCH($C148,Vöruskrá!$B:$B,0))=0,"",INDEX(Vöruskrá!$C:$C,MATCH($C148,Vöruskrá!$B:$B,0))),"")</f>
        <v/>
      </c>
      <c r="L148" s="184"/>
      <c r="M148" s="184"/>
      <c r="N148" s="184"/>
      <c r="O148" s="184" t="str">
        <f>IFERROR(IF(INDEX(Vöruskrá!$I:$I,MATCH($C148,Vöruskrá!$B:$B,0))=0,"",INDEX(Vöruskrá!$I:$I,MATCH($C148,Vöruskrá!$B:$B,0))),"")</f>
        <v/>
      </c>
      <c r="P148" s="184"/>
    </row>
    <row r="149" spans="1:16" ht="18" customHeight="1" outlineLevel="1">
      <c r="A149" s="183">
        <v>46241</v>
      </c>
      <c r="B149" s="184" t="str">
        <f t="shared" ca="1" si="8"/>
        <v>Active</v>
      </c>
      <c r="C149" s="184" t="s">
        <v>266</v>
      </c>
      <c r="D149" s="184" t="s">
        <v>1867</v>
      </c>
      <c r="E149" s="185">
        <f>Hráefnaskrá!$D$447/1000</f>
        <v>0.67</v>
      </c>
      <c r="F149" s="184"/>
      <c r="G149" s="184"/>
      <c r="H149" s="184"/>
      <c r="I149" s="184" t="s">
        <v>3669</v>
      </c>
      <c r="J149" s="184"/>
      <c r="K149" s="184" t="str">
        <f>IFERROR(IF(INDEX(Vöruskrá!$C:$C,MATCH($C149,Vöruskrá!$B:$B,0))=0,"",INDEX(Vöruskrá!$C:$C,MATCH($C149,Vöruskrá!$B:$B,0))),"")</f>
        <v>Katla matvælaiðja ehf.</v>
      </c>
      <c r="L149" s="184"/>
      <c r="M149" s="184"/>
      <c r="N149" s="184"/>
      <c r="O149" s="184" t="str">
        <f>IFERROR(IF(INDEX(Vöruskrá!$I:$I,MATCH($C149,Vöruskrá!$B:$B,0))=0,"",INDEX(Vöruskrá!$I:$I,MATCH($C149,Vöruskrá!$B:$B,0))),"")</f>
        <v>https://drive.google.com/file/d/18_svh90eLQ1eSbJF3qr3eWDjhyhpL95Y/view?usp=sharing</v>
      </c>
      <c r="P149" s="184"/>
    </row>
    <row r="150" spans="1:16" ht="18" customHeight="1" outlineLevel="1">
      <c r="A150" s="183">
        <v>46241</v>
      </c>
      <c r="B150" s="184" t="str">
        <f t="shared" ca="1" si="8"/>
        <v>Active</v>
      </c>
      <c r="C150" s="184" t="s">
        <v>704</v>
      </c>
      <c r="D150" s="184" t="s">
        <v>1867</v>
      </c>
      <c r="E150" s="185">
        <f>Hráefnaskrá!$D$448/1000</f>
        <v>0.13300000000000001</v>
      </c>
      <c r="F150" s="184"/>
      <c r="G150" s="184"/>
      <c r="H150" s="184"/>
      <c r="I150" s="184" t="s">
        <v>3669</v>
      </c>
      <c r="J150" s="184"/>
      <c r="K150" s="184" t="str">
        <f>IFERROR(IF(INDEX(Vöruskrá!$C:$C,MATCH($C150,Vöruskrá!$B:$B,0))=0,"",INDEX(Vöruskrá!$C:$C,MATCH($C150,Vöruskrá!$B:$B,0))),"")</f>
        <v>Nordic Spice AB/Garri</v>
      </c>
      <c r="L150" s="184"/>
      <c r="M150" s="184"/>
      <c r="N150" s="184"/>
      <c r="O150" s="184" t="str">
        <f>IFERROR(IF(INDEX(Vöruskrá!$I:$I,MATCH($C150,Vöruskrá!$B:$B,0))=0,"",INDEX(Vöruskrá!$I:$I,MATCH($C150,Vöruskrá!$B:$B,0))),"")</f>
        <v>https://drive.google.com/file/d/16pABGxDAo2BQ5ZBD9aqSATzh85vQmJ63/view?usp=sharing</v>
      </c>
      <c r="P150" s="184"/>
    </row>
    <row r="151" spans="1:16" ht="18" customHeight="1" outlineLevel="1">
      <c r="A151" s="183">
        <v>46241</v>
      </c>
      <c r="B151" s="184" t="str">
        <f t="shared" ca="1" si="8"/>
        <v>Active</v>
      </c>
      <c r="C151" s="184" t="s">
        <v>701</v>
      </c>
      <c r="D151" s="184" t="s">
        <v>1867</v>
      </c>
      <c r="E151" s="185">
        <f>Hráefnaskrá!$D$449/1000</f>
        <v>6.7000000000000004E-2</v>
      </c>
      <c r="F151" s="184"/>
      <c r="G151" s="184"/>
      <c r="H151" s="184"/>
      <c r="I151" s="184" t="s">
        <v>3669</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https://drive.google.com/file/d/1NxDuZHxld5CsvYcJgTiXxTjyQty0WriF/view?usp=sharing</v>
      </c>
      <c r="P151" s="184"/>
    </row>
    <row r="152" spans="1:16" ht="18" customHeight="1" outlineLevel="1">
      <c r="A152" s="183">
        <v>46241</v>
      </c>
      <c r="B152" s="184" t="str">
        <f t="shared" ca="1" si="8"/>
        <v>Active</v>
      </c>
      <c r="C152" s="184" t="s">
        <v>878</v>
      </c>
      <c r="D152" s="184" t="s">
        <v>1867</v>
      </c>
      <c r="E152" s="185">
        <f>Hráefnaskrá!$D$450/1000</f>
        <v>10</v>
      </c>
      <c r="F152" s="184"/>
      <c r="G152" s="184"/>
      <c r="H152" s="184"/>
      <c r="I152" s="184" t="s">
        <v>3669</v>
      </c>
      <c r="J152" s="184"/>
      <c r="K152" s="184" t="str">
        <f>IFERROR(IF(INDEX(Vöruskrá!$C:$C,MATCH($C152,Vöruskrá!$B:$B,0))=0,"",INDEX(Vöruskrá!$C:$C,MATCH($C152,Vöruskrá!$B:$B,0))),"")</f>
        <v/>
      </c>
      <c r="L152" s="184"/>
      <c r="M152" s="184"/>
      <c r="N152" s="184"/>
      <c r="O152" s="184" t="str">
        <f>IFERROR(IF(INDEX(Vöruskrá!$I:$I,MATCH($C152,Vöruskrá!$B:$B,0))=0,"",INDEX(Vöruskrá!$I:$I,MATCH($C152,Vöruskrá!$B:$B,0))),"")</f>
        <v/>
      </c>
      <c r="P152" s="184"/>
    </row>
    <row r="153" spans="1:16" ht="18" customHeight="1" outlineLevel="1">
      <c r="A153" s="183">
        <v>46241</v>
      </c>
      <c r="B153" s="184" t="str">
        <f t="shared" ca="1" si="8"/>
        <v>Active</v>
      </c>
      <c r="C153" s="184" t="s">
        <v>1079</v>
      </c>
      <c r="D153" s="184" t="s">
        <v>1867</v>
      </c>
      <c r="E153" s="185"/>
      <c r="F153" s="184"/>
      <c r="G153" s="184"/>
      <c r="H153" s="184"/>
      <c r="I153" s="184" t="s">
        <v>3669</v>
      </c>
      <c r="J153" s="184"/>
      <c r="K153" s="184" t="str">
        <f>IFERROR(IF(INDEX(Vöruskrá!$C:$C,MATCH($C153,Vöruskrá!$B:$B,0))=0,"",INDEX(Vöruskrá!$C:$C,MATCH($C153,Vöruskrá!$B:$B,0))),"")</f>
        <v>Matarstund</v>
      </c>
      <c r="L153" s="184"/>
      <c r="M153" s="184"/>
      <c r="N153" s="184"/>
      <c r="O153" s="184" t="str">
        <f>IFERROR(IF(INDEX(Vöruskrá!$I:$I,MATCH($C153,Vöruskrá!$B:$B,0))=0,"",INDEX(Vöruskrá!$I:$I,MATCH($C153,Vöruskrá!$B:$B,0))),"")</f>
        <v>https://vefverslun.ojk-isam.is/api/BlobForward/inline/ojkisam/782687bd-f424-4094-828f-3fdf68bef8e0.pdf</v>
      </c>
      <c r="P153" s="184"/>
    </row>
    <row r="154" spans="1:16" ht="18" customHeight="1" outlineLevel="1">
      <c r="A154" s="183">
        <v>46241</v>
      </c>
      <c r="B154" s="184" t="str">
        <f t="shared" ca="1" si="8"/>
        <v>Active</v>
      </c>
      <c r="C154" s="184" t="s">
        <v>1383</v>
      </c>
      <c r="D154" s="184" t="s">
        <v>946</v>
      </c>
      <c r="E154" s="185"/>
      <c r="F154" s="184"/>
      <c r="G154" s="184"/>
      <c r="H154" s="184"/>
      <c r="I154" s="184" t="s">
        <v>3669</v>
      </c>
      <c r="J154" s="184"/>
      <c r="K154" s="184" t="str">
        <f>IFERROR(IF(INDEX(Vöruskrá!$C:$C,MATCH($C154,Vöruskrá!$B:$B,0))=0,"",INDEX(Vöruskrá!$C:$C,MATCH($C154,Vöruskrá!$B:$B,0))),"")</f>
        <v>Pasta d'oro/Danól</v>
      </c>
      <c r="L154" s="184"/>
      <c r="M154" s="184"/>
      <c r="N154" s="184"/>
      <c r="O154" s="184" t="str">
        <f>IFERROR(IF(INDEX(Vöruskrá!$I:$I,MATCH($C154,Vöruskrá!$B:$B,0))=0,"",INDEX(Vöruskrá!$I:$I,MATCH($C154,Vöruskrá!$B:$B,0))),"")</f>
        <v/>
      </c>
      <c r="P154" s="184"/>
    </row>
    <row r="155" spans="1:16" ht="18" customHeight="1" outlineLevel="1">
      <c r="A155" s="183">
        <v>46241</v>
      </c>
      <c r="B155" s="184" t="str">
        <f t="shared" ca="1" si="8"/>
        <v>Active</v>
      </c>
      <c r="C155" s="184" t="s">
        <v>52</v>
      </c>
      <c r="D155" s="184" t="s">
        <v>1885</v>
      </c>
      <c r="E155" s="185"/>
      <c r="F155" s="184"/>
      <c r="G155" s="184"/>
      <c r="H155" s="184"/>
      <c r="I155" s="184" t="s">
        <v>3669</v>
      </c>
      <c r="J155" s="184"/>
      <c r="K155" s="184" t="str">
        <f>IFERROR(IF(INDEX(Vöruskrá!$C:$C,MATCH($C155,Vöruskrá!$B:$B,0))=0,"",INDEX(Vöruskrá!$C:$C,MATCH($C155,Vöruskrá!$B:$B,0))),"")</f>
        <v>Myllan</v>
      </c>
      <c r="L155" s="184"/>
      <c r="M155" s="184"/>
      <c r="N155" s="184"/>
      <c r="O155" s="184" t="str">
        <f>IFERROR(IF(INDEX(Vöruskrá!$I:$I,MATCH($C155,Vöruskrá!$B:$B,0))=0,"",INDEX(Vöruskrá!$I:$I,MATCH($C155,Vöruskrá!$B:$B,0))),"")</f>
        <v>https://www.myllan.is/is/vorulinur/samlokubraud/heimilisbraud-heilt</v>
      </c>
      <c r="P155" s="184"/>
    </row>
    <row r="156" spans="1:16" ht="18" customHeight="1" outlineLevel="1">
      <c r="A156" s="183">
        <v>46241</v>
      </c>
      <c r="B156" s="184" t="str">
        <f t="shared" ca="1" si="8"/>
        <v>Active</v>
      </c>
      <c r="C156" s="184" t="s">
        <v>376</v>
      </c>
      <c r="D156" s="184" t="s">
        <v>1885</v>
      </c>
      <c r="E156" s="185"/>
      <c r="F156" s="184"/>
      <c r="G156" s="184"/>
      <c r="H156" s="184"/>
      <c r="I156" s="184" t="s">
        <v>3669</v>
      </c>
      <c r="J156" s="184"/>
      <c r="K156" s="184" t="str">
        <f>IFERROR(IF(INDEX(Vöruskrá!$C:$C,MATCH($C156,Vöruskrá!$B:$B,0))=0,"",INDEX(Vöruskrá!$C:$C,MATCH($C156,Vöruskrá!$B:$B,0))),"")</f>
        <v>Matfugl ehf.</v>
      </c>
      <c r="L156" s="184"/>
      <c r="M156" s="184"/>
      <c r="N156" s="184"/>
      <c r="O156" s="184" t="str">
        <f>IFERROR(IF(INDEX(Vöruskrá!$I:$I,MATCH($C156,Vöruskrá!$B:$B,0))=0,"",INDEX(Vöruskrá!$I:$I,MATCH($C156,Vöruskrá!$B:$B,0))),"")</f>
        <v>https://docs.google.com/document/d/1m0YKiZ4cQZAZVlQ9NBO-W9jBUEk9w4-k1SKb9XI2P-o/edit?usp=sharing</v>
      </c>
      <c r="P156" s="184"/>
    </row>
    <row r="157" spans="1:16" ht="18" customHeight="1" outlineLevel="1">
      <c r="A157" s="192">
        <v>46244</v>
      </c>
      <c r="B157" s="193"/>
      <c r="C157" s="193" t="s">
        <v>4210</v>
      </c>
      <c r="D157" s="193"/>
      <c r="E157" s="194"/>
      <c r="F157" s="193"/>
      <c r="G157" s="193"/>
      <c r="H157" s="193"/>
      <c r="I157" s="193"/>
      <c r="J157" s="193"/>
      <c r="K157" s="193"/>
      <c r="L157" s="193"/>
      <c r="M157" s="193"/>
      <c r="N157" s="193"/>
      <c r="O157" s="193"/>
      <c r="P157" s="193"/>
    </row>
    <row r="158" spans="1:16" ht="18" customHeight="1" outlineLevel="1">
      <c r="A158" s="195">
        <v>46244</v>
      </c>
      <c r="B158" s="196" t="str">
        <f t="shared" ref="B158:B176" ca="1" si="9">IF($A158&lt;TODAY(),"Expired","Active")</f>
        <v>Active</v>
      </c>
      <c r="C158" s="198" t="s">
        <v>852</v>
      </c>
      <c r="D158" s="196" t="s">
        <v>1852</v>
      </c>
      <c r="E158" s="197"/>
      <c r="F158" s="196"/>
      <c r="G158" s="196"/>
      <c r="H158" s="196"/>
      <c r="I158" s="196"/>
      <c r="J158" s="196"/>
      <c r="K158" s="196"/>
      <c r="L158" s="196"/>
      <c r="M158" s="196"/>
      <c r="N158" s="196"/>
      <c r="O158" s="196"/>
      <c r="P158" s="196"/>
    </row>
    <row r="159" spans="1:16" ht="18" customHeight="1" outlineLevel="1">
      <c r="A159" s="183">
        <v>46244</v>
      </c>
      <c r="B159" s="184" t="str">
        <f t="shared" ca="1" si="9"/>
        <v>Active</v>
      </c>
      <c r="C159" s="184" t="s">
        <v>152</v>
      </c>
      <c r="D159" s="184" t="s">
        <v>1852</v>
      </c>
      <c r="E159" s="185">
        <f>Hráefnaskrá!$D$32/1000</f>
        <v>35</v>
      </c>
      <c r="F159" s="184"/>
      <c r="G159" s="184"/>
      <c r="H159" s="184"/>
      <c r="I159" s="184" t="s">
        <v>3669</v>
      </c>
      <c r="J159" s="184"/>
      <c r="K159" s="184" t="str">
        <f>IFERROR(IF(INDEX(Vöruskrá!$C:$C,MATCH($C159,Vöruskrá!$B:$B,0))=0,"",INDEX(Vöruskrá!$C:$C,MATCH($C159,Vöruskrá!$B:$B,0))),"")</f>
        <v>Danpo</v>
      </c>
      <c r="L159" s="184"/>
      <c r="M159" s="184"/>
      <c r="N159" s="184"/>
      <c r="O159" s="184" t="str">
        <f>IFERROR(IF(INDEX(Vöruskrá!$I:$I,MATCH($C159,Vöruskrá!$B:$B,0))=0,"",INDEX(Vöruskrá!$I:$I,MATCH($C159,Vöruskrá!$B:$B,0))),"")</f>
        <v>https://drive.google.com/file/d/1GO4O3alIJnHNWfA6fdAD_SVmAdbBm5wZ/view?usp=sharing</v>
      </c>
      <c r="P159" s="184"/>
    </row>
    <row r="160" spans="1:16" ht="18" customHeight="1">
      <c r="A160" s="183">
        <v>46244</v>
      </c>
      <c r="B160" s="184" t="str">
        <f t="shared" ca="1" si="9"/>
        <v>Active</v>
      </c>
      <c r="C160" s="184" t="s">
        <v>954</v>
      </c>
      <c r="D160" s="184" t="s">
        <v>1852</v>
      </c>
      <c r="E160" s="185">
        <f>Hráefnaskrá!$D$33/1000</f>
        <v>6</v>
      </c>
      <c r="F160" s="184"/>
      <c r="G160" s="184"/>
      <c r="H160" s="184"/>
      <c r="I160" s="184" t="s">
        <v>3669</v>
      </c>
      <c r="J160" s="184"/>
      <c r="K160" s="184" t="str">
        <f>IFERROR(IF(INDEX(Vöruskrá!$C:$C,MATCH($C160,Vöruskrá!$B:$B,0))=0,"",INDEX(Vöruskrá!$C:$C,MATCH($C160,Vöruskrá!$B:$B,0))),"")</f>
        <v/>
      </c>
      <c r="L160" s="184"/>
      <c r="M160" s="184"/>
      <c r="N160" s="184"/>
      <c r="O160" s="184" t="str">
        <f>IFERROR(IF(INDEX(Vöruskrá!$I:$I,MATCH($C160,Vöruskrá!$B:$B,0))=0,"",INDEX(Vöruskrá!$I:$I,MATCH($C160,Vöruskrá!$B:$B,0))),"")</f>
        <v/>
      </c>
      <c r="P160" s="184"/>
    </row>
    <row r="161" spans="1:16" ht="18" customHeight="1">
      <c r="A161" s="183">
        <v>46244</v>
      </c>
      <c r="B161" s="184" t="str">
        <f t="shared" ca="1" si="9"/>
        <v>Active</v>
      </c>
      <c r="C161" s="184" t="s">
        <v>493</v>
      </c>
      <c r="D161" s="184" t="s">
        <v>1852</v>
      </c>
      <c r="E161" s="185">
        <f>Hráefnaskrá!$D$34/1000</f>
        <v>8</v>
      </c>
      <c r="F161" s="184"/>
      <c r="G161" s="184"/>
      <c r="H161" s="184"/>
      <c r="I161" s="184" t="s">
        <v>3669</v>
      </c>
      <c r="J161" s="184"/>
      <c r="K161" s="184" t="str">
        <f>IFERROR(IF(INDEX(Vöruskrá!$C:$C,MATCH($C161,Vöruskrá!$B:$B,0))=0,"",INDEX(Vöruskrá!$C:$C,MATCH($C161,Vöruskrá!$B:$B,0))),"")</f>
        <v>Ardo/Garri</v>
      </c>
      <c r="L161" s="184"/>
      <c r="M161" s="184"/>
      <c r="N161" s="184"/>
      <c r="O161" s="184" t="str">
        <f>IFERROR(IF(INDEX(Vöruskrá!$I:$I,MATCH($C161,Vöruskrá!$B:$B,0))=0,"",INDEX(Vöruskrá!$I:$I,MATCH($C161,Vöruskrá!$B:$B,0))),"")</f>
        <v>https://drive.google.com/file/d/1qe8jA8Hk6RxXOyfM7cBQ5h9W5KAo2CVf/view?usp=sharing</v>
      </c>
      <c r="P161" s="184"/>
    </row>
    <row r="162" spans="1:16" ht="18" customHeight="1">
      <c r="A162" s="183">
        <v>46244</v>
      </c>
      <c r="B162" s="184" t="str">
        <f t="shared" ca="1" si="9"/>
        <v>Active</v>
      </c>
      <c r="C162" s="184" t="s">
        <v>864</v>
      </c>
      <c r="D162" s="184" t="s">
        <v>1852</v>
      </c>
      <c r="E162" s="185">
        <f>Hráefnaskrá!$D$35/1000</f>
        <v>8</v>
      </c>
      <c r="F162" s="184"/>
      <c r="G162" s="184"/>
      <c r="H162" s="184"/>
      <c r="I162" s="184" t="s">
        <v>3669</v>
      </c>
      <c r="J162" s="184"/>
      <c r="K162" s="184" t="str">
        <f>IFERROR(IF(INDEX(Vöruskrá!$C:$C,MATCH($C162,Vöruskrá!$B:$B,0))=0,"",INDEX(Vöruskrá!$C:$C,MATCH($C162,Vöruskrá!$B:$B,0))),"")</f>
        <v/>
      </c>
      <c r="L162" s="184"/>
      <c r="M162" s="184"/>
      <c r="N162" s="184"/>
      <c r="O162" s="184" t="str">
        <f>IFERROR(IF(INDEX(Vöruskrá!$I:$I,MATCH($C162,Vöruskrá!$B:$B,0))=0,"",INDEX(Vöruskrá!$I:$I,MATCH($C162,Vöruskrá!$B:$B,0))),"")</f>
        <v/>
      </c>
      <c r="P162" s="184"/>
    </row>
    <row r="163" spans="1:16" ht="18" customHeight="1">
      <c r="A163" s="183">
        <v>46244</v>
      </c>
      <c r="B163" s="184" t="str">
        <f t="shared" ca="1" si="9"/>
        <v>Active</v>
      </c>
      <c r="C163" s="184" t="s">
        <v>296</v>
      </c>
      <c r="D163" s="184" t="s">
        <v>1852</v>
      </c>
      <c r="E163" s="185">
        <f>Hráefnaskrá!$D$36/1000</f>
        <v>12</v>
      </c>
      <c r="F163" s="184"/>
      <c r="G163" s="184"/>
      <c r="H163" s="184"/>
      <c r="I163" s="184" t="s">
        <v>3669</v>
      </c>
      <c r="J163" s="184"/>
      <c r="K163" s="184" t="str">
        <f>IFERROR(IF(INDEX(Vöruskrá!$C:$C,MATCH($C163,Vöruskrá!$B:$B,0))=0,"",INDEX(Vöruskrá!$C:$C,MATCH($C163,Vöruskrá!$B:$B,0))),"")</f>
        <v>Roland Foods LLC</v>
      </c>
      <c r="L163" s="184"/>
      <c r="M163" s="184"/>
      <c r="N163" s="184"/>
      <c r="O163" s="184" t="str">
        <f>IFERROR(IF(INDEX(Vöruskrá!$I:$I,MATCH($C163,Vöruskrá!$B:$B,0))=0,"",INDEX(Vöruskrá!$I:$I,MATCH($C163,Vöruskrá!$B:$B,0))),"")</f>
        <v>https://drive.google.com/file/d/1FvEYUVnd2_BK17DbZjzv5N3_8u3AZbzA/view?usp=sharing</v>
      </c>
      <c r="P163" s="184"/>
    </row>
    <row r="164" spans="1:16" ht="18" customHeight="1">
      <c r="A164" s="183">
        <v>46244</v>
      </c>
      <c r="B164" s="184" t="str">
        <f t="shared" ca="1" si="9"/>
        <v>Active</v>
      </c>
      <c r="C164" s="184" t="s">
        <v>684</v>
      </c>
      <c r="D164" s="184" t="s">
        <v>1852</v>
      </c>
      <c r="E164" s="185">
        <f>Hráefnaskrá!$D$37/1000</f>
        <v>1.2</v>
      </c>
      <c r="F164" s="184"/>
      <c r="G164" s="184"/>
      <c r="H164" s="184"/>
      <c r="I164" s="184" t="s">
        <v>3669</v>
      </c>
      <c r="J164" s="184"/>
      <c r="K164" s="184" t="str">
        <f>IFERROR(IF(INDEX(Vöruskrá!$C:$C,MATCH($C164,Vöruskrá!$B:$B,0))=0,"",INDEX(Vöruskrá!$C:$C,MATCH($C164,Vöruskrá!$B:$B,0))),"")</f>
        <v>Essential Cuisine Ltd.</v>
      </c>
      <c r="L164" s="184"/>
      <c r="M164" s="184"/>
      <c r="N164" s="184"/>
      <c r="O164" s="184" t="str">
        <f>IFERROR(IF(INDEX(Vöruskrá!$I:$I,MATCH($C164,Vöruskrá!$B:$B,0))=0,"",INDEX(Vöruskrá!$I:$I,MATCH($C164,Vöruskrá!$B:$B,0))),"")</f>
        <v>https://drive.google.com/file/d/1fi5GSkdjIw1gerlBnue5jhr5DM-TDQfk/view?usp=sharing</v>
      </c>
      <c r="P164" s="184"/>
    </row>
    <row r="165" spans="1:16" ht="18" customHeight="1">
      <c r="A165" s="183">
        <v>46244</v>
      </c>
      <c r="B165" s="184" t="str">
        <f t="shared" ca="1" si="9"/>
        <v>Active</v>
      </c>
      <c r="C165" s="184" t="s">
        <v>280</v>
      </c>
      <c r="D165" s="184" t="s">
        <v>1852</v>
      </c>
      <c r="E165" s="185">
        <f>Hráefnaskrá!$D$38/1000</f>
        <v>0.5</v>
      </c>
      <c r="F165" s="184"/>
      <c r="G165" s="184"/>
      <c r="H165" s="184"/>
      <c r="I165" s="184" t="s">
        <v>3669</v>
      </c>
      <c r="J165" s="184"/>
      <c r="K165" s="184" t="str">
        <f>IFERROR(IF(INDEX(Vöruskrá!$C:$C,MATCH($C165,Vöruskrá!$B:$B,0))=0,"",INDEX(Vöruskrá!$C:$C,MATCH($C165,Vöruskrá!$B:$B,0))),"")</f>
        <v>Nordic Spice AB/Garri</v>
      </c>
      <c r="L165" s="184"/>
      <c r="M165" s="184"/>
      <c r="N165" s="184"/>
      <c r="O165" s="184" t="str">
        <f>IFERROR(IF(INDEX(Vöruskrá!$I:$I,MATCH($C165,Vöruskrá!$B:$B,0))=0,"",INDEX(Vöruskrá!$I:$I,MATCH($C165,Vöruskrá!$B:$B,0))),"")</f>
        <v>https://drive.google.com/file/d/1MSRdefMEGeUCyN8gS7xeRyI53AOLv84-/view?usp=sharing</v>
      </c>
      <c r="P165" s="184"/>
    </row>
    <row r="166" spans="1:16" ht="18" customHeight="1">
      <c r="A166" s="183">
        <v>46244</v>
      </c>
      <c r="B166" s="184" t="str">
        <f t="shared" ca="1" si="9"/>
        <v>Active</v>
      </c>
      <c r="C166" s="184" t="s">
        <v>307</v>
      </c>
      <c r="D166" s="184" t="s">
        <v>1852</v>
      </c>
      <c r="E166" s="185">
        <f>Hráefnaskrá!$D$39/1000</f>
        <v>1</v>
      </c>
      <c r="F166" s="184"/>
      <c r="G166" s="184"/>
      <c r="H166" s="184"/>
      <c r="I166" s="184" t="s">
        <v>3669</v>
      </c>
      <c r="J166" s="184"/>
      <c r="K166" s="184" t="str">
        <f>IFERROR(IF(INDEX(Vöruskrá!$C:$C,MATCH($C166,Vöruskrá!$B:$B,0))=0,"",INDEX(Vöruskrá!$C:$C,MATCH($C166,Vöruskrá!$B:$B,0))),"")</f>
        <v>Maizena / Unilever</v>
      </c>
      <c r="L166" s="184"/>
      <c r="M166" s="184"/>
      <c r="N166" s="184"/>
      <c r="O166" s="184" t="str">
        <f>IFERROR(IF(INDEX(Vöruskrá!$I:$I,MATCH($C166,Vöruskrá!$B:$B,0))=0,"",INDEX(Vöruskrá!$I:$I,MATCH($C166,Vöruskrá!$B:$B,0))),"")</f>
        <v>https://drive.google.com/file/d/1CmXprz2PFHVmxfaM0CalYclE2qYOhpF7/view?usp=sharing</v>
      </c>
      <c r="P166" s="184"/>
    </row>
    <row r="167" spans="1:16" ht="18" customHeight="1">
      <c r="A167" s="183">
        <v>46244</v>
      </c>
      <c r="B167" s="184" t="str">
        <f t="shared" ca="1" si="9"/>
        <v>Active</v>
      </c>
      <c r="C167" s="184" t="s">
        <v>879</v>
      </c>
      <c r="D167" s="184" t="s">
        <v>1852</v>
      </c>
      <c r="E167" s="185">
        <f>Hráefnaskrá!$D$40/1000</f>
        <v>0.5</v>
      </c>
      <c r="F167" s="184"/>
      <c r="G167" s="184"/>
      <c r="H167" s="184"/>
      <c r="I167" s="184" t="s">
        <v>3669</v>
      </c>
      <c r="J167" s="184"/>
      <c r="K167" s="184" t="str">
        <f>IFERROR(IF(INDEX(Vöruskrá!$C:$C,MATCH($C167,Vöruskrá!$B:$B,0))=0,"",INDEX(Vöruskrá!$C:$C,MATCH($C167,Vöruskrá!$B:$B,0))),"")</f>
        <v>Nordic Spice AB/Garri</v>
      </c>
      <c r="L167" s="184"/>
      <c r="M167" s="184"/>
      <c r="N167" s="184"/>
      <c r="O167" s="184" t="str">
        <f>IFERROR(IF(INDEX(Vöruskrá!$I:$I,MATCH($C167,Vöruskrá!$B:$B,0))=0,"",INDEX(Vöruskrá!$I:$I,MATCH($C167,Vöruskrá!$B:$B,0))),"")</f>
        <v>https://garri.overcastcdn.com/documents/5000920C.pdf</v>
      </c>
      <c r="P167" s="184"/>
    </row>
    <row r="168" spans="1:16" ht="18" customHeight="1">
      <c r="A168" s="183">
        <v>46244</v>
      </c>
      <c r="B168" s="184" t="str">
        <f t="shared" ca="1" si="9"/>
        <v>Active</v>
      </c>
      <c r="C168" s="184" t="s">
        <v>1091</v>
      </c>
      <c r="D168" s="184" t="s">
        <v>1852</v>
      </c>
      <c r="E168" s="185">
        <f>Hráefnaskrá!$D$41/1000</f>
        <v>1.5</v>
      </c>
      <c r="F168" s="184"/>
      <c r="G168" s="184"/>
      <c r="H168" s="184"/>
      <c r="I168" s="184" t="s">
        <v>3669</v>
      </c>
      <c r="J168" s="184"/>
      <c r="K168" s="184" t="str">
        <f>IFERROR(IF(INDEX(Vöruskrá!$C:$C,MATCH($C168,Vöruskrá!$B:$B,0))=0,"",INDEX(Vöruskrá!$C:$C,MATCH($C168,Vöruskrá!$B:$B,0))),"")</f>
        <v>Garri</v>
      </c>
      <c r="L168" s="184"/>
      <c r="M168" s="184"/>
      <c r="N168" s="184"/>
      <c r="O168" s="184" t="str">
        <f>IFERROR(IF(INDEX(Vöruskrá!$I:$I,MATCH($C168,Vöruskrá!$B:$B,0))=0,"",INDEX(Vöruskrá!$I:$I,MATCH($C168,Vöruskrá!$B:$B,0))),"")</f>
        <v>https://garri.overcastcdn.com/documents/41023015.pdf</v>
      </c>
      <c r="P168" s="184"/>
    </row>
    <row r="169" spans="1:16" ht="18" customHeight="1">
      <c r="A169" s="183">
        <v>46244</v>
      </c>
      <c r="B169" s="184" t="str">
        <f t="shared" ca="1" si="9"/>
        <v>Active</v>
      </c>
      <c r="C169" s="184" t="s">
        <v>266</v>
      </c>
      <c r="D169" s="184" t="s">
        <v>1852</v>
      </c>
      <c r="E169" s="185">
        <f>Hráefnaskrá!$D$42/1000</f>
        <v>0.6</v>
      </c>
      <c r="F169" s="184"/>
      <c r="G169" s="184"/>
      <c r="H169" s="184"/>
      <c r="I169" s="184" t="s">
        <v>3669</v>
      </c>
      <c r="J169" s="184"/>
      <c r="K169" s="184" t="str">
        <f>IFERROR(IF(INDEX(Vöruskrá!$C:$C,MATCH($C169,Vöruskrá!$B:$B,0))=0,"",INDEX(Vöruskrá!$C:$C,MATCH($C169,Vöruskrá!$B:$B,0))),"")</f>
        <v>Katla matvælaiðja ehf.</v>
      </c>
      <c r="L169" s="184"/>
      <c r="M169" s="184"/>
      <c r="N169" s="184"/>
      <c r="O169" s="184" t="str">
        <f>IFERROR(IF(INDEX(Vöruskrá!$I:$I,MATCH($C169,Vöruskrá!$B:$B,0))=0,"",INDEX(Vöruskrá!$I:$I,MATCH($C169,Vöruskrá!$B:$B,0))),"")</f>
        <v>https://drive.google.com/file/d/18_svh90eLQ1eSbJF3qr3eWDjhyhpL95Y/view?usp=sharing</v>
      </c>
      <c r="P169" s="184"/>
    </row>
    <row r="170" spans="1:16" ht="18" customHeight="1">
      <c r="A170" s="183">
        <v>46244</v>
      </c>
      <c r="B170" s="184" t="str">
        <f t="shared" ca="1" si="9"/>
        <v>Active</v>
      </c>
      <c r="C170" s="184" t="s">
        <v>704</v>
      </c>
      <c r="D170" s="184" t="s">
        <v>1852</v>
      </c>
      <c r="E170" s="185">
        <f>Hráefnaskrá!$D$43/1000</f>
        <v>0.1</v>
      </c>
      <c r="F170" s="184"/>
      <c r="G170" s="184"/>
      <c r="H170" s="184"/>
      <c r="I170" s="184" t="s">
        <v>3669</v>
      </c>
      <c r="J170" s="184"/>
      <c r="K170" s="184" t="str">
        <f>IFERROR(IF(INDEX(Vöruskrá!$C:$C,MATCH($C170,Vöruskrá!$B:$B,0))=0,"",INDEX(Vöruskrá!$C:$C,MATCH($C170,Vöruskrá!$B:$B,0))),"")</f>
        <v>Nordic Spice AB/Garri</v>
      </c>
      <c r="L170" s="184"/>
      <c r="M170" s="184"/>
      <c r="N170" s="184"/>
      <c r="O170" s="184" t="str">
        <f>IFERROR(IF(INDEX(Vöruskrá!$I:$I,MATCH($C170,Vöruskrá!$B:$B,0))=0,"",INDEX(Vöruskrá!$I:$I,MATCH($C170,Vöruskrá!$B:$B,0))),"")</f>
        <v>https://drive.google.com/file/d/16pABGxDAo2BQ5ZBD9aqSATzh85vQmJ63/view?usp=sharing</v>
      </c>
      <c r="P170" s="184"/>
    </row>
    <row r="171" spans="1:16" ht="18" customHeight="1">
      <c r="A171" s="183">
        <v>46244</v>
      </c>
      <c r="B171" s="184" t="str">
        <f t="shared" ca="1" si="9"/>
        <v>Active</v>
      </c>
      <c r="C171" s="184" t="s">
        <v>878</v>
      </c>
      <c r="D171" s="184" t="s">
        <v>1852</v>
      </c>
      <c r="E171" s="185">
        <f>Hráefnaskrá!$D$44/1000</f>
        <v>7.6</v>
      </c>
      <c r="F171" s="184"/>
      <c r="G171" s="184"/>
      <c r="H171" s="184"/>
      <c r="I171" s="184" t="s">
        <v>3669</v>
      </c>
      <c r="J171" s="184"/>
      <c r="K171" s="184" t="str">
        <f>IFERROR(IF(INDEX(Vöruskrá!$C:$C,MATCH($C171,Vöruskrá!$B:$B,0))=0,"",INDEX(Vöruskrá!$C:$C,MATCH($C171,Vöruskrá!$B:$B,0))),"")</f>
        <v/>
      </c>
      <c r="L171" s="184"/>
      <c r="M171" s="184"/>
      <c r="N171" s="184"/>
      <c r="O171" s="184" t="str">
        <f>IFERROR(IF(INDEX(Vöruskrá!$I:$I,MATCH($C171,Vöruskrá!$B:$B,0))=0,"",INDEX(Vöruskrá!$I:$I,MATCH($C171,Vöruskrá!$B:$B,0))),"")</f>
        <v/>
      </c>
      <c r="P171" s="184"/>
    </row>
    <row r="172" spans="1:16" ht="18" customHeight="1">
      <c r="A172" s="183">
        <v>46244</v>
      </c>
      <c r="B172" s="184" t="str">
        <f t="shared" ca="1" si="9"/>
        <v>Active</v>
      </c>
      <c r="C172" s="184" t="s">
        <v>306</v>
      </c>
      <c r="D172" s="184" t="s">
        <v>1852</v>
      </c>
      <c r="E172" s="185"/>
      <c r="F172" s="184"/>
      <c r="G172" s="184"/>
      <c r="H172" s="184"/>
      <c r="I172" s="184" t="s">
        <v>3669</v>
      </c>
      <c r="J172" s="184"/>
      <c r="K172" s="184" t="str">
        <f>IFERROR(IF(INDEX(Vöruskrá!$C:$C,MATCH($C172,Vöruskrá!$B:$B,0))=0,"",INDEX(Vöruskrá!$C:$C,MATCH($C172,Vöruskrá!$B:$B,0))),"")</f>
        <v>Khao C.P. Co., Ltd.</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1074</v>
      </c>
      <c r="D173" s="184" t="s">
        <v>1867</v>
      </c>
      <c r="E173" s="185"/>
      <c r="F173" s="184"/>
      <c r="G173" s="184"/>
      <c r="H173" s="184"/>
      <c r="I173" s="184" t="s">
        <v>3669</v>
      </c>
      <c r="J173" s="184"/>
      <c r="K173" s="184" t="str">
        <f>IFERROR(IF(INDEX(Vöruskrá!$C:$C,MATCH($C173,Vöruskrá!$B:$B,0))=0,"",INDEX(Vöruskrá!$C:$C,MATCH($C173,Vöruskrá!$B:$B,0))),"")</f>
        <v>Matarstund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306</v>
      </c>
      <c r="D174" s="184" t="s">
        <v>1867</v>
      </c>
      <c r="E174" s="185"/>
      <c r="F174" s="184"/>
      <c r="G174" s="184"/>
      <c r="H174" s="184"/>
      <c r="I174" s="184" t="s">
        <v>3669</v>
      </c>
      <c r="J174" s="184"/>
      <c r="K174" s="184" t="str">
        <f>IFERROR(IF(INDEX(Vöruskrá!$C:$C,MATCH($C174,Vöruskrá!$B:$B,0))=0,"",INDEX(Vöruskrá!$C:$C,MATCH($C174,Vöruskrá!$B:$B,0))),"")</f>
        <v>Khao C.P. Co., Ltd.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57</v>
      </c>
      <c r="D175" s="184" t="s">
        <v>1885</v>
      </c>
      <c r="E175" s="185"/>
      <c r="F175" s="184"/>
      <c r="G175" s="184"/>
      <c r="H175" s="184"/>
      <c r="I175" s="184" t="s">
        <v>3669</v>
      </c>
      <c r="J175" s="184"/>
      <c r="K175" s="184" t="str">
        <f>IFERROR(IF(INDEX(Vöruskrá!$C:$C,MATCH($C175,Vöruskrá!$B:$B,0))=0,"",INDEX(Vöruskrá!$C:$C,MATCH($C175,Vöruskrá!$B:$B,0))),"")</f>
        <v>Myllan</v>
      </c>
      <c r="L175" s="184"/>
      <c r="M175" s="184"/>
      <c r="N175" s="184"/>
      <c r="O175" s="184" t="str">
        <f>IFERROR(IF(INDEX(Vöruskrá!$I:$I,MATCH($C175,Vöruskrá!$B:$B,0))=0,"",INDEX(Vöruskrá!$I:$I,MATCH($C175,Vöruskrá!$B:$B,0))),"")</f>
        <v>https://www.myllan.is/is/vorulinur/vegan-vorur/lifskorn-trollahafrar-chiafrae</v>
      </c>
      <c r="P175" s="184"/>
    </row>
    <row r="176" spans="1:16" ht="18" customHeight="1">
      <c r="A176" s="183">
        <v>46244</v>
      </c>
      <c r="B176" s="184" t="str">
        <f t="shared" ca="1" si="9"/>
        <v>Active</v>
      </c>
      <c r="C176" s="184" t="s">
        <v>557</v>
      </c>
      <c r="D176" s="184" t="s">
        <v>1885</v>
      </c>
      <c r="E176" s="185"/>
      <c r="F176" s="184"/>
      <c r="G176" s="184"/>
      <c r="H176" s="184"/>
      <c r="I176" s="184" t="s">
        <v>3669</v>
      </c>
      <c r="J176" s="184"/>
      <c r="K176" s="184" t="str">
        <f>IFERROR(IF(INDEX(Vöruskrá!$C:$C,MATCH($C176,Vöruskrá!$B:$B,0))=0,"",INDEX(Vöruskrá!$C:$C,MATCH($C176,Vöruskrá!$B:$B,0))),"")</f>
        <v xml:space="preserve">MS </v>
      </c>
      <c r="L176" s="184"/>
      <c r="M176" s="184"/>
      <c r="N176" s="184"/>
      <c r="O176" s="184" t="str">
        <f>IFERROR(IF(INDEX(Vöruskrá!$I:$I,MATCH($C176,Vöruskrá!$B:$B,0))=0,"",INDEX(Vöruskrá!$I:$I,MATCH($C176,Vöruskrá!$B:$B,0))),"")</f>
        <v>https://docs.google.com/document/d/1xK3OgL95T8y9Uw0YX4LaF0Ve3yT2CmntRk4Wg1oHGcM/edit?usp=sharing</v>
      </c>
      <c r="P176" s="184"/>
    </row>
    <row r="177" spans="1:16" ht="18" customHeight="1">
      <c r="A177" s="192">
        <v>46245</v>
      </c>
      <c r="B177" s="193"/>
      <c r="C177" s="193" t="s">
        <v>4210</v>
      </c>
      <c r="D177" s="193"/>
      <c r="E177" s="194"/>
      <c r="F177" s="193"/>
      <c r="G177" s="193"/>
      <c r="H177" s="193"/>
      <c r="I177" s="193"/>
      <c r="J177" s="193"/>
      <c r="K177" s="193"/>
      <c r="L177" s="193"/>
      <c r="M177" s="193"/>
      <c r="N177" s="193"/>
      <c r="O177" s="193"/>
      <c r="P177" s="193"/>
    </row>
    <row r="178" spans="1:16" ht="18" customHeight="1">
      <c r="A178" s="183">
        <v>46245</v>
      </c>
      <c r="B178" s="184" t="str">
        <f t="shared" ref="B178:B186" ca="1" si="10">IF($A178&lt;TODAY(),"Expired","Active")</f>
        <v>Active</v>
      </c>
      <c r="C178" s="184" t="s">
        <v>174</v>
      </c>
      <c r="D178" s="184" t="s">
        <v>1852</v>
      </c>
      <c r="E178" s="185"/>
      <c r="F178" s="184"/>
      <c r="G178" s="184"/>
      <c r="H178" s="184"/>
      <c r="I178" s="184" t="s">
        <v>3669</v>
      </c>
      <c r="J178" s="184"/>
      <c r="K178" s="184" t="str">
        <f>IFERROR(IF(INDEX(Vöruskrá!$C:$C,MATCH($C178,Vöruskrá!$B:$B,0))=0,"",INDEX(Vöruskrá!$C:$C,MATCH($C178,Vöruskrá!$B:$B,0))),"")</f>
        <v>Norðanfiskur</v>
      </c>
      <c r="L178" s="184"/>
      <c r="M178" s="184"/>
      <c r="N178" s="184"/>
      <c r="O178" s="184" t="str">
        <f>IFERROR(IF(INDEX(Vöruskrá!$I:$I,MATCH($C178,Vöruskrá!$B:$B,0))=0,"",INDEX(Vöruskrá!$I:$I,MATCH($C178,Vöruskrá!$B:$B,0))),"")</f>
        <v>https://drive.google.com/file/d/1su1X4NqQ06JKbPrLHqbYVzuDSI9b-_ZY/view?usp=sharing</v>
      </c>
      <c r="P178" s="184"/>
    </row>
    <row r="179" spans="1:16" ht="18" customHeight="1">
      <c r="A179" s="183">
        <v>46245</v>
      </c>
      <c r="B179" s="184" t="str">
        <f t="shared" ca="1" si="10"/>
        <v>Active</v>
      </c>
      <c r="C179" s="184" t="s">
        <v>867</v>
      </c>
      <c r="D179" s="184" t="s">
        <v>1852</v>
      </c>
      <c r="E179" s="185"/>
      <c r="F179" s="184"/>
      <c r="G179" s="184"/>
      <c r="H179" s="184"/>
      <c r="I179" s="184" t="s">
        <v>3669</v>
      </c>
      <c r="J179" s="184"/>
      <c r="K179" s="184" t="str">
        <f>IFERROR(IF(INDEX(Vöruskrá!$C:$C,MATCH($C179,Vöruskrá!$B:$B,0))=0,"",INDEX(Vöruskrá!$C:$C,MATCH($C179,Vöruskrá!$B:$B,0))),"")</f>
        <v/>
      </c>
      <c r="L179" s="184"/>
      <c r="M179" s="184"/>
      <c r="N179" s="184"/>
      <c r="O179" s="184" t="str">
        <f>IFERROR(IF(INDEX(Vöruskrá!$I:$I,MATCH($C179,Vöruskrá!$B:$B,0))=0,"",INDEX(Vöruskrá!$I:$I,MATCH($C179,Vöruskrá!$B:$B,0))),"")</f>
        <v/>
      </c>
      <c r="P179" s="184"/>
    </row>
    <row r="180" spans="1:16" ht="18" customHeight="1">
      <c r="A180" s="183">
        <v>46245</v>
      </c>
      <c r="B180" s="184" t="str">
        <f t="shared" ca="1" si="10"/>
        <v>Active</v>
      </c>
      <c r="C180" s="184" t="s">
        <v>253</v>
      </c>
      <c r="D180" s="184" t="s">
        <v>1852</v>
      </c>
      <c r="E180" s="185"/>
      <c r="F180" s="184"/>
      <c r="G180" s="184"/>
      <c r="H180" s="184"/>
      <c r="I180" s="184" t="s">
        <v>3669</v>
      </c>
      <c r="J180" s="184"/>
      <c r="K180" s="184" t="str">
        <f>IFERROR(IF(INDEX(Vöruskrá!$C:$C,MATCH($C180,Vöruskrá!$B:$B,0))=0,"",INDEX(Vöruskrá!$C:$C,MATCH($C180,Vöruskrá!$B:$B,0))),"")</f>
        <v>Kjarnavörur hf.</v>
      </c>
      <c r="L180" s="184"/>
      <c r="M180" s="184"/>
      <c r="N180" s="184"/>
      <c r="O180" s="184" t="str">
        <f>IFERROR(IF(INDEX(Vöruskrá!$I:$I,MATCH($C180,Vöruskrá!$B:$B,0))=0,"",INDEX(Vöruskrá!$I:$I,MATCH($C180,Vöruskrá!$B:$B,0))),"")</f>
        <v>https://drive.google.com/file/d/1RA_hEPDQMpqswOh6yfemnR-S_oqXCP2_/view?usp=sharing</v>
      </c>
      <c r="P180" s="184"/>
    </row>
    <row r="181" spans="1:16" ht="18" customHeight="1">
      <c r="A181" s="183">
        <v>46245</v>
      </c>
      <c r="B181" s="184" t="str">
        <f t="shared" ca="1" si="10"/>
        <v>Active</v>
      </c>
      <c r="C181" s="184" t="s">
        <v>192</v>
      </c>
      <c r="D181" s="184" t="s">
        <v>1867</v>
      </c>
      <c r="E181" s="185"/>
      <c r="F181" s="184"/>
      <c r="G181" s="184"/>
      <c r="H181" s="184"/>
      <c r="I181" s="184" t="s">
        <v>3669</v>
      </c>
      <c r="J181" s="184"/>
      <c r="K181" s="184" t="str">
        <f>IFERROR(IF(INDEX(Vöruskrá!$C:$C,MATCH($C181,Vöruskrá!$B:$B,0))=0,"",INDEX(Vöruskrá!$C:$C,MATCH($C181,Vöruskrá!$B:$B,0))),"")</f>
        <v>Avita/Danco</v>
      </c>
      <c r="L181" s="184"/>
      <c r="M181" s="184"/>
      <c r="N181" s="184"/>
      <c r="O181" s="184" t="str">
        <f>IFERROR(IF(INDEX(Vöruskrá!$I:$I,MATCH($C181,Vöruskrá!$B:$B,0))=0,"",INDEX(Vöruskrá!$I:$I,MATCH($C181,Vöruskrá!$B:$B,0))),"")</f>
        <v>https://drive.google.com/file/d/1apWuKGpcNAqp6PlmDeLj6QCa3EUrWc9L/view?usp=sharing</v>
      </c>
      <c r="P181" s="184"/>
    </row>
    <row r="182" spans="1:16" ht="18" customHeight="1">
      <c r="A182" s="183">
        <v>46245</v>
      </c>
      <c r="B182" s="184" t="str">
        <f t="shared" ca="1" si="10"/>
        <v>Active</v>
      </c>
      <c r="C182" s="184" t="s">
        <v>867</v>
      </c>
      <c r="D182" s="184" t="s">
        <v>1867</v>
      </c>
      <c r="E182" s="185"/>
      <c r="F182" s="184"/>
      <c r="G182" s="184"/>
      <c r="H182" s="184"/>
      <c r="I182" s="184" t="s">
        <v>3669</v>
      </c>
      <c r="J182" s="184"/>
      <c r="K182" s="184" t="str">
        <f>IFERROR(IF(INDEX(Vöruskrá!$C:$C,MATCH($C182,Vöruskrá!$B:$B,0))=0,"",INDEX(Vöruskrá!$C:$C,MATCH($C182,Vöruskrá!$B:$B,0))),"")</f>
        <v/>
      </c>
      <c r="L182" s="184"/>
      <c r="M182" s="184"/>
      <c r="N182" s="184"/>
      <c r="O182" s="184" t="str">
        <f>IFERROR(IF(INDEX(Vöruskrá!$I:$I,MATCH($C182,Vöruskrá!$B:$B,0))=0,"",INDEX(Vöruskrá!$I:$I,MATCH($C182,Vöruskrá!$B:$B,0))),"")</f>
        <v/>
      </c>
      <c r="P182" s="184"/>
    </row>
    <row r="183" spans="1:16" ht="18" customHeight="1">
      <c r="A183" s="183">
        <v>46245</v>
      </c>
      <c r="B183" s="184" t="str">
        <f t="shared" ca="1" si="10"/>
        <v>Active</v>
      </c>
      <c r="C183" s="184" t="s">
        <v>253</v>
      </c>
      <c r="D183" s="184" t="s">
        <v>1867</v>
      </c>
      <c r="E183" s="185"/>
      <c r="F183" s="184"/>
      <c r="G183" s="184"/>
      <c r="H183" s="184"/>
      <c r="I183" s="184" t="s">
        <v>3669</v>
      </c>
      <c r="J183" s="184"/>
      <c r="K183" s="184" t="str">
        <f>IFERROR(IF(INDEX(Vöruskrá!$C:$C,MATCH($C183,Vöruskrá!$B:$B,0))=0,"",INDEX(Vöruskrá!$C:$C,MATCH($C183,Vöruskrá!$B:$B,0))),"")</f>
        <v>Kjarnavörur hf.</v>
      </c>
      <c r="L183" s="184"/>
      <c r="M183" s="184"/>
      <c r="N183" s="184"/>
      <c r="O183" s="184" t="str">
        <f>IFERROR(IF(INDEX(Vöruskrá!$I:$I,MATCH($C183,Vöruskrá!$B:$B,0))=0,"",INDEX(Vöruskrá!$I:$I,MATCH($C183,Vöruskrá!$B:$B,0))),"")</f>
        <v>https://drive.google.com/file/d/1RA_hEPDQMpqswOh6yfemnR-S_oqXCP2_/view?usp=sharing</v>
      </c>
      <c r="P183" s="184"/>
    </row>
    <row r="184" spans="1:16" ht="18" customHeight="1">
      <c r="A184" s="183">
        <v>46245</v>
      </c>
      <c r="B184" s="184" t="str">
        <f t="shared" ca="1" si="10"/>
        <v>Active</v>
      </c>
      <c r="C184" s="184" t="s">
        <v>136</v>
      </c>
      <c r="D184" s="184" t="s">
        <v>946</v>
      </c>
      <c r="E184" s="185"/>
      <c r="F184" s="184"/>
      <c r="G184" s="184"/>
      <c r="H184" s="184"/>
      <c r="I184" s="184" t="s">
        <v>3669</v>
      </c>
      <c r="J184" s="184"/>
      <c r="K184" s="184" t="str">
        <f>IFERROR(IF(INDEX(Vöruskrá!$C:$C,MATCH($C184,Vöruskrá!$B:$B,0))=0,"",INDEX(Vöruskrá!$C:$C,MATCH($C184,Vöruskrá!$B:$B,0))),"")</f>
        <v>Matfugl ehf.</v>
      </c>
      <c r="L184" s="184"/>
      <c r="M184" s="184"/>
      <c r="N184" s="184"/>
      <c r="O184" s="184" t="str">
        <f>IFERROR(IF(INDEX(Vöruskrá!$I:$I,MATCH($C184,Vöruskrá!$B:$B,0))=0,"",INDEX(Vöruskrá!$I:$I,MATCH($C184,Vöruskrá!$B:$B,0))),"")</f>
        <v>https://drive.google.com/file/d/1YThV-MnjJNGCpLCeYQojXy09zGYF6MrY/view?usp=sharing</v>
      </c>
      <c r="P184" s="184"/>
    </row>
    <row r="185" spans="1:16" ht="18" customHeight="1">
      <c r="A185" s="183">
        <v>46245</v>
      </c>
      <c r="B185" s="184" t="str">
        <f t="shared" ca="1" si="10"/>
        <v>Active</v>
      </c>
      <c r="C185" s="184" t="s">
        <v>68</v>
      </c>
      <c r="D185" s="184" t="s">
        <v>1885</v>
      </c>
      <c r="E185" s="185"/>
      <c r="F185" s="184"/>
      <c r="G185" s="184"/>
      <c r="H185" s="184"/>
      <c r="I185" s="184" t="s">
        <v>3669</v>
      </c>
      <c r="J185" s="184"/>
      <c r="K185" s="184" t="str">
        <f>IFERROR(IF(INDEX(Vöruskrá!$C:$C,MATCH($C185,Vöruskrá!$B:$B,0))=0,"",INDEX(Vöruskrá!$C:$C,MATCH($C185,Vöruskrá!$B:$B,0))),"")</f>
        <v>Pågen/ Ójk</v>
      </c>
      <c r="L185" s="184"/>
      <c r="M185" s="184"/>
      <c r="N185" s="184"/>
      <c r="O185" s="184" t="str">
        <f>IFERROR(IF(INDEX(Vöruskrá!$I:$I,MATCH($C185,Vöruskrá!$B:$B,0))=0,"",INDEX(Vöruskrá!$I:$I,MATCH($C185,Vöruskrá!$B:$B,0))),"")</f>
        <v>https://drive.google.com/file/d/1_xC3btJzq-zmdaQHqlJ0_0EY7KwFaCqs/view?usp=sharing</v>
      </c>
      <c r="P185" s="184"/>
    </row>
    <row r="186" spans="1:16" ht="18" customHeight="1">
      <c r="A186" s="183">
        <v>46245</v>
      </c>
      <c r="B186" s="184" t="str">
        <f t="shared" ca="1" si="10"/>
        <v>Active</v>
      </c>
      <c r="C186" s="184" t="s">
        <v>562</v>
      </c>
      <c r="D186" s="184" t="s">
        <v>1885</v>
      </c>
      <c r="E186" s="185"/>
      <c r="F186" s="184"/>
      <c r="G186" s="184"/>
      <c r="H186" s="184"/>
      <c r="I186" s="184" t="s">
        <v>3669</v>
      </c>
      <c r="J186" s="184"/>
      <c r="K186" s="184" t="str">
        <f>IFERROR(IF(INDEX(Vöruskrá!$C:$C,MATCH($C186,Vöruskrá!$B:$B,0))=0,"",INDEX(Vöruskrá!$C:$C,MATCH($C186,Vöruskrá!$B:$B,0))),"")</f>
        <v>Kjarnafæði Norðlenska hf.</v>
      </c>
      <c r="L186" s="184"/>
      <c r="M186" s="184"/>
      <c r="N186" s="184"/>
      <c r="O186" s="184" t="str">
        <f>IFERROR(IF(INDEX(Vöruskrá!$I:$I,MATCH($C186,Vöruskrá!$B:$B,0))=0,"",INDEX(Vöruskrá!$I:$I,MATCH($C186,Vöruskrá!$B:$B,0))),"")</f>
        <v>https://docs.google.com/document/d/1iXvC7kN0wGPam-zMk0XlcLESdw9tCpSF14EDgGArP38/edit?usp=sharing</v>
      </c>
      <c r="P186" s="184"/>
    </row>
    <row r="187" spans="1:16" ht="18" customHeight="1">
      <c r="A187" s="192">
        <v>46246</v>
      </c>
      <c r="B187" s="193"/>
      <c r="C187" s="193" t="s">
        <v>4210</v>
      </c>
      <c r="D187" s="193"/>
      <c r="E187" s="194"/>
      <c r="F187" s="193"/>
      <c r="G187" s="193"/>
      <c r="H187" s="193"/>
      <c r="I187" s="193"/>
      <c r="J187" s="193"/>
      <c r="K187" s="193"/>
      <c r="L187" s="193"/>
      <c r="M187" s="193"/>
      <c r="N187" s="193"/>
      <c r="O187" s="193"/>
      <c r="P187" s="193"/>
    </row>
    <row r="188" spans="1:16" ht="18" customHeight="1">
      <c r="A188" s="183">
        <v>46246</v>
      </c>
      <c r="B188" s="184" t="str">
        <f t="shared" ref="B188:B207" ca="1" si="11">IF($A188&lt;TODAY(),"Expired","Active")</f>
        <v>Active</v>
      </c>
      <c r="C188" s="184" t="s">
        <v>104</v>
      </c>
      <c r="D188" s="184" t="s">
        <v>1852</v>
      </c>
      <c r="E188" s="185"/>
      <c r="F188" s="184"/>
      <c r="G188" s="184"/>
      <c r="H188" s="184"/>
      <c r="I188" s="184" t="s">
        <v>3669</v>
      </c>
      <c r="J188" s="184"/>
      <c r="K188" s="184" t="str">
        <f>IFERROR(IF(INDEX(Vöruskrá!$C:$C,MATCH($C188,Vöruskrá!$B:$B,0))=0,"",INDEX(Vöruskrá!$C:$C,MATCH($C188,Vöruskrá!$B:$B,0))),"")</f>
        <v>Matarstræti</v>
      </c>
      <c r="L188" s="184"/>
      <c r="M188" s="184"/>
      <c r="N188" s="184"/>
      <c r="O188" s="184" t="str">
        <f>IFERROR(IF(INDEX(Vöruskrá!$I:$I,MATCH($C188,Vöruskrá!$B:$B,0))=0,"",INDEX(Vöruskrá!$I:$I,MATCH($C188,Vöruskrá!$B:$B,0))),"")</f>
        <v>https://drive.google.com/file/d/1Q4ZfVecv6vttdWG8fU0WA-1aeEo59cEB/view?usp=sharing</v>
      </c>
      <c r="P188" s="184"/>
    </row>
    <row r="189" spans="1:16" ht="18" customHeight="1">
      <c r="A189" s="183">
        <v>46246</v>
      </c>
      <c r="B189" s="184" t="str">
        <f t="shared" ca="1" si="11"/>
        <v>Active</v>
      </c>
      <c r="C189" s="184" t="s">
        <v>162</v>
      </c>
      <c r="D189" s="184" t="s">
        <v>1852</v>
      </c>
      <c r="E189" s="185"/>
      <c r="F189" s="184"/>
      <c r="G189" s="184"/>
      <c r="H189" s="184"/>
      <c r="I189" s="184" t="s">
        <v>3669</v>
      </c>
      <c r="J189" s="184"/>
      <c r="K189" s="184" t="str">
        <f>IFERROR(IF(INDEX(Vöruskrá!$C:$C,MATCH($C189,Vöruskrá!$B:$B,0))=0,"",INDEX(Vöruskrá!$C:$C,MATCH($C189,Vöruskrá!$B:$B,0))),"")</f>
        <v>Kjarnafæði Norðlenska hf.</v>
      </c>
      <c r="L189" s="184"/>
      <c r="M189" s="184"/>
      <c r="N189" s="184"/>
      <c r="O189" s="184" t="str">
        <f>IFERROR(IF(INDEX(Vöruskrá!$I:$I,MATCH($C189,Vöruskrá!$B:$B,0))=0,"",INDEX(Vöruskrá!$I:$I,MATCH($C189,Vöruskrá!$B:$B,0))),"")</f>
        <v>https://docs.google.com/document/d/1dqgFZjSbMdctBpuTsZ86-uVkLNdvEtPTC6Kh8455--Y/edit?usp=sharing</v>
      </c>
      <c r="P189" s="184"/>
    </row>
    <row r="190" spans="1:16" ht="18" customHeight="1">
      <c r="A190" s="183">
        <v>46246</v>
      </c>
      <c r="B190" s="184" t="str">
        <f t="shared" ca="1" si="11"/>
        <v>Active</v>
      </c>
      <c r="C190" s="184" t="s">
        <v>692</v>
      </c>
      <c r="D190" s="184" t="s">
        <v>1852</v>
      </c>
      <c r="E190" s="185"/>
      <c r="F190" s="184"/>
      <c r="G190" s="184"/>
      <c r="H190" s="184"/>
      <c r="I190" s="184" t="s">
        <v>3669</v>
      </c>
      <c r="J190" s="184"/>
      <c r="K190" s="184" t="str">
        <f>IFERROR(IF(INDEX(Vöruskrá!$C:$C,MATCH($C190,Vöruskrá!$B:$B,0))=0,"",INDEX(Vöruskrá!$C:$C,MATCH($C190,Vöruskrá!$B:$B,0))),"")</f>
        <v>Nordic Spice AB/Garri</v>
      </c>
      <c r="L190" s="184"/>
      <c r="M190" s="184"/>
      <c r="N190" s="184"/>
      <c r="O190" s="184" t="str">
        <f>IFERROR(IF(INDEX(Vöruskrá!$I:$I,MATCH($C190,Vöruskrá!$B:$B,0))=0,"",INDEX(Vöruskrá!$I:$I,MATCH($C190,Vöruskrá!$B:$B,0))),"")</f>
        <v>https://drive.google.com/file/d/1c6qdOHZcV0sAzOAgRkfxi1RSC2sFmIpe/view?usp=sharing</v>
      </c>
      <c r="P190" s="184"/>
    </row>
    <row r="191" spans="1:16" ht="18" customHeight="1">
      <c r="A191" s="195">
        <v>46246</v>
      </c>
      <c r="B191" s="196" t="str">
        <f t="shared" ca="1" si="11"/>
        <v>Active</v>
      </c>
      <c r="C191" s="198" t="s">
        <v>1795</v>
      </c>
      <c r="D191" s="196" t="s">
        <v>1867</v>
      </c>
      <c r="E191" s="197"/>
      <c r="F191" s="196"/>
      <c r="G191" s="196"/>
      <c r="H191" s="196"/>
      <c r="I191" s="196"/>
      <c r="J191" s="196"/>
      <c r="K191" s="196"/>
      <c r="L191" s="196"/>
      <c r="M191" s="196"/>
      <c r="N191" s="196"/>
      <c r="O191" s="196"/>
      <c r="P191" s="196"/>
    </row>
    <row r="192" spans="1:16" ht="18" customHeight="1">
      <c r="A192" s="183">
        <v>46246</v>
      </c>
      <c r="B192" s="184" t="str">
        <f t="shared" ca="1" si="11"/>
        <v>Active</v>
      </c>
      <c r="C192" s="184" t="s">
        <v>301</v>
      </c>
      <c r="D192" s="184" t="s">
        <v>1867</v>
      </c>
      <c r="E192" s="185">
        <f>Hráefnaskrá!$D$617/1000</f>
        <v>13</v>
      </c>
      <c r="F192" s="184"/>
      <c r="G192" s="184"/>
      <c r="H192" s="184"/>
      <c r="I192" s="184" t="s">
        <v>3669</v>
      </c>
      <c r="J192" s="184"/>
      <c r="K192" s="184" t="str">
        <f>IFERROR(IF(INDEX(Vöruskrá!$C:$C,MATCH($C192,Vöruskrá!$B:$B,0))=0,"",INDEX(Vöruskrá!$C:$C,MATCH($C192,Vöruskrá!$B:$B,0))),"")</f>
        <v>Khao C.P. Co., Ltd.</v>
      </c>
      <c r="L192" s="184"/>
      <c r="M192" s="184"/>
      <c r="N192" s="184"/>
      <c r="O192" s="184" t="str">
        <f>IFERROR(IF(INDEX(Vöruskrá!$I:$I,MATCH($C192,Vöruskrá!$B:$B,0))=0,"",INDEX(Vöruskrá!$I:$I,MATCH($C192,Vöruskrá!$B:$B,0))),"")</f>
        <v>https://drive.google.com/file/d/1DoKkdQMWFLTDnrAu21AaCM2FHpZ73bgS/view?usp=sharing</v>
      </c>
      <c r="P192" s="184"/>
    </row>
    <row r="193" spans="1:16" ht="18" customHeight="1">
      <c r="A193" s="183">
        <v>46246</v>
      </c>
      <c r="B193" s="184" t="str">
        <f t="shared" ca="1" si="11"/>
        <v>Active</v>
      </c>
      <c r="C193" s="184" t="s">
        <v>878</v>
      </c>
      <c r="D193" s="184" t="s">
        <v>1867</v>
      </c>
      <c r="E193" s="185">
        <f>Hráefnaskrá!$D$618/1000</f>
        <v>30</v>
      </c>
      <c r="F193" s="184"/>
      <c r="G193" s="184"/>
      <c r="H193" s="184"/>
      <c r="I193" s="184" t="s">
        <v>3669</v>
      </c>
      <c r="J193" s="184"/>
      <c r="K193" s="184" t="str">
        <f>IFERROR(IF(INDEX(Vöruskrá!$C:$C,MATCH($C193,Vöruskrá!$B:$B,0))=0,"",INDEX(Vöruskrá!$C:$C,MATCH($C193,Vöruskrá!$B:$B,0))),"")</f>
        <v/>
      </c>
      <c r="L193" s="184"/>
      <c r="M193" s="184"/>
      <c r="N193" s="184"/>
      <c r="O193" s="184" t="str">
        <f>IFERROR(IF(INDEX(Vöruskrá!$I:$I,MATCH($C193,Vöruskrá!$B:$B,0))=0,"",INDEX(Vöruskrá!$I:$I,MATCH($C193,Vöruskrá!$B:$B,0))),"")</f>
        <v/>
      </c>
      <c r="P193" s="184"/>
    </row>
    <row r="194" spans="1:16" ht="18" customHeight="1">
      <c r="A194" s="183">
        <v>46246</v>
      </c>
      <c r="B194" s="184" t="str">
        <f t="shared" ca="1" si="11"/>
        <v>Active</v>
      </c>
      <c r="C194" s="184" t="s">
        <v>118</v>
      </c>
      <c r="D194" s="184" t="s">
        <v>1867</v>
      </c>
      <c r="E194" s="185">
        <f>Hráefnaskrá!$D$619/1000</f>
        <v>35</v>
      </c>
      <c r="F194" s="184"/>
      <c r="G194" s="184"/>
      <c r="H194" s="184"/>
      <c r="I194" s="184" t="s">
        <v>3669</v>
      </c>
      <c r="J194" s="184"/>
      <c r="K194" s="184" t="str">
        <f>IFERROR(IF(INDEX(Vöruskrá!$C:$C,MATCH($C194,Vöruskrá!$B:$B,0))=0,"",INDEX(Vöruskrá!$C:$C,MATCH($C194,Vöruskrá!$B:$B,0))),"")</f>
        <v xml:space="preserve">FrieslandCampina/Nathan </v>
      </c>
      <c r="L194" s="184"/>
      <c r="M194" s="184"/>
      <c r="N194" s="184"/>
      <c r="O194" s="184" t="str">
        <f>IFERROR(IF(INDEX(Vöruskrá!$I:$I,MATCH($C194,Vöruskrá!$B:$B,0))=0,"",INDEX(Vöruskrá!$I:$I,MATCH($C194,Vöruskrá!$B:$B,0))),"")</f>
        <v>https://drive.google.com/file/d/1VkCiTqPDw5l0voO-OiMPXkFvU-St0eZv/view?usp=sharing</v>
      </c>
      <c r="P194" s="184"/>
    </row>
    <row r="195" spans="1:16" ht="18" customHeight="1">
      <c r="A195" s="183">
        <v>46246</v>
      </c>
      <c r="B195" s="184" t="str">
        <f t="shared" ca="1" si="11"/>
        <v>Active</v>
      </c>
      <c r="C195" s="184" t="s">
        <v>416</v>
      </c>
      <c r="D195" s="184" t="s">
        <v>1867</v>
      </c>
      <c r="E195" s="185">
        <f>Hráefnaskrá!$D$620/1000</f>
        <v>1.8</v>
      </c>
      <c r="F195" s="184"/>
      <c r="G195" s="184"/>
      <c r="H195" s="184"/>
      <c r="I195" s="184" t="s">
        <v>3669</v>
      </c>
      <c r="J195" s="184"/>
      <c r="K195" s="184" t="str">
        <f>IFERROR(IF(INDEX(Vöruskrá!$C:$C,MATCH($C195,Vöruskrá!$B:$B,0))=0,"",INDEX(Vöruskrá!$C:$C,MATCH($C195,Vöruskrá!$B:$B,0))),"")</f>
        <v>Cosun Beet Company</v>
      </c>
      <c r="L195" s="184"/>
      <c r="M195" s="184"/>
      <c r="N195" s="184"/>
      <c r="O195" s="184" t="str">
        <f>IFERROR(IF(INDEX(Vöruskrá!$I:$I,MATCH($C195,Vöruskrá!$B:$B,0))=0,"",INDEX(Vöruskrá!$I:$I,MATCH($C195,Vöruskrá!$B:$B,0))),"")</f>
        <v>https://drive.google.com/file/d/1xlkj9UFMzhBrHGJoVUjpSgwu6ml60B4l/view?usp=sharing</v>
      </c>
      <c r="P195" s="184"/>
    </row>
    <row r="196" spans="1:16" ht="18" customHeight="1">
      <c r="A196" s="183">
        <v>46246</v>
      </c>
      <c r="B196" s="184" t="str">
        <f t="shared" ca="1" si="11"/>
        <v>Active</v>
      </c>
      <c r="C196" s="184" t="s">
        <v>266</v>
      </c>
      <c r="D196" s="184" t="s">
        <v>1867</v>
      </c>
      <c r="E196" s="185">
        <f>Hráefnaskrá!$D$621/1000</f>
        <v>0.18</v>
      </c>
      <c r="F196" s="184"/>
      <c r="G196" s="184"/>
      <c r="H196" s="184"/>
      <c r="I196" s="184" t="s">
        <v>3669</v>
      </c>
      <c r="J196" s="184"/>
      <c r="K196" s="184" t="str">
        <f>IFERROR(IF(INDEX(Vöruskrá!$C:$C,MATCH($C196,Vöruskrá!$B:$B,0))=0,"",INDEX(Vöruskrá!$C:$C,MATCH($C196,Vöruskrá!$B:$B,0))),"")</f>
        <v>Katla matvælaiðja ehf.</v>
      </c>
      <c r="L196" s="184"/>
      <c r="M196" s="184"/>
      <c r="N196" s="184"/>
      <c r="O196" s="184" t="str">
        <f>IFERROR(IF(INDEX(Vöruskrá!$I:$I,MATCH($C196,Vöruskrá!$B:$B,0))=0,"",INDEX(Vöruskrá!$I:$I,MATCH($C196,Vöruskrá!$B:$B,0))),"")</f>
        <v>https://drive.google.com/file/d/18_svh90eLQ1eSbJF3qr3eWDjhyhpL95Y/view?usp=sharing</v>
      </c>
      <c r="P196" s="184"/>
    </row>
    <row r="197" spans="1:16" ht="18" customHeight="1">
      <c r="A197" s="183">
        <v>46246</v>
      </c>
      <c r="B197" s="184" t="str">
        <f t="shared" ca="1" si="11"/>
        <v>Active</v>
      </c>
      <c r="C197" s="184" t="s">
        <v>692</v>
      </c>
      <c r="D197" s="184" t="s">
        <v>1867</v>
      </c>
      <c r="E197" s="185"/>
      <c r="F197" s="184"/>
      <c r="G197" s="184"/>
      <c r="H197" s="184"/>
      <c r="I197" s="184" t="s">
        <v>3669</v>
      </c>
      <c r="J197" s="184"/>
      <c r="K197" s="184" t="str">
        <f>IFERROR(IF(INDEX(Vöruskrá!$C:$C,MATCH($C197,Vöruskrá!$B:$B,0))=0,"",INDEX(Vöruskrá!$C:$C,MATCH($C197,Vöruskrá!$B:$B,0))),"")</f>
        <v>Nordic Spice AB/Garri</v>
      </c>
      <c r="L197" s="184"/>
      <c r="M197" s="184"/>
      <c r="N197" s="184"/>
      <c r="O197" s="184" t="str">
        <f>IFERROR(IF(INDEX(Vöruskrá!$I:$I,MATCH($C197,Vöruskrá!$B:$B,0))=0,"",INDEX(Vöruskrá!$I:$I,MATCH($C197,Vöruskrá!$B:$B,0))),"")</f>
        <v>https://drive.google.com/file/d/1c6qdOHZcV0sAzOAgRkfxi1RSC2sFmIpe/view?usp=sharing</v>
      </c>
      <c r="P197" s="184"/>
    </row>
    <row r="198" spans="1:16" ht="18" customHeight="1">
      <c r="A198" s="195">
        <v>46246</v>
      </c>
      <c r="B198" s="196" t="str">
        <f t="shared" ca="1" si="11"/>
        <v>Active</v>
      </c>
      <c r="C198" s="198" t="s">
        <v>1795</v>
      </c>
      <c r="D198" s="196" t="s">
        <v>946</v>
      </c>
      <c r="E198" s="197"/>
      <c r="F198" s="196"/>
      <c r="G198" s="196"/>
      <c r="H198" s="196"/>
      <c r="I198" s="196"/>
      <c r="J198" s="196"/>
      <c r="K198" s="196"/>
      <c r="L198" s="196"/>
      <c r="M198" s="196"/>
      <c r="N198" s="196"/>
      <c r="O198" s="196"/>
      <c r="P198" s="196"/>
    </row>
    <row r="199" spans="1:16" ht="18" customHeight="1">
      <c r="A199" s="183">
        <v>46246</v>
      </c>
      <c r="B199" s="184" t="str">
        <f t="shared" ca="1" si="11"/>
        <v>Active</v>
      </c>
      <c r="C199" s="184" t="s">
        <v>301</v>
      </c>
      <c r="D199" s="184" t="s">
        <v>946</v>
      </c>
      <c r="E199" s="185">
        <f>Hráefnaskrá!$D$617/1000</f>
        <v>13</v>
      </c>
      <c r="F199" s="184"/>
      <c r="G199" s="184"/>
      <c r="H199" s="184"/>
      <c r="I199" s="184" t="s">
        <v>3669</v>
      </c>
      <c r="J199" s="184"/>
      <c r="K199" s="184" t="str">
        <f>IFERROR(IF(INDEX(Vöruskrá!$C:$C,MATCH($C199,Vöruskrá!$B:$B,0))=0,"",INDEX(Vöruskrá!$C:$C,MATCH($C199,Vöruskrá!$B:$B,0))),"")</f>
        <v>Khao C.P. Co., Ltd.</v>
      </c>
      <c r="L199" s="184"/>
      <c r="M199" s="184"/>
      <c r="N199" s="184"/>
      <c r="O199" s="184" t="str">
        <f>IFERROR(IF(INDEX(Vöruskrá!$I:$I,MATCH($C199,Vöruskrá!$B:$B,0))=0,"",INDEX(Vöruskrá!$I:$I,MATCH($C199,Vöruskrá!$B:$B,0))),"")</f>
        <v>https://drive.google.com/file/d/1DoKkdQMWFLTDnrAu21AaCM2FHpZ73bgS/view?usp=sharing</v>
      </c>
      <c r="P199" s="184"/>
    </row>
    <row r="200" spans="1:16" ht="18" customHeight="1">
      <c r="A200" s="183">
        <v>46246</v>
      </c>
      <c r="B200" s="184" t="str">
        <f t="shared" ca="1" si="11"/>
        <v>Active</v>
      </c>
      <c r="C200" s="184" t="s">
        <v>878</v>
      </c>
      <c r="D200" s="184" t="s">
        <v>946</v>
      </c>
      <c r="E200" s="185">
        <f>Hráefnaskrá!$D$618/1000</f>
        <v>30</v>
      </c>
      <c r="F200" s="184"/>
      <c r="G200" s="184"/>
      <c r="H200" s="184"/>
      <c r="I200" s="184" t="s">
        <v>3669</v>
      </c>
      <c r="J200" s="184"/>
      <c r="K200" s="184" t="str">
        <f>IFERROR(IF(INDEX(Vöruskrá!$C:$C,MATCH($C200,Vöruskrá!$B:$B,0))=0,"",INDEX(Vöruskrá!$C:$C,MATCH($C200,Vöruskrá!$B:$B,0))),"")</f>
        <v/>
      </c>
      <c r="L200" s="184"/>
      <c r="M200" s="184"/>
      <c r="N200" s="184"/>
      <c r="O200" s="184" t="str">
        <f>IFERROR(IF(INDEX(Vöruskrá!$I:$I,MATCH($C200,Vöruskrá!$B:$B,0))=0,"",INDEX(Vöruskrá!$I:$I,MATCH($C200,Vöruskrá!$B:$B,0))),"")</f>
        <v/>
      </c>
      <c r="P200" s="184"/>
    </row>
    <row r="201" spans="1:16" ht="18" customHeight="1">
      <c r="A201" s="183">
        <v>46246</v>
      </c>
      <c r="B201" s="184" t="str">
        <f t="shared" ca="1" si="11"/>
        <v>Active</v>
      </c>
      <c r="C201" s="184" t="s">
        <v>118</v>
      </c>
      <c r="D201" s="184" t="s">
        <v>946</v>
      </c>
      <c r="E201" s="185">
        <f>Hráefnaskrá!$D$619/1000</f>
        <v>35</v>
      </c>
      <c r="F201" s="184"/>
      <c r="G201" s="184"/>
      <c r="H201" s="184"/>
      <c r="I201" s="184" t="s">
        <v>3669</v>
      </c>
      <c r="J201" s="184"/>
      <c r="K201" s="184" t="str">
        <f>IFERROR(IF(INDEX(Vöruskrá!$C:$C,MATCH($C201,Vöruskrá!$B:$B,0))=0,"",INDEX(Vöruskrá!$C:$C,MATCH($C201,Vöruskrá!$B:$B,0))),"")</f>
        <v xml:space="preserve">FrieslandCampina/Nathan </v>
      </c>
      <c r="L201" s="184"/>
      <c r="M201" s="184"/>
      <c r="N201" s="184"/>
      <c r="O201" s="184" t="str">
        <f>IFERROR(IF(INDEX(Vöruskrá!$I:$I,MATCH($C201,Vöruskrá!$B:$B,0))=0,"",INDEX(Vöruskrá!$I:$I,MATCH($C201,Vöruskrá!$B:$B,0))),"")</f>
        <v>https://drive.google.com/file/d/1VkCiTqPDw5l0voO-OiMPXkFvU-St0eZv/view?usp=sharing</v>
      </c>
      <c r="P201" s="184"/>
    </row>
    <row r="202" spans="1:16" ht="18" customHeight="1">
      <c r="A202" s="183">
        <v>46246</v>
      </c>
      <c r="B202" s="184" t="str">
        <f t="shared" ca="1" si="11"/>
        <v>Active</v>
      </c>
      <c r="C202" s="184" t="s">
        <v>416</v>
      </c>
      <c r="D202" s="184" t="s">
        <v>946</v>
      </c>
      <c r="E202" s="185">
        <f>Hráefnaskrá!$D$620/1000</f>
        <v>1.8</v>
      </c>
      <c r="F202" s="184"/>
      <c r="G202" s="184"/>
      <c r="H202" s="184"/>
      <c r="I202" s="184" t="s">
        <v>3669</v>
      </c>
      <c r="J202" s="184"/>
      <c r="K202" s="184" t="str">
        <f>IFERROR(IF(INDEX(Vöruskrá!$C:$C,MATCH($C202,Vöruskrá!$B:$B,0))=0,"",INDEX(Vöruskrá!$C:$C,MATCH($C202,Vöruskrá!$B:$B,0))),"")</f>
        <v>Cosun Beet Company</v>
      </c>
      <c r="L202" s="184"/>
      <c r="M202" s="184"/>
      <c r="N202" s="184"/>
      <c r="O202" s="184" t="str">
        <f>IFERROR(IF(INDEX(Vöruskrá!$I:$I,MATCH($C202,Vöruskrá!$B:$B,0))=0,"",INDEX(Vöruskrá!$I:$I,MATCH($C202,Vöruskrá!$B:$B,0))),"")</f>
        <v>https://drive.google.com/file/d/1xlkj9UFMzhBrHGJoVUjpSgwu6ml60B4l/view?usp=sharing</v>
      </c>
      <c r="P202" s="184"/>
    </row>
    <row r="203" spans="1:16" ht="18" customHeight="1">
      <c r="A203" s="183">
        <v>46246</v>
      </c>
      <c r="B203" s="184" t="str">
        <f t="shared" ca="1" si="11"/>
        <v>Active</v>
      </c>
      <c r="C203" s="184" t="s">
        <v>266</v>
      </c>
      <c r="D203" s="184" t="s">
        <v>946</v>
      </c>
      <c r="E203" s="185">
        <f>Hráefnaskrá!$D$621/1000</f>
        <v>0.18</v>
      </c>
      <c r="F203" s="184"/>
      <c r="G203" s="184"/>
      <c r="H203" s="184"/>
      <c r="I203" s="184" t="s">
        <v>3669</v>
      </c>
      <c r="J203" s="184"/>
      <c r="K203" s="184" t="str">
        <f>IFERROR(IF(INDEX(Vöruskrá!$C:$C,MATCH($C203,Vöruskrá!$B:$B,0))=0,"",INDEX(Vöruskrá!$C:$C,MATCH($C203,Vöruskrá!$B:$B,0))),"")</f>
        <v>Katla matvælaiðja ehf.</v>
      </c>
      <c r="L203" s="184"/>
      <c r="M203" s="184"/>
      <c r="N203" s="184"/>
      <c r="O203" s="184" t="str">
        <f>IFERROR(IF(INDEX(Vöruskrá!$I:$I,MATCH($C203,Vöruskrá!$B:$B,0))=0,"",INDEX(Vöruskrá!$I:$I,MATCH($C203,Vöruskrá!$B:$B,0))),"")</f>
        <v>https://drive.google.com/file/d/18_svh90eLQ1eSbJF3qr3eWDjhyhpL95Y/view?usp=sharing</v>
      </c>
      <c r="P203" s="184"/>
    </row>
    <row r="204" spans="1:16" ht="18" customHeight="1">
      <c r="A204" s="183">
        <v>46246</v>
      </c>
      <c r="B204" s="184" t="str">
        <f t="shared" ca="1" si="11"/>
        <v>Active</v>
      </c>
      <c r="C204" s="184" t="s">
        <v>34</v>
      </c>
      <c r="D204" s="184" t="s">
        <v>1877</v>
      </c>
      <c r="E204" s="185"/>
      <c r="F204" s="184"/>
      <c r="G204" s="184"/>
      <c r="H204" s="184"/>
      <c r="I204" s="184" t="s">
        <v>3669</v>
      </c>
      <c r="J204" s="184"/>
      <c r="K204" s="184" t="str">
        <f>IFERROR(IF(INDEX(Vöruskrá!$C:$C,MATCH($C204,Vöruskrá!$B:$B,0))=0,"",INDEX(Vöruskrá!$C:$C,MATCH($C204,Vöruskrá!$B:$B,0))),"")</f>
        <v>Gæðabakstur / Ömmubakstur ehf.</v>
      </c>
      <c r="L204" s="184"/>
      <c r="M204" s="184"/>
      <c r="N204" s="184"/>
      <c r="O204" s="184" t="str">
        <f>IFERROR(IF(INDEX(Vöruskrá!$I:$I,MATCH($C204,Vöruskrá!$B:$B,0))=0,"",INDEX(Vöruskrá!$I:$I,MATCH($C204,Vöruskrá!$B:$B,0))),"")</f>
        <v>https://drive.google.com/file/d/1p07uLGGtQjJr-CEfMOPWvz0nx16AzC1e/view?usp=sharing</v>
      </c>
      <c r="P204" s="184"/>
    </row>
    <row r="205" spans="1:16" ht="18" customHeight="1">
      <c r="A205" s="183">
        <v>46246</v>
      </c>
      <c r="B205" s="184" t="str">
        <f t="shared" ca="1" si="11"/>
        <v>Active</v>
      </c>
      <c r="C205" s="184" t="s">
        <v>557</v>
      </c>
      <c r="D205" s="184" t="s">
        <v>1877</v>
      </c>
      <c r="E205" s="185"/>
      <c r="F205" s="184"/>
      <c r="G205" s="184"/>
      <c r="H205" s="184"/>
      <c r="I205" s="184" t="s">
        <v>3669</v>
      </c>
      <c r="J205" s="184"/>
      <c r="K205" s="184" t="str">
        <f>IFERROR(IF(INDEX(Vöruskrá!$C:$C,MATCH($C205,Vöruskrá!$B:$B,0))=0,"",INDEX(Vöruskrá!$C:$C,MATCH($C205,Vöruskrá!$B:$B,0))),"")</f>
        <v xml:space="preserve">MS </v>
      </c>
      <c r="L205" s="184"/>
      <c r="M205" s="184"/>
      <c r="N205" s="184"/>
      <c r="O205" s="184" t="str">
        <f>IFERROR(IF(INDEX(Vöruskrá!$I:$I,MATCH($C205,Vöruskrá!$B:$B,0))=0,"",INDEX(Vöruskrá!$I:$I,MATCH($C205,Vöruskrá!$B:$B,0))),"")</f>
        <v>https://docs.google.com/document/d/1xK3OgL95T8y9Uw0YX4LaF0Ve3yT2CmntRk4Wg1oHGcM/edit?usp=sharing</v>
      </c>
      <c r="P205" s="184"/>
    </row>
    <row r="206" spans="1:16" ht="18" customHeight="1">
      <c r="A206" s="183">
        <v>46246</v>
      </c>
      <c r="B206" s="184" t="str">
        <f t="shared" ca="1" si="11"/>
        <v>Active</v>
      </c>
      <c r="C206" s="184" t="s">
        <v>78</v>
      </c>
      <c r="D206" s="184" t="s">
        <v>1885</v>
      </c>
      <c r="E206" s="185"/>
      <c r="F206" s="184"/>
      <c r="G206" s="184"/>
      <c r="H206" s="184"/>
      <c r="I206" s="184" t="s">
        <v>3669</v>
      </c>
      <c r="J206" s="184"/>
      <c r="K206" s="184" t="str">
        <f>IFERROR(IF(INDEX(Vöruskrá!$C:$C,MATCH($C206,Vöruskrá!$B:$B,0))=0,"",INDEX(Vöruskrá!$C:$C,MATCH($C206,Vöruskrá!$B:$B,0))),"")</f>
        <v>Burger Knäcke/ Nathan</v>
      </c>
      <c r="L206" s="184"/>
      <c r="M206" s="184"/>
      <c r="N206" s="184"/>
      <c r="O206" s="184" t="str">
        <f>IFERROR(IF(INDEX(Vöruskrá!$I:$I,MATCH($C206,Vöruskrá!$B:$B,0))=0,"",INDEX(Vöruskrá!$I:$I,MATCH($C206,Vöruskrá!$B:$B,0))),"")</f>
        <v>https://drive.google.com/file/d/1vwvU9xL9chLkyyy34xePImiUaHAxA66A/view?usp=sharing</v>
      </c>
      <c r="P206" s="184"/>
    </row>
    <row r="207" spans="1:16" ht="18" customHeight="1">
      <c r="A207" s="183">
        <v>46246</v>
      </c>
      <c r="B207" s="184" t="str">
        <f t="shared" ca="1" si="11"/>
        <v>Active</v>
      </c>
      <c r="C207" s="184" t="s">
        <v>376</v>
      </c>
      <c r="D207" s="184" t="s">
        <v>1885</v>
      </c>
      <c r="E207" s="185"/>
      <c r="F207" s="184"/>
      <c r="G207" s="184"/>
      <c r="H207" s="184"/>
      <c r="I207" s="184" t="s">
        <v>3669</v>
      </c>
      <c r="J207" s="184"/>
      <c r="K207" s="184" t="str">
        <f>IFERROR(IF(INDEX(Vöruskrá!$C:$C,MATCH($C207,Vöruskrá!$B:$B,0))=0,"",INDEX(Vöruskrá!$C:$C,MATCH($C207,Vöruskrá!$B:$B,0))),"")</f>
        <v>Matfugl ehf.</v>
      </c>
      <c r="L207" s="184"/>
      <c r="M207" s="184"/>
      <c r="N207" s="184"/>
      <c r="O207" s="184" t="str">
        <f>IFERROR(IF(INDEX(Vöruskrá!$I:$I,MATCH($C207,Vöruskrá!$B:$B,0))=0,"",INDEX(Vöruskrá!$I:$I,MATCH($C207,Vöruskrá!$B:$B,0))),"")</f>
        <v>https://docs.google.com/document/d/1m0YKiZ4cQZAZVlQ9NBO-W9jBUEk9w4-k1SKb9XI2P-o/edit?usp=sharing</v>
      </c>
      <c r="P207" s="184"/>
    </row>
    <row r="208" spans="1:16" ht="18" customHeight="1">
      <c r="A208" s="192">
        <v>46247</v>
      </c>
      <c r="B208" s="193"/>
      <c r="C208" s="193" t="s">
        <v>4210</v>
      </c>
      <c r="D208" s="193"/>
      <c r="E208" s="194"/>
      <c r="F208" s="193"/>
      <c r="G208" s="193"/>
      <c r="H208" s="193"/>
      <c r="I208" s="193"/>
      <c r="J208" s="193"/>
      <c r="K208" s="193"/>
      <c r="L208" s="193"/>
      <c r="M208" s="193"/>
      <c r="N208" s="193"/>
      <c r="O208" s="193"/>
      <c r="P208" s="193"/>
    </row>
    <row r="209" spans="1:16" ht="18" customHeight="1">
      <c r="A209" s="183">
        <v>46247</v>
      </c>
      <c r="B209" s="184" t="str">
        <f t="shared" ref="B209:B230" ca="1" si="12">IF($A209&lt;TODAY(),"Expired","Active")</f>
        <v>Active</v>
      </c>
      <c r="C209" s="184" t="s">
        <v>1125</v>
      </c>
      <c r="D209" s="184" t="s">
        <v>1852</v>
      </c>
      <c r="E209" s="185"/>
      <c r="F209" s="184"/>
      <c r="G209" s="184"/>
      <c r="H209" s="184"/>
      <c r="I209" s="184" t="s">
        <v>3669</v>
      </c>
      <c r="J209" s="184"/>
      <c r="K209" s="184" t="str">
        <f>IFERROR(IF(INDEX(Vöruskrá!$C:$C,MATCH($C209,Vöruskrá!$B:$B,0))=0,"",INDEX(Vöruskrá!$C:$C,MATCH($C209,Vöruskrá!$B:$B,0))),"")</f>
        <v>Matarstund</v>
      </c>
      <c r="L209" s="184"/>
      <c r="M209" s="184"/>
      <c r="N209" s="184"/>
      <c r="O209" s="184" t="str">
        <f>IFERROR(IF(INDEX(Vöruskrá!$I:$I,MATCH($C209,Vöruskrá!$B:$B,0))=0,"",INDEX(Vöruskrá!$I:$I,MATCH($C209,Vöruskrá!$B:$B,0))),"")</f>
        <v/>
      </c>
      <c r="P209" s="184"/>
    </row>
    <row r="210" spans="1:16" ht="18" customHeight="1">
      <c r="A210" s="183">
        <v>46247</v>
      </c>
      <c r="B210" s="184" t="str">
        <f t="shared" ca="1" si="12"/>
        <v>Active</v>
      </c>
      <c r="C210" s="184" t="s">
        <v>324</v>
      </c>
      <c r="D210" s="184" t="s">
        <v>1852</v>
      </c>
      <c r="E210" s="185"/>
      <c r="F210" s="184"/>
      <c r="G210" s="184"/>
      <c r="H210" s="184"/>
      <c r="I210" s="184" t="s">
        <v>3669</v>
      </c>
      <c r="J210" s="184"/>
      <c r="K210" s="184" t="str">
        <f>IFERROR(IF(INDEX(Vöruskrá!$C:$C,MATCH($C210,Vöruskrá!$B:$B,0))=0,"",INDEX(Vöruskrá!$C:$C,MATCH($C210,Vöruskrá!$B:$B,0))),"")</f>
        <v>Gæðabakstur / Ömmubakstur ehf.</v>
      </c>
      <c r="L210" s="184"/>
      <c r="M210" s="184"/>
      <c r="N210" s="184"/>
      <c r="O210" s="184" t="str">
        <f>IFERROR(IF(INDEX(Vöruskrá!$I:$I,MATCH($C210,Vöruskrá!$B:$B,0))=0,"",INDEX(Vöruskrá!$I:$I,MATCH($C210,Vöruskrá!$B:$B,0))),"")</f>
        <v>https://gaedabakstur.is/vara/ommurugbraud-30-sneida/</v>
      </c>
      <c r="P210" s="184"/>
    </row>
    <row r="211" spans="1:16" ht="18" customHeight="1">
      <c r="A211" s="183">
        <v>46247</v>
      </c>
      <c r="B211" s="184" t="str">
        <f t="shared" ca="1" si="12"/>
        <v>Active</v>
      </c>
      <c r="C211" s="184" t="s">
        <v>395</v>
      </c>
      <c r="D211" s="184" t="s">
        <v>1852</v>
      </c>
      <c r="E211" s="185"/>
      <c r="F211" s="184"/>
      <c r="G211" s="184"/>
      <c r="H211" s="184"/>
      <c r="I211" s="184" t="s">
        <v>3669</v>
      </c>
      <c r="J211" s="184"/>
      <c r="K211" s="184" t="str">
        <f>IFERROR(IF(INDEX(Vöruskrá!$C:$C,MATCH($C211,Vöruskrá!$B:$B,0))=0,"",INDEX(Vöruskrá!$C:$C,MATCH($C211,Vöruskrá!$B:$B,0))),"")</f>
        <v>MS</v>
      </c>
      <c r="L211" s="184"/>
      <c r="M211" s="184"/>
      <c r="N211" s="184"/>
      <c r="O211" s="184" t="str">
        <f>IFERROR(IF(INDEX(Vöruskrá!$I:$I,MATCH($C211,Vöruskrá!$B:$B,0))=0,"",INDEX(Vöruskrá!$I:$I,MATCH($C211,Vöruskrá!$B:$B,0))),"")</f>
        <v>https://docs.google.com/document/d/1UjBm-Tv-Iec76nq1yK04YofrHL0yfr89sWsBhPn2Bfg/edit?usp=sharing</v>
      </c>
      <c r="P211" s="184"/>
    </row>
    <row r="212" spans="1:16" ht="18" customHeight="1">
      <c r="A212" s="183">
        <v>46247</v>
      </c>
      <c r="B212" s="184" t="str">
        <f t="shared" ca="1" si="12"/>
        <v>Active</v>
      </c>
      <c r="C212" s="184" t="s">
        <v>1239</v>
      </c>
      <c r="D212" s="184" t="s">
        <v>1867</v>
      </c>
      <c r="E212" s="185"/>
      <c r="F212" s="184"/>
      <c r="G212" s="184"/>
      <c r="H212" s="184"/>
      <c r="I212" s="184" t="s">
        <v>3669</v>
      </c>
      <c r="J212" s="184"/>
      <c r="K212" s="184" t="str">
        <f>IFERROR(IF(INDEX(Vöruskrá!$C:$C,MATCH($C212,Vöruskrá!$B:$B,0))=0,"",INDEX(Vöruskrá!$C:$C,MATCH($C212,Vöruskrá!$B:$B,0))),"")</f>
        <v>Álfasaga/Innnes</v>
      </c>
      <c r="L212" s="184"/>
      <c r="M212" s="184"/>
      <c r="N212" s="184"/>
      <c r="O212" s="184" t="str">
        <f>IFERROR(IF(INDEX(Vöruskrá!$I:$I,MATCH($C212,Vöruskrá!$B:$B,0))=0,"",INDEX(Vöruskrá!$I:$I,MATCH($C212,Vöruskrá!$B:$B,0))),"")</f>
        <v>https://innnes.is/media/x5wjixgs/261918_65134_261918.pdf</v>
      </c>
      <c r="P212" s="184"/>
    </row>
    <row r="213" spans="1:16" ht="18" customHeight="1">
      <c r="A213" s="183">
        <v>46247</v>
      </c>
      <c r="B213" s="184" t="str">
        <f t="shared" ca="1" si="12"/>
        <v>Active</v>
      </c>
      <c r="C213" s="184" t="s">
        <v>1191</v>
      </c>
      <c r="D213" s="184" t="s">
        <v>1867</v>
      </c>
      <c r="E213" s="185"/>
      <c r="F213" s="184"/>
      <c r="G213" s="184"/>
      <c r="H213" s="184"/>
      <c r="I213" s="184" t="s">
        <v>3669</v>
      </c>
      <c r="J213" s="184"/>
      <c r="K213" s="184" t="str">
        <f>IFERROR(IF(INDEX(Vöruskrá!$C:$C,MATCH($C213,Vöruskrá!$B:$B,0))=0,"",INDEX(Vöruskrá!$C:$C,MATCH($C213,Vöruskrá!$B:$B,0))),"")</f>
        <v>Brauðhúsið</v>
      </c>
      <c r="L213" s="184"/>
      <c r="M213" s="184"/>
      <c r="N213" s="184"/>
      <c r="O213" s="184" t="str">
        <f>IFERROR(IF(INDEX(Vöruskrá!$I:$I,MATCH($C213,Vöruskrá!$B:$B,0))=0,"",INDEX(Vöruskrá!$I:$I,MATCH($C213,Vöruskrá!$B:$B,0))),"")</f>
        <v>https://docs.google.com/document/d/1XkPZ24yAstQiMPfKs6XB0I79szXiJzywc251IpraK8k/edit?usp=sharing</v>
      </c>
      <c r="P213" s="184"/>
    </row>
    <row r="214" spans="1:16" ht="18" customHeight="1">
      <c r="A214" s="195">
        <v>46247</v>
      </c>
      <c r="B214" s="196" t="str">
        <f t="shared" ca="1" si="12"/>
        <v>Active</v>
      </c>
      <c r="C214" s="198" t="s">
        <v>1497</v>
      </c>
      <c r="D214" s="196" t="s">
        <v>946</v>
      </c>
      <c r="E214" s="197"/>
      <c r="F214" s="196"/>
      <c r="G214" s="196"/>
      <c r="H214" s="196"/>
      <c r="I214" s="196"/>
      <c r="J214" s="196"/>
      <c r="K214" s="196"/>
      <c r="L214" s="196"/>
      <c r="M214" s="196"/>
      <c r="N214" s="196"/>
      <c r="O214" s="196"/>
      <c r="P214" s="196"/>
    </row>
    <row r="215" spans="1:16" ht="18" customHeight="1">
      <c r="A215" s="183">
        <v>46247</v>
      </c>
      <c r="B215" s="184" t="str">
        <f t="shared" ca="1" si="12"/>
        <v>Active</v>
      </c>
      <c r="C215" s="184" t="s">
        <v>792</v>
      </c>
      <c r="D215" s="184" t="s">
        <v>946</v>
      </c>
      <c r="E215" s="185">
        <f>Hráefnaskrá!$D$90/1000</f>
        <v>40</v>
      </c>
      <c r="F215" s="184"/>
      <c r="G215" s="184"/>
      <c r="H215" s="184"/>
      <c r="I215" s="184" t="s">
        <v>3669</v>
      </c>
      <c r="J215" s="184"/>
      <c r="K215" s="184" t="str">
        <f>IFERROR(IF(INDEX(Vöruskrá!$C:$C,MATCH($C215,Vöruskrá!$B:$B,0))=0,"",INDEX(Vöruskrá!$C:$C,MATCH($C215,Vöruskrá!$B:$B,0))),"")</f>
        <v>Hafið</v>
      </c>
      <c r="L215" s="184"/>
      <c r="M215" s="184"/>
      <c r="N215" s="184"/>
      <c r="O215" s="184" t="str">
        <f>IFERROR(IF(INDEX(Vöruskrá!$I:$I,MATCH($C215,Vöruskrá!$B:$B,0))=0,"",INDEX(Vöruskrá!$I:$I,MATCH($C215,Vöruskrá!$B:$B,0))),"")</f>
        <v/>
      </c>
      <c r="P215" s="184"/>
    </row>
    <row r="216" spans="1:16" ht="18" customHeight="1">
      <c r="A216" s="183">
        <v>46247</v>
      </c>
      <c r="B216" s="184" t="str">
        <f t="shared" ca="1" si="12"/>
        <v>Active</v>
      </c>
      <c r="C216" s="184" t="s">
        <v>867</v>
      </c>
      <c r="D216" s="184" t="s">
        <v>946</v>
      </c>
      <c r="E216" s="185">
        <f>Hráefnaskrá!$D$91/1000</f>
        <v>36</v>
      </c>
      <c r="F216" s="184"/>
      <c r="G216" s="184"/>
      <c r="H216" s="184"/>
      <c r="I216" s="184" t="s">
        <v>3669</v>
      </c>
      <c r="J216" s="184"/>
      <c r="K216" s="184" t="str">
        <f>IFERROR(IF(INDEX(Vöruskrá!$C:$C,MATCH($C216,Vöruskrá!$B:$B,0))=0,"",INDEX(Vöruskrá!$C:$C,MATCH($C216,Vöruskrá!$B:$B,0))),"")</f>
        <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868</v>
      </c>
      <c r="D217" s="184" t="s">
        <v>946</v>
      </c>
      <c r="E217" s="185">
        <f>Hráefnaskrá!$D$92/1000</f>
        <v>4.5</v>
      </c>
      <c r="F217" s="184"/>
      <c r="G217" s="184"/>
      <c r="H217" s="184"/>
      <c r="I217" s="184" t="s">
        <v>3669</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1091</v>
      </c>
      <c r="D218" s="184" t="s">
        <v>946</v>
      </c>
      <c r="E218" s="185">
        <f>Hráefnaskrá!$D$93/1000</f>
        <v>0.8</v>
      </c>
      <c r="F218" s="184"/>
      <c r="G218" s="184"/>
      <c r="H218" s="184"/>
      <c r="I218" s="184" t="s">
        <v>3669</v>
      </c>
      <c r="J218" s="184"/>
      <c r="K218" s="184" t="str">
        <f>IFERROR(IF(INDEX(Vöruskrá!$C:$C,MATCH($C218,Vöruskrá!$B:$B,0))=0,"",INDEX(Vöruskrá!$C:$C,MATCH($C218,Vöruskrá!$B:$B,0))),"")</f>
        <v>Garri</v>
      </c>
      <c r="L218" s="184"/>
      <c r="M218" s="184"/>
      <c r="N218" s="184"/>
      <c r="O218" s="184" t="str">
        <f>IFERROR(IF(INDEX(Vöruskrá!$I:$I,MATCH($C218,Vöruskrá!$B:$B,0))=0,"",INDEX(Vöruskrá!$I:$I,MATCH($C218,Vöruskrá!$B:$B,0))),"")</f>
        <v>https://garri.overcastcdn.com/documents/41023015.pdf</v>
      </c>
      <c r="P218" s="184"/>
    </row>
    <row r="219" spans="1:16" ht="18" customHeight="1">
      <c r="A219" s="183">
        <v>46247</v>
      </c>
      <c r="B219" s="184" t="str">
        <f t="shared" ca="1" si="12"/>
        <v>Active</v>
      </c>
      <c r="C219" s="184" t="s">
        <v>118</v>
      </c>
      <c r="D219" s="184" t="s">
        <v>946</v>
      </c>
      <c r="E219" s="185">
        <f>Hráefnaskrá!$D$94/1000</f>
        <v>10</v>
      </c>
      <c r="F219" s="184"/>
      <c r="G219" s="184"/>
      <c r="H219" s="184"/>
      <c r="I219" s="184" t="s">
        <v>3669</v>
      </c>
      <c r="J219" s="184"/>
      <c r="K219" s="184" t="str">
        <f>IFERROR(IF(INDEX(Vöruskrá!$C:$C,MATCH($C219,Vöruskrá!$B:$B,0))=0,"",INDEX(Vöruskrá!$C:$C,MATCH($C219,Vöruskrá!$B:$B,0))),"")</f>
        <v xml:space="preserve">FrieslandCampina/Nathan </v>
      </c>
      <c r="L219" s="184"/>
      <c r="M219" s="184"/>
      <c r="N219" s="184"/>
      <c r="O219" s="184" t="str">
        <f>IFERROR(IF(INDEX(Vöruskrá!$I:$I,MATCH($C219,Vöruskrá!$B:$B,0))=0,"",INDEX(Vöruskrá!$I:$I,MATCH($C219,Vöruskrá!$B:$B,0))),"")</f>
        <v>https://drive.google.com/file/d/1VkCiTqPDw5l0voO-OiMPXkFvU-St0eZv/view?usp=sharing</v>
      </c>
      <c r="P219" s="184"/>
    </row>
    <row r="220" spans="1:16" ht="18" customHeight="1">
      <c r="A220" s="183">
        <v>46247</v>
      </c>
      <c r="B220" s="184" t="str">
        <f t="shared" ca="1" si="12"/>
        <v>Active</v>
      </c>
      <c r="C220" s="184" t="s">
        <v>878</v>
      </c>
      <c r="D220" s="184" t="s">
        <v>946</v>
      </c>
      <c r="E220" s="185">
        <f>Hráefnaskrá!$D$95/1000</f>
        <v>5</v>
      </c>
      <c r="F220" s="184"/>
      <c r="G220" s="184"/>
      <c r="H220" s="184"/>
      <c r="I220" s="184" t="s">
        <v>3669</v>
      </c>
      <c r="J220" s="184"/>
      <c r="K220" s="184" t="str">
        <f>IFERROR(IF(INDEX(Vöruskrá!$C:$C,MATCH($C220,Vöruskrá!$B:$B,0))=0,"",INDEX(Vöruskrá!$C:$C,MATCH($C220,Vöruskrá!$B:$B,0))),"")</f>
        <v/>
      </c>
      <c r="L220" s="184"/>
      <c r="M220" s="184"/>
      <c r="N220" s="184"/>
      <c r="O220" s="184" t="str">
        <f>IFERROR(IF(INDEX(Vöruskrá!$I:$I,MATCH($C220,Vöruskrá!$B:$B,0))=0,"",INDEX(Vöruskrá!$I:$I,MATCH($C220,Vöruskrá!$B:$B,0))),"")</f>
        <v/>
      </c>
      <c r="P220" s="184"/>
    </row>
    <row r="221" spans="1:16" ht="18" customHeight="1">
      <c r="A221" s="183">
        <v>46247</v>
      </c>
      <c r="B221" s="184" t="str">
        <f t="shared" ca="1" si="12"/>
        <v>Active</v>
      </c>
      <c r="C221" s="184" t="s">
        <v>307</v>
      </c>
      <c r="D221" s="184" t="s">
        <v>946</v>
      </c>
      <c r="E221" s="185">
        <f>Hráefnaskrá!$D$96/1000</f>
        <v>1.8</v>
      </c>
      <c r="F221" s="184"/>
      <c r="G221" s="184"/>
      <c r="H221" s="184"/>
      <c r="I221" s="184" t="s">
        <v>3669</v>
      </c>
      <c r="J221" s="184"/>
      <c r="K221" s="184" t="str">
        <f>IFERROR(IF(INDEX(Vöruskrá!$C:$C,MATCH($C221,Vöruskrá!$B:$B,0))=0,"",INDEX(Vöruskrá!$C:$C,MATCH($C221,Vöruskrá!$B:$B,0))),"")</f>
        <v>Maizena / Unilever</v>
      </c>
      <c r="L221" s="184"/>
      <c r="M221" s="184"/>
      <c r="N221" s="184"/>
      <c r="O221" s="184" t="str">
        <f>IFERROR(IF(INDEX(Vöruskrá!$I:$I,MATCH($C221,Vöruskrá!$B:$B,0))=0,"",INDEX(Vöruskrá!$I:$I,MATCH($C221,Vöruskrá!$B:$B,0))),"")</f>
        <v>https://drive.google.com/file/d/1CmXprz2PFHVmxfaM0CalYclE2qYOhpF7/view?usp=sharing</v>
      </c>
      <c r="P221" s="184"/>
    </row>
    <row r="222" spans="1:16" ht="18" customHeight="1">
      <c r="A222" s="183">
        <v>46247</v>
      </c>
      <c r="B222" s="184" t="str">
        <f t="shared" ca="1" si="12"/>
        <v>Active</v>
      </c>
      <c r="C222" s="184" t="s">
        <v>266</v>
      </c>
      <c r="D222" s="184" t="s">
        <v>946</v>
      </c>
      <c r="E222" s="185">
        <f>Hráefnaskrá!$D$97/1000</f>
        <v>0.55000000000000004</v>
      </c>
      <c r="F222" s="184"/>
      <c r="G222" s="184"/>
      <c r="H222" s="184"/>
      <c r="I222" s="184" t="s">
        <v>3669</v>
      </c>
      <c r="J222" s="184"/>
      <c r="K222" s="184" t="str">
        <f>IFERROR(IF(INDEX(Vöruskrá!$C:$C,MATCH($C222,Vöruskrá!$B:$B,0))=0,"",INDEX(Vöruskrá!$C:$C,MATCH($C222,Vöruskrá!$B:$B,0))),"")</f>
        <v>Katla matvælaiðja ehf.</v>
      </c>
      <c r="L222" s="184"/>
      <c r="M222" s="184"/>
      <c r="N222" s="184"/>
      <c r="O222" s="184" t="str">
        <f>IFERROR(IF(INDEX(Vöruskrá!$I:$I,MATCH($C222,Vöruskrá!$B:$B,0))=0,"",INDEX(Vöruskrá!$I:$I,MATCH($C222,Vöruskrá!$B:$B,0))),"")</f>
        <v>https://drive.google.com/file/d/18_svh90eLQ1eSbJF3qr3eWDjhyhpL95Y/view?usp=sharing</v>
      </c>
      <c r="P222" s="184"/>
    </row>
    <row r="223" spans="1:16" ht="18" customHeight="1">
      <c r="A223" s="183">
        <v>46247</v>
      </c>
      <c r="B223" s="184" t="str">
        <f t="shared" ca="1" si="12"/>
        <v>Active</v>
      </c>
      <c r="C223" s="184" t="s">
        <v>1503</v>
      </c>
      <c r="D223" s="184" t="s">
        <v>946</v>
      </c>
      <c r="E223" s="185">
        <f>Hráefnaskrá!$D$98/1000</f>
        <v>0.4</v>
      </c>
      <c r="F223" s="184"/>
      <c r="G223" s="184"/>
      <c r="H223" s="184"/>
      <c r="I223" s="184" t="s">
        <v>3669</v>
      </c>
      <c r="J223" s="184"/>
      <c r="K223" s="184" t="str">
        <f>IFERROR(IF(INDEX(Vöruskrá!$C:$C,MATCH($C223,Vöruskrá!$B:$B,0))=0,"",INDEX(Vöruskrá!$C:$C,MATCH($C223,Vöruskrá!$B:$B,0))),"")</f>
        <v/>
      </c>
      <c r="L223" s="184"/>
      <c r="M223" s="184"/>
      <c r="N223" s="184"/>
      <c r="O223" s="184" t="str">
        <f>IFERROR(IF(INDEX(Vöruskrá!$I:$I,MATCH($C223,Vöruskrá!$B:$B,0))=0,"",INDEX(Vöruskrá!$I:$I,MATCH($C223,Vöruskrá!$B:$B,0))),"")</f>
        <v/>
      </c>
      <c r="P223" s="184"/>
    </row>
    <row r="224" spans="1:16" ht="18" customHeight="1">
      <c r="A224" s="183">
        <v>46247</v>
      </c>
      <c r="B224" s="184" t="str">
        <f t="shared" ca="1" si="12"/>
        <v>Active</v>
      </c>
      <c r="C224" s="184" t="s">
        <v>964</v>
      </c>
      <c r="D224" s="184" t="s">
        <v>946</v>
      </c>
      <c r="E224" s="185">
        <f>Hráefnaskrá!$D$99/1000</f>
        <v>0.25</v>
      </c>
      <c r="F224" s="184"/>
      <c r="G224" s="184"/>
      <c r="H224" s="184"/>
      <c r="I224" s="184" t="s">
        <v>3669</v>
      </c>
      <c r="J224" s="184"/>
      <c r="K224" s="184" t="str">
        <f>IFERROR(IF(INDEX(Vöruskrá!$C:$C,MATCH($C224,Vöruskrá!$B:$B,0))=0,"",INDEX(Vöruskrá!$C:$C,MATCH($C224,Vöruskrá!$B:$B,0))),"")</f>
        <v/>
      </c>
      <c r="L224" s="184"/>
      <c r="M224" s="184"/>
      <c r="N224" s="184"/>
      <c r="O224" s="184" t="str">
        <f>IFERROR(IF(INDEX(Vöruskrá!$I:$I,MATCH($C224,Vöruskrá!$B:$B,0))=0,"",INDEX(Vöruskrá!$I:$I,MATCH($C224,Vöruskrá!$B:$B,0))),"")</f>
        <v>https://garri.overcastcdn.com/documents/72650826.pdf</v>
      </c>
      <c r="P224" s="184"/>
    </row>
    <row r="225" spans="1:16" ht="18" customHeight="1">
      <c r="A225" s="183">
        <v>46247</v>
      </c>
      <c r="B225" s="184" t="str">
        <f t="shared" ca="1" si="12"/>
        <v>Active</v>
      </c>
      <c r="C225" s="184" t="s">
        <v>698</v>
      </c>
      <c r="D225" s="184" t="s">
        <v>946</v>
      </c>
      <c r="E225" s="185">
        <f>Hráefnaskrá!$D$100/1000</f>
        <v>0.04</v>
      </c>
      <c r="F225" s="184"/>
      <c r="G225" s="184"/>
      <c r="H225" s="184"/>
      <c r="I225" s="184" t="s">
        <v>3669</v>
      </c>
      <c r="J225" s="184"/>
      <c r="K225" s="184" t="str">
        <f>IFERROR(IF(INDEX(Vöruskrá!$C:$C,MATCH($C225,Vöruskrá!$B:$B,0))=0,"",INDEX(Vöruskrá!$C:$C,MATCH($C225,Vöruskrá!$B:$B,0))),"")</f>
        <v>Nordic Spice AB/Garri</v>
      </c>
      <c r="L225" s="184"/>
      <c r="M225" s="184"/>
      <c r="N225" s="184"/>
      <c r="O225" s="184" t="str">
        <f>IFERROR(IF(INDEX(Vöruskrá!$I:$I,MATCH($C225,Vöruskrá!$B:$B,0))=0,"",INDEX(Vöruskrá!$I:$I,MATCH($C225,Vöruskrá!$B:$B,0))),"")</f>
        <v>https://drive.google.com/file/d/1PuYXTRXCRUeqrp_SAuMrQW2WrtYD8N_-/view?usp=sharing</v>
      </c>
      <c r="P225" s="184"/>
    </row>
    <row r="226" spans="1:16" ht="18" customHeight="1">
      <c r="A226" s="183">
        <v>46247</v>
      </c>
      <c r="B226" s="184" t="str">
        <f t="shared" ca="1" si="12"/>
        <v>Active</v>
      </c>
      <c r="C226" s="184" t="s">
        <v>879</v>
      </c>
      <c r="D226" s="184" t="s">
        <v>946</v>
      </c>
      <c r="E226" s="185">
        <f>Hráefnaskrá!$D$101/1000</f>
        <v>0.06</v>
      </c>
      <c r="F226" s="184"/>
      <c r="G226" s="184"/>
      <c r="H226" s="184"/>
      <c r="I226" s="184" t="s">
        <v>3669</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https://garri.overcastcdn.com/documents/5000920C.pdf</v>
      </c>
      <c r="P226" s="184"/>
    </row>
    <row r="227" spans="1:16" ht="18" customHeight="1">
      <c r="A227" s="183">
        <v>46247</v>
      </c>
      <c r="B227" s="184" t="str">
        <f t="shared" ca="1" si="12"/>
        <v>Active</v>
      </c>
      <c r="C227" s="184" t="s">
        <v>704</v>
      </c>
      <c r="D227" s="184" t="s">
        <v>946</v>
      </c>
      <c r="E227" s="185">
        <f>Hráefnaskrá!$D$102/1000</f>
        <v>0.1</v>
      </c>
      <c r="F227" s="184"/>
      <c r="G227" s="184"/>
      <c r="H227" s="184"/>
      <c r="I227" s="184" t="s">
        <v>3669</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https://drive.google.com/file/d/16pABGxDAo2BQ5ZBD9aqSATzh85vQmJ63/view?usp=sharing</v>
      </c>
      <c r="P227" s="184"/>
    </row>
    <row r="228" spans="1:16" ht="18" customHeight="1">
      <c r="A228" s="183">
        <v>46247</v>
      </c>
      <c r="B228" s="184" t="str">
        <f t="shared" ca="1" si="12"/>
        <v>Active</v>
      </c>
      <c r="C228" s="184" t="s">
        <v>1221</v>
      </c>
      <c r="D228" s="184" t="s">
        <v>946</v>
      </c>
      <c r="E228" s="185"/>
      <c r="F228" s="184"/>
      <c r="G228" s="184"/>
      <c r="H228" s="184"/>
      <c r="I228" s="184" t="s">
        <v>3669</v>
      </c>
      <c r="J228" s="184"/>
      <c r="K228" s="184" t="str">
        <f>IFERROR(IF(INDEX(Vöruskrá!$C:$C,MATCH($C228,Vöruskrá!$B:$B,0))=0,"",INDEX(Vöruskrá!$C:$C,MATCH($C228,Vöruskrá!$B:$B,0))),"")</f>
        <v>Matarstund</v>
      </c>
      <c r="L228" s="184"/>
      <c r="M228" s="184"/>
      <c r="N228" s="184"/>
      <c r="O228" s="184" t="str">
        <f>IFERROR(IF(INDEX(Vöruskrá!$I:$I,MATCH($C228,Vöruskrá!$B:$B,0))=0,"",INDEX(Vöruskrá!$I:$I,MATCH($C228,Vöruskrá!$B:$B,0))),"")</f>
        <v>https://docs.google.com/document/d/1nkvaKxNzhGNgTPJ3N3uTSJd3j6I7AqPM/edit?usp=sharing&amp;ouid=115242652208709673085&amp;rtpof=true&amp;sd=true</v>
      </c>
      <c r="P228" s="184"/>
    </row>
    <row r="229" spans="1:16" ht="18" customHeight="1">
      <c r="A229" s="183">
        <v>46247</v>
      </c>
      <c r="B229" s="184" t="str">
        <f t="shared" ca="1" si="12"/>
        <v>Active</v>
      </c>
      <c r="C229" s="184" t="s">
        <v>73</v>
      </c>
      <c r="D229" s="184" t="s">
        <v>1885</v>
      </c>
      <c r="E229" s="185"/>
      <c r="F229" s="184"/>
      <c r="G229" s="184"/>
      <c r="H229" s="184"/>
      <c r="I229" s="184" t="s">
        <v>3669</v>
      </c>
      <c r="J229" s="184"/>
      <c r="K229" s="184" t="str">
        <f>IFERROR(IF(INDEX(Vöruskrá!$C:$C,MATCH($C229,Vöruskrá!$B:$B,0))=0,"",INDEX(Vöruskrá!$C:$C,MATCH($C229,Vöruskrá!$B:$B,0))),"")</f>
        <v>Pågen/ Ójk</v>
      </c>
      <c r="L229" s="184"/>
      <c r="M229" s="184"/>
      <c r="N229" s="184"/>
      <c r="O229" s="184" t="str">
        <f>IFERROR(IF(INDEX(Vöruskrá!$I:$I,MATCH($C229,Vöruskrá!$B:$B,0))=0,"",INDEX(Vöruskrá!$I:$I,MATCH($C229,Vöruskrá!$B:$B,0))),"")</f>
        <v>https://drive.google.com/file/d/1aObopp1C2qlx3QieZ3phPb3MzLNGDVZz/view?usp=sharing</v>
      </c>
      <c r="P229" s="184"/>
    </row>
    <row r="230" spans="1:16" ht="18" customHeight="1">
      <c r="A230" s="183">
        <v>46247</v>
      </c>
      <c r="B230" s="184" t="str">
        <f t="shared" ca="1" si="12"/>
        <v>Active</v>
      </c>
      <c r="C230" s="184" t="s">
        <v>124</v>
      </c>
      <c r="D230" s="184" t="s">
        <v>1885</v>
      </c>
      <c r="E230" s="185"/>
      <c r="F230" s="184"/>
      <c r="G230" s="184"/>
      <c r="H230" s="184"/>
      <c r="I230" s="184" t="s">
        <v>3669</v>
      </c>
      <c r="J230" s="184"/>
      <c r="K230" s="184" t="str">
        <f>IFERROR(IF(INDEX(Vöruskrá!$C:$C,MATCH($C230,Vöruskrá!$B:$B,0))=0,"",INDEX(Vöruskrá!$C:$C,MATCH($C230,Vöruskrá!$B:$B,0))),"")</f>
        <v>Ali</v>
      </c>
      <c r="L230" s="184"/>
      <c r="M230" s="184"/>
      <c r="N230" s="184"/>
      <c r="O230" s="184" t="str">
        <f>IFERROR(IF(INDEX(Vöruskrá!$I:$I,MATCH($C230,Vöruskrá!$B:$B,0))=0,"",INDEX(Vöruskrá!$I:$I,MATCH($C230,Vöruskrá!$B:$B,0))),"")</f>
        <v>https://docs.google.com/document/d/1tYCZIN-9wdHVdNDDkGYzBt6KHJktVy-txKVoBoCKeKQ/edit?usp=sharing</v>
      </c>
      <c r="P230" s="184"/>
    </row>
    <row r="231" spans="1:16" ht="18" customHeight="1">
      <c r="A231" s="192">
        <v>46248</v>
      </c>
      <c r="B231" s="193"/>
      <c r="C231" s="193" t="s">
        <v>4210</v>
      </c>
      <c r="D231" s="193"/>
      <c r="E231" s="194"/>
      <c r="F231" s="193"/>
      <c r="G231" s="193"/>
      <c r="H231" s="193"/>
      <c r="I231" s="193"/>
      <c r="J231" s="193"/>
      <c r="K231" s="193"/>
      <c r="L231" s="193"/>
      <c r="M231" s="193"/>
      <c r="N231" s="193"/>
      <c r="O231" s="193"/>
      <c r="P231" s="193"/>
    </row>
    <row r="232" spans="1:16" ht="18" customHeight="1">
      <c r="A232" s="183">
        <v>46248</v>
      </c>
      <c r="B232" s="184" t="str">
        <f t="shared" ref="B232:B238" ca="1" si="13">IF($A232&lt;TODAY(),"Expired","Active")</f>
        <v>Active</v>
      </c>
      <c r="C232" s="184" t="s">
        <v>1077</v>
      </c>
      <c r="D232" s="184" t="s">
        <v>1852</v>
      </c>
      <c r="E232" s="185"/>
      <c r="F232" s="184"/>
      <c r="G232" s="184"/>
      <c r="H232" s="184"/>
      <c r="I232" s="184" t="s">
        <v>3669</v>
      </c>
      <c r="J232" s="184"/>
      <c r="K232" s="184" t="str">
        <f>IFERROR(IF(INDEX(Vöruskrá!$C:$C,MATCH($C232,Vöruskrá!$B:$B,0))=0,"",INDEX(Vöruskrá!$C:$C,MATCH($C232,Vöruskrá!$B:$B,0))),"")</f>
        <v>Matarstund</v>
      </c>
      <c r="L232" s="184"/>
      <c r="M232" s="184"/>
      <c r="N232" s="184"/>
      <c r="O232" s="184" t="str">
        <f>IFERROR(IF(INDEX(Vöruskrá!$I:$I,MATCH($C232,Vöruskrá!$B:$B,0))=0,"",INDEX(Vöruskrá!$I:$I,MATCH($C232,Vöruskrá!$B:$B,0))),"")</f>
        <v/>
      </c>
      <c r="P232" s="184"/>
    </row>
    <row r="233" spans="1:16" ht="18" customHeight="1">
      <c r="A233" s="183">
        <v>46248</v>
      </c>
      <c r="B233" s="184" t="str">
        <f t="shared" ca="1" si="13"/>
        <v>Active</v>
      </c>
      <c r="C233" s="184" t="s">
        <v>1079</v>
      </c>
      <c r="D233" s="184" t="s">
        <v>1852</v>
      </c>
      <c r="E233" s="185"/>
      <c r="F233" s="184"/>
      <c r="G233" s="184"/>
      <c r="H233" s="184"/>
      <c r="I233" s="184" t="s">
        <v>3669</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https://vefverslun.ojk-isam.is/api/BlobForward/inline/ojkisam/782687bd-f424-4094-828f-3fdf68bef8e0.pdf</v>
      </c>
      <c r="P233" s="184"/>
    </row>
    <row r="234" spans="1:16" ht="18" customHeight="1">
      <c r="A234" s="183">
        <v>46248</v>
      </c>
      <c r="B234" s="184" t="str">
        <f t="shared" ca="1" si="13"/>
        <v>Active</v>
      </c>
      <c r="C234" s="184" t="s">
        <v>1145</v>
      </c>
      <c r="D234" s="184" t="s">
        <v>1867</v>
      </c>
      <c r="E234" s="185"/>
      <c r="F234" s="184"/>
      <c r="G234" s="184"/>
      <c r="H234" s="184"/>
      <c r="I234" s="184" t="s">
        <v>3669</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https://docs.google.com/document/d/100WfxZw0bEC9MwpaNMKrGQdL6s8zd4MZ/edit?usp=sharing&amp;ouid=115242652208709673085&amp;rtpof=true&amp;sd=true</v>
      </c>
      <c r="P234" s="184"/>
    </row>
    <row r="235" spans="1:16" ht="18" customHeight="1">
      <c r="A235" s="183">
        <v>46248</v>
      </c>
      <c r="B235" s="184" t="str">
        <f t="shared" ca="1" si="13"/>
        <v>Active</v>
      </c>
      <c r="C235" s="184" t="s">
        <v>1079</v>
      </c>
      <c r="D235" s="184" t="s">
        <v>1867</v>
      </c>
      <c r="E235" s="185"/>
      <c r="F235" s="184"/>
      <c r="G235" s="184"/>
      <c r="H235" s="184"/>
      <c r="I235" s="184" t="s">
        <v>3669</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https://vefverslun.ojk-isam.is/api/BlobForward/inline/ojkisam/782687bd-f424-4094-828f-3fdf68bef8e0.pdf</v>
      </c>
      <c r="P235" s="184"/>
    </row>
    <row r="236" spans="1:16" ht="18" customHeight="1">
      <c r="A236" s="183">
        <v>46248</v>
      </c>
      <c r="B236" s="184" t="str">
        <f t="shared" ca="1" si="13"/>
        <v>Active</v>
      </c>
      <c r="C236" s="184" t="s">
        <v>1386</v>
      </c>
      <c r="D236" s="184" t="s">
        <v>946</v>
      </c>
      <c r="E236" s="185"/>
      <c r="F236" s="184"/>
      <c r="G236" s="184"/>
      <c r="H236" s="184"/>
      <c r="I236" s="184" t="s">
        <v>3669</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
      </c>
      <c r="P236" s="184"/>
    </row>
    <row r="237" spans="1:16" ht="18" customHeight="1">
      <c r="A237" s="183">
        <v>46248</v>
      </c>
      <c r="B237" s="184" t="str">
        <f t="shared" ca="1" si="13"/>
        <v>Active</v>
      </c>
      <c r="C237" s="184" t="s">
        <v>34</v>
      </c>
      <c r="D237" s="184" t="s">
        <v>1885</v>
      </c>
      <c r="E237" s="185"/>
      <c r="F237" s="184"/>
      <c r="G237" s="184"/>
      <c r="H237" s="184"/>
      <c r="I237" s="184" t="s">
        <v>3669</v>
      </c>
      <c r="J237" s="184"/>
      <c r="K237" s="184" t="str">
        <f>IFERROR(IF(INDEX(Vöruskrá!$C:$C,MATCH($C237,Vöruskrá!$B:$B,0))=0,"",INDEX(Vöruskrá!$C:$C,MATCH($C237,Vöruskrá!$B:$B,0))),"")</f>
        <v>Gæðabakstur / Ömmubakstur ehf.</v>
      </c>
      <c r="L237" s="184"/>
      <c r="M237" s="184"/>
      <c r="N237" s="184"/>
      <c r="O237" s="184" t="str">
        <f>IFERROR(IF(INDEX(Vöruskrá!$I:$I,MATCH($C237,Vöruskrá!$B:$B,0))=0,"",INDEX(Vöruskrá!$I:$I,MATCH($C237,Vöruskrá!$B:$B,0))),"")</f>
        <v>https://drive.google.com/file/d/1p07uLGGtQjJr-CEfMOPWvz0nx16AzC1e/view?usp=sharing</v>
      </c>
      <c r="P237" s="184"/>
    </row>
    <row r="238" spans="1:16" ht="18" customHeight="1">
      <c r="A238" s="183">
        <v>46248</v>
      </c>
      <c r="B238" s="184" t="str">
        <f t="shared" ca="1" si="13"/>
        <v>Active</v>
      </c>
      <c r="C238" s="184" t="s">
        <v>157</v>
      </c>
      <c r="D238" s="184" t="s">
        <v>1885</v>
      </c>
      <c r="E238" s="185"/>
      <c r="F238" s="184"/>
      <c r="G238" s="184"/>
      <c r="H238" s="184"/>
      <c r="I238" s="184" t="s">
        <v>3669</v>
      </c>
      <c r="J238" s="184"/>
      <c r="K238" s="184" t="str">
        <f>IFERROR(IF(INDEX(Vöruskrá!$C:$C,MATCH($C238,Vöruskrá!$B:$B,0))=0,"",INDEX(Vöruskrá!$C:$C,MATCH($C238,Vöruskrá!$B:$B,0))),"")</f>
        <v>Kjarnafæði Norðlenska hf.</v>
      </c>
      <c r="L238" s="184"/>
      <c r="M238" s="184"/>
      <c r="N238" s="184"/>
      <c r="O238" s="184" t="str">
        <f>IFERROR(IF(INDEX(Vöruskrá!$I:$I,MATCH($C238,Vöruskrá!$B:$B,0))=0,"",INDEX(Vöruskrá!$I:$I,MATCH($C238,Vöruskrá!$B:$B,0))),"")</f>
        <v>https://docs.google.com/document/d/1LXzsuB69-IC_oRxF1lHfWTuKdnHk4OhCG33dUGHUGSs/edit?usp=sharing</v>
      </c>
      <c r="P238" s="184"/>
    </row>
    <row r="239" spans="1:16" ht="18" customHeight="1">
      <c r="A239" s="192">
        <v>46251</v>
      </c>
      <c r="B239" s="193"/>
      <c r="C239" s="193" t="s">
        <v>4210</v>
      </c>
      <c r="D239" s="193"/>
      <c r="E239" s="194"/>
      <c r="F239" s="193"/>
      <c r="G239" s="193"/>
      <c r="H239" s="193"/>
      <c r="I239" s="193"/>
      <c r="J239" s="193"/>
      <c r="K239" s="193"/>
      <c r="L239" s="193"/>
      <c r="M239" s="193"/>
      <c r="N239" s="193"/>
      <c r="O239" s="193"/>
      <c r="P239" s="193"/>
    </row>
    <row r="240" spans="1:16" ht="18" customHeight="1">
      <c r="A240" s="195">
        <v>46251</v>
      </c>
      <c r="B240" s="196" t="str">
        <f t="shared" ref="B240:B267" ca="1" si="14">IF($A240&lt;TODAY(),"Expired","Active")</f>
        <v>Active</v>
      </c>
      <c r="C240" s="198" t="s">
        <v>1524</v>
      </c>
      <c r="D240" s="196" t="s">
        <v>1852</v>
      </c>
      <c r="E240" s="197"/>
      <c r="F240" s="196"/>
      <c r="G240" s="196"/>
      <c r="H240" s="196"/>
      <c r="I240" s="196"/>
      <c r="J240" s="196"/>
      <c r="K240" s="196"/>
      <c r="L240" s="196"/>
      <c r="M240" s="196"/>
      <c r="N240" s="196"/>
      <c r="O240" s="196"/>
      <c r="P240" s="196"/>
    </row>
    <row r="241" spans="1:16" ht="18" customHeight="1">
      <c r="A241" s="183">
        <v>46251</v>
      </c>
      <c r="B241" s="184" t="str">
        <f t="shared" ca="1" si="14"/>
        <v>Active</v>
      </c>
      <c r="C241" s="184" t="s">
        <v>152</v>
      </c>
      <c r="D241" s="184" t="s">
        <v>1852</v>
      </c>
      <c r="E241" s="185">
        <f>Hráefnaskrá!$D$153/1000</f>
        <v>53.3</v>
      </c>
      <c r="F241" s="184"/>
      <c r="G241" s="184"/>
      <c r="H241" s="184"/>
      <c r="I241" s="184" t="s">
        <v>3669</v>
      </c>
      <c r="J241" s="184"/>
      <c r="K241" s="184" t="str">
        <f>IFERROR(IF(INDEX(Vöruskrá!$C:$C,MATCH($C241,Vöruskrá!$B:$B,0))=0,"",INDEX(Vöruskrá!$C:$C,MATCH($C241,Vöruskrá!$B:$B,0))),"")</f>
        <v>Danpo</v>
      </c>
      <c r="L241" s="184"/>
      <c r="M241" s="184"/>
      <c r="N241" s="184"/>
      <c r="O241" s="184" t="str">
        <f>IFERROR(IF(INDEX(Vöruskrá!$I:$I,MATCH($C241,Vöruskrá!$B:$B,0))=0,"",INDEX(Vöruskrá!$I:$I,MATCH($C241,Vöruskrá!$B:$B,0))),"")</f>
        <v>https://drive.google.com/file/d/1GO4O3alIJnHNWfA6fdAD_SVmAdbBm5wZ/view?usp=sharing</v>
      </c>
      <c r="P241" s="184"/>
    </row>
    <row r="242" spans="1:16" ht="18" customHeight="1">
      <c r="A242" s="183">
        <v>46251</v>
      </c>
      <c r="B242" s="184" t="str">
        <f t="shared" ca="1" si="14"/>
        <v>Active</v>
      </c>
      <c r="C242" s="184" t="s">
        <v>381</v>
      </c>
      <c r="D242" s="184" t="s">
        <v>1852</v>
      </c>
      <c r="E242" s="185">
        <f>Hráefnaskrá!$D$154/1000</f>
        <v>20</v>
      </c>
      <c r="F242" s="184"/>
      <c r="G242" s="184"/>
      <c r="H242" s="184"/>
      <c r="I242" s="184" t="s">
        <v>3669</v>
      </c>
      <c r="J242" s="184"/>
      <c r="K242" s="184" t="str">
        <f>IFERROR(IF(INDEX(Vöruskrá!$C:$C,MATCH($C242,Vöruskrá!$B:$B,0))=0,"",INDEX(Vöruskrá!$C:$C,MATCH($C242,Vöruskrá!$B:$B,0))),"")</f>
        <v>GoldenTurtleForChefs (ZLI)/ Garri</v>
      </c>
      <c r="L242" s="184"/>
      <c r="M242" s="184"/>
      <c r="N242" s="184"/>
      <c r="O242" s="184" t="str">
        <f>IFERROR(IF(INDEX(Vöruskrá!$I:$I,MATCH($C242,Vöruskrá!$B:$B,0))=0,"",INDEX(Vöruskrá!$I:$I,MATCH($C242,Vöruskrá!$B:$B,0))),"")</f>
        <v>https://drive.google.com/file/d/1psBkJzLFrs5mN4fj1wYpcBp884WsVURp/view?usp=sharing</v>
      </c>
      <c r="P242" s="184"/>
    </row>
    <row r="243" spans="1:16" ht="18" customHeight="1">
      <c r="A243" s="183">
        <v>46251</v>
      </c>
      <c r="B243" s="184" t="str">
        <f t="shared" ca="1" si="14"/>
        <v>Active</v>
      </c>
      <c r="C243" s="184" t="s">
        <v>296</v>
      </c>
      <c r="D243" s="184" t="s">
        <v>1852</v>
      </c>
      <c r="E243" s="185">
        <f>Hráefnaskrá!$D$155/1000</f>
        <v>8</v>
      </c>
      <c r="F243" s="184"/>
      <c r="G243" s="184"/>
      <c r="H243" s="184"/>
      <c r="I243" s="184" t="s">
        <v>3669</v>
      </c>
      <c r="J243" s="184"/>
      <c r="K243" s="184" t="str">
        <f>IFERROR(IF(INDEX(Vöruskrá!$C:$C,MATCH($C243,Vöruskrá!$B:$B,0))=0,"",INDEX(Vöruskrá!$C:$C,MATCH($C243,Vöruskrá!$B:$B,0))),"")</f>
        <v>Roland Foods LLC</v>
      </c>
      <c r="L243" s="184"/>
      <c r="M243" s="184"/>
      <c r="N243" s="184"/>
      <c r="O243" s="184" t="str">
        <f>IFERROR(IF(INDEX(Vöruskrá!$I:$I,MATCH($C243,Vöruskrá!$B:$B,0))=0,"",INDEX(Vöruskrá!$I:$I,MATCH($C243,Vöruskrá!$B:$B,0))),"")</f>
        <v>https://drive.google.com/file/d/1FvEYUVnd2_BK17DbZjzv5N3_8u3AZbzA/view?usp=sharing</v>
      </c>
      <c r="P243" s="184"/>
    </row>
    <row r="244" spans="1:16" ht="18" customHeight="1">
      <c r="A244" s="183">
        <v>46251</v>
      </c>
      <c r="B244" s="184" t="str">
        <f t="shared" ca="1" si="14"/>
        <v>Active</v>
      </c>
      <c r="C244" s="184" t="s">
        <v>745</v>
      </c>
      <c r="D244" s="184" t="s">
        <v>1852</v>
      </c>
      <c r="E244" s="185">
        <f>Hráefnaskrá!$D$156/1000</f>
        <v>6.7</v>
      </c>
      <c r="F244" s="184"/>
      <c r="G244" s="184"/>
      <c r="H244" s="184"/>
      <c r="I244" s="184" t="s">
        <v>3669</v>
      </c>
      <c r="J244" s="184"/>
      <c r="K244" s="184" t="str">
        <f>IFERROR(IF(INDEX(Vöruskrá!$C:$C,MATCH($C244,Vöruskrá!$B:$B,0))=0,"",INDEX(Vöruskrá!$C:$C,MATCH($C244,Vöruskrá!$B:$B,0))),"")</f>
        <v xml:space="preserve">MS </v>
      </c>
      <c r="L244" s="184"/>
      <c r="M244" s="184"/>
      <c r="N244" s="184"/>
      <c r="O244" s="184" t="str">
        <f>IFERROR(IF(INDEX(Vöruskrá!$I:$I,MATCH($C244,Vöruskrá!$B:$B,0))=0,"",INDEX(Vöruskrá!$I:$I,MATCH($C244,Vöruskrá!$B:$B,0))),"")</f>
        <v>https://docs.google.com/document/d/1PORP2DXRh1UFPEMs2ncJESTcCZqrwkT0epap_arVUog/edit?usp=sharing</v>
      </c>
      <c r="P244" s="184"/>
    </row>
    <row r="245" spans="1:16" ht="18" customHeight="1">
      <c r="A245" s="183">
        <v>46251</v>
      </c>
      <c r="B245" s="184" t="str">
        <f t="shared" ca="1" si="14"/>
        <v>Active</v>
      </c>
      <c r="C245" s="184" t="s">
        <v>439</v>
      </c>
      <c r="D245" s="184" t="s">
        <v>1852</v>
      </c>
      <c r="E245" s="185">
        <f>Hráefnaskrá!$D$157/1000</f>
        <v>2</v>
      </c>
      <c r="F245" s="184"/>
      <c r="G245" s="184"/>
      <c r="H245" s="184"/>
      <c r="I245" s="184" t="s">
        <v>3669</v>
      </c>
      <c r="J245" s="184"/>
      <c r="K245" s="184" t="str">
        <f>IFERROR(IF(INDEX(Vöruskrá!$C:$C,MATCH($C245,Vöruskrá!$B:$B,0))=0,"",INDEX(Vöruskrá!$C:$C,MATCH($C245,Vöruskrá!$B:$B,0))),"")</f>
        <v>Menu SRL</v>
      </c>
      <c r="L245" s="184"/>
      <c r="M245" s="184"/>
      <c r="N245" s="184"/>
      <c r="O245" s="184" t="str">
        <f>IFERROR(IF(INDEX(Vöruskrá!$I:$I,MATCH($C245,Vöruskrá!$B:$B,0))=0,"",INDEX(Vöruskrá!$I:$I,MATCH($C245,Vöruskrá!$B:$B,0))),"")</f>
        <v>https://drive.google.com/file/d/1d9nwUjnSzxKmopD1MmL_m-j_PclKxewh/view?usp=sharing</v>
      </c>
      <c r="P245" s="184"/>
    </row>
    <row r="246" spans="1:16" ht="18" customHeight="1">
      <c r="A246" s="183">
        <v>46251</v>
      </c>
      <c r="B246" s="184" t="str">
        <f t="shared" ca="1" si="14"/>
        <v>Active</v>
      </c>
      <c r="C246" s="184" t="s">
        <v>280</v>
      </c>
      <c r="D246" s="184" t="s">
        <v>1852</v>
      </c>
      <c r="E246" s="185">
        <f>Hráefnaskrá!$D$158/1000</f>
        <v>0.4</v>
      </c>
      <c r="F246" s="184"/>
      <c r="G246" s="184"/>
      <c r="H246" s="184"/>
      <c r="I246" s="184" t="s">
        <v>3669</v>
      </c>
      <c r="J246" s="184"/>
      <c r="K246" s="184" t="str">
        <f>IFERROR(IF(INDEX(Vöruskrá!$C:$C,MATCH($C246,Vöruskrá!$B:$B,0))=0,"",INDEX(Vöruskrá!$C:$C,MATCH($C246,Vöruskrá!$B:$B,0))),"")</f>
        <v>Nordic Spice AB/Garri</v>
      </c>
      <c r="L246" s="184"/>
      <c r="M246" s="184"/>
      <c r="N246" s="184"/>
      <c r="O246" s="184" t="str">
        <f>IFERROR(IF(INDEX(Vöruskrá!$I:$I,MATCH($C246,Vöruskrá!$B:$B,0))=0,"",INDEX(Vöruskrá!$I:$I,MATCH($C246,Vöruskrá!$B:$B,0))),"")</f>
        <v>https://drive.google.com/file/d/1MSRdefMEGeUCyN8gS7xeRyI53AOLv84-/view?usp=sharing</v>
      </c>
      <c r="P246" s="184"/>
    </row>
    <row r="247" spans="1:16" ht="18" customHeight="1">
      <c r="A247" s="183">
        <v>46251</v>
      </c>
      <c r="B247" s="184" t="str">
        <f t="shared" ca="1" si="14"/>
        <v>Active</v>
      </c>
      <c r="C247" s="184" t="s">
        <v>266</v>
      </c>
      <c r="D247" s="184" t="s">
        <v>1852</v>
      </c>
      <c r="E247" s="185">
        <f>Hráefnaskrá!$D$159/1000</f>
        <v>0.4</v>
      </c>
      <c r="F247" s="184"/>
      <c r="G247" s="184"/>
      <c r="H247" s="184"/>
      <c r="I247" s="184" t="s">
        <v>3669</v>
      </c>
      <c r="J247" s="184"/>
      <c r="K247" s="184" t="str">
        <f>IFERROR(IF(INDEX(Vöruskrá!$C:$C,MATCH($C247,Vöruskrá!$B:$B,0))=0,"",INDEX(Vöruskrá!$C:$C,MATCH($C247,Vöruskrá!$B:$B,0))),"")</f>
        <v>Katla matvælaiðja ehf.</v>
      </c>
      <c r="L247" s="184"/>
      <c r="M247" s="184"/>
      <c r="N247" s="184"/>
      <c r="O247" s="184" t="str">
        <f>IFERROR(IF(INDEX(Vöruskrá!$I:$I,MATCH($C247,Vöruskrá!$B:$B,0))=0,"",INDEX(Vöruskrá!$I:$I,MATCH($C247,Vöruskrá!$B:$B,0))),"")</f>
        <v>https://drive.google.com/file/d/18_svh90eLQ1eSbJF3qr3eWDjhyhpL95Y/view?usp=sharing</v>
      </c>
      <c r="P247" s="184"/>
    </row>
    <row r="248" spans="1:16" ht="18" customHeight="1">
      <c r="A248" s="183">
        <v>46251</v>
      </c>
      <c r="B248" s="184" t="str">
        <f t="shared" ca="1" si="14"/>
        <v>Active</v>
      </c>
      <c r="C248" s="184" t="s">
        <v>878</v>
      </c>
      <c r="D248" s="184" t="s">
        <v>1852</v>
      </c>
      <c r="E248" s="185">
        <f>Hráefnaskrá!$D$160/1000</f>
        <v>9.1999999999999993</v>
      </c>
      <c r="F248" s="184"/>
      <c r="G248" s="184"/>
      <c r="H248" s="184"/>
      <c r="I248" s="184" t="s">
        <v>3669</v>
      </c>
      <c r="J248" s="184"/>
      <c r="K248" s="184" t="str">
        <f>IFERROR(IF(INDEX(Vöruskrá!$C:$C,MATCH($C248,Vöruskrá!$B:$B,0))=0,"",INDEX(Vöruskrá!$C:$C,MATCH($C248,Vöruskrá!$B:$B,0))),"")</f>
        <v/>
      </c>
      <c r="L248" s="184"/>
      <c r="M248" s="184"/>
      <c r="N248" s="184"/>
      <c r="O248" s="184" t="str">
        <f>IFERROR(IF(INDEX(Vöruskrá!$I:$I,MATCH($C248,Vöruskrá!$B:$B,0))=0,"",INDEX(Vöruskrá!$I:$I,MATCH($C248,Vöruskrá!$B:$B,0))),"")</f>
        <v/>
      </c>
      <c r="P248" s="184"/>
    </row>
    <row r="249" spans="1:16" ht="18" customHeight="1">
      <c r="A249" s="195">
        <v>46251</v>
      </c>
      <c r="B249" s="196" t="str">
        <f t="shared" ca="1" si="14"/>
        <v>Active</v>
      </c>
      <c r="C249" s="198" t="s">
        <v>854</v>
      </c>
      <c r="D249" s="196" t="s">
        <v>1852</v>
      </c>
      <c r="E249" s="197"/>
      <c r="F249" s="196"/>
      <c r="G249" s="196"/>
      <c r="H249" s="196"/>
      <c r="I249" s="196"/>
      <c r="J249" s="196"/>
      <c r="K249" s="196"/>
      <c r="L249" s="196"/>
      <c r="M249" s="196"/>
      <c r="N249" s="196"/>
      <c r="O249" s="196"/>
      <c r="P249" s="196"/>
    </row>
    <row r="250" spans="1:16" ht="18" customHeight="1">
      <c r="A250" s="183">
        <v>46251</v>
      </c>
      <c r="B250" s="184" t="str">
        <f t="shared" ca="1" si="14"/>
        <v>Active</v>
      </c>
      <c r="C250" s="184" t="s">
        <v>152</v>
      </c>
      <c r="D250" s="184" t="s">
        <v>1852</v>
      </c>
      <c r="E250" s="185">
        <f>Hráefnaskrá!$D$45/1000</f>
        <v>70</v>
      </c>
      <c r="F250" s="184"/>
      <c r="G250" s="184"/>
      <c r="H250" s="184"/>
      <c r="I250" s="184" t="s">
        <v>3669</v>
      </c>
      <c r="J250" s="184"/>
      <c r="K250" s="184" t="str">
        <f>IFERROR(IF(INDEX(Vöruskrá!$C:$C,MATCH($C250,Vöruskrá!$B:$B,0))=0,"",INDEX(Vöruskrá!$C:$C,MATCH($C250,Vöruskrá!$B:$B,0))),"")</f>
        <v>Danpo</v>
      </c>
      <c r="L250" s="184"/>
      <c r="M250" s="184"/>
      <c r="N250" s="184"/>
      <c r="O250" s="184" t="str">
        <f>IFERROR(IF(INDEX(Vöruskrá!$I:$I,MATCH($C250,Vöruskrá!$B:$B,0))=0,"",INDEX(Vöruskrá!$I:$I,MATCH($C250,Vöruskrá!$B:$B,0))),"")</f>
        <v>https://drive.google.com/file/d/1GO4O3alIJnHNWfA6fdAD_SVmAdbBm5wZ/view?usp=sharing</v>
      </c>
      <c r="P250" s="184"/>
    </row>
    <row r="251" spans="1:16" ht="18" customHeight="1">
      <c r="A251" s="183">
        <v>46251</v>
      </c>
      <c r="B251" s="184" t="str">
        <f t="shared" ca="1" si="14"/>
        <v>Active</v>
      </c>
      <c r="C251" s="184" t="s">
        <v>381</v>
      </c>
      <c r="D251" s="184" t="s">
        <v>1852</v>
      </c>
      <c r="E251" s="185">
        <f>Hráefnaskrá!$D$46/1000</f>
        <v>18</v>
      </c>
      <c r="F251" s="184"/>
      <c r="G251" s="184"/>
      <c r="H251" s="184"/>
      <c r="I251" s="184" t="s">
        <v>3669</v>
      </c>
      <c r="J251" s="184"/>
      <c r="K251" s="184" t="str">
        <f>IFERROR(IF(INDEX(Vöruskrá!$C:$C,MATCH($C251,Vöruskrá!$B:$B,0))=0,"",INDEX(Vöruskrá!$C:$C,MATCH($C251,Vöruskrá!$B:$B,0))),"")</f>
        <v>GoldenTurtleForChefs (ZLI)/ Garri</v>
      </c>
      <c r="L251" s="184"/>
      <c r="M251" s="184"/>
      <c r="N251" s="184"/>
      <c r="O251" s="184" t="str">
        <f>IFERROR(IF(INDEX(Vöruskrá!$I:$I,MATCH($C251,Vöruskrá!$B:$B,0))=0,"",INDEX(Vöruskrá!$I:$I,MATCH($C251,Vöruskrá!$B:$B,0))),"")</f>
        <v>https://drive.google.com/file/d/1psBkJzLFrs5mN4fj1wYpcBp884WsVURp/view?usp=sharing</v>
      </c>
      <c r="P251" s="184"/>
    </row>
    <row r="252" spans="1:16" ht="18" customHeight="1">
      <c r="A252" s="183">
        <v>46251</v>
      </c>
      <c r="B252" s="184" t="str">
        <f t="shared" ca="1" si="14"/>
        <v>Active</v>
      </c>
      <c r="C252" s="184" t="s">
        <v>296</v>
      </c>
      <c r="D252" s="184" t="s">
        <v>1852</v>
      </c>
      <c r="E252" s="185">
        <f>Hráefnaskrá!$D$47/1000</f>
        <v>6</v>
      </c>
      <c r="F252" s="184"/>
      <c r="G252" s="184"/>
      <c r="H252" s="184"/>
      <c r="I252" s="184" t="s">
        <v>3669</v>
      </c>
      <c r="J252" s="184"/>
      <c r="K252" s="184" t="str">
        <f>IFERROR(IF(INDEX(Vöruskrá!$C:$C,MATCH($C252,Vöruskrá!$B:$B,0))=0,"",INDEX(Vöruskrá!$C:$C,MATCH($C252,Vöruskrá!$B:$B,0))),"")</f>
        <v>Roland Foods LLC</v>
      </c>
      <c r="L252" s="184"/>
      <c r="M252" s="184"/>
      <c r="N252" s="184"/>
      <c r="O252" s="184" t="str">
        <f>IFERROR(IF(INDEX(Vöruskrá!$I:$I,MATCH($C252,Vöruskrá!$B:$B,0))=0,"",INDEX(Vöruskrá!$I:$I,MATCH($C252,Vöruskrá!$B:$B,0))),"")</f>
        <v>https://drive.google.com/file/d/1FvEYUVnd2_BK17DbZjzv5N3_8u3AZbzA/view?usp=sharing</v>
      </c>
      <c r="P252" s="184"/>
    </row>
    <row r="253" spans="1:16" ht="18" customHeight="1">
      <c r="A253" s="183">
        <v>46251</v>
      </c>
      <c r="B253" s="184" t="str">
        <f t="shared" ca="1" si="14"/>
        <v>Active</v>
      </c>
      <c r="C253" s="184" t="s">
        <v>222</v>
      </c>
      <c r="D253" s="184" t="s">
        <v>1852</v>
      </c>
      <c r="E253" s="185">
        <f>Hráefnaskrá!$D$48/1000</f>
        <v>2</v>
      </c>
      <c r="F253" s="184"/>
      <c r="G253" s="184"/>
      <c r="H253" s="184"/>
      <c r="I253" s="184" t="s">
        <v>3669</v>
      </c>
      <c r="J253" s="184"/>
      <c r="K253" s="184" t="str">
        <f>IFERROR(IF(INDEX(Vöruskrá!$C:$C,MATCH($C253,Vöruskrá!$B:$B,0))=0,"",INDEX(Vöruskrá!$C:$C,MATCH($C253,Vöruskrá!$B:$B,0))),"")</f>
        <v>Ardo/Garri</v>
      </c>
      <c r="L253" s="184"/>
      <c r="M253" s="184"/>
      <c r="N253" s="184"/>
      <c r="O253" s="184" t="str">
        <f>IFERROR(IF(INDEX(Vöruskrá!$I:$I,MATCH($C253,Vöruskrá!$B:$B,0))=0,"",INDEX(Vöruskrá!$I:$I,MATCH($C253,Vöruskrá!$B:$B,0))),"")</f>
        <v>https://drive.google.com/file/d/1GJCXmg1Vj2I1EBYaQMCFT7B1s7hEMNUD/view?usp=sharing</v>
      </c>
      <c r="P253" s="184"/>
    </row>
    <row r="254" spans="1:16" ht="18" customHeight="1">
      <c r="A254" s="183">
        <v>46251</v>
      </c>
      <c r="B254" s="184" t="str">
        <f t="shared" ca="1" si="14"/>
        <v>Active</v>
      </c>
      <c r="C254" s="184" t="s">
        <v>439</v>
      </c>
      <c r="D254" s="184" t="s">
        <v>1852</v>
      </c>
      <c r="E254" s="185">
        <f>Hráefnaskrá!$D$49/1000</f>
        <v>1.5</v>
      </c>
      <c r="F254" s="184"/>
      <c r="G254" s="184"/>
      <c r="H254" s="184"/>
      <c r="I254" s="184" t="s">
        <v>3669</v>
      </c>
      <c r="J254" s="184"/>
      <c r="K254" s="184" t="str">
        <f>IFERROR(IF(INDEX(Vöruskrá!$C:$C,MATCH($C254,Vöruskrá!$B:$B,0))=0,"",INDEX(Vöruskrá!$C:$C,MATCH($C254,Vöruskrá!$B:$B,0))),"")</f>
        <v>Menu SRL</v>
      </c>
      <c r="L254" s="184"/>
      <c r="M254" s="184"/>
      <c r="N254" s="184"/>
      <c r="O254" s="184" t="str">
        <f>IFERROR(IF(INDEX(Vöruskrá!$I:$I,MATCH($C254,Vöruskrá!$B:$B,0))=0,"",INDEX(Vöruskrá!$I:$I,MATCH($C254,Vöruskrá!$B:$B,0))),"")</f>
        <v>https://drive.google.com/file/d/1d9nwUjnSzxKmopD1MmL_m-j_PclKxewh/view?usp=sharing</v>
      </c>
      <c r="P254" s="184"/>
    </row>
    <row r="255" spans="1:16" ht="18" customHeight="1">
      <c r="A255" s="183">
        <v>46251</v>
      </c>
      <c r="B255" s="184" t="str">
        <f t="shared" ca="1" si="14"/>
        <v>Active</v>
      </c>
      <c r="C255" s="184" t="s">
        <v>1091</v>
      </c>
      <c r="D255" s="184" t="s">
        <v>1852</v>
      </c>
      <c r="E255" s="185">
        <f>Hráefnaskrá!$D$50/1000</f>
        <v>0.9</v>
      </c>
      <c r="F255" s="184"/>
      <c r="G255" s="184"/>
      <c r="H255" s="184"/>
      <c r="I255" s="184" t="s">
        <v>3669</v>
      </c>
      <c r="J255" s="184"/>
      <c r="K255" s="184" t="str">
        <f>IFERROR(IF(INDEX(Vöruskrá!$C:$C,MATCH($C255,Vöruskrá!$B:$B,0))=0,"",INDEX(Vöruskrá!$C:$C,MATCH($C255,Vöruskrá!$B:$B,0))),"")</f>
        <v>Garri</v>
      </c>
      <c r="L255" s="184"/>
      <c r="M255" s="184"/>
      <c r="N255" s="184"/>
      <c r="O255" s="184" t="str">
        <f>IFERROR(IF(INDEX(Vöruskrá!$I:$I,MATCH($C255,Vöruskrá!$B:$B,0))=0,"",INDEX(Vöruskrá!$I:$I,MATCH($C255,Vöruskrá!$B:$B,0))),"")</f>
        <v>https://garri.overcastcdn.com/documents/41023015.pdf</v>
      </c>
      <c r="P255" s="184"/>
    </row>
    <row r="256" spans="1:16" ht="18" customHeight="1">
      <c r="A256" s="183">
        <v>46251</v>
      </c>
      <c r="B256" s="184" t="str">
        <f t="shared" ca="1" si="14"/>
        <v>Active</v>
      </c>
      <c r="C256" s="184" t="s">
        <v>502</v>
      </c>
      <c r="D256" s="184" t="s">
        <v>1852</v>
      </c>
      <c r="E256" s="185">
        <f>Hráefnaskrá!$D$51/1000</f>
        <v>0.5</v>
      </c>
      <c r="F256" s="184"/>
      <c r="G256" s="184"/>
      <c r="H256" s="184"/>
      <c r="I256" s="184" t="s">
        <v>3669</v>
      </c>
      <c r="J256" s="184"/>
      <c r="K256" s="184" t="str">
        <f>IFERROR(IF(INDEX(Vöruskrá!$C:$C,MATCH($C256,Vöruskrá!$B:$B,0))=0,"",INDEX(Vöruskrá!$C:$C,MATCH($C256,Vöruskrá!$B:$B,0))),"")</f>
        <v>APPETIT Levnedsmidler A/S / Wiik &amp; Co.</v>
      </c>
      <c r="L256" s="184"/>
      <c r="M256" s="184"/>
      <c r="N256" s="184"/>
      <c r="O256" s="184" t="str">
        <f>IFERROR(IF(INDEX(Vöruskrá!$I:$I,MATCH($C256,Vöruskrá!$B:$B,0))=0,"",INDEX(Vöruskrá!$I:$I,MATCH($C256,Vöruskrá!$B:$B,0))),"")</f>
        <v>https://drive.google.com/file/d/1LQQG6zdc-XSLzYb6RKlxdzBpQOUufTtB/view?usp=sharing</v>
      </c>
      <c r="P256" s="184"/>
    </row>
    <row r="257" spans="1:16" ht="18" customHeight="1">
      <c r="A257" s="183">
        <v>46251</v>
      </c>
      <c r="B257" s="184" t="str">
        <f t="shared" ca="1" si="14"/>
        <v>Active</v>
      </c>
      <c r="C257" s="184" t="s">
        <v>879</v>
      </c>
      <c r="D257" s="184" t="s">
        <v>1852</v>
      </c>
      <c r="E257" s="185">
        <f>Hráefnaskrá!$D$52/1000</f>
        <v>0.2</v>
      </c>
      <c r="F257" s="184"/>
      <c r="G257" s="184"/>
      <c r="H257" s="184"/>
      <c r="I257" s="184" t="s">
        <v>3669</v>
      </c>
      <c r="J257" s="184"/>
      <c r="K257" s="184" t="str">
        <f>IFERROR(IF(INDEX(Vöruskrá!$C:$C,MATCH($C257,Vöruskrá!$B:$B,0))=0,"",INDEX(Vöruskrá!$C:$C,MATCH($C257,Vöruskrá!$B:$B,0))),"")</f>
        <v>Nordic Spice AB/Garri</v>
      </c>
      <c r="L257" s="184"/>
      <c r="M257" s="184"/>
      <c r="N257" s="184"/>
      <c r="O257" s="184" t="str">
        <f>IFERROR(IF(INDEX(Vöruskrá!$I:$I,MATCH($C257,Vöruskrá!$B:$B,0))=0,"",INDEX(Vöruskrá!$I:$I,MATCH($C257,Vöruskrá!$B:$B,0))),"")</f>
        <v>https://garri.overcastcdn.com/documents/5000920C.pdf</v>
      </c>
      <c r="P257" s="184"/>
    </row>
    <row r="258" spans="1:16" ht="18" customHeight="1">
      <c r="A258" s="183">
        <v>46251</v>
      </c>
      <c r="B258" s="184" t="str">
        <f t="shared" ca="1" si="14"/>
        <v>Active</v>
      </c>
      <c r="C258" s="184" t="s">
        <v>266</v>
      </c>
      <c r="D258" s="184" t="s">
        <v>1852</v>
      </c>
      <c r="E258" s="185">
        <f>Hráefnaskrá!$D$53/1000</f>
        <v>0.2</v>
      </c>
      <c r="F258" s="184"/>
      <c r="G258" s="184"/>
      <c r="H258" s="184"/>
      <c r="I258" s="184" t="s">
        <v>3669</v>
      </c>
      <c r="J258" s="184"/>
      <c r="K258" s="184" t="str">
        <f>IFERROR(IF(INDEX(Vöruskrá!$C:$C,MATCH($C258,Vöruskrá!$B:$B,0))=0,"",INDEX(Vöruskrá!$C:$C,MATCH($C258,Vöruskrá!$B:$B,0))),"")</f>
        <v>Katla matvælaiðja ehf.</v>
      </c>
      <c r="L258" s="184"/>
      <c r="M258" s="184"/>
      <c r="N258" s="184"/>
      <c r="O258" s="184" t="str">
        <f>IFERROR(IF(INDEX(Vöruskrá!$I:$I,MATCH($C258,Vöruskrá!$B:$B,0))=0,"",INDEX(Vöruskrá!$I:$I,MATCH($C258,Vöruskrá!$B:$B,0))),"")</f>
        <v>https://drive.google.com/file/d/18_svh90eLQ1eSbJF3qr3eWDjhyhpL95Y/view?usp=sharing</v>
      </c>
      <c r="P258" s="184"/>
    </row>
    <row r="259" spans="1:16" ht="18" customHeight="1">
      <c r="A259" s="183">
        <v>46251</v>
      </c>
      <c r="B259" s="184" t="str">
        <f t="shared" ca="1" si="14"/>
        <v>Active</v>
      </c>
      <c r="C259" s="184" t="s">
        <v>416</v>
      </c>
      <c r="D259" s="184" t="s">
        <v>1852</v>
      </c>
      <c r="E259" s="185">
        <f>Hráefnaskrá!$D$54/1000</f>
        <v>0.1</v>
      </c>
      <c r="F259" s="184"/>
      <c r="G259" s="184"/>
      <c r="H259" s="184"/>
      <c r="I259" s="184" t="s">
        <v>3669</v>
      </c>
      <c r="J259" s="184"/>
      <c r="K259" s="184" t="str">
        <f>IFERROR(IF(INDEX(Vöruskrá!$C:$C,MATCH($C259,Vöruskrá!$B:$B,0))=0,"",INDEX(Vöruskrá!$C:$C,MATCH($C259,Vöruskrá!$B:$B,0))),"")</f>
        <v>Cosun Beet Company</v>
      </c>
      <c r="L259" s="184"/>
      <c r="M259" s="184"/>
      <c r="N259" s="184"/>
      <c r="O259" s="184" t="str">
        <f>IFERROR(IF(INDEX(Vöruskrá!$I:$I,MATCH($C259,Vöruskrá!$B:$B,0))=0,"",INDEX(Vöruskrá!$I:$I,MATCH($C259,Vöruskrá!$B:$B,0))),"")</f>
        <v>https://drive.google.com/file/d/1xlkj9UFMzhBrHGJoVUjpSgwu6ml60B4l/view?usp=sharing</v>
      </c>
      <c r="P259" s="184"/>
    </row>
    <row r="260" spans="1:16" ht="18" customHeight="1">
      <c r="A260" s="183">
        <v>46251</v>
      </c>
      <c r="B260" s="184" t="str">
        <f t="shared" ca="1" si="14"/>
        <v>Active</v>
      </c>
      <c r="C260" s="184" t="s">
        <v>878</v>
      </c>
      <c r="D260" s="184" t="s">
        <v>1852</v>
      </c>
      <c r="E260" s="185">
        <f>Hráefnaskrá!$D$55/1000</f>
        <v>0.6</v>
      </c>
      <c r="F260" s="184"/>
      <c r="G260" s="184"/>
      <c r="H260" s="184"/>
      <c r="I260" s="184" t="s">
        <v>3669</v>
      </c>
      <c r="J260" s="184"/>
      <c r="K260" s="184" t="str">
        <f>IFERROR(IF(INDEX(Vöruskrá!$C:$C,MATCH($C260,Vöruskrá!$B:$B,0))=0,"",INDEX(Vöruskrá!$C:$C,MATCH($C260,Vöruskrá!$B:$B,0))),"")</f>
        <v/>
      </c>
      <c r="L260" s="184"/>
      <c r="M260" s="184"/>
      <c r="N260" s="184"/>
      <c r="O260" s="184" t="str">
        <f>IFERROR(IF(INDEX(Vöruskrá!$I:$I,MATCH($C260,Vöruskrá!$B:$B,0))=0,"",INDEX(Vöruskrá!$I:$I,MATCH($C260,Vöruskrá!$B:$B,0))),"")</f>
        <v/>
      </c>
      <c r="P260" s="184"/>
    </row>
    <row r="261" spans="1:16" ht="18" customHeight="1">
      <c r="A261" s="183">
        <v>46251</v>
      </c>
      <c r="B261" s="184" t="str">
        <f t="shared" ca="1" si="14"/>
        <v>Active</v>
      </c>
      <c r="C261" s="184" t="s">
        <v>306</v>
      </c>
      <c r="D261" s="184" t="s">
        <v>1852</v>
      </c>
      <c r="E261" s="185"/>
      <c r="F261" s="184"/>
      <c r="G261" s="184"/>
      <c r="H261" s="184"/>
      <c r="I261" s="184" t="s">
        <v>3669</v>
      </c>
      <c r="J261" s="184"/>
      <c r="K261" s="184" t="str">
        <f>IFERROR(IF(INDEX(Vöruskrá!$C:$C,MATCH($C261,Vöruskrá!$B:$B,0))=0,"",INDEX(Vöruskrá!$C:$C,MATCH($C261,Vöruskrá!$B:$B,0))),"")</f>
        <v>Khao C.P. Co., Ltd.</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1239</v>
      </c>
      <c r="D262" s="184" t="s">
        <v>1867</v>
      </c>
      <c r="E262" s="185"/>
      <c r="F262" s="184"/>
      <c r="G262" s="184"/>
      <c r="H262" s="184"/>
      <c r="I262" s="184" t="s">
        <v>3669</v>
      </c>
      <c r="J262" s="184"/>
      <c r="K262" s="184" t="str">
        <f>IFERROR(IF(INDEX(Vöruskrá!$C:$C,MATCH($C262,Vöruskrá!$B:$B,0))=0,"",INDEX(Vöruskrá!$C:$C,MATCH($C262,Vöruskrá!$B:$B,0))),"")</f>
        <v>Álfasaga/Innnes</v>
      </c>
      <c r="L262" s="184"/>
      <c r="M262" s="184"/>
      <c r="N262" s="184"/>
      <c r="O262" s="184" t="str">
        <f>IFERROR(IF(INDEX(Vöruskrá!$I:$I,MATCH($C262,Vöruskrá!$B:$B,0))=0,"",INDEX(Vöruskrá!$I:$I,MATCH($C262,Vöruskrá!$B:$B,0))),"")</f>
        <v>https://innnes.is/media/x5wjixgs/261918_65134_261918.pdf</v>
      </c>
      <c r="P262" s="184"/>
    </row>
    <row r="263" spans="1:16" ht="18" customHeight="1">
      <c r="A263" s="183">
        <v>46251</v>
      </c>
      <c r="B263" s="184" t="str">
        <f t="shared" ca="1" si="14"/>
        <v>Active</v>
      </c>
      <c r="C263" s="184" t="s">
        <v>306</v>
      </c>
      <c r="D263" s="184" t="s">
        <v>1867</v>
      </c>
      <c r="E263" s="185"/>
      <c r="F263" s="184"/>
      <c r="G263" s="184"/>
      <c r="H263" s="184"/>
      <c r="I263" s="184" t="s">
        <v>3669</v>
      </c>
      <c r="J263" s="184"/>
      <c r="K263" s="184" t="str">
        <f>IFERROR(IF(INDEX(Vöruskrá!$C:$C,MATCH($C263,Vöruskrá!$B:$B,0))=0,"",INDEX(Vöruskrá!$C:$C,MATCH($C263,Vöruskrá!$B:$B,0))),"")</f>
        <v>Khao C.P. Co., Ltd.</v>
      </c>
      <c r="L263" s="184"/>
      <c r="M263" s="184"/>
      <c r="N263" s="184"/>
      <c r="O263" s="184" t="str">
        <f>IFERROR(IF(INDEX(Vöruskrá!$I:$I,MATCH($C263,Vöruskrá!$B:$B,0))=0,"",INDEX(Vöruskrá!$I:$I,MATCH($C263,Vöruskrá!$B:$B,0))),"")</f>
        <v/>
      </c>
      <c r="P263" s="184"/>
    </row>
    <row r="264" spans="1:16" ht="18" customHeight="1">
      <c r="A264" s="183">
        <v>46251</v>
      </c>
      <c r="B264" s="184" t="str">
        <f t="shared" ca="1" si="14"/>
        <v>Active</v>
      </c>
      <c r="C264" s="184" t="s">
        <v>1234</v>
      </c>
      <c r="D264" s="184" t="s">
        <v>1852</v>
      </c>
      <c r="E264" s="185"/>
      <c r="F264" s="184"/>
      <c r="G264" s="184"/>
      <c r="H264" s="184"/>
      <c r="I264" s="184" t="s">
        <v>3669</v>
      </c>
      <c r="J264" s="184"/>
      <c r="K264" s="184" t="str">
        <f>IFERROR(IF(INDEX(Vöruskrá!$C:$C,MATCH($C264,Vöruskrá!$B:$B,0))=0,"",INDEX(Vöruskrá!$C:$C,MATCH($C264,Vöruskrá!$B:$B,0))),"")</f>
        <v>Dina/Garri</v>
      </c>
      <c r="L264" s="184"/>
      <c r="M264" s="184"/>
      <c r="N264" s="184"/>
      <c r="O264" s="184" t="str">
        <f>IFERROR(IF(INDEX(Vöruskrá!$I:$I,MATCH($C264,Vöruskrá!$B:$B,0))=0,"",INDEX(Vöruskrá!$I:$I,MATCH($C264,Vöruskrá!$B:$B,0))),"")</f>
        <v>https://drive.google.com/file/d/1PxURXGFG9irNc_GS6a3BTHVN1UyGRQNx/view?usp=sharing</v>
      </c>
      <c r="P264" s="184"/>
    </row>
    <row r="265" spans="1:16" ht="18" customHeight="1">
      <c r="A265" s="183">
        <v>46251</v>
      </c>
      <c r="B265" s="184" t="str">
        <f t="shared" ca="1" si="14"/>
        <v>Active</v>
      </c>
      <c r="C265" s="184" t="s">
        <v>1234</v>
      </c>
      <c r="D265" s="184" t="s">
        <v>1867</v>
      </c>
      <c r="E265" s="185"/>
      <c r="F265" s="184"/>
      <c r="G265" s="184"/>
      <c r="H265" s="184"/>
      <c r="I265" s="184" t="s">
        <v>3669</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340</v>
      </c>
      <c r="D266" s="184" t="s">
        <v>1885</v>
      </c>
      <c r="E266" s="185"/>
      <c r="F266" s="184"/>
      <c r="G266" s="184"/>
      <c r="H266" s="184"/>
      <c r="I266" s="184" t="s">
        <v>3669</v>
      </c>
      <c r="J266" s="184"/>
      <c r="K266" s="184" t="str">
        <f>IFERROR(IF(INDEX(Vöruskrá!$C:$C,MATCH($C266,Vöruskrá!$B:$B,0))=0,"",INDEX(Vöruskrá!$C:$C,MATCH($C266,Vöruskrá!$B:$B,0))),"")</f>
        <v>Pågen AB/ÓJK</v>
      </c>
      <c r="L266" s="184"/>
      <c r="M266" s="184"/>
      <c r="N266" s="184"/>
      <c r="O266" s="184" t="str">
        <f>IFERROR(IF(INDEX(Vöruskrá!$I:$I,MATCH($C266,Vöruskrá!$B:$B,0))=0,"",INDEX(Vöruskrá!$I:$I,MATCH($C266,Vöruskrá!$B:$B,0))),"")</f>
        <v>https://drive.google.com/file/d/1wQ6Aj25cbHnFwYYRVBbBao0ceJotW3tK/view?usp=sharing</v>
      </c>
      <c r="P266" s="184"/>
    </row>
    <row r="267" spans="1:16" ht="18" customHeight="1">
      <c r="A267" s="183">
        <v>46251</v>
      </c>
      <c r="B267" s="184" t="str">
        <f t="shared" ca="1" si="14"/>
        <v>Active</v>
      </c>
      <c r="C267" s="184" t="s">
        <v>557</v>
      </c>
      <c r="D267" s="184" t="s">
        <v>1885</v>
      </c>
      <c r="E267" s="185"/>
      <c r="F267" s="184"/>
      <c r="G267" s="184"/>
      <c r="H267" s="184"/>
      <c r="I267" s="184" t="s">
        <v>3669</v>
      </c>
      <c r="J267" s="184"/>
      <c r="K267" s="184" t="str">
        <f>IFERROR(IF(INDEX(Vöruskrá!$C:$C,MATCH($C267,Vöruskrá!$B:$B,0))=0,"",INDEX(Vöruskrá!$C:$C,MATCH($C267,Vöruskrá!$B:$B,0))),"")</f>
        <v xml:space="preserve">MS </v>
      </c>
      <c r="L267" s="184"/>
      <c r="M267" s="184"/>
      <c r="N267" s="184"/>
      <c r="O267" s="184" t="str">
        <f>IFERROR(IF(INDEX(Vöruskrá!$I:$I,MATCH($C267,Vöruskrá!$B:$B,0))=0,"",INDEX(Vöruskrá!$I:$I,MATCH($C267,Vöruskrá!$B:$B,0))),"")</f>
        <v>https://docs.google.com/document/d/1xK3OgL95T8y9Uw0YX4LaF0Ve3yT2CmntRk4Wg1oHGcM/edit?usp=sharing</v>
      </c>
      <c r="P267" s="184"/>
    </row>
    <row r="268" spans="1:16" ht="18" customHeight="1">
      <c r="A268" s="192">
        <v>46252</v>
      </c>
      <c r="B268" s="193"/>
      <c r="C268" s="193" t="s">
        <v>4210</v>
      </c>
      <c r="D268" s="193"/>
      <c r="E268" s="194"/>
      <c r="F268" s="193"/>
      <c r="G268" s="193"/>
      <c r="H268" s="193"/>
      <c r="I268" s="193"/>
      <c r="J268" s="193"/>
      <c r="K268" s="193"/>
      <c r="L268" s="193"/>
      <c r="M268" s="193"/>
      <c r="N268" s="193"/>
      <c r="O268" s="193"/>
      <c r="P268" s="193"/>
    </row>
    <row r="269" spans="1:16" ht="18" customHeight="1">
      <c r="A269" s="183">
        <v>46252</v>
      </c>
      <c r="B269" s="184" t="str">
        <f t="shared" ref="B269:B291" ca="1" si="15">IF($A269&lt;TODAY(),"Expired","Active")</f>
        <v>Active</v>
      </c>
      <c r="C269" s="184" t="s">
        <v>785</v>
      </c>
      <c r="D269" s="184" t="s">
        <v>1852</v>
      </c>
      <c r="E269" s="185"/>
      <c r="F269" s="184"/>
      <c r="G269" s="184"/>
      <c r="H269" s="184"/>
      <c r="I269" s="184" t="s">
        <v>3669</v>
      </c>
      <c r="J269" s="184"/>
      <c r="K269" s="184" t="str">
        <f>IFERROR(IF(INDEX(Vöruskrá!$C:$C,MATCH($C269,Vöruskrá!$B:$B,0))=0,"",INDEX(Vöruskrá!$C:$C,MATCH($C269,Vöruskrá!$B:$B,0))),"")</f>
        <v>Matarstund</v>
      </c>
      <c r="L269" s="184"/>
      <c r="M269" s="184"/>
      <c r="N269" s="184"/>
      <c r="O269" s="184" t="str">
        <f>IFERROR(IF(INDEX(Vöruskrá!$I:$I,MATCH($C269,Vöruskrá!$B:$B,0))=0,"",INDEX(Vöruskrá!$I:$I,MATCH($C269,Vöruskrá!$B:$B,0))),"")</f>
        <v/>
      </c>
      <c r="P269" s="184"/>
    </row>
    <row r="270" spans="1:16" ht="18" customHeight="1" collapsed="1">
      <c r="A270" s="183">
        <v>46252</v>
      </c>
      <c r="B270" s="184" t="str">
        <f t="shared" ca="1" si="15"/>
        <v>Active</v>
      </c>
      <c r="C270" s="184" t="s">
        <v>1079</v>
      </c>
      <c r="D270" s="184" t="s">
        <v>1852</v>
      </c>
      <c r="E270" s="185"/>
      <c r="F270" s="184"/>
      <c r="G270" s="184"/>
      <c r="H270" s="184"/>
      <c r="I270" s="184" t="s">
        <v>3669</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https://vefverslun.ojk-isam.is/api/BlobForward/inline/ojkisam/782687bd-f424-4094-828f-3fdf68bef8e0.pdf</v>
      </c>
      <c r="P270" s="184"/>
    </row>
    <row r="271" spans="1:16" ht="18" customHeight="1">
      <c r="A271" s="183">
        <v>46252</v>
      </c>
      <c r="B271" s="184" t="str">
        <f t="shared" ca="1" si="15"/>
        <v>Active</v>
      </c>
      <c r="C271" s="184" t="s">
        <v>62</v>
      </c>
      <c r="D271" s="184" t="s">
        <v>1852</v>
      </c>
      <c r="E271" s="185"/>
      <c r="F271" s="184"/>
      <c r="G271" s="184"/>
      <c r="H271" s="184"/>
      <c r="I271" s="184" t="s">
        <v>3669</v>
      </c>
      <c r="J271" s="184"/>
      <c r="K271" s="184" t="str">
        <f>IFERROR(IF(INDEX(Vöruskrá!$C:$C,MATCH($C271,Vöruskrá!$B:$B,0))=0,"",INDEX(Vöruskrá!$C:$C,MATCH($C271,Vöruskrá!$B:$B,0))),"")</f>
        <v>Myllan</v>
      </c>
      <c r="L271" s="184"/>
      <c r="M271" s="184"/>
      <c r="N271" s="184"/>
      <c r="O271" s="184" t="str">
        <f>IFERROR(IF(INDEX(Vöruskrá!$I:$I,MATCH($C271,Vöruskrá!$B:$B,0))=0,"",INDEX(Vöruskrá!$I:$I,MATCH($C271,Vöruskrá!$B:$B,0))),"")</f>
        <v>https://drive.google.com/file/d/1ISY9dqVNVBuKMul2k8e0kwwb7vSrJhlW/view?usp=sharing</v>
      </c>
      <c r="P271" s="184"/>
    </row>
    <row r="272" spans="1:16" ht="18" customHeight="1">
      <c r="A272" s="195">
        <v>46252</v>
      </c>
      <c r="B272" s="196" t="str">
        <f t="shared" ca="1" si="15"/>
        <v>Active</v>
      </c>
      <c r="C272" s="198" t="s">
        <v>1700</v>
      </c>
      <c r="D272" s="196" t="s">
        <v>1867</v>
      </c>
      <c r="E272" s="197"/>
      <c r="F272" s="196"/>
      <c r="G272" s="196"/>
      <c r="H272" s="196"/>
      <c r="I272" s="196"/>
      <c r="J272" s="196"/>
      <c r="K272" s="196"/>
      <c r="L272" s="196"/>
      <c r="M272" s="196"/>
      <c r="N272" s="196"/>
      <c r="O272" s="196"/>
      <c r="P272" s="196"/>
    </row>
    <row r="273" spans="1:16" ht="18" customHeight="1">
      <c r="A273" s="183">
        <v>46252</v>
      </c>
      <c r="B273" s="184" t="str">
        <f t="shared" ca="1" si="15"/>
        <v>Active</v>
      </c>
      <c r="C273" s="184" t="s">
        <v>455</v>
      </c>
      <c r="D273" s="184" t="s">
        <v>1867</v>
      </c>
      <c r="E273" s="185">
        <f>Hráefnaskrá!$D$440/1000</f>
        <v>40</v>
      </c>
      <c r="F273" s="184"/>
      <c r="G273" s="184"/>
      <c r="H273" s="184"/>
      <c r="I273" s="184" t="s">
        <v>3669</v>
      </c>
      <c r="J273" s="184"/>
      <c r="K273" s="184" t="str">
        <f>IFERROR(IF(INDEX(Vöruskrá!$C:$C,MATCH($C273,Vöruskrá!$B:$B,0))=0,"",INDEX(Vöruskrá!$C:$C,MATCH($C273,Vöruskrá!$B:$B,0))),"")</f>
        <v>Nestlé Professional/ Innnes</v>
      </c>
      <c r="L273" s="184"/>
      <c r="M273" s="184"/>
      <c r="N273" s="184"/>
      <c r="O273" s="184" t="str">
        <f>IFERROR(IF(INDEX(Vöruskrá!$I:$I,MATCH($C273,Vöruskrá!$B:$B,0))=0,"",INDEX(Vöruskrá!$I:$I,MATCH($C273,Vöruskrá!$B:$B,0))),"")</f>
        <v>https://drive.google.com/file/d/1dLk5SlPKdYyJqdOZST2ULLFV06BQ8Wyr/view?usp=sharing</v>
      </c>
      <c r="P273" s="184"/>
    </row>
    <row r="274" spans="1:16" ht="18" customHeight="1">
      <c r="A274" s="183">
        <v>46252</v>
      </c>
      <c r="B274" s="184" t="str">
        <f t="shared" ca="1" si="15"/>
        <v>Active</v>
      </c>
      <c r="C274" s="184" t="s">
        <v>642</v>
      </c>
      <c r="D274" s="184" t="s">
        <v>1867</v>
      </c>
      <c r="E274" s="185">
        <f>Hráefnaskrá!$D$441/1000</f>
        <v>33.299999999999997</v>
      </c>
      <c r="F274" s="184"/>
      <c r="G274" s="184"/>
      <c r="H274" s="184"/>
      <c r="I274" s="184" t="s">
        <v>3669</v>
      </c>
      <c r="J274" s="184"/>
      <c r="K274" s="184" t="str">
        <f>IFERROR(IF(INDEX(Vöruskrá!$C:$C,MATCH($C274,Vöruskrá!$B:$B,0))=0,"",INDEX(Vöruskrá!$C:$C,MATCH($C274,Vöruskrá!$B:$B,0))),"")</f>
        <v>Garri</v>
      </c>
      <c r="L274" s="184"/>
      <c r="M274" s="184"/>
      <c r="N274" s="184"/>
      <c r="O274" s="184" t="str">
        <f>IFERROR(IF(INDEX(Vöruskrá!$I:$I,MATCH($C274,Vöruskrá!$B:$B,0))=0,"",INDEX(Vöruskrá!$I:$I,MATCH($C274,Vöruskrá!$B:$B,0))),"")</f>
        <v>https://drive.google.com/file/d/1KpmvS2RLTpOgjAXxWnqkP5oIiiwt-ypx/view?usp=sharing</v>
      </c>
      <c r="P274" s="184"/>
    </row>
    <row r="275" spans="1:16" ht="18" customHeight="1">
      <c r="A275" s="183">
        <v>46252</v>
      </c>
      <c r="B275" s="184" t="str">
        <f t="shared" ca="1" si="15"/>
        <v>Active</v>
      </c>
      <c r="C275" s="184" t="s">
        <v>439</v>
      </c>
      <c r="D275" s="184" t="s">
        <v>1867</v>
      </c>
      <c r="E275" s="185">
        <f>Hráefnaskrá!$D$442/1000</f>
        <v>5</v>
      </c>
      <c r="F275" s="184"/>
      <c r="G275" s="184"/>
      <c r="H275" s="184"/>
      <c r="I275" s="184" t="s">
        <v>3669</v>
      </c>
      <c r="J275" s="184"/>
      <c r="K275" s="184" t="str">
        <f>IFERROR(IF(INDEX(Vöruskrá!$C:$C,MATCH($C275,Vöruskrá!$B:$B,0))=0,"",INDEX(Vöruskrá!$C:$C,MATCH($C275,Vöruskrá!$B:$B,0))),"")</f>
        <v>Menu SRL</v>
      </c>
      <c r="L275" s="184"/>
      <c r="M275" s="184"/>
      <c r="N275" s="184"/>
      <c r="O275" s="184" t="str">
        <f>IFERROR(IF(INDEX(Vöruskrá!$I:$I,MATCH($C275,Vöruskrá!$B:$B,0))=0,"",INDEX(Vöruskrá!$I:$I,MATCH($C275,Vöruskrá!$B:$B,0))),"")</f>
        <v>https://drive.google.com/file/d/1d9nwUjnSzxKmopD1MmL_m-j_PclKxewh/view?usp=sharing</v>
      </c>
      <c r="P275" s="184"/>
    </row>
    <row r="276" spans="1:16" ht="18" customHeight="1">
      <c r="A276" s="183">
        <v>46252</v>
      </c>
      <c r="B276" s="184" t="str">
        <f t="shared" ca="1" si="15"/>
        <v>Active</v>
      </c>
      <c r="C276" s="184" t="s">
        <v>222</v>
      </c>
      <c r="D276" s="184" t="s">
        <v>1867</v>
      </c>
      <c r="E276" s="185">
        <f>Hráefnaskrá!$D$443/1000</f>
        <v>6.7</v>
      </c>
      <c r="F276" s="184"/>
      <c r="G276" s="184"/>
      <c r="H276" s="184"/>
      <c r="I276" s="184" t="s">
        <v>3669</v>
      </c>
      <c r="J276" s="184"/>
      <c r="K276" s="184" t="str">
        <f>IFERROR(IF(INDEX(Vöruskrá!$C:$C,MATCH($C276,Vöruskrá!$B:$B,0))=0,"",INDEX(Vöruskrá!$C:$C,MATCH($C276,Vöruskrá!$B:$B,0))),"")</f>
        <v>Ardo/Garri</v>
      </c>
      <c r="L276" s="184"/>
      <c r="M276" s="184"/>
      <c r="N276" s="184"/>
      <c r="O276" s="184" t="str">
        <f>IFERROR(IF(INDEX(Vöruskrá!$I:$I,MATCH($C276,Vöruskrá!$B:$B,0))=0,"",INDEX(Vöruskrá!$I:$I,MATCH($C276,Vöruskrá!$B:$B,0))),"")</f>
        <v>https://drive.google.com/file/d/1GJCXmg1Vj2I1EBYaQMCFT7B1s7hEMNUD/view?usp=sharing</v>
      </c>
      <c r="P276" s="184"/>
    </row>
    <row r="277" spans="1:16" ht="18" customHeight="1">
      <c r="A277" s="183">
        <v>46252</v>
      </c>
      <c r="B277" s="184" t="str">
        <f t="shared" ca="1" si="15"/>
        <v>Active</v>
      </c>
      <c r="C277" s="184" t="s">
        <v>920</v>
      </c>
      <c r="D277" s="184" t="s">
        <v>1867</v>
      </c>
      <c r="E277" s="185">
        <f>Hráefnaskrá!$D$444/1000</f>
        <v>2</v>
      </c>
      <c r="F277" s="184"/>
      <c r="G277" s="184"/>
      <c r="H277" s="184"/>
      <c r="I277" s="184" t="s">
        <v>3669</v>
      </c>
      <c r="J277" s="184"/>
      <c r="K277" s="184" t="str">
        <f>IFERROR(IF(INDEX(Vöruskrá!$C:$C,MATCH($C277,Vöruskrá!$B:$B,0))=0,"",INDEX(Vöruskrá!$C:$C,MATCH($C277,Vöruskrá!$B:$B,0))),"")</f>
        <v>Essential Cuisine Ltd. / Garri</v>
      </c>
      <c r="L277" s="184"/>
      <c r="M277" s="184"/>
      <c r="N277" s="184"/>
      <c r="O277" s="184" t="str">
        <f>IFERROR(IF(INDEX(Vöruskrá!$I:$I,MATCH($C277,Vöruskrá!$B:$B,0))=0,"",INDEX(Vöruskrá!$I:$I,MATCH($C277,Vöruskrá!$B:$B,0))),"")</f>
        <v>https://garri.overcastcdn.com/documents/230HALBSM1B.pdf</v>
      </c>
      <c r="P277" s="184"/>
    </row>
    <row r="278" spans="1:16" ht="18" customHeight="1">
      <c r="A278" s="183">
        <v>46252</v>
      </c>
      <c r="B278" s="184" t="str">
        <f t="shared" ca="1" si="15"/>
        <v>Active</v>
      </c>
      <c r="C278" s="184" t="s">
        <v>502</v>
      </c>
      <c r="D278" s="184" t="s">
        <v>1867</v>
      </c>
      <c r="E278" s="185">
        <f>Hráefnaskrá!$D$445/1000</f>
        <v>0.83</v>
      </c>
      <c r="F278" s="184"/>
      <c r="G278" s="184"/>
      <c r="H278" s="184"/>
      <c r="I278" s="184" t="s">
        <v>3669</v>
      </c>
      <c r="J278" s="184"/>
      <c r="K278" s="184" t="str">
        <f>IFERROR(IF(INDEX(Vöruskrá!$C:$C,MATCH($C278,Vöruskrá!$B:$B,0))=0,"",INDEX(Vöruskrá!$C:$C,MATCH($C278,Vöruskrá!$B:$B,0))),"")</f>
        <v>APPETIT Levnedsmidler A/S / Wiik &amp; Co.</v>
      </c>
      <c r="L278" s="184"/>
      <c r="M278" s="184"/>
      <c r="N278" s="184"/>
      <c r="O278" s="184" t="str">
        <f>IFERROR(IF(INDEX(Vöruskrá!$I:$I,MATCH($C278,Vöruskrá!$B:$B,0))=0,"",INDEX(Vöruskrá!$I:$I,MATCH($C278,Vöruskrá!$B:$B,0))),"")</f>
        <v>https://drive.google.com/file/d/1LQQG6zdc-XSLzYb6RKlxdzBpQOUufTtB/view?usp=sharing</v>
      </c>
      <c r="P278" s="184"/>
    </row>
    <row r="279" spans="1:16" ht="18" customHeight="1">
      <c r="A279" s="183">
        <v>46252</v>
      </c>
      <c r="B279" s="184" t="str">
        <f t="shared" ca="1" si="15"/>
        <v>Active</v>
      </c>
      <c r="C279" s="184" t="s">
        <v>877</v>
      </c>
      <c r="D279" s="184" t="s">
        <v>1867</v>
      </c>
      <c r="E279" s="185">
        <f>Hráefnaskrá!$D$446/1000</f>
        <v>1.3</v>
      </c>
      <c r="F279" s="184"/>
      <c r="G279" s="184"/>
      <c r="H279" s="184"/>
      <c r="I279" s="184" t="s">
        <v>3669</v>
      </c>
      <c r="J279" s="184"/>
      <c r="K279" s="184" t="str">
        <f>IFERROR(IF(INDEX(Vöruskrá!$C:$C,MATCH($C279,Vöruskrá!$B:$B,0))=0,"",INDEX(Vöruskrá!$C:$C,MATCH($C279,Vöruskrá!$B:$B,0))),"")</f>
        <v/>
      </c>
      <c r="L279" s="184"/>
      <c r="M279" s="184"/>
      <c r="N279" s="184"/>
      <c r="O279" s="184" t="str">
        <f>IFERROR(IF(INDEX(Vöruskrá!$I:$I,MATCH($C279,Vöruskrá!$B:$B,0))=0,"",INDEX(Vöruskrá!$I:$I,MATCH($C279,Vöruskrá!$B:$B,0))),"")</f>
        <v/>
      </c>
      <c r="P279" s="184"/>
    </row>
    <row r="280" spans="1:16" ht="18" customHeight="1">
      <c r="A280" s="183">
        <v>46252</v>
      </c>
      <c r="B280" s="184" t="str">
        <f t="shared" ca="1" si="15"/>
        <v>Active</v>
      </c>
      <c r="C280" s="184" t="s">
        <v>266</v>
      </c>
      <c r="D280" s="184" t="s">
        <v>1867</v>
      </c>
      <c r="E280" s="185">
        <f>Hráefnaskrá!$D$447/1000</f>
        <v>0.67</v>
      </c>
      <c r="F280" s="184"/>
      <c r="G280" s="184"/>
      <c r="H280" s="184"/>
      <c r="I280" s="184" t="s">
        <v>3669</v>
      </c>
      <c r="J280" s="184"/>
      <c r="K280" s="184" t="str">
        <f>IFERROR(IF(INDEX(Vöruskrá!$C:$C,MATCH($C280,Vöruskrá!$B:$B,0))=0,"",INDEX(Vöruskrá!$C:$C,MATCH($C280,Vöruskrá!$B:$B,0))),"")</f>
        <v>Katla matvælaiðja ehf.</v>
      </c>
      <c r="L280" s="184"/>
      <c r="M280" s="184"/>
      <c r="N280" s="184"/>
      <c r="O280" s="184" t="str">
        <f>IFERROR(IF(INDEX(Vöruskrá!$I:$I,MATCH($C280,Vöruskrá!$B:$B,0))=0,"",INDEX(Vöruskrá!$I:$I,MATCH($C280,Vöruskrá!$B:$B,0))),"")</f>
        <v>https://drive.google.com/file/d/18_svh90eLQ1eSbJF3qr3eWDjhyhpL95Y/view?usp=sharing</v>
      </c>
      <c r="P280" s="184"/>
    </row>
    <row r="281" spans="1:16" ht="18" customHeight="1">
      <c r="A281" s="183">
        <v>46252</v>
      </c>
      <c r="B281" s="184" t="str">
        <f t="shared" ca="1" si="15"/>
        <v>Active</v>
      </c>
      <c r="C281" s="184" t="s">
        <v>704</v>
      </c>
      <c r="D281" s="184" t="s">
        <v>1867</v>
      </c>
      <c r="E281" s="185">
        <f>Hráefnaskrá!$D$448/1000</f>
        <v>0.13300000000000001</v>
      </c>
      <c r="F281" s="184"/>
      <c r="G281" s="184"/>
      <c r="H281" s="184"/>
      <c r="I281" s="184" t="s">
        <v>3669</v>
      </c>
      <c r="J281" s="184"/>
      <c r="K281" s="184" t="str">
        <f>IFERROR(IF(INDEX(Vöruskrá!$C:$C,MATCH($C281,Vöruskrá!$B:$B,0))=0,"",INDEX(Vöruskrá!$C:$C,MATCH($C281,Vöruskrá!$B:$B,0))),"")</f>
        <v>Nordic Spice AB/Garri</v>
      </c>
      <c r="L281" s="184"/>
      <c r="M281" s="184"/>
      <c r="N281" s="184"/>
      <c r="O281" s="184" t="str">
        <f>IFERROR(IF(INDEX(Vöruskrá!$I:$I,MATCH($C281,Vöruskrá!$B:$B,0))=0,"",INDEX(Vöruskrá!$I:$I,MATCH($C281,Vöruskrá!$B:$B,0))),"")</f>
        <v>https://drive.google.com/file/d/16pABGxDAo2BQ5ZBD9aqSATzh85vQmJ63/view?usp=sharing</v>
      </c>
      <c r="P281" s="184"/>
    </row>
    <row r="282" spans="1:16" ht="18" customHeight="1">
      <c r="A282" s="183">
        <v>46252</v>
      </c>
      <c r="B282" s="184" t="str">
        <f t="shared" ca="1" si="15"/>
        <v>Active</v>
      </c>
      <c r="C282" s="184" t="s">
        <v>701</v>
      </c>
      <c r="D282" s="184" t="s">
        <v>1867</v>
      </c>
      <c r="E282" s="185">
        <f>Hráefnaskrá!$D$449/1000</f>
        <v>6.7000000000000004E-2</v>
      </c>
      <c r="F282" s="184"/>
      <c r="G282" s="184"/>
      <c r="H282" s="184"/>
      <c r="I282" s="184" t="s">
        <v>3669</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https://drive.google.com/file/d/1NxDuZHxld5CsvYcJgTiXxTjyQty0WriF/view?usp=sharing</v>
      </c>
      <c r="P282" s="184"/>
    </row>
    <row r="283" spans="1:16" ht="18" customHeight="1">
      <c r="A283" s="183">
        <v>46252</v>
      </c>
      <c r="B283" s="184" t="str">
        <f t="shared" ca="1" si="15"/>
        <v>Active</v>
      </c>
      <c r="C283" s="184" t="s">
        <v>878</v>
      </c>
      <c r="D283" s="184" t="s">
        <v>1867</v>
      </c>
      <c r="E283" s="185">
        <f>Hráefnaskrá!$D$450/1000</f>
        <v>10</v>
      </c>
      <c r="F283" s="184"/>
      <c r="G283" s="184"/>
      <c r="H283" s="184"/>
      <c r="I283" s="184" t="s">
        <v>3669</v>
      </c>
      <c r="J283" s="184"/>
      <c r="K283" s="184" t="str">
        <f>IFERROR(IF(INDEX(Vöruskrá!$C:$C,MATCH($C283,Vöruskrá!$B:$B,0))=0,"",INDEX(Vöruskrá!$C:$C,MATCH($C283,Vöruskrá!$B:$B,0))),"")</f>
        <v/>
      </c>
      <c r="L283" s="184"/>
      <c r="M283" s="184"/>
      <c r="N283" s="184"/>
      <c r="O283" s="184" t="str">
        <f>IFERROR(IF(INDEX(Vöruskrá!$I:$I,MATCH($C283,Vöruskrá!$B:$B,0))=0,"",INDEX(Vöruskrá!$I:$I,MATCH($C283,Vöruskrá!$B:$B,0))),"")</f>
        <v/>
      </c>
      <c r="P283" s="184"/>
    </row>
    <row r="284" spans="1:16" ht="18" customHeight="1">
      <c r="A284" s="183">
        <v>46252</v>
      </c>
      <c r="B284" s="184" t="str">
        <f t="shared" ca="1" si="15"/>
        <v>Active</v>
      </c>
      <c r="C284" s="184" t="s">
        <v>792</v>
      </c>
      <c r="D284" s="184" t="s">
        <v>1852</v>
      </c>
      <c r="E284" s="185"/>
      <c r="F284" s="184"/>
      <c r="G284" s="184"/>
      <c r="H284" s="184"/>
      <c r="I284" s="184" t="s">
        <v>3669</v>
      </c>
      <c r="J284" s="184"/>
      <c r="K284" s="184" t="str">
        <f>IFERROR(IF(INDEX(Vöruskrá!$C:$C,MATCH($C284,Vöruskrá!$B:$B,0))=0,"",INDEX(Vöruskrá!$C:$C,MATCH($C284,Vöruskrá!$B:$B,0))),"")</f>
        <v>Hafið</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867</v>
      </c>
      <c r="D285" s="184" t="s">
        <v>1852</v>
      </c>
      <c r="E285" s="185"/>
      <c r="F285" s="184"/>
      <c r="G285" s="184"/>
      <c r="H285" s="184"/>
      <c r="I285" s="184" t="s">
        <v>3669</v>
      </c>
      <c r="J285" s="184"/>
      <c r="K285" s="184" t="str">
        <f>IFERROR(IF(INDEX(Vöruskrá!$C:$C,MATCH($C285,Vöruskrá!$B:$B,0))=0,"",INDEX(Vöruskrá!$C:$C,MATCH($C285,Vöruskrá!$B:$B,0))),"")</f>
        <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390</v>
      </c>
      <c r="D286" s="184" t="s">
        <v>1852</v>
      </c>
      <c r="E286" s="185"/>
      <c r="F286" s="184"/>
      <c r="G286" s="184"/>
      <c r="H286" s="184"/>
      <c r="I286" s="184" t="s">
        <v>3669</v>
      </c>
      <c r="J286" s="184"/>
      <c r="K286" s="184" t="str">
        <f>IFERROR(IF(INDEX(Vöruskrá!$C:$C,MATCH($C286,Vöruskrá!$B:$B,0))=0,"",INDEX(Vöruskrá!$C:$C,MATCH($C286,Vöruskrá!$B:$B,0))),"")</f>
        <v>MS</v>
      </c>
      <c r="L286" s="184"/>
      <c r="M286" s="184"/>
      <c r="N286" s="184"/>
      <c r="O286" s="184" t="str">
        <f>IFERROR(IF(INDEX(Vöruskrá!$I:$I,MATCH($C286,Vöruskrá!$B:$B,0))=0,"",INDEX(Vöruskrá!$I:$I,MATCH($C286,Vöruskrá!$B:$B,0))),"")</f>
        <v>https://docs.google.com/document/d/149N3quKMoWawGv9LE2FddvRhKdpdb7Cxfmhury4OOtc/edit?usp=sharing</v>
      </c>
      <c r="P286" s="184"/>
    </row>
    <row r="287" spans="1:16" ht="18" customHeight="1">
      <c r="A287" s="183">
        <v>46252</v>
      </c>
      <c r="B287" s="184" t="str">
        <f t="shared" ca="1" si="15"/>
        <v>Active</v>
      </c>
      <c r="C287" s="184" t="s">
        <v>324</v>
      </c>
      <c r="D287" s="184" t="s">
        <v>1852</v>
      </c>
      <c r="E287" s="185"/>
      <c r="F287" s="184"/>
      <c r="G287" s="184"/>
      <c r="H287" s="184"/>
      <c r="I287" s="184" t="s">
        <v>3669</v>
      </c>
      <c r="J287" s="184"/>
      <c r="K287" s="184" t="str">
        <f>IFERROR(IF(INDEX(Vöruskrá!$C:$C,MATCH($C287,Vöruskrá!$B:$B,0))=0,"",INDEX(Vöruskrá!$C:$C,MATCH($C287,Vöruskrá!$B:$B,0))),"")</f>
        <v>Gæðabakstur / Ömmubakstur ehf.</v>
      </c>
      <c r="L287" s="184"/>
      <c r="M287" s="184"/>
      <c r="N287" s="184"/>
      <c r="O287" s="184" t="str">
        <f>IFERROR(IF(INDEX(Vöruskrá!$I:$I,MATCH($C287,Vöruskrá!$B:$B,0))=0,"",INDEX(Vöruskrá!$I:$I,MATCH($C287,Vöruskrá!$B:$B,0))),"")</f>
        <v>https://gaedabakstur.is/vara/ommurugbraud-30-sneida/</v>
      </c>
      <c r="P287" s="184"/>
    </row>
    <row r="288" spans="1:16" ht="18" customHeight="1">
      <c r="A288" s="183">
        <v>46252</v>
      </c>
      <c r="B288" s="184" t="str">
        <f t="shared" ca="1" si="15"/>
        <v>Active</v>
      </c>
      <c r="C288" s="184" t="s">
        <v>351</v>
      </c>
      <c r="D288" s="184" t="s">
        <v>1867</v>
      </c>
      <c r="E288" s="185"/>
      <c r="F288" s="184"/>
      <c r="G288" s="184"/>
      <c r="H288" s="184"/>
      <c r="I288" s="184" t="s">
        <v>3669</v>
      </c>
      <c r="J288" s="184"/>
      <c r="K288" s="184" t="str">
        <f>IFERROR(IF(INDEX(Vöruskrá!$C:$C,MATCH($C288,Vöruskrá!$B:$B,0))=0,"",INDEX(Vöruskrá!$C:$C,MATCH($C288,Vöruskrá!$B:$B,0))),"")</f>
        <v>Ardo Austria Frost GmbH</v>
      </c>
      <c r="L288" s="184"/>
      <c r="M288" s="184"/>
      <c r="N288" s="184"/>
      <c r="O288" s="184" t="str">
        <f>IFERROR(IF(INDEX(Vöruskrá!$I:$I,MATCH($C288,Vöruskrá!$B:$B,0))=0,"",INDEX(Vöruskrá!$I:$I,MATCH($C288,Vöruskrá!$B:$B,0))),"")</f>
        <v>https://drive.google.com/file/d/1K9SR8AXu2Qag_F36czw5QGX4OuqCSj7q/view?usp=sharing</v>
      </c>
      <c r="P288" s="184"/>
    </row>
    <row r="289" spans="1:16" ht="18" customHeight="1">
      <c r="A289" s="183">
        <v>46252</v>
      </c>
      <c r="B289" s="184" t="str">
        <f t="shared" ca="1" si="15"/>
        <v>Active</v>
      </c>
      <c r="C289" s="184" t="s">
        <v>867</v>
      </c>
      <c r="D289" s="184" t="s">
        <v>1867</v>
      </c>
      <c r="E289" s="185"/>
      <c r="F289" s="184"/>
      <c r="G289" s="184"/>
      <c r="H289" s="184"/>
      <c r="I289" s="184" t="s">
        <v>3669</v>
      </c>
      <c r="J289" s="184"/>
      <c r="K289" s="184" t="str">
        <f>IFERROR(IF(INDEX(Vöruskrá!$C:$C,MATCH($C289,Vöruskrá!$B:$B,0))=0,"",INDEX(Vöruskrá!$C:$C,MATCH($C289,Vöruskrá!$B:$B,0))),"")</f>
        <v/>
      </c>
      <c r="L289" s="184"/>
      <c r="M289" s="184"/>
      <c r="N289" s="184"/>
      <c r="O289" s="184" t="str">
        <f>IFERROR(IF(INDEX(Vöruskrá!$I:$I,MATCH($C289,Vöruskrá!$B:$B,0))=0,"",INDEX(Vöruskrá!$I:$I,MATCH($C289,Vöruskrá!$B:$B,0))),"")</f>
        <v/>
      </c>
      <c r="P289" s="184"/>
    </row>
    <row r="290" spans="1:16" ht="18" customHeight="1">
      <c r="A290" s="183">
        <v>46252</v>
      </c>
      <c r="B290" s="184" t="str">
        <f t="shared" ca="1" si="15"/>
        <v>Active</v>
      </c>
      <c r="C290" s="184" t="s">
        <v>404</v>
      </c>
      <c r="D290" s="184" t="s">
        <v>1885</v>
      </c>
      <c r="E290" s="185"/>
      <c r="F290" s="184"/>
      <c r="G290" s="184"/>
      <c r="H290" s="184"/>
      <c r="I290" s="184" t="s">
        <v>3669</v>
      </c>
      <c r="J290" s="184"/>
      <c r="K290" s="184" t="str">
        <f>IFERROR(IF(INDEX(Vöruskrá!$C:$C,MATCH($C290,Vöruskrá!$B:$B,0))=0,"",INDEX(Vöruskrá!$C:$C,MATCH($C290,Vöruskrá!$B:$B,0))),"")</f>
        <v>Europastry S.A.</v>
      </c>
      <c r="L290" s="184"/>
      <c r="M290" s="184"/>
      <c r="N290" s="184"/>
      <c r="O290" s="184" t="str">
        <f>IFERROR(IF(INDEX(Vöruskrá!$I:$I,MATCH($C290,Vöruskrá!$B:$B,0))=0,"",INDEX(Vöruskrá!$I:$I,MATCH($C290,Vöruskrá!$B:$B,0))),"")</f>
        <v>https://drive.google.com/file/d/1_7-lapfB0IXWi_NgfdgjTejZibfQdUt4/view?usp=sharing</v>
      </c>
      <c r="P290" s="184"/>
    </row>
    <row r="291" spans="1:16" ht="18" customHeight="1">
      <c r="A291" s="183">
        <v>46252</v>
      </c>
      <c r="B291" s="184" t="str">
        <f t="shared" ca="1" si="15"/>
        <v>Active</v>
      </c>
      <c r="C291" s="184" t="s">
        <v>376</v>
      </c>
      <c r="D291" s="184" t="s">
        <v>1885</v>
      </c>
      <c r="E291" s="185"/>
      <c r="F291" s="184"/>
      <c r="G291" s="184"/>
      <c r="H291" s="184"/>
      <c r="I291" s="184" t="s">
        <v>3669</v>
      </c>
      <c r="J291" s="184"/>
      <c r="K291" s="184" t="str">
        <f>IFERROR(IF(INDEX(Vöruskrá!$C:$C,MATCH($C291,Vöruskrá!$B:$B,0))=0,"",INDEX(Vöruskrá!$C:$C,MATCH($C291,Vöruskrá!$B:$B,0))),"")</f>
        <v>Matfugl ehf.</v>
      </c>
      <c r="L291" s="184"/>
      <c r="M291" s="184"/>
      <c r="N291" s="184"/>
      <c r="O291" s="184" t="str">
        <f>IFERROR(IF(INDEX(Vöruskrá!$I:$I,MATCH($C291,Vöruskrá!$B:$B,0))=0,"",INDEX(Vöruskrá!$I:$I,MATCH($C291,Vöruskrá!$B:$B,0))),"")</f>
        <v>https://docs.google.com/document/d/1m0YKiZ4cQZAZVlQ9NBO-W9jBUEk9w4-k1SKb9XI2P-o/edit?usp=sharing</v>
      </c>
      <c r="P291" s="184"/>
    </row>
    <row r="292" spans="1:16" ht="18" customHeight="1">
      <c r="A292" s="192">
        <v>46253</v>
      </c>
      <c r="B292" s="193"/>
      <c r="C292" s="193" t="s">
        <v>4210</v>
      </c>
      <c r="D292" s="193"/>
      <c r="E292" s="194"/>
      <c r="F292" s="193"/>
      <c r="G292" s="193"/>
      <c r="H292" s="193"/>
      <c r="I292" s="193"/>
      <c r="J292" s="193"/>
      <c r="K292" s="193"/>
      <c r="L292" s="193"/>
      <c r="M292" s="193"/>
      <c r="N292" s="193"/>
      <c r="O292" s="193"/>
      <c r="P292" s="193"/>
    </row>
    <row r="293" spans="1:16" ht="18" customHeight="1">
      <c r="A293" s="195">
        <v>46253</v>
      </c>
      <c r="B293" s="196" t="str">
        <f t="shared" ref="B293:B317" ca="1" si="16">IF($A293&lt;TODAY(),"Expired","Active")</f>
        <v>Active</v>
      </c>
      <c r="C293" s="198" t="s">
        <v>1535</v>
      </c>
      <c r="D293" s="196" t="s">
        <v>1852</v>
      </c>
      <c r="E293" s="197"/>
      <c r="F293" s="196"/>
      <c r="G293" s="196"/>
      <c r="H293" s="196"/>
      <c r="I293" s="196"/>
      <c r="J293" s="196"/>
      <c r="K293" s="196"/>
      <c r="L293" s="196"/>
      <c r="M293" s="196"/>
      <c r="N293" s="196"/>
      <c r="O293" s="196"/>
      <c r="P293" s="196"/>
    </row>
    <row r="294" spans="1:16" ht="18" customHeight="1">
      <c r="A294" s="183">
        <v>46253</v>
      </c>
      <c r="B294" s="184" t="str">
        <f t="shared" ca="1" si="16"/>
        <v>Active</v>
      </c>
      <c r="C294" s="184" t="s">
        <v>749</v>
      </c>
      <c r="D294" s="184" t="s">
        <v>1852</v>
      </c>
      <c r="E294" s="185">
        <f>Hráefnaskrá!$D$172/1000</f>
        <v>46.7</v>
      </c>
      <c r="F294" s="184"/>
      <c r="G294" s="184"/>
      <c r="H294" s="184"/>
      <c r="I294" s="184" t="s">
        <v>3669</v>
      </c>
      <c r="J294" s="184"/>
      <c r="K294" s="184" t="str">
        <f>IFERROR(IF(INDEX(Vöruskrá!$C:$C,MATCH($C294,Vöruskrá!$B:$B,0))=0,"",INDEX(Vöruskrá!$C:$C,MATCH($C294,Vöruskrá!$B:$B,0))),"")</f>
        <v>Danish Crown / Schlachtzentrum Nordfriesland</v>
      </c>
      <c r="L294" s="184"/>
      <c r="M294" s="184"/>
      <c r="N294" s="184"/>
      <c r="O294" s="184" t="str">
        <f>IFERROR(IF(INDEX(Vöruskrá!$I:$I,MATCH($C294,Vöruskrá!$B:$B,0))=0,"",INDEX(Vöruskrá!$I:$I,MATCH($C294,Vöruskrá!$B:$B,0))),"")</f>
        <v>https://drive.google.com/file/d/15huA3zVMjLLmN2ydRsMNwifWC4uSnQM_/view?usp=sharing</v>
      </c>
      <c r="P294" s="184"/>
    </row>
    <row r="295" spans="1:16" ht="18" customHeight="1">
      <c r="A295" s="183">
        <v>46253</v>
      </c>
      <c r="B295" s="184" t="str">
        <f t="shared" ca="1" si="16"/>
        <v>Active</v>
      </c>
      <c r="C295" s="184" t="s">
        <v>864</v>
      </c>
      <c r="D295" s="184" t="s">
        <v>1852</v>
      </c>
      <c r="E295" s="185">
        <f>Hráefnaskrá!$D$173/1000</f>
        <v>13.3</v>
      </c>
      <c r="F295" s="184"/>
      <c r="G295" s="184"/>
      <c r="H295" s="184"/>
      <c r="I295" s="184" t="s">
        <v>3669</v>
      </c>
      <c r="J295" s="184"/>
      <c r="K295" s="184" t="str">
        <f>IFERROR(IF(INDEX(Vöruskrá!$C:$C,MATCH($C295,Vöruskrá!$B:$B,0))=0,"",INDEX(Vöruskrá!$C:$C,MATCH($C295,Vöruskrá!$B:$B,0))),"")</f>
        <v/>
      </c>
      <c r="L295" s="184"/>
      <c r="M295" s="184"/>
      <c r="N295" s="184"/>
      <c r="O295" s="184" t="str">
        <f>IFERROR(IF(INDEX(Vöruskrá!$I:$I,MATCH($C295,Vöruskrá!$B:$B,0))=0,"",INDEX(Vöruskrá!$I:$I,MATCH($C295,Vöruskrá!$B:$B,0))),"")</f>
        <v/>
      </c>
      <c r="P295" s="184"/>
    </row>
    <row r="296" spans="1:16" ht="18" customHeight="1">
      <c r="A296" s="183">
        <v>46253</v>
      </c>
      <c r="B296" s="184" t="str">
        <f t="shared" ca="1" si="16"/>
        <v>Active</v>
      </c>
      <c r="C296" s="184" t="s">
        <v>868</v>
      </c>
      <c r="D296" s="184" t="s">
        <v>1852</v>
      </c>
      <c r="E296" s="185">
        <f>Hráefnaskrá!$D$174/1000</f>
        <v>5.3</v>
      </c>
      <c r="F296" s="184"/>
      <c r="G296" s="184"/>
      <c r="H296" s="184"/>
      <c r="I296" s="184" t="s">
        <v>3669</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920</v>
      </c>
      <c r="D297" s="184" t="s">
        <v>1852</v>
      </c>
      <c r="E297" s="185">
        <f>Hráefnaskrá!$D$175/1000</f>
        <v>2</v>
      </c>
      <c r="F297" s="184"/>
      <c r="G297" s="184"/>
      <c r="H297" s="184"/>
      <c r="I297" s="184" t="s">
        <v>3669</v>
      </c>
      <c r="J297" s="184"/>
      <c r="K297" s="184" t="str">
        <f>IFERROR(IF(INDEX(Vöruskrá!$C:$C,MATCH($C297,Vöruskrá!$B:$B,0))=0,"",INDEX(Vöruskrá!$C:$C,MATCH($C297,Vöruskrá!$B:$B,0))),"")</f>
        <v>Essential Cuisine Ltd. / Garri</v>
      </c>
      <c r="L297" s="184"/>
      <c r="M297" s="184"/>
      <c r="N297" s="184"/>
      <c r="O297" s="184" t="str">
        <f>IFERROR(IF(INDEX(Vöruskrá!$I:$I,MATCH($C297,Vöruskrá!$B:$B,0))=0,"",INDEX(Vöruskrá!$I:$I,MATCH($C297,Vöruskrá!$B:$B,0))),"")</f>
        <v>https://garri.overcastcdn.com/documents/230HALBSM1B.pdf</v>
      </c>
      <c r="P297" s="184"/>
    </row>
    <row r="298" spans="1:16" ht="18" customHeight="1">
      <c r="A298" s="183">
        <v>46253</v>
      </c>
      <c r="B298" s="184" t="str">
        <f t="shared" ca="1" si="16"/>
        <v>Active</v>
      </c>
      <c r="C298" s="184" t="s">
        <v>439</v>
      </c>
      <c r="D298" s="184" t="s">
        <v>1852</v>
      </c>
      <c r="E298" s="185">
        <f>Hráefnaskrá!$D$176/1000</f>
        <v>2</v>
      </c>
      <c r="F298" s="184"/>
      <c r="G298" s="184"/>
      <c r="H298" s="184"/>
      <c r="I298" s="184" t="s">
        <v>3669</v>
      </c>
      <c r="J298" s="184"/>
      <c r="K298" s="184" t="str">
        <f>IFERROR(IF(INDEX(Vöruskrá!$C:$C,MATCH($C298,Vöruskrá!$B:$B,0))=0,"",INDEX(Vöruskrá!$C:$C,MATCH($C298,Vöruskrá!$B:$B,0))),"")</f>
        <v>Menu SRL</v>
      </c>
      <c r="L298" s="184"/>
      <c r="M298" s="184"/>
      <c r="N298" s="184"/>
      <c r="O298" s="184" t="str">
        <f>IFERROR(IF(INDEX(Vöruskrá!$I:$I,MATCH($C298,Vöruskrá!$B:$B,0))=0,"",INDEX(Vöruskrá!$I:$I,MATCH($C298,Vöruskrá!$B:$B,0))),"")</f>
        <v>https://drive.google.com/file/d/1d9nwUjnSzxKmopD1MmL_m-j_PclKxewh/view?usp=sharing</v>
      </c>
      <c r="P298" s="184"/>
    </row>
    <row r="299" spans="1:16" ht="18" customHeight="1">
      <c r="A299" s="183">
        <v>46253</v>
      </c>
      <c r="B299" s="184" t="str">
        <f t="shared" ca="1" si="16"/>
        <v>Active</v>
      </c>
      <c r="C299" s="184" t="s">
        <v>964</v>
      </c>
      <c r="D299" s="184" t="s">
        <v>1852</v>
      </c>
      <c r="E299" s="185">
        <f>Hráefnaskrá!$D$177/1000</f>
        <v>1.07</v>
      </c>
      <c r="F299" s="184"/>
      <c r="G299" s="184"/>
      <c r="H299" s="184"/>
      <c r="I299" s="184" t="s">
        <v>3669</v>
      </c>
      <c r="J299" s="184"/>
      <c r="K299" s="184" t="str">
        <f>IFERROR(IF(INDEX(Vöruskrá!$C:$C,MATCH($C299,Vöruskrá!$B:$B,0))=0,"",INDEX(Vöruskrá!$C:$C,MATCH($C299,Vöruskrá!$B:$B,0))),"")</f>
        <v/>
      </c>
      <c r="L299" s="184"/>
      <c r="M299" s="184"/>
      <c r="N299" s="184"/>
      <c r="O299" s="184" t="str">
        <f>IFERROR(IF(INDEX(Vöruskrá!$I:$I,MATCH($C299,Vöruskrá!$B:$B,0))=0,"",INDEX(Vöruskrá!$I:$I,MATCH($C299,Vöruskrá!$B:$B,0))),"")</f>
        <v>https://garri.overcastcdn.com/documents/72650826.pdf</v>
      </c>
      <c r="P299" s="184"/>
    </row>
    <row r="300" spans="1:16" ht="18" customHeight="1">
      <c r="A300" s="183">
        <v>46253</v>
      </c>
      <c r="B300" s="184" t="str">
        <f t="shared" ca="1" si="16"/>
        <v>Active</v>
      </c>
      <c r="C300" s="184" t="s">
        <v>905</v>
      </c>
      <c r="D300" s="184" t="s">
        <v>1852</v>
      </c>
      <c r="E300" s="185">
        <f>Hráefnaskrá!$D$178/1000</f>
        <v>0.67</v>
      </c>
      <c r="F300" s="184"/>
      <c r="G300" s="184"/>
      <c r="H300" s="184"/>
      <c r="I300" s="184" t="s">
        <v>3669</v>
      </c>
      <c r="J300" s="184"/>
      <c r="K300" s="184" t="str">
        <f>IFERROR(IF(INDEX(Vöruskrá!$C:$C,MATCH($C300,Vöruskrá!$B:$B,0))=0,"",INDEX(Vöruskrá!$C:$C,MATCH($C300,Vöruskrá!$B:$B,0))),"")</f>
        <v/>
      </c>
      <c r="L300" s="184"/>
      <c r="M300" s="184"/>
      <c r="N300" s="184"/>
      <c r="O300" s="184" t="str">
        <f>IFERROR(IF(INDEX(Vöruskrá!$I:$I,MATCH($C300,Vöruskrá!$B:$B,0))=0,"",INDEX(Vöruskrá!$I:$I,MATCH($C300,Vöruskrá!$B:$B,0))),"")</f>
        <v/>
      </c>
      <c r="P300" s="184"/>
    </row>
    <row r="301" spans="1:16">
      <c r="A301" s="183">
        <v>46253</v>
      </c>
      <c r="B301" s="184" t="str">
        <f t="shared" ca="1" si="16"/>
        <v>Active</v>
      </c>
      <c r="C301" s="184" t="s">
        <v>390</v>
      </c>
      <c r="D301" s="184" t="s">
        <v>1852</v>
      </c>
      <c r="E301" s="185">
        <f>Hráefnaskrá!$D$179/1000</f>
        <v>1.33</v>
      </c>
      <c r="F301" s="184"/>
      <c r="G301" s="184"/>
      <c r="H301" s="184"/>
      <c r="I301" s="184" t="s">
        <v>3669</v>
      </c>
      <c r="J301" s="184"/>
      <c r="K301" s="184" t="str">
        <f>IFERROR(IF(INDEX(Vöruskrá!$C:$C,MATCH($C301,Vöruskrá!$B:$B,0))=0,"",INDEX(Vöruskrá!$C:$C,MATCH($C301,Vöruskrá!$B:$B,0))),"")</f>
        <v>MS</v>
      </c>
      <c r="L301" s="184"/>
      <c r="M301" s="184"/>
      <c r="N301" s="184"/>
      <c r="O301" s="184" t="str">
        <f>IFERROR(IF(INDEX(Vöruskrá!$I:$I,MATCH($C301,Vöruskrá!$B:$B,0))=0,"",INDEX(Vöruskrá!$I:$I,MATCH($C301,Vöruskrá!$B:$B,0))),"")</f>
        <v>https://docs.google.com/document/d/149N3quKMoWawGv9LE2FddvRhKdpdb7Cxfmhury4OOtc/edit?usp=sharing</v>
      </c>
      <c r="P301" s="184"/>
    </row>
    <row r="302" spans="1:16">
      <c r="A302" s="183">
        <v>46253</v>
      </c>
      <c r="B302" s="184" t="str">
        <f t="shared" ca="1" si="16"/>
        <v>Active</v>
      </c>
      <c r="C302" s="184" t="s">
        <v>1438</v>
      </c>
      <c r="D302" s="184" t="s">
        <v>1852</v>
      </c>
      <c r="E302" s="185">
        <f>Hráefnaskrá!$D$180/1000</f>
        <v>7.0000000000000007E-2</v>
      </c>
      <c r="F302" s="184"/>
      <c r="G302" s="184"/>
      <c r="H302" s="184"/>
      <c r="I302" s="184" t="s">
        <v>3669</v>
      </c>
      <c r="J302" s="184"/>
      <c r="K302" s="184" t="str">
        <f>IFERROR(IF(INDEX(Vöruskrá!$C:$C,MATCH($C302,Vöruskrá!$B:$B,0))=0,"",INDEX(Vöruskrá!$C:$C,MATCH($C302,Vöruskrá!$B:$B,0))),"")</f>
        <v/>
      </c>
      <c r="L302" s="184"/>
      <c r="M302" s="184"/>
      <c r="N302" s="184"/>
      <c r="O302" s="184" t="str">
        <f>IFERROR(IF(INDEX(Vöruskrá!$I:$I,MATCH($C302,Vöruskrá!$B:$B,0))=0,"",INDEX(Vöruskrá!$I:$I,MATCH($C302,Vöruskrá!$B:$B,0))),"")</f>
        <v/>
      </c>
      <c r="P302" s="184"/>
    </row>
    <row r="303" spans="1:16">
      <c r="A303" s="183">
        <v>46253</v>
      </c>
      <c r="B303" s="184" t="str">
        <f t="shared" ca="1" si="16"/>
        <v>Active</v>
      </c>
      <c r="C303" s="184" t="s">
        <v>695</v>
      </c>
      <c r="D303" s="184" t="s">
        <v>1852</v>
      </c>
      <c r="E303" s="185">
        <f>Hráefnaskrá!$D$181/1000</f>
        <v>0.03</v>
      </c>
      <c r="F303" s="184"/>
      <c r="G303" s="184"/>
      <c r="H303" s="184"/>
      <c r="I303" s="184" t="s">
        <v>3669</v>
      </c>
      <c r="J303" s="184"/>
      <c r="K303" s="184" t="str">
        <f>IFERROR(IF(INDEX(Vöruskrá!$C:$C,MATCH($C303,Vöruskrá!$B:$B,0))=0,"",INDEX(Vöruskrá!$C:$C,MATCH($C303,Vöruskrá!$B:$B,0))),"")</f>
        <v>Nordic Spice AB/Garri</v>
      </c>
      <c r="L303" s="184"/>
      <c r="M303" s="184"/>
      <c r="N303" s="184"/>
      <c r="O303" s="184" t="str">
        <f>IFERROR(IF(INDEX(Vöruskrá!$I:$I,MATCH($C303,Vöruskrá!$B:$B,0))=0,"",INDEX(Vöruskrá!$I:$I,MATCH($C303,Vöruskrá!$B:$B,0))),"")</f>
        <v>https://drive.google.com/file/d/1YGSwpHwhfND2vvwdtP6hhz_fHXH0M_4B/view?usp=sharing</v>
      </c>
      <c r="P303" s="184"/>
    </row>
    <row r="304" spans="1:16">
      <c r="A304" s="183">
        <v>46253</v>
      </c>
      <c r="B304" s="184" t="str">
        <f t="shared" ca="1" si="16"/>
        <v>Active</v>
      </c>
      <c r="C304" s="184" t="s">
        <v>704</v>
      </c>
      <c r="D304" s="184" t="s">
        <v>1852</v>
      </c>
      <c r="E304" s="185">
        <f>Hráefnaskrá!$D$182/1000</f>
        <v>0.08</v>
      </c>
      <c r="F304" s="184"/>
      <c r="G304" s="184"/>
      <c r="H304" s="184"/>
      <c r="I304" s="184" t="s">
        <v>3669</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https://drive.google.com/file/d/16pABGxDAo2BQ5ZBD9aqSATzh85vQmJ63/view?usp=sharing</v>
      </c>
      <c r="P304" s="184"/>
    </row>
    <row r="305" spans="1:16">
      <c r="A305" s="183">
        <v>46253</v>
      </c>
      <c r="B305" s="184" t="str">
        <f t="shared" ca="1" si="16"/>
        <v>Active</v>
      </c>
      <c r="C305" s="184" t="s">
        <v>266</v>
      </c>
      <c r="D305" s="184" t="s">
        <v>1852</v>
      </c>
      <c r="E305" s="185">
        <f>Hráefnaskrá!$D$183/1000</f>
        <v>0.76</v>
      </c>
      <c r="F305" s="184"/>
      <c r="G305" s="184"/>
      <c r="H305" s="184"/>
      <c r="I305" s="184" t="s">
        <v>3669</v>
      </c>
      <c r="J305" s="184"/>
      <c r="K305" s="184" t="str">
        <f>IFERROR(IF(INDEX(Vöruskrá!$C:$C,MATCH($C305,Vöruskrá!$B:$B,0))=0,"",INDEX(Vöruskrá!$C:$C,MATCH($C305,Vöruskrá!$B:$B,0))),"")</f>
        <v>Katla matvælaiðja ehf.</v>
      </c>
      <c r="L305" s="184"/>
      <c r="M305" s="184"/>
      <c r="N305" s="184"/>
      <c r="O305" s="184" t="str">
        <f>IFERROR(IF(INDEX(Vöruskrá!$I:$I,MATCH($C305,Vöruskrá!$B:$B,0))=0,"",INDEX(Vöruskrá!$I:$I,MATCH($C305,Vöruskrá!$B:$B,0))),"")</f>
        <v>https://drive.google.com/file/d/18_svh90eLQ1eSbJF3qr3eWDjhyhpL95Y/view?usp=sharing</v>
      </c>
      <c r="P305" s="184"/>
    </row>
    <row r="306" spans="1:16">
      <c r="A306" s="183">
        <v>46253</v>
      </c>
      <c r="B306" s="184" t="str">
        <f t="shared" ca="1" si="16"/>
        <v>Active</v>
      </c>
      <c r="C306" s="184" t="s">
        <v>878</v>
      </c>
      <c r="D306" s="184" t="s">
        <v>1852</v>
      </c>
      <c r="E306" s="185">
        <f>Hráefnaskrá!$D$184/1000</f>
        <v>26.69</v>
      </c>
      <c r="F306" s="184"/>
      <c r="G306" s="184"/>
      <c r="H306" s="184"/>
      <c r="I306" s="184" t="s">
        <v>3669</v>
      </c>
      <c r="J306" s="184"/>
      <c r="K306" s="184" t="str">
        <f>IFERROR(IF(INDEX(Vöruskrá!$C:$C,MATCH($C306,Vöruskrá!$B:$B,0))=0,"",INDEX(Vöruskrá!$C:$C,MATCH($C306,Vöruskrá!$B:$B,0))),"")</f>
        <v/>
      </c>
      <c r="L306" s="184"/>
      <c r="M306" s="184"/>
      <c r="N306" s="184"/>
      <c r="O306" s="184" t="str">
        <f>IFERROR(IF(INDEX(Vöruskrá!$I:$I,MATCH($C306,Vöruskrá!$B:$B,0))=0,"",INDEX(Vöruskrá!$I:$I,MATCH($C306,Vöruskrá!$B:$B,0))),"")</f>
        <v/>
      </c>
      <c r="P306" s="184"/>
    </row>
    <row r="307" spans="1:16">
      <c r="A307" s="183">
        <v>46253</v>
      </c>
      <c r="B307" s="184" t="str">
        <f t="shared" ca="1" si="16"/>
        <v>Active</v>
      </c>
      <c r="C307" s="184" t="s">
        <v>1097</v>
      </c>
      <c r="D307" s="184" t="s">
        <v>1852</v>
      </c>
      <c r="E307" s="185"/>
      <c r="F307" s="184"/>
      <c r="G307" s="184"/>
      <c r="H307" s="184"/>
      <c r="I307" s="184" t="s">
        <v>3669</v>
      </c>
      <c r="J307" s="184"/>
      <c r="K307" s="184" t="str">
        <f>IFERROR(IF(INDEX(Vöruskrá!$C:$C,MATCH($C307,Vöruskrá!$B:$B,0))=0,"",INDEX(Vöruskrá!$C:$C,MATCH($C307,Vöruskrá!$B:$B,0))),"")</f>
        <v>ÓJK - Ísam</v>
      </c>
      <c r="L307" s="184"/>
      <c r="M307" s="184"/>
      <c r="N307" s="184"/>
      <c r="O307" s="184" t="str">
        <f>IFERROR(IF(INDEX(Vöruskrá!$I:$I,MATCH($C307,Vöruskrá!$B:$B,0))=0,"",INDEX(Vöruskrá!$I:$I,MATCH($C307,Vöruskrá!$B:$B,0))),"")</f>
        <v>https://vefverslun.ojk-isam.is/api/BlobForward/inline/ojkisam/bef943db-09be-4d78-bd72-ee6f417fb2a8.pdf</v>
      </c>
      <c r="P307" s="184"/>
    </row>
    <row r="308" spans="1:16">
      <c r="A308" s="183">
        <v>46253</v>
      </c>
      <c r="B308" s="184" t="str">
        <f t="shared" ca="1" si="16"/>
        <v>Active</v>
      </c>
      <c r="C308" s="184" t="s">
        <v>97</v>
      </c>
      <c r="D308" s="184" t="s">
        <v>1852</v>
      </c>
      <c r="E308" s="185"/>
      <c r="F308" s="184"/>
      <c r="G308" s="184"/>
      <c r="H308" s="184"/>
      <c r="I308" s="184" t="s">
        <v>3669</v>
      </c>
      <c r="J308" s="184"/>
      <c r="K308" s="184" t="str">
        <f>IFERROR(IF(INDEX(Vöruskrá!$C:$C,MATCH($C308,Vöruskrá!$B:$B,0))=0,"",INDEX(Vöruskrá!$C:$C,MATCH($C308,Vöruskrá!$B:$B,0))),"")</f>
        <v xml:space="preserve">Arna </v>
      </c>
      <c r="L308" s="184"/>
      <c r="M308" s="184"/>
      <c r="N308" s="184"/>
      <c r="O308" s="184" t="str">
        <f>IFERROR(IF(INDEX(Vöruskrá!$I:$I,MATCH($C308,Vöruskrá!$B:$B,0))=0,"",INDEX(Vöruskrá!$I:$I,MATCH($C308,Vöruskrá!$B:$B,0))),"")</f>
        <v>https://drive.google.com/file/d/1yzNdxeJqQSbLVXSF15Oeij4m2PUBv2GA/view?usp=sharing</v>
      </c>
      <c r="P308" s="184"/>
    </row>
    <row r="309" spans="1:16">
      <c r="A309" s="183">
        <v>46253</v>
      </c>
      <c r="B309" s="184" t="str">
        <f t="shared" ca="1" si="16"/>
        <v>Active</v>
      </c>
      <c r="C309" s="184" t="s">
        <v>477</v>
      </c>
      <c r="D309" s="184" t="s">
        <v>1852</v>
      </c>
      <c r="E309" s="185"/>
      <c r="F309" s="184"/>
      <c r="G309" s="184"/>
      <c r="H309" s="184"/>
      <c r="I309" s="184" t="s">
        <v>3669</v>
      </c>
      <c r="J309" s="184"/>
      <c r="K309" s="184" t="str">
        <f>IFERROR(IF(INDEX(Vöruskrá!$C:$C,MATCH($C309,Vöruskrá!$B:$B,0))=0,"",INDEX(Vöruskrá!$C:$C,MATCH($C309,Vöruskrá!$B:$B,0))),"")</f>
        <v>N.V. d'Arta</v>
      </c>
      <c r="L309" s="184"/>
      <c r="M309" s="184"/>
      <c r="N309" s="184"/>
      <c r="O309" s="184" t="str">
        <f>IFERROR(IF(INDEX(Vöruskrá!$I:$I,MATCH($C309,Vöruskrá!$B:$B,0))=0,"",INDEX(Vöruskrá!$I:$I,MATCH($C309,Vöruskrá!$B:$B,0))),"")</f>
        <v>https://drive.google.com/file/d/1XJ1WHz_-GsR3Kmtlg7CIktpTVkuGTSa7/view?usp=sharing</v>
      </c>
      <c r="P309" s="184"/>
    </row>
    <row r="310" spans="1:16">
      <c r="A310" s="183">
        <v>46253</v>
      </c>
      <c r="B310" s="184" t="str">
        <f t="shared" ca="1" si="16"/>
        <v>Active</v>
      </c>
      <c r="C310" s="184" t="s">
        <v>508</v>
      </c>
      <c r="D310" s="184" t="s">
        <v>1852</v>
      </c>
      <c r="E310" s="185"/>
      <c r="F310" s="184"/>
      <c r="G310" s="184"/>
      <c r="H310" s="184"/>
      <c r="I310" s="184" t="s">
        <v>3669</v>
      </c>
      <c r="J310" s="184"/>
      <c r="K310" s="184" t="str">
        <f>IFERROR(IF(INDEX(Vöruskrá!$C:$C,MATCH($C310,Vöruskrá!$B:$B,0))=0,"",INDEX(Vöruskrá!$C:$C,MATCH($C310,Vöruskrá!$B:$B,0))),"")</f>
        <v>Global Food Link S.L.U.</v>
      </c>
      <c r="L310" s="184"/>
      <c r="M310" s="184"/>
      <c r="N310" s="184"/>
      <c r="O310" s="184" t="str">
        <f>IFERROR(IF(INDEX(Vöruskrá!$I:$I,MATCH($C310,Vöruskrá!$B:$B,0))=0,"",INDEX(Vöruskrá!$I:$I,MATCH($C310,Vöruskrá!$B:$B,0))),"")</f>
        <v>https://drive.google.com/file/d/19LpgAetZiskpHR9eV63DDPNUbJkWcOya/view?usp=sharing</v>
      </c>
      <c r="P310" s="184"/>
    </row>
    <row r="311" spans="1:16">
      <c r="A311" s="183">
        <v>46253</v>
      </c>
      <c r="B311" s="184" t="str">
        <f t="shared" ca="1" si="16"/>
        <v>Active</v>
      </c>
      <c r="C311" s="184" t="s">
        <v>1255</v>
      </c>
      <c r="D311" s="184" t="s">
        <v>1867</v>
      </c>
      <c r="E311" s="185"/>
      <c r="F311" s="184"/>
      <c r="G311" s="184"/>
      <c r="H311" s="184"/>
      <c r="I311" s="184" t="s">
        <v>3669</v>
      </c>
      <c r="J311" s="184"/>
      <c r="K311" s="184" t="str">
        <f>IFERROR(IF(INDEX(Vöruskrá!$C:$C,MATCH($C311,Vöruskrá!$B:$B,0))=0,"",INDEX(Vöruskrá!$C:$C,MATCH($C311,Vöruskrá!$B:$B,0))),"")</f>
        <v>Oatly/Innnes</v>
      </c>
      <c r="L311" s="184"/>
      <c r="M311" s="184"/>
      <c r="N311" s="184"/>
      <c r="O311" s="184" t="str">
        <f>IFERROR(IF(INDEX(Vöruskrá!$I:$I,MATCH($C311,Vöruskrá!$B:$B,0))=0,"",INDEX(Vöruskrá!$I:$I,MATCH($C311,Vöruskrá!$B:$B,0))),"")</f>
        <v>https://innnes.is/media/5iiiyz3g/208027_product-specification-61672_70686_208027.pdf</v>
      </c>
      <c r="P311" s="184"/>
    </row>
    <row r="312" spans="1:16">
      <c r="A312" s="183">
        <v>46253</v>
      </c>
      <c r="B312" s="184" t="str">
        <f t="shared" ca="1" si="16"/>
        <v>Active</v>
      </c>
      <c r="C312" s="184" t="s">
        <v>477</v>
      </c>
      <c r="D312" s="184" t="s">
        <v>1867</v>
      </c>
      <c r="E312" s="185"/>
      <c r="F312" s="184"/>
      <c r="G312" s="184"/>
      <c r="H312" s="184"/>
      <c r="I312" s="184" t="s">
        <v>3669</v>
      </c>
      <c r="J312" s="184"/>
      <c r="K312" s="184" t="str">
        <f>IFERROR(IF(INDEX(Vöruskrá!$C:$C,MATCH($C312,Vöruskrá!$B:$B,0))=0,"",INDEX(Vöruskrá!$C:$C,MATCH($C312,Vöruskrá!$B:$B,0))),"")</f>
        <v>N.V. d'Arta</v>
      </c>
      <c r="L312" s="184"/>
      <c r="M312" s="184"/>
      <c r="N312" s="184"/>
      <c r="O312" s="184" t="str">
        <f>IFERROR(IF(INDEX(Vöruskrá!$I:$I,MATCH($C312,Vöruskrá!$B:$B,0))=0,"",INDEX(Vöruskrá!$I:$I,MATCH($C312,Vöruskrá!$B:$B,0))),"")</f>
        <v>https://drive.google.com/file/d/1XJ1WHz_-GsR3Kmtlg7CIktpTVkuGTSa7/view?usp=sharing</v>
      </c>
      <c r="P312" s="184"/>
    </row>
    <row r="313" spans="1:16">
      <c r="A313" s="183">
        <v>46253</v>
      </c>
      <c r="B313" s="184" t="str">
        <f t="shared" ca="1" si="16"/>
        <v>Active</v>
      </c>
      <c r="C313" s="184" t="s">
        <v>508</v>
      </c>
      <c r="D313" s="184" t="s">
        <v>1867</v>
      </c>
      <c r="E313" s="185"/>
      <c r="F313" s="184"/>
      <c r="G313" s="184"/>
      <c r="H313" s="184"/>
      <c r="I313" s="184" t="s">
        <v>3669</v>
      </c>
      <c r="J313" s="184"/>
      <c r="K313" s="184" t="str">
        <f>IFERROR(IF(INDEX(Vöruskrá!$C:$C,MATCH($C313,Vöruskrá!$B:$B,0))=0,"",INDEX(Vöruskrá!$C:$C,MATCH($C313,Vöruskrá!$B:$B,0))),"")</f>
        <v>Global Food Link S.L.U.</v>
      </c>
      <c r="L313" s="184"/>
      <c r="M313" s="184"/>
      <c r="N313" s="184"/>
      <c r="O313" s="184" t="str">
        <f>IFERROR(IF(INDEX(Vöruskrá!$I:$I,MATCH($C313,Vöruskrá!$B:$B,0))=0,"",INDEX(Vöruskrá!$I:$I,MATCH($C313,Vöruskrá!$B:$B,0))),"")</f>
        <v>https://drive.google.com/file/d/19LpgAetZiskpHR9eV63DDPNUbJkWcOya/view?usp=sharing</v>
      </c>
      <c r="P313" s="184"/>
    </row>
    <row r="314" spans="1:16">
      <c r="A314" s="183">
        <v>46253</v>
      </c>
      <c r="B314" s="184" t="str">
        <f t="shared" ca="1" si="16"/>
        <v>Active</v>
      </c>
      <c r="C314" s="184" t="s">
        <v>1255</v>
      </c>
      <c r="D314" s="184" t="s">
        <v>946</v>
      </c>
      <c r="E314" s="185"/>
      <c r="F314" s="184"/>
      <c r="G314" s="184"/>
      <c r="H314" s="184"/>
      <c r="I314" s="184" t="s">
        <v>3669</v>
      </c>
      <c r="J314" s="184"/>
      <c r="K314" s="184" t="str">
        <f>IFERROR(IF(INDEX(Vöruskrá!$C:$C,MATCH($C314,Vöruskrá!$B:$B,0))=0,"",INDEX(Vöruskrá!$C:$C,MATCH($C314,Vöruskrá!$B:$B,0))),"")</f>
        <v>Oatly/Innnes</v>
      </c>
      <c r="L314" s="184"/>
      <c r="M314" s="184"/>
      <c r="N314" s="184"/>
      <c r="O314" s="184" t="str">
        <f>IFERROR(IF(INDEX(Vöruskrá!$I:$I,MATCH($C314,Vöruskrá!$B:$B,0))=0,"",INDEX(Vöruskrá!$I:$I,MATCH($C314,Vöruskrá!$B:$B,0))),"")</f>
        <v>https://innnes.is/media/5iiiyz3g/208027_product-specification-61672_70686_208027.pdf</v>
      </c>
      <c r="P314" s="184"/>
    </row>
    <row r="315" spans="1:16">
      <c r="A315" s="183">
        <v>46253</v>
      </c>
      <c r="B315" s="184" t="str">
        <f t="shared" ca="1" si="16"/>
        <v>Active</v>
      </c>
      <c r="C315" s="184" t="s">
        <v>611</v>
      </c>
      <c r="D315" s="184" t="s">
        <v>946</v>
      </c>
      <c r="E315" s="185"/>
      <c r="F315" s="184"/>
      <c r="G315" s="184"/>
      <c r="H315" s="184"/>
      <c r="I315" s="184" t="s">
        <v>3669</v>
      </c>
      <c r="J315" s="184"/>
      <c r="K315" s="184" t="str">
        <f>IFERROR(IF(INDEX(Vöruskrá!$C:$C,MATCH($C315,Vöruskrá!$B:$B,0))=0,"",INDEX(Vöruskrá!$C:$C,MATCH($C315,Vöruskrá!$B:$B,0))),"")</f>
        <v>Oddlygood Sweden AB</v>
      </c>
      <c r="L315" s="184"/>
      <c r="M315" s="184"/>
      <c r="N315" s="184"/>
      <c r="O315" s="184" t="str">
        <f>IFERROR(IF(INDEX(Vöruskrá!$I:$I,MATCH($C315,Vöruskrá!$B:$B,0))=0,"",INDEX(Vöruskrá!$I:$I,MATCH($C315,Vöruskrá!$B:$B,0))),"")</f>
        <v>https://docs.google.com/document/d/1BUz_g8B7UqQ1EgXoVWnH0ix-yIkXgo7PBviskklXFpg/edit?usp=sharing</v>
      </c>
      <c r="P315" s="184"/>
    </row>
    <row r="316" spans="1:16" ht="18" customHeight="1">
      <c r="A316" s="183">
        <v>46253</v>
      </c>
      <c r="B316" s="184" t="str">
        <f t="shared" ca="1" si="16"/>
        <v>Active</v>
      </c>
      <c r="C316" s="184" t="s">
        <v>85</v>
      </c>
      <c r="D316" s="184" t="s">
        <v>1885</v>
      </c>
      <c r="E316" s="185"/>
      <c r="F316" s="184"/>
      <c r="G316" s="184"/>
      <c r="H316" s="184"/>
      <c r="I316" s="184" t="s">
        <v>3669</v>
      </c>
      <c r="J316" s="184"/>
      <c r="K316" s="184" t="str">
        <f>IFERROR(IF(INDEX(Vöruskrá!$C:$C,MATCH($C316,Vöruskrá!$B:$B,0))=0,"",INDEX(Vöruskrá!$C:$C,MATCH($C316,Vöruskrá!$B:$B,0))),"")</f>
        <v>Continental Bakeries North Europe AB</v>
      </c>
      <c r="L316" s="184"/>
      <c r="M316" s="184"/>
      <c r="N316" s="184"/>
      <c r="O316" s="184" t="str">
        <f>IFERROR(IF(INDEX(Vöruskrá!$I:$I,MATCH($C316,Vöruskrá!$B:$B,0))=0,"",INDEX(Vöruskrá!$I:$I,MATCH($C316,Vöruskrá!$B:$B,0))),"")</f>
        <v>https://docs.google.com/document/d/1hSm-4pt3r15YYOeuqlWMbkkVgdKc8cwt0qPlCRs1ssM/edit?usp=sharingex.pdf</v>
      </c>
      <c r="P316" s="184"/>
    </row>
    <row r="317" spans="1:16">
      <c r="A317" s="183">
        <v>46253</v>
      </c>
      <c r="B317" s="184" t="str">
        <f t="shared" ca="1" si="16"/>
        <v>Active</v>
      </c>
      <c r="C317" s="184" t="s">
        <v>124</v>
      </c>
      <c r="D317" s="184" t="s">
        <v>1885</v>
      </c>
      <c r="E317" s="185"/>
      <c r="F317" s="184"/>
      <c r="G317" s="184"/>
      <c r="H317" s="184"/>
      <c r="I317" s="184" t="s">
        <v>3669</v>
      </c>
      <c r="J317" s="184"/>
      <c r="K317" s="184" t="str">
        <f>IFERROR(IF(INDEX(Vöruskrá!$C:$C,MATCH($C317,Vöruskrá!$B:$B,0))=0,"",INDEX(Vöruskrá!$C:$C,MATCH($C317,Vöruskrá!$B:$B,0))),"")</f>
        <v>Ali</v>
      </c>
      <c r="L317" s="184"/>
      <c r="M317" s="184"/>
      <c r="N317" s="184"/>
      <c r="O317" s="184" t="str">
        <f>IFERROR(IF(INDEX(Vöruskrá!$I:$I,MATCH($C317,Vöruskrá!$B:$B,0))=0,"",INDEX(Vöruskrá!$I:$I,MATCH($C317,Vöruskrá!$B:$B,0))),"")</f>
        <v>https://docs.google.com/document/d/1tYCZIN-9wdHVdNDDkGYzBt6KHJktVy-txKVoBoCKeKQ/edit?usp=sharing</v>
      </c>
      <c r="P317" s="184"/>
    </row>
    <row r="318" spans="1:16">
      <c r="A318" s="192">
        <v>46254</v>
      </c>
      <c r="B318" s="193"/>
      <c r="C318" s="193" t="s">
        <v>4210</v>
      </c>
      <c r="D318" s="193"/>
      <c r="E318" s="194"/>
      <c r="F318" s="193"/>
      <c r="G318" s="193"/>
      <c r="H318" s="193"/>
      <c r="I318" s="193"/>
      <c r="J318" s="193"/>
      <c r="K318" s="193"/>
      <c r="L318" s="193"/>
      <c r="M318" s="193"/>
      <c r="N318" s="193"/>
      <c r="O318" s="193"/>
      <c r="P318" s="193"/>
    </row>
    <row r="319" spans="1:16">
      <c r="A319" s="195">
        <v>46254</v>
      </c>
      <c r="B319" s="196" t="str">
        <f t="shared" ref="B319:B350" ca="1" si="17">IF($A319&lt;TODAY(),"Expired","Active")</f>
        <v>Active</v>
      </c>
      <c r="C319" s="198" t="s">
        <v>1541</v>
      </c>
      <c r="D319" s="196" t="s">
        <v>1852</v>
      </c>
      <c r="E319" s="197"/>
      <c r="F319" s="196"/>
      <c r="G319" s="196"/>
      <c r="H319" s="196"/>
      <c r="I319" s="196"/>
      <c r="J319" s="196"/>
      <c r="K319" s="196"/>
      <c r="L319" s="196"/>
      <c r="M319" s="196"/>
      <c r="N319" s="196"/>
      <c r="O319" s="196"/>
      <c r="P319" s="196"/>
    </row>
    <row r="320" spans="1:16" ht="18" customHeight="1">
      <c r="A320" s="183">
        <v>46254</v>
      </c>
      <c r="B320" s="184" t="str">
        <f t="shared" ca="1" si="17"/>
        <v>Active</v>
      </c>
      <c r="C320" s="184" t="s">
        <v>1113</v>
      </c>
      <c r="D320" s="184" t="s">
        <v>1852</v>
      </c>
      <c r="E320" s="185">
        <f>Hráefnaskrá!$D$185/1000</f>
        <v>50</v>
      </c>
      <c r="F320" s="184"/>
      <c r="G320" s="184"/>
      <c r="H320" s="184"/>
      <c r="I320" s="184" t="s">
        <v>3669</v>
      </c>
      <c r="J320" s="184"/>
      <c r="K320" s="184" t="str">
        <f>IFERROR(IF(INDEX(Vöruskrá!$C:$C,MATCH($C320,Vöruskrá!$B:$B,0))=0,"",INDEX(Vöruskrá!$C:$C,MATCH($C320,Vöruskrá!$B:$B,0))),"")</f>
        <v>Hafið</v>
      </c>
      <c r="L320" s="184"/>
      <c r="M320" s="184"/>
      <c r="N320" s="184"/>
      <c r="O320" s="184" t="str">
        <f>IFERROR(IF(INDEX(Vöruskrá!$I:$I,MATCH($C320,Vöruskrá!$B:$B,0))=0,"",INDEX(Vöruskrá!$I:$I,MATCH($C320,Vöruskrá!$B:$B,0))),"")</f>
        <v/>
      </c>
      <c r="P320" s="184"/>
    </row>
    <row r="321" spans="1:16">
      <c r="A321" s="183">
        <v>46254</v>
      </c>
      <c r="B321" s="184" t="str">
        <f t="shared" ca="1" si="17"/>
        <v>Active</v>
      </c>
      <c r="C321" s="184" t="s">
        <v>908</v>
      </c>
      <c r="D321" s="184" t="s">
        <v>1852</v>
      </c>
      <c r="E321" s="185">
        <f>Hráefnaskrá!$D$186/1000</f>
        <v>10</v>
      </c>
      <c r="F321" s="184"/>
      <c r="G321" s="184"/>
      <c r="H321" s="184"/>
      <c r="I321" s="184" t="s">
        <v>3669</v>
      </c>
      <c r="J321" s="184"/>
      <c r="K321" s="184" t="str">
        <f>IFERROR(IF(INDEX(Vöruskrá!$C:$C,MATCH($C321,Vöruskrá!$B:$B,0))=0,"",INDEX(Vöruskrá!$C:$C,MATCH($C321,Vöruskrá!$B:$B,0))),"")</f>
        <v xml:space="preserve">MS </v>
      </c>
      <c r="L321" s="184"/>
      <c r="M321" s="184"/>
      <c r="N321" s="184"/>
      <c r="O321" s="184" t="str">
        <f>IFERROR(IF(INDEX(Vöruskrá!$I:$I,MATCH($C321,Vöruskrá!$B:$B,0))=0,"",INDEX(Vöruskrá!$I:$I,MATCH($C321,Vöruskrá!$B:$B,0))),"")</f>
        <v/>
      </c>
      <c r="P321" s="184"/>
    </row>
    <row r="322" spans="1:16">
      <c r="A322" s="183">
        <v>46254</v>
      </c>
      <c r="B322" s="184" t="str">
        <f t="shared" ca="1" si="17"/>
        <v>Active</v>
      </c>
      <c r="C322" s="184" t="s">
        <v>390</v>
      </c>
      <c r="D322" s="184" t="s">
        <v>1852</v>
      </c>
      <c r="E322" s="185">
        <f>Hráefnaskrá!$D$187/1000</f>
        <v>2.5</v>
      </c>
      <c r="F322" s="184"/>
      <c r="G322" s="184"/>
      <c r="H322" s="184"/>
      <c r="I322" s="184" t="s">
        <v>3669</v>
      </c>
      <c r="J322" s="184"/>
      <c r="K322" s="184" t="str">
        <f>IFERROR(IF(INDEX(Vöruskrá!$C:$C,MATCH($C322,Vöruskrá!$B:$B,0))=0,"",INDEX(Vöruskrá!$C:$C,MATCH($C322,Vöruskrá!$B:$B,0))),"")</f>
        <v>MS</v>
      </c>
      <c r="L322" s="184"/>
      <c r="M322" s="184"/>
      <c r="N322" s="184"/>
      <c r="O322" s="184" t="str">
        <f>IFERROR(IF(INDEX(Vöruskrá!$I:$I,MATCH($C322,Vöruskrá!$B:$B,0))=0,"",INDEX(Vöruskrá!$I:$I,MATCH($C322,Vöruskrá!$B:$B,0))),"")</f>
        <v>https://docs.google.com/document/d/149N3quKMoWawGv9LE2FddvRhKdpdb7Cxfmhury4OOtc/edit?usp=sharing</v>
      </c>
      <c r="P322" s="184"/>
    </row>
    <row r="323" spans="1:16">
      <c r="A323" s="183">
        <v>46254</v>
      </c>
      <c r="B323" s="184" t="str">
        <f t="shared" ca="1" si="17"/>
        <v>Active</v>
      </c>
      <c r="C323" s="184" t="s">
        <v>1440</v>
      </c>
      <c r="D323" s="184" t="s">
        <v>1852</v>
      </c>
      <c r="E323" s="185">
        <f>Hráefnaskrá!$D$188/1000</f>
        <v>1.25</v>
      </c>
      <c r="F323" s="184"/>
      <c r="G323" s="184"/>
      <c r="H323" s="184"/>
      <c r="I323" s="184" t="s">
        <v>3669</v>
      </c>
      <c r="J323" s="184"/>
      <c r="K323" s="184" t="str">
        <f>IFERROR(IF(INDEX(Vöruskrá!$C:$C,MATCH($C323,Vöruskrá!$B:$B,0))=0,"",INDEX(Vöruskrá!$C:$C,MATCH($C323,Vöruskrá!$B:$B,0))),"")</f>
        <v/>
      </c>
      <c r="L323" s="184"/>
      <c r="M323" s="184"/>
      <c r="N323" s="184"/>
      <c r="O323" s="184" t="str">
        <f>IFERROR(IF(INDEX(Vöruskrá!$I:$I,MATCH($C323,Vöruskrá!$B:$B,0))=0,"",INDEX(Vöruskrá!$I:$I,MATCH($C323,Vöruskrá!$B:$B,0))),"")</f>
        <v/>
      </c>
      <c r="P323" s="184"/>
    </row>
    <row r="324" spans="1:16">
      <c r="A324" s="183">
        <v>46254</v>
      </c>
      <c r="B324" s="184" t="str">
        <f t="shared" ca="1" si="17"/>
        <v>Active</v>
      </c>
      <c r="C324" s="184" t="s">
        <v>905</v>
      </c>
      <c r="D324" s="184" t="s">
        <v>1852</v>
      </c>
      <c r="E324" s="185">
        <f>Hráefnaskrá!$D$189/1000</f>
        <v>0.63</v>
      </c>
      <c r="F324" s="184"/>
      <c r="G324" s="184"/>
      <c r="H324" s="184"/>
      <c r="I324" s="184" t="s">
        <v>3669</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886</v>
      </c>
      <c r="D325" s="184" t="s">
        <v>1852</v>
      </c>
      <c r="E325" s="185">
        <f>Hráefnaskrá!$D$190/1000</f>
        <v>0.13</v>
      </c>
      <c r="F325" s="184"/>
      <c r="G325" s="184"/>
      <c r="H325" s="184"/>
      <c r="I325" s="184" t="s">
        <v>3669</v>
      </c>
      <c r="J325" s="184"/>
      <c r="K325" s="184" t="str">
        <f>IFERROR(IF(INDEX(Vöruskrá!$C:$C,MATCH($C325,Vöruskrá!$B:$B,0))=0,"",INDEX(Vöruskrá!$C:$C,MATCH($C325,Vöruskrá!$B:$B,0))),"")</f>
        <v>Nordic Spice AB</v>
      </c>
      <c r="L325" s="184"/>
      <c r="M325" s="184"/>
      <c r="N325" s="184"/>
      <c r="O325" s="184" t="str">
        <f>IFERROR(IF(INDEX(Vöruskrá!$I:$I,MATCH($C325,Vöruskrá!$B:$B,0))=0,"",INDEX(Vöruskrá!$I:$I,MATCH($C325,Vöruskrá!$B:$B,0))),"")</f>
        <v>https://garri.overcastcdn.com/documents/5001680B.pdf</v>
      </c>
      <c r="P325" s="184"/>
    </row>
    <row r="326" spans="1:16">
      <c r="A326" s="183">
        <v>46254</v>
      </c>
      <c r="B326" s="184" t="str">
        <f t="shared" ca="1" si="17"/>
        <v>Active</v>
      </c>
      <c r="C326" s="184" t="s">
        <v>1438</v>
      </c>
      <c r="D326" s="184" t="s">
        <v>1852</v>
      </c>
      <c r="E326" s="185">
        <f>Hráefnaskrá!$D$191/1000</f>
        <v>0.06</v>
      </c>
      <c r="F326" s="184"/>
      <c r="G326" s="184"/>
      <c r="H326" s="184"/>
      <c r="I326" s="184" t="s">
        <v>3669</v>
      </c>
      <c r="J326" s="184"/>
      <c r="K326" s="184" t="str">
        <f>IFERROR(IF(INDEX(Vöruskrá!$C:$C,MATCH($C326,Vöruskrá!$B:$B,0))=0,"",INDEX(Vöruskrá!$C:$C,MATCH($C326,Vöruskrá!$B:$B,0))),"")</f>
        <v/>
      </c>
      <c r="L326" s="184"/>
      <c r="M326" s="184"/>
      <c r="N326" s="184"/>
      <c r="O326" s="184" t="str">
        <f>IFERROR(IF(INDEX(Vöruskrá!$I:$I,MATCH($C326,Vöruskrá!$B:$B,0))=0,"",INDEX(Vöruskrá!$I:$I,MATCH($C326,Vöruskrá!$B:$B,0))),"")</f>
        <v/>
      </c>
      <c r="P326" s="184"/>
    </row>
    <row r="327" spans="1:16">
      <c r="A327" s="183">
        <v>46254</v>
      </c>
      <c r="B327" s="184" t="str">
        <f t="shared" ca="1" si="17"/>
        <v>Active</v>
      </c>
      <c r="C327" s="184" t="s">
        <v>307</v>
      </c>
      <c r="D327" s="184" t="s">
        <v>1852</v>
      </c>
      <c r="E327" s="185">
        <f>Hráefnaskrá!$D$192/1000</f>
        <v>1</v>
      </c>
      <c r="F327" s="184"/>
      <c r="G327" s="184"/>
      <c r="H327" s="184"/>
      <c r="I327" s="184" t="s">
        <v>3669</v>
      </c>
      <c r="J327" s="184"/>
      <c r="K327" s="184" t="str">
        <f>IFERROR(IF(INDEX(Vöruskrá!$C:$C,MATCH($C327,Vöruskrá!$B:$B,0))=0,"",INDEX(Vöruskrá!$C:$C,MATCH($C327,Vöruskrá!$B:$B,0))),"")</f>
        <v>Maizena / Unilever</v>
      </c>
      <c r="L327" s="184"/>
      <c r="M327" s="184"/>
      <c r="N327" s="184"/>
      <c r="O327" s="184" t="str">
        <f>IFERROR(IF(INDEX(Vöruskrá!$I:$I,MATCH($C327,Vöruskrá!$B:$B,0))=0,"",INDEX(Vöruskrá!$I:$I,MATCH($C327,Vöruskrá!$B:$B,0))),"")</f>
        <v>https://drive.google.com/file/d/1CmXprz2PFHVmxfaM0CalYclE2qYOhpF7/view?usp=sharing</v>
      </c>
      <c r="P327" s="184"/>
    </row>
    <row r="328" spans="1:16">
      <c r="A328" s="183">
        <v>46254</v>
      </c>
      <c r="B328" s="184" t="str">
        <f t="shared" ca="1" si="17"/>
        <v>Active</v>
      </c>
      <c r="C328" s="184" t="s">
        <v>949</v>
      </c>
      <c r="D328" s="184" t="s">
        <v>1852</v>
      </c>
      <c r="E328" s="185">
        <f>Hráefnaskrá!$D$193/1000</f>
        <v>10</v>
      </c>
      <c r="F328" s="184"/>
      <c r="G328" s="184"/>
      <c r="H328" s="184"/>
      <c r="I328" s="184" t="s">
        <v>3669</v>
      </c>
      <c r="J328" s="184"/>
      <c r="K328" s="184" t="str">
        <f>IFERROR(IF(INDEX(Vöruskrá!$C:$C,MATCH($C328,Vöruskrá!$B:$B,0))=0,"",INDEX(Vöruskrá!$C:$C,MATCH($C328,Vöruskrá!$B:$B,0))),"")</f>
        <v/>
      </c>
      <c r="L328" s="184"/>
      <c r="M328" s="184"/>
      <c r="N328" s="184"/>
      <c r="O328" s="184" t="str">
        <f>IFERROR(IF(INDEX(Vöruskrá!$I:$I,MATCH($C328,Vöruskrá!$B:$B,0))=0,"",INDEX(Vöruskrá!$I:$I,MATCH($C328,Vöruskrá!$B:$B,0))),"")</f>
        <v/>
      </c>
      <c r="P328" s="184"/>
    </row>
    <row r="329" spans="1:16">
      <c r="A329" s="183">
        <v>46254</v>
      </c>
      <c r="B329" s="184" t="str">
        <f t="shared" ca="1" si="17"/>
        <v>Active</v>
      </c>
      <c r="C329" s="184" t="s">
        <v>864</v>
      </c>
      <c r="D329" s="184" t="s">
        <v>1852</v>
      </c>
      <c r="E329" s="185">
        <f>Hráefnaskrá!$D$194/1000</f>
        <v>6.25</v>
      </c>
      <c r="F329" s="184"/>
      <c r="G329" s="184"/>
      <c r="H329" s="184"/>
      <c r="I329" s="184" t="s">
        <v>3669</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868</v>
      </c>
      <c r="D330" s="184" t="s">
        <v>1852</v>
      </c>
      <c r="E330" s="185">
        <f>Hráefnaskrá!$D$195/1000</f>
        <v>2.5</v>
      </c>
      <c r="F330" s="184"/>
      <c r="G330" s="184"/>
      <c r="H330" s="184"/>
      <c r="I330" s="184" t="s">
        <v>3669</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875</v>
      </c>
      <c r="D331" s="184" t="s">
        <v>1852</v>
      </c>
      <c r="E331" s="185">
        <f>Hráefnaskrá!$D$196/1000</f>
        <v>0.38</v>
      </c>
      <c r="F331" s="184"/>
      <c r="G331" s="184"/>
      <c r="H331" s="184"/>
      <c r="I331" s="184" t="s">
        <v>3669</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266</v>
      </c>
      <c r="D332" s="184" t="s">
        <v>1852</v>
      </c>
      <c r="E332" s="185">
        <f>Hráefnaskrá!$D$197/1000</f>
        <v>0.63</v>
      </c>
      <c r="F332" s="184"/>
      <c r="G332" s="184"/>
      <c r="H332" s="184"/>
      <c r="I332" s="184" t="s">
        <v>3669</v>
      </c>
      <c r="J332" s="184"/>
      <c r="K332" s="184" t="str">
        <f>IFERROR(IF(INDEX(Vöruskrá!$C:$C,MATCH($C332,Vöruskrá!$B:$B,0))=0,"",INDEX(Vöruskrá!$C:$C,MATCH($C332,Vöruskrá!$B:$B,0))),"")</f>
        <v>Katla matvælaiðja ehf.</v>
      </c>
      <c r="L332" s="184"/>
      <c r="M332" s="184"/>
      <c r="N332" s="184"/>
      <c r="O332" s="184" t="str">
        <f>IFERROR(IF(INDEX(Vöruskrá!$I:$I,MATCH($C332,Vöruskrá!$B:$B,0))=0,"",INDEX(Vöruskrá!$I:$I,MATCH($C332,Vöruskrá!$B:$B,0))),"")</f>
        <v>https://drive.google.com/file/d/18_svh90eLQ1eSbJF3qr3eWDjhyhpL95Y/view?usp=sharing</v>
      </c>
      <c r="P332" s="184"/>
    </row>
    <row r="333" spans="1:16">
      <c r="A333" s="183">
        <v>46254</v>
      </c>
      <c r="B333" s="184" t="str">
        <f t="shared" ca="1" si="17"/>
        <v>Active</v>
      </c>
      <c r="C333" s="184" t="s">
        <v>704</v>
      </c>
      <c r="D333" s="184" t="s">
        <v>1852</v>
      </c>
      <c r="E333" s="185">
        <f>Hráefnaskrá!$D$198/1000</f>
        <v>0.06</v>
      </c>
      <c r="F333" s="184"/>
      <c r="G333" s="184"/>
      <c r="H333" s="184"/>
      <c r="I333" s="184" t="s">
        <v>3669</v>
      </c>
      <c r="J333" s="184"/>
      <c r="K333" s="184" t="str">
        <f>IFERROR(IF(INDEX(Vöruskrá!$C:$C,MATCH($C333,Vöruskrá!$B:$B,0))=0,"",INDEX(Vöruskrá!$C:$C,MATCH($C333,Vöruskrá!$B:$B,0))),"")</f>
        <v>Nordic Spice AB/Garri</v>
      </c>
      <c r="L333" s="184"/>
      <c r="M333" s="184"/>
      <c r="N333" s="184"/>
      <c r="O333" s="184" t="str">
        <f>IFERROR(IF(INDEX(Vöruskrá!$I:$I,MATCH($C333,Vöruskrá!$B:$B,0))=0,"",INDEX(Vöruskrá!$I:$I,MATCH($C333,Vöruskrá!$B:$B,0))),"")</f>
        <v>https://drive.google.com/file/d/16pABGxDAo2BQ5ZBD9aqSATzh85vQmJ63/view?usp=sharing</v>
      </c>
      <c r="P333" s="184"/>
    </row>
    <row r="334" spans="1:16">
      <c r="A334" s="183">
        <v>46254</v>
      </c>
      <c r="B334" s="184" t="str">
        <f t="shared" ca="1" si="17"/>
        <v>Active</v>
      </c>
      <c r="C334" s="184" t="s">
        <v>1091</v>
      </c>
      <c r="D334" s="184" t="s">
        <v>1852</v>
      </c>
      <c r="E334" s="185">
        <f>Hráefnaskrá!$D$199/1000</f>
        <v>1.88</v>
      </c>
      <c r="F334" s="184"/>
      <c r="G334" s="184"/>
      <c r="H334" s="184"/>
      <c r="I334" s="184" t="s">
        <v>3669</v>
      </c>
      <c r="J334" s="184"/>
      <c r="K334" s="184" t="str">
        <f>IFERROR(IF(INDEX(Vöruskrá!$C:$C,MATCH($C334,Vöruskrá!$B:$B,0))=0,"",INDEX(Vöruskrá!$C:$C,MATCH($C334,Vöruskrá!$B:$B,0))),"")</f>
        <v>Garri</v>
      </c>
      <c r="L334" s="184"/>
      <c r="M334" s="184"/>
      <c r="N334" s="184"/>
      <c r="O334" s="184" t="str">
        <f>IFERROR(IF(INDEX(Vöruskrá!$I:$I,MATCH($C334,Vöruskrá!$B:$B,0))=0,"",INDEX(Vöruskrá!$I:$I,MATCH($C334,Vöruskrá!$B:$B,0))),"")</f>
        <v>https://garri.overcastcdn.com/documents/41023015.pdf</v>
      </c>
      <c r="P334" s="184"/>
    </row>
    <row r="335" spans="1:16">
      <c r="A335" s="183">
        <v>46254</v>
      </c>
      <c r="B335" s="184" t="str">
        <f t="shared" ca="1" si="17"/>
        <v>Active</v>
      </c>
      <c r="C335" s="184" t="s">
        <v>878</v>
      </c>
      <c r="D335" s="184" t="s">
        <v>1852</v>
      </c>
      <c r="E335" s="185">
        <f>Hráefnaskrá!$D$200/1000</f>
        <v>12.73</v>
      </c>
      <c r="F335" s="184"/>
      <c r="G335" s="184"/>
      <c r="H335" s="184"/>
      <c r="I335" s="184" t="s">
        <v>3669</v>
      </c>
      <c r="J335" s="184"/>
      <c r="K335" s="184" t="str">
        <f>IFERROR(IF(INDEX(Vöruskrá!$C:$C,MATCH($C335,Vöruskrá!$B:$B,0))=0,"",INDEX(Vöruskrá!$C:$C,MATCH($C335,Vöruskrá!$B:$B,0))),"")</f>
        <v/>
      </c>
      <c r="L335" s="184"/>
      <c r="M335" s="184"/>
      <c r="N335" s="184"/>
      <c r="O335" s="184" t="str">
        <f>IFERROR(IF(INDEX(Vöruskrá!$I:$I,MATCH($C335,Vöruskrá!$B:$B,0))=0,"",INDEX(Vöruskrá!$I:$I,MATCH($C335,Vöruskrá!$B:$B,0))),"")</f>
        <v/>
      </c>
      <c r="P335" s="184"/>
    </row>
    <row r="336" spans="1:16">
      <c r="A336" s="195">
        <v>46254</v>
      </c>
      <c r="B336" s="196" t="str">
        <f t="shared" ca="1" si="17"/>
        <v>Active</v>
      </c>
      <c r="C336" s="198" t="s">
        <v>1563</v>
      </c>
      <c r="D336" s="196" t="s">
        <v>1852</v>
      </c>
      <c r="E336" s="197"/>
      <c r="F336" s="196"/>
      <c r="G336" s="196"/>
      <c r="H336" s="196"/>
      <c r="I336" s="196"/>
      <c r="J336" s="196"/>
      <c r="K336" s="196"/>
      <c r="L336" s="196"/>
      <c r="M336" s="196"/>
      <c r="N336" s="196"/>
      <c r="O336" s="196"/>
      <c r="P336" s="196"/>
    </row>
    <row r="337" spans="1:16">
      <c r="A337" s="183">
        <v>46254</v>
      </c>
      <c r="B337" s="184" t="str">
        <f t="shared" ca="1" si="17"/>
        <v>Active</v>
      </c>
      <c r="C337" s="184" t="s">
        <v>826</v>
      </c>
      <c r="D337" s="184" t="s">
        <v>1852</v>
      </c>
      <c r="E337" s="185">
        <f>Hráefnaskrá!$D$238/1000</f>
        <v>85</v>
      </c>
      <c r="F337" s="184"/>
      <c r="G337" s="184"/>
      <c r="H337" s="184"/>
      <c r="I337" s="184" t="s">
        <v>3669</v>
      </c>
      <c r="J337" s="184"/>
      <c r="K337" s="184" t="str">
        <f>IFERROR(IF(INDEX(Vöruskrá!$C:$C,MATCH($C337,Vöruskrá!$B:$B,0))=0,"",INDEX(Vöruskrá!$C:$C,MATCH($C337,Vöruskrá!$B:$B,0))),"")</f>
        <v>Garri</v>
      </c>
      <c r="L337" s="184"/>
      <c r="M337" s="184"/>
      <c r="N337" s="184"/>
      <c r="O337" s="184" t="str">
        <f>IFERROR(IF(INDEX(Vöruskrá!$I:$I,MATCH($C337,Vöruskrá!$B:$B,0))=0,"",INDEX(Vöruskrá!$I:$I,MATCH($C337,Vöruskrá!$B:$B,0))),"")</f>
        <v>https://www.garri.is/vara/42010002330/</v>
      </c>
      <c r="P337" s="184"/>
    </row>
    <row r="338" spans="1:16">
      <c r="A338" s="183">
        <v>46254</v>
      </c>
      <c r="B338" s="184" t="str">
        <f t="shared" ca="1" si="17"/>
        <v>Active</v>
      </c>
      <c r="C338" s="184" t="s">
        <v>908</v>
      </c>
      <c r="D338" s="184" t="s">
        <v>1852</v>
      </c>
      <c r="E338" s="185">
        <f>Hráefnaskrá!$D$239/1000</f>
        <v>10</v>
      </c>
      <c r="F338" s="184"/>
      <c r="G338" s="184"/>
      <c r="H338" s="184"/>
      <c r="I338" s="184" t="s">
        <v>3669</v>
      </c>
      <c r="J338" s="184"/>
      <c r="K338" s="184" t="str">
        <f>IFERROR(IF(INDEX(Vöruskrá!$C:$C,MATCH($C338,Vöruskrá!$B:$B,0))=0,"",INDEX(Vöruskrá!$C:$C,MATCH($C338,Vöruskrá!$B:$B,0))),"")</f>
        <v xml:space="preserve">MS </v>
      </c>
      <c r="L338" s="184"/>
      <c r="M338" s="184"/>
      <c r="N338" s="184"/>
      <c r="O338" s="184" t="str">
        <f>IFERROR(IF(INDEX(Vöruskrá!$I:$I,MATCH($C338,Vöruskrá!$B:$B,0))=0,"",INDEX(Vöruskrá!$I:$I,MATCH($C338,Vöruskrá!$B:$B,0))),"")</f>
        <v/>
      </c>
      <c r="P338" s="184"/>
    </row>
    <row r="339" spans="1:16">
      <c r="A339" s="183">
        <v>46254</v>
      </c>
      <c r="B339" s="184" t="str">
        <f t="shared" ca="1" si="17"/>
        <v>Active</v>
      </c>
      <c r="C339" s="184" t="s">
        <v>390</v>
      </c>
      <c r="D339" s="184" t="s">
        <v>1852</v>
      </c>
      <c r="E339" s="185">
        <f>Hráefnaskrá!$D$240/1000</f>
        <v>3</v>
      </c>
      <c r="F339" s="184"/>
      <c r="G339" s="184"/>
      <c r="H339" s="184"/>
      <c r="I339" s="184" t="s">
        <v>3669</v>
      </c>
      <c r="J339" s="184"/>
      <c r="K339" s="184" t="str">
        <f>IFERROR(IF(INDEX(Vöruskrá!$C:$C,MATCH($C339,Vöruskrá!$B:$B,0))=0,"",INDEX(Vöruskrá!$C:$C,MATCH($C339,Vöruskrá!$B:$B,0))),"")</f>
        <v>MS</v>
      </c>
      <c r="L339" s="184"/>
      <c r="M339" s="184"/>
      <c r="N339" s="184"/>
      <c r="O339" s="184" t="str">
        <f>IFERROR(IF(INDEX(Vöruskrá!$I:$I,MATCH($C339,Vöruskrá!$B:$B,0))=0,"",INDEX(Vöruskrá!$I:$I,MATCH($C339,Vöruskrá!$B:$B,0))),"")</f>
        <v>https://docs.google.com/document/d/149N3quKMoWawGv9LE2FddvRhKdpdb7Cxfmhury4OOtc/edit?usp=sharing</v>
      </c>
      <c r="P339" s="184"/>
    </row>
    <row r="340" spans="1:16" ht="19.5" customHeight="1">
      <c r="A340" s="183">
        <v>46254</v>
      </c>
      <c r="B340" s="184" t="str">
        <f t="shared" ca="1" si="17"/>
        <v>Active</v>
      </c>
      <c r="C340" s="184" t="s">
        <v>266</v>
      </c>
      <c r="D340" s="184" t="s">
        <v>1852</v>
      </c>
      <c r="E340" s="185">
        <f>Hráefnaskrá!$D$241/1000</f>
        <v>0.5</v>
      </c>
      <c r="F340" s="184"/>
      <c r="G340" s="184"/>
      <c r="H340" s="184"/>
      <c r="I340" s="184" t="s">
        <v>3669</v>
      </c>
      <c r="J340" s="184"/>
      <c r="K340" s="184" t="str">
        <f>IFERROR(IF(INDEX(Vöruskrá!$C:$C,MATCH($C340,Vöruskrá!$B:$B,0))=0,"",INDEX(Vöruskrá!$C:$C,MATCH($C340,Vöruskrá!$B:$B,0))),"")</f>
        <v>Katla matvælaiðja ehf.</v>
      </c>
      <c r="L340" s="184"/>
      <c r="M340" s="184"/>
      <c r="N340" s="184"/>
      <c r="O340" s="184" t="str">
        <f>IFERROR(IF(INDEX(Vöruskrá!$I:$I,MATCH($C340,Vöruskrá!$B:$B,0))=0,"",INDEX(Vöruskrá!$I:$I,MATCH($C340,Vöruskrá!$B:$B,0))),"")</f>
        <v>https://drive.google.com/file/d/18_svh90eLQ1eSbJF3qr3eWDjhyhpL95Y/view?usp=sharing</v>
      </c>
      <c r="P340" s="184"/>
    </row>
    <row r="341" spans="1:16">
      <c r="A341" s="183">
        <v>46254</v>
      </c>
      <c r="B341" s="184" t="str">
        <f t="shared" ca="1" si="17"/>
        <v>Active</v>
      </c>
      <c r="C341" s="184" t="s">
        <v>878</v>
      </c>
      <c r="D341" s="184" t="s">
        <v>1852</v>
      </c>
      <c r="E341" s="185">
        <f>Hráefnaskrá!$D$242/1000</f>
        <v>1.5</v>
      </c>
      <c r="F341" s="184"/>
      <c r="G341" s="184"/>
      <c r="H341" s="184"/>
      <c r="I341" s="184" t="s">
        <v>3669</v>
      </c>
      <c r="J341" s="184"/>
      <c r="K341" s="184" t="str">
        <f>IFERROR(IF(INDEX(Vöruskrá!$C:$C,MATCH($C341,Vöruskrá!$B:$B,0))=0,"",INDEX(Vöruskrá!$C:$C,MATCH($C341,Vöruskrá!$B:$B,0))),"")</f>
        <v/>
      </c>
      <c r="L341" s="184"/>
      <c r="M341" s="184"/>
      <c r="N341" s="184"/>
      <c r="O341" s="184" t="str">
        <f>IFERROR(IF(INDEX(Vöruskrá!$I:$I,MATCH($C341,Vöruskrá!$B:$B,0))=0,"",INDEX(Vöruskrá!$I:$I,MATCH($C341,Vöruskrá!$B:$B,0))),"")</f>
        <v/>
      </c>
      <c r="P341" s="184"/>
    </row>
    <row r="342" spans="1:16">
      <c r="A342" s="183">
        <v>46254</v>
      </c>
      <c r="B342" s="184" t="str">
        <f t="shared" ca="1" si="17"/>
        <v>Active</v>
      </c>
      <c r="C342" s="184" t="s">
        <v>811</v>
      </c>
      <c r="D342" s="184" t="s">
        <v>1852</v>
      </c>
      <c r="E342" s="185"/>
      <c r="F342" s="184"/>
      <c r="G342" s="184"/>
      <c r="H342" s="184"/>
      <c r="I342" s="184" t="s">
        <v>3669</v>
      </c>
      <c r="J342" s="184"/>
      <c r="K342" s="184" t="str">
        <f>IFERROR(IF(INDEX(Vöruskrá!$C:$C,MATCH($C342,Vöruskrá!$B:$B,0))=0,"",INDEX(Vöruskrá!$C:$C,MATCH($C342,Vöruskrá!$B:$B,0))),"")</f>
        <v>Hafið</v>
      </c>
      <c r="L342" s="184"/>
      <c r="M342" s="184"/>
      <c r="N342" s="184"/>
      <c r="O342" s="184" t="str">
        <f>IFERROR(IF(INDEX(Vöruskrá!$I:$I,MATCH($C342,Vöruskrá!$B:$B,0))=0,"",INDEX(Vöruskrá!$I:$I,MATCH($C342,Vöruskrá!$B:$B,0))),"")</f>
        <v>https://docs.google.com/document/d/1Ps6UYHJuFmQ__ZVAQZMeoQGW-cSAoK8G-Iymid0ItbU/edit?usp=sharing</v>
      </c>
      <c r="P342" s="184"/>
    </row>
    <row r="343" spans="1:16">
      <c r="A343" s="183">
        <v>46254</v>
      </c>
      <c r="B343" s="184" t="str">
        <f t="shared" ca="1" si="17"/>
        <v>Active</v>
      </c>
      <c r="C343" s="184" t="s">
        <v>306</v>
      </c>
      <c r="D343" s="184" t="s">
        <v>1852</v>
      </c>
      <c r="E343" s="185"/>
      <c r="F343" s="184"/>
      <c r="G343" s="184"/>
      <c r="H343" s="184"/>
      <c r="I343" s="184" t="s">
        <v>3669</v>
      </c>
      <c r="J343" s="184"/>
      <c r="K343" s="184" t="str">
        <f>IFERROR(IF(INDEX(Vöruskrá!$C:$C,MATCH($C343,Vöruskrá!$B:$B,0))=0,"",INDEX(Vöruskrá!$C:$C,MATCH($C343,Vöruskrá!$B:$B,0))),"")</f>
        <v>Khao C.P. Co., Ltd.</v>
      </c>
      <c r="L343" s="184"/>
      <c r="M343" s="184"/>
      <c r="N343" s="184"/>
      <c r="O343" s="184" t="str">
        <f>IFERROR(IF(INDEX(Vöruskrá!$I:$I,MATCH($C343,Vöruskrá!$B:$B,0))=0,"",INDEX(Vöruskrá!$I:$I,MATCH($C343,Vöruskrá!$B:$B,0))),"")</f>
        <v/>
      </c>
      <c r="P343" s="184"/>
    </row>
    <row r="344" spans="1:16">
      <c r="A344" s="183">
        <v>46254</v>
      </c>
      <c r="B344" s="184" t="str">
        <f t="shared" ca="1" si="17"/>
        <v>Active</v>
      </c>
      <c r="C344" s="184" t="s">
        <v>497</v>
      </c>
      <c r="D344" s="184" t="s">
        <v>1867</v>
      </c>
      <c r="E344" s="185"/>
      <c r="F344" s="184"/>
      <c r="G344" s="184"/>
      <c r="H344" s="184"/>
      <c r="I344" s="184" t="s">
        <v>3669</v>
      </c>
      <c r="J344" s="184"/>
      <c r="K344" s="184" t="str">
        <f>IFERROR(IF(INDEX(Vöruskrá!$C:$C,MATCH($C344,Vöruskrá!$B:$B,0))=0,"",INDEX(Vöruskrá!$C:$C,MATCH($C344,Vöruskrá!$B:$B,0))),"")</f>
        <v>Álfasaga ehf. (Móðir Náttúra)</v>
      </c>
      <c r="L344" s="184"/>
      <c r="M344" s="184"/>
      <c r="N344" s="184"/>
      <c r="O344" s="184" t="str">
        <f>IFERROR(IF(INDEX(Vöruskrá!$I:$I,MATCH($C344,Vöruskrá!$B:$B,0))=0,"",INDEX(Vöruskrá!$I:$I,MATCH($C344,Vöruskrá!$B:$B,0))),"")</f>
        <v>https://drive.google.com/file/d/1PX_eU1Wgs2dzM0SbE9-EHWEIiCDqMv88/view?usp=sharing</v>
      </c>
      <c r="P344" s="184"/>
    </row>
    <row r="345" spans="1:16">
      <c r="A345" s="183">
        <v>46254</v>
      </c>
      <c r="B345" s="184" t="str">
        <f t="shared" ca="1" si="17"/>
        <v>Active</v>
      </c>
      <c r="C345" s="184" t="s">
        <v>306</v>
      </c>
      <c r="D345" s="184" t="s">
        <v>1867</v>
      </c>
      <c r="E345" s="185"/>
      <c r="F345" s="184"/>
      <c r="G345" s="184"/>
      <c r="H345" s="184"/>
      <c r="I345" s="184" t="s">
        <v>3669</v>
      </c>
      <c r="J345" s="184"/>
      <c r="K345" s="184" t="str">
        <f>IFERROR(IF(INDEX(Vöruskrá!$C:$C,MATCH($C345,Vöruskrá!$B:$B,0))=0,"",INDEX(Vöruskrá!$C:$C,MATCH($C345,Vöruskrá!$B:$B,0))),"")</f>
        <v>Khao C.P. Co., Ltd.</v>
      </c>
      <c r="L345" s="184"/>
      <c r="M345" s="184"/>
      <c r="N345" s="184"/>
      <c r="O345" s="184" t="str">
        <f>IFERROR(IF(INDEX(Vöruskrá!$I:$I,MATCH($C345,Vöruskrá!$B:$B,0))=0,"",INDEX(Vöruskrá!$I:$I,MATCH($C345,Vöruskrá!$B:$B,0))),"")</f>
        <v/>
      </c>
      <c r="P345" s="184"/>
    </row>
    <row r="346" spans="1:16">
      <c r="A346" s="183">
        <v>46254</v>
      </c>
      <c r="B346" s="184" t="str">
        <f t="shared" ca="1" si="17"/>
        <v>Active</v>
      </c>
      <c r="C346" s="184" t="s">
        <v>653</v>
      </c>
      <c r="D346" s="184" t="s">
        <v>1867</v>
      </c>
      <c r="E346" s="185"/>
      <c r="F346" s="184"/>
      <c r="G346" s="184"/>
      <c r="H346" s="184"/>
      <c r="I346" s="184" t="s">
        <v>3669</v>
      </c>
      <c r="J346" s="184"/>
      <c r="K346" s="184" t="str">
        <f>IFERROR(IF(INDEX(Vöruskrá!$C:$C,MATCH($C346,Vöruskrá!$B:$B,0))=0,"",INDEX(Vöruskrá!$C:$C,MATCH($C346,Vöruskrá!$B:$B,0))),"")</f>
        <v>Kjarnavörur hf.</v>
      </c>
      <c r="L346" s="184"/>
      <c r="M346" s="184"/>
      <c r="N346" s="184"/>
      <c r="O346" s="184" t="str">
        <f>IFERROR(IF(INDEX(Vöruskrá!$I:$I,MATCH($C346,Vöruskrá!$B:$B,0))=0,"",INDEX(Vöruskrá!$I:$I,MATCH($C346,Vöruskrá!$B:$B,0))),"")</f>
        <v>https://docs.google.com/document/d/15t1-eFXH5rXaH6pTM_JrSsvUWFxMzyA_tsC46TAvUZ0/edit?usp=sharing</v>
      </c>
      <c r="P346" s="184"/>
    </row>
    <row r="347" spans="1:16">
      <c r="A347" s="183">
        <v>46254</v>
      </c>
      <c r="B347" s="184" t="str">
        <f t="shared" ca="1" si="17"/>
        <v>Active</v>
      </c>
      <c r="C347" s="184" t="s">
        <v>584</v>
      </c>
      <c r="D347" s="184" t="s">
        <v>946</v>
      </c>
      <c r="E347" s="185"/>
      <c r="F347" s="184"/>
      <c r="G347" s="184"/>
      <c r="H347" s="184"/>
      <c r="I347" s="184" t="s">
        <v>3669</v>
      </c>
      <c r="J347" s="184"/>
      <c r="K347" s="184" t="str">
        <f>IFERROR(IF(INDEX(Vöruskrá!$C:$C,MATCH($C347,Vöruskrá!$B:$B,0))=0,"",INDEX(Vöruskrá!$C:$C,MATCH($C347,Vöruskrá!$B:$B,0))),"")</f>
        <v>Matfugl ehf.</v>
      </c>
      <c r="L347" s="184"/>
      <c r="M347" s="184"/>
      <c r="N347" s="184"/>
      <c r="O347" s="184" t="str">
        <f>IFERROR(IF(INDEX(Vöruskrá!$I:$I,MATCH($C347,Vöruskrá!$B:$B,0))=0,"",INDEX(Vöruskrá!$I:$I,MATCH($C347,Vöruskrá!$B:$B,0))),"")</f>
        <v>https://docs.google.com/document/d/1EsNktCPLeisXKdBfLEd-K6e2nCcDizbi7u-xKS5wyDQ/edit?usp=sharing</v>
      </c>
      <c r="P347" s="184"/>
    </row>
    <row r="348" spans="1:16">
      <c r="A348" s="183">
        <v>46254</v>
      </c>
      <c r="B348" s="184" t="str">
        <f t="shared" ca="1" si="17"/>
        <v>Active</v>
      </c>
      <c r="C348" s="184" t="s">
        <v>653</v>
      </c>
      <c r="D348" s="184" t="s">
        <v>946</v>
      </c>
      <c r="E348" s="185"/>
      <c r="F348" s="184"/>
      <c r="G348" s="184"/>
      <c r="H348" s="184"/>
      <c r="I348" s="184" t="s">
        <v>3669</v>
      </c>
      <c r="J348" s="184"/>
      <c r="K348" s="184" t="str">
        <f>IFERROR(IF(INDEX(Vöruskrá!$C:$C,MATCH($C348,Vöruskrá!$B:$B,0))=0,"",INDEX(Vöruskrá!$C:$C,MATCH($C348,Vöruskrá!$B:$B,0))),"")</f>
        <v>Kjarnavörur hf.</v>
      </c>
      <c r="L348" s="184"/>
      <c r="M348" s="184"/>
      <c r="N348" s="184"/>
      <c r="O348" s="184" t="str">
        <f>IFERROR(IF(INDEX(Vöruskrá!$I:$I,MATCH($C348,Vöruskrá!$B:$B,0))=0,"",INDEX(Vöruskrá!$I:$I,MATCH($C348,Vöruskrá!$B:$B,0))),"")</f>
        <v>https://docs.google.com/document/d/15t1-eFXH5rXaH6pTM_JrSsvUWFxMzyA_tsC46TAvUZ0/edit?usp=sharing</v>
      </c>
      <c r="P348" s="184"/>
    </row>
    <row r="349" spans="1:16">
      <c r="A349" s="183">
        <v>46254</v>
      </c>
      <c r="B349" s="184" t="str">
        <f t="shared" ca="1" si="17"/>
        <v>Active</v>
      </c>
      <c r="C349" s="184" t="s">
        <v>1371</v>
      </c>
      <c r="D349" s="184" t="s">
        <v>1885</v>
      </c>
      <c r="E349" s="185"/>
      <c r="F349" s="184"/>
      <c r="G349" s="184"/>
      <c r="H349" s="184"/>
      <c r="I349" s="184" t="s">
        <v>3669</v>
      </c>
      <c r="J349" s="184"/>
      <c r="K349" s="184" t="str">
        <f>IFERROR(IF(INDEX(Vöruskrá!$C:$C,MATCH($C349,Vöruskrá!$B:$B,0))=0,"",INDEX(Vöruskrá!$C:$C,MATCH($C349,Vöruskrá!$B:$B,0))),"")</f>
        <v>Myllan</v>
      </c>
      <c r="L349" s="184"/>
      <c r="M349" s="184"/>
      <c r="N349" s="184"/>
      <c r="O349" s="184" t="str">
        <f>IFERROR(IF(INDEX(Vöruskrá!$I:$I,MATCH($C349,Vöruskrá!$B:$B,0))=0,"",INDEX(Vöruskrá!$I:$I,MATCH($C349,Vöruskrá!$B:$B,0))),"")</f>
        <v>https://www.myllan.is/static/files/upplysingablod/1055_myllan_upplysingablad.pdf?v=1676628428</v>
      </c>
      <c r="P349" s="184"/>
    </row>
    <row r="350" spans="1:16">
      <c r="A350" s="183">
        <v>46254</v>
      </c>
      <c r="B350" s="184" t="str">
        <f t="shared" ca="1" si="17"/>
        <v>Active</v>
      </c>
      <c r="C350" s="184" t="s">
        <v>562</v>
      </c>
      <c r="D350" s="184" t="s">
        <v>1885</v>
      </c>
      <c r="E350" s="185"/>
      <c r="F350" s="184"/>
      <c r="G350" s="184"/>
      <c r="H350" s="184"/>
      <c r="I350" s="184" t="s">
        <v>3669</v>
      </c>
      <c r="J350" s="184"/>
      <c r="K350" s="184" t="str">
        <f>IFERROR(IF(INDEX(Vöruskrá!$C:$C,MATCH($C350,Vöruskrá!$B:$B,0))=0,"",INDEX(Vöruskrá!$C:$C,MATCH($C350,Vöruskrá!$B:$B,0))),"")</f>
        <v>Kjarnafæði Norðlenska hf.</v>
      </c>
      <c r="L350" s="184"/>
      <c r="M350" s="184"/>
      <c r="N350" s="184"/>
      <c r="O350" s="184" t="str">
        <f>IFERROR(IF(INDEX(Vöruskrá!$I:$I,MATCH($C350,Vöruskrá!$B:$B,0))=0,"",INDEX(Vöruskrá!$I:$I,MATCH($C350,Vöruskrá!$B:$B,0))),"")</f>
        <v>https://docs.google.com/document/d/1iXvC7kN0wGPam-zMk0XlcLESdw9tCpSF14EDgGArP38/edit?usp=sharing</v>
      </c>
      <c r="P350" s="184"/>
    </row>
    <row r="351" spans="1:16">
      <c r="A351" s="192">
        <v>46255</v>
      </c>
      <c r="B351" s="193"/>
      <c r="C351" s="193" t="s">
        <v>4210</v>
      </c>
      <c r="D351" s="193"/>
      <c r="E351" s="194"/>
      <c r="F351" s="193"/>
      <c r="G351" s="193"/>
      <c r="H351" s="193"/>
      <c r="I351" s="193"/>
      <c r="J351" s="193"/>
      <c r="K351" s="193"/>
      <c r="L351" s="193"/>
      <c r="M351" s="193"/>
      <c r="N351" s="193"/>
      <c r="O351" s="193"/>
      <c r="P351" s="193"/>
    </row>
    <row r="352" spans="1:16">
      <c r="A352" s="195">
        <v>46255</v>
      </c>
      <c r="B352" s="196" t="str">
        <f t="shared" ref="B352:B372" ca="1" si="18">IF($A352&lt;TODAY(),"Expired","Active")</f>
        <v>Active</v>
      </c>
      <c r="C352" s="198" t="s">
        <v>1547</v>
      </c>
      <c r="D352" s="196" t="s">
        <v>1852</v>
      </c>
      <c r="E352" s="197"/>
      <c r="F352" s="196"/>
      <c r="G352" s="196"/>
      <c r="H352" s="196"/>
      <c r="I352" s="196"/>
      <c r="J352" s="196"/>
      <c r="K352" s="196"/>
      <c r="L352" s="196"/>
      <c r="M352" s="196"/>
      <c r="N352" s="196"/>
      <c r="O352" s="196"/>
      <c r="P352" s="196"/>
    </row>
    <row r="353" spans="1:16">
      <c r="A353" s="183">
        <v>46255</v>
      </c>
      <c r="B353" s="184" t="str">
        <f t="shared" ca="1" si="18"/>
        <v>Active</v>
      </c>
      <c r="C353" s="184" t="s">
        <v>152</v>
      </c>
      <c r="D353" s="184" t="s">
        <v>1852</v>
      </c>
      <c r="E353" s="185">
        <f>Hráefnaskrá!$D$201/1000</f>
        <v>90</v>
      </c>
      <c r="F353" s="184"/>
      <c r="G353" s="184"/>
      <c r="H353" s="184"/>
      <c r="I353" s="184" t="s">
        <v>3669</v>
      </c>
      <c r="J353" s="184"/>
      <c r="K353" s="184" t="str">
        <f>IFERROR(IF(INDEX(Vöruskrá!$C:$C,MATCH($C353,Vöruskrá!$B:$B,0))=0,"",INDEX(Vöruskrá!$C:$C,MATCH($C353,Vöruskrá!$B:$B,0))),"")</f>
        <v>Danpo</v>
      </c>
      <c r="L353" s="184"/>
      <c r="M353" s="184"/>
      <c r="N353" s="184"/>
      <c r="O353" s="184" t="str">
        <f>IFERROR(IF(INDEX(Vöruskrá!$I:$I,MATCH($C353,Vöruskrá!$B:$B,0))=0,"",INDEX(Vöruskrá!$I:$I,MATCH($C353,Vöruskrá!$B:$B,0))),"")</f>
        <v>https://drive.google.com/file/d/1GO4O3alIJnHNWfA6fdAD_SVmAdbBm5wZ/view?usp=sharing</v>
      </c>
      <c r="P353" s="184"/>
    </row>
    <row r="354" spans="1:16">
      <c r="A354" s="183">
        <v>46255</v>
      </c>
      <c r="B354" s="184" t="str">
        <f t="shared" ca="1" si="18"/>
        <v>Active</v>
      </c>
      <c r="C354" s="184" t="s">
        <v>877</v>
      </c>
      <c r="D354" s="184" t="s">
        <v>1852</v>
      </c>
      <c r="E354" s="185">
        <f>Hráefnaskrá!$D$202/1000</f>
        <v>4</v>
      </c>
      <c r="F354" s="184"/>
      <c r="G354" s="184"/>
      <c r="H354" s="184"/>
      <c r="I354" s="184" t="s">
        <v>3669</v>
      </c>
      <c r="J354" s="184"/>
      <c r="K354" s="184" t="str">
        <f>IFERROR(IF(INDEX(Vöruskrá!$C:$C,MATCH($C354,Vöruskrá!$B:$B,0))=0,"",INDEX(Vöruskrá!$C:$C,MATCH($C354,Vöruskrá!$B:$B,0))),"")</f>
        <v/>
      </c>
      <c r="L354" s="184"/>
      <c r="M354" s="184"/>
      <c r="N354" s="184"/>
      <c r="O354" s="184" t="str">
        <f>IFERROR(IF(INDEX(Vöruskrá!$I:$I,MATCH($C354,Vöruskrá!$B:$B,0))=0,"",INDEX(Vöruskrá!$I:$I,MATCH($C354,Vöruskrá!$B:$B,0))),"")</f>
        <v/>
      </c>
      <c r="P354" s="184"/>
    </row>
    <row r="355" spans="1:16">
      <c r="A355" s="183">
        <v>46255</v>
      </c>
      <c r="B355" s="184" t="str">
        <f t="shared" ca="1" si="18"/>
        <v>Active</v>
      </c>
      <c r="C355" s="184" t="s">
        <v>875</v>
      </c>
      <c r="D355" s="184" t="s">
        <v>1852</v>
      </c>
      <c r="E355" s="185">
        <f>Hráefnaskrá!$D$203/1000</f>
        <v>1.3</v>
      </c>
      <c r="F355" s="184"/>
      <c r="G355" s="184"/>
      <c r="H355" s="184"/>
      <c r="I355" s="184" t="s">
        <v>3669</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886</v>
      </c>
      <c r="D356" s="184" t="s">
        <v>1852</v>
      </c>
      <c r="E356" s="185">
        <f>Hráefnaskrá!$D$204/1000</f>
        <v>0.5</v>
      </c>
      <c r="F356" s="184"/>
      <c r="G356" s="184"/>
      <c r="H356" s="184"/>
      <c r="I356" s="184" t="s">
        <v>3669</v>
      </c>
      <c r="J356" s="184"/>
      <c r="K356" s="184" t="str">
        <f>IFERROR(IF(INDEX(Vöruskrá!$C:$C,MATCH($C356,Vöruskrá!$B:$B,0))=0,"",INDEX(Vöruskrá!$C:$C,MATCH($C356,Vöruskrá!$B:$B,0))),"")</f>
        <v>Nordic Spice AB</v>
      </c>
      <c r="L356" s="184"/>
      <c r="M356" s="184"/>
      <c r="N356" s="184"/>
      <c r="O356" s="184" t="str">
        <f>IFERROR(IF(INDEX(Vöruskrá!$I:$I,MATCH($C356,Vöruskrá!$B:$B,0))=0,"",INDEX(Vöruskrá!$I:$I,MATCH($C356,Vöruskrá!$B:$B,0))),"")</f>
        <v>https://garri.overcastcdn.com/documents/5001680B.pdf</v>
      </c>
      <c r="P356" s="184"/>
    </row>
    <row r="357" spans="1:16">
      <c r="A357" s="183">
        <v>46255</v>
      </c>
      <c r="B357" s="184" t="str">
        <f t="shared" ca="1" si="18"/>
        <v>Active</v>
      </c>
      <c r="C357" s="184" t="s">
        <v>701</v>
      </c>
      <c r="D357" s="184" t="s">
        <v>1852</v>
      </c>
      <c r="E357" s="185">
        <f>Hráefnaskrá!$D$205/1000</f>
        <v>0.3</v>
      </c>
      <c r="F357" s="184"/>
      <c r="G357" s="184"/>
      <c r="H357" s="184"/>
      <c r="I357" s="184" t="s">
        <v>3669</v>
      </c>
      <c r="J357" s="184"/>
      <c r="K357" s="184" t="str">
        <f>IFERROR(IF(INDEX(Vöruskrá!$C:$C,MATCH($C357,Vöruskrá!$B:$B,0))=0,"",INDEX(Vöruskrá!$C:$C,MATCH($C357,Vöruskrá!$B:$B,0))),"")</f>
        <v>Nordic Spice AB/Garri</v>
      </c>
      <c r="L357" s="184"/>
      <c r="M357" s="184"/>
      <c r="N357" s="184"/>
      <c r="O357" s="184" t="str">
        <f>IFERROR(IF(INDEX(Vöruskrá!$I:$I,MATCH($C357,Vöruskrá!$B:$B,0))=0,"",INDEX(Vöruskrá!$I:$I,MATCH($C357,Vöruskrá!$B:$B,0))),"")</f>
        <v>https://drive.google.com/file/d/1NxDuZHxld5CsvYcJgTiXxTjyQty0WriF/view?usp=sharing</v>
      </c>
      <c r="P357" s="184"/>
    </row>
    <row r="358" spans="1:16">
      <c r="A358" s="183">
        <v>46255</v>
      </c>
      <c r="B358" s="184" t="str">
        <f t="shared" ca="1" si="18"/>
        <v>Active</v>
      </c>
      <c r="C358" s="184" t="s">
        <v>905</v>
      </c>
      <c r="D358" s="184" t="s">
        <v>1852</v>
      </c>
      <c r="E358" s="185">
        <f>Hráefnaskrá!$D$206/1000</f>
        <v>1.6</v>
      </c>
      <c r="F358" s="184"/>
      <c r="G358" s="184"/>
      <c r="H358" s="184"/>
      <c r="I358" s="184" t="s">
        <v>3669</v>
      </c>
      <c r="J358" s="184"/>
      <c r="K358" s="184" t="str">
        <f>IFERROR(IF(INDEX(Vöruskrá!$C:$C,MATCH($C358,Vöruskrá!$B:$B,0))=0,"",INDEX(Vöruskrá!$C:$C,MATCH($C358,Vöruskrá!$B:$B,0))),"")</f>
        <v/>
      </c>
      <c r="L358" s="184"/>
      <c r="M358" s="184"/>
      <c r="N358" s="184"/>
      <c r="O358" s="184" t="str">
        <f>IFERROR(IF(INDEX(Vöruskrá!$I:$I,MATCH($C358,Vöruskrá!$B:$B,0))=0,"",INDEX(Vöruskrá!$I:$I,MATCH($C358,Vöruskrá!$B:$B,0))),"")</f>
        <v/>
      </c>
      <c r="P358" s="184"/>
    </row>
    <row r="359" spans="1:16">
      <c r="A359" s="183">
        <v>46255</v>
      </c>
      <c r="B359" s="184" t="str">
        <f t="shared" ca="1" si="18"/>
        <v>Active</v>
      </c>
      <c r="C359" s="184" t="s">
        <v>1440</v>
      </c>
      <c r="D359" s="184" t="s">
        <v>1852</v>
      </c>
      <c r="E359" s="185">
        <f>Hráefnaskrá!$D$207/1000</f>
        <v>0.8</v>
      </c>
      <c r="F359" s="184"/>
      <c r="G359" s="184"/>
      <c r="H359" s="184"/>
      <c r="I359" s="184" t="s">
        <v>3669</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984</v>
      </c>
      <c r="D360" s="184" t="s">
        <v>1852</v>
      </c>
      <c r="E360" s="185">
        <f>Hráefnaskrá!$D$208/1000</f>
        <v>0.15</v>
      </c>
      <c r="F360" s="184"/>
      <c r="G360" s="184"/>
      <c r="H360" s="184"/>
      <c r="I360" s="184" t="s">
        <v>3669</v>
      </c>
      <c r="J360" s="184"/>
      <c r="K360" s="184" t="str">
        <f>IFERROR(IF(INDEX(Vöruskrá!$C:$C,MATCH($C360,Vöruskrá!$B:$B,0))=0,"",INDEX(Vöruskrá!$C:$C,MATCH($C360,Vöruskrá!$B:$B,0))),"")</f>
        <v>Nordic Spice AB/Garri</v>
      </c>
      <c r="L360" s="184"/>
      <c r="M360" s="184"/>
      <c r="N360" s="184"/>
      <c r="O360" s="184" t="str">
        <f>IFERROR(IF(INDEX(Vöruskrá!$I:$I,MATCH($C360,Vöruskrá!$B:$B,0))=0,"",INDEX(Vöruskrá!$I:$I,MATCH($C360,Vöruskrá!$B:$B,0))),"")</f>
        <v>https://garri.overcastcdn.com/documents/5000310C.pdf</v>
      </c>
      <c r="P360" s="184"/>
    </row>
    <row r="361" spans="1:16">
      <c r="A361" s="183">
        <v>46255</v>
      </c>
      <c r="B361" s="184" t="str">
        <f t="shared" ca="1" si="18"/>
        <v>Active</v>
      </c>
      <c r="C361" s="184" t="s">
        <v>988</v>
      </c>
      <c r="D361" s="184" t="s">
        <v>1852</v>
      </c>
      <c r="E361" s="185">
        <f>Hráefnaskrá!$D$209/1000</f>
        <v>0.2</v>
      </c>
      <c r="F361" s="184"/>
      <c r="G361" s="184"/>
      <c r="H361" s="184"/>
      <c r="I361" s="184" t="s">
        <v>3669</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https://garri.overcastcdn.com/documents/5001411C.pdf</v>
      </c>
      <c r="P361" s="184"/>
    </row>
    <row r="362" spans="1:16">
      <c r="A362" s="183">
        <v>46255</v>
      </c>
      <c r="B362" s="184" t="str">
        <f t="shared" ca="1" si="18"/>
        <v>Active</v>
      </c>
      <c r="C362" s="184" t="s">
        <v>266</v>
      </c>
      <c r="D362" s="184" t="s">
        <v>1852</v>
      </c>
      <c r="E362" s="185">
        <f>Hráefnaskrá!$D$210/1000</f>
        <v>0.99</v>
      </c>
      <c r="F362" s="184"/>
      <c r="G362" s="184"/>
      <c r="H362" s="184"/>
      <c r="I362" s="184" t="s">
        <v>3669</v>
      </c>
      <c r="J362" s="184"/>
      <c r="K362" s="184" t="str">
        <f>IFERROR(IF(INDEX(Vöruskrá!$C:$C,MATCH($C362,Vöruskrá!$B:$B,0))=0,"",INDEX(Vöruskrá!$C:$C,MATCH($C362,Vöruskrá!$B:$B,0))),"")</f>
        <v>Katla matvælaiðja ehf.</v>
      </c>
      <c r="L362" s="184"/>
      <c r="M362" s="184"/>
      <c r="N362" s="184"/>
      <c r="O362" s="184" t="str">
        <f>IFERROR(IF(INDEX(Vöruskrá!$I:$I,MATCH($C362,Vöruskrá!$B:$B,0))=0,"",INDEX(Vöruskrá!$I:$I,MATCH($C362,Vöruskrá!$B:$B,0))),"")</f>
        <v>https://drive.google.com/file/d/18_svh90eLQ1eSbJF3qr3eWDjhyhpL95Y/view?usp=sharing</v>
      </c>
      <c r="P362" s="184"/>
    </row>
    <row r="363" spans="1:16">
      <c r="A363" s="183">
        <v>46255</v>
      </c>
      <c r="B363" s="184" t="str">
        <f t="shared" ca="1" si="18"/>
        <v>Active</v>
      </c>
      <c r="C363" s="184" t="s">
        <v>704</v>
      </c>
      <c r="D363" s="184" t="s">
        <v>1852</v>
      </c>
      <c r="E363" s="185">
        <f>Hráefnaskrá!$D$211/1000</f>
        <v>0.16</v>
      </c>
      <c r="F363" s="184"/>
      <c r="G363" s="184"/>
      <c r="H363" s="184"/>
      <c r="I363" s="184" t="s">
        <v>3669</v>
      </c>
      <c r="J363" s="184"/>
      <c r="K363" s="184" t="str">
        <f>IFERROR(IF(INDEX(Vöruskrá!$C:$C,MATCH($C363,Vöruskrá!$B:$B,0))=0,"",INDEX(Vöruskrá!$C:$C,MATCH($C363,Vöruskrá!$B:$B,0))),"")</f>
        <v>Nordic Spice AB/Garri</v>
      </c>
      <c r="L363" s="184"/>
      <c r="M363" s="184"/>
      <c r="N363" s="184"/>
      <c r="O363" s="184" t="str">
        <f>IFERROR(IF(INDEX(Vöruskrá!$I:$I,MATCH($C363,Vöruskrá!$B:$B,0))=0,"",INDEX(Vöruskrá!$I:$I,MATCH($C363,Vöruskrá!$B:$B,0))),"")</f>
        <v>https://drive.google.com/file/d/16pABGxDAo2BQ5ZBD9aqSATzh85vQmJ63/view?usp=sharing</v>
      </c>
      <c r="P363" s="184"/>
    </row>
    <row r="364" spans="1:16">
      <c r="A364" s="183">
        <v>46255</v>
      </c>
      <c r="B364" s="184" t="str">
        <f t="shared" ca="1" si="18"/>
        <v>Active</v>
      </c>
      <c r="C364" s="184" t="s">
        <v>242</v>
      </c>
      <c r="D364" s="184" t="s">
        <v>1852</v>
      </c>
      <c r="E364" s="185"/>
      <c r="F364" s="184"/>
      <c r="G364" s="184"/>
      <c r="H364" s="184"/>
      <c r="I364" s="184" t="s">
        <v>3669</v>
      </c>
      <c r="J364" s="184"/>
      <c r="K364" s="184" t="str">
        <f>IFERROR(IF(INDEX(Vöruskrá!$C:$C,MATCH($C364,Vöruskrá!$B:$B,0))=0,"",INDEX(Vöruskrá!$C:$C,MATCH($C364,Vöruskrá!$B:$B,0))),"")</f>
        <v>Mydibel</v>
      </c>
      <c r="L364" s="184"/>
      <c r="M364" s="184"/>
      <c r="N364" s="184"/>
      <c r="O364" s="184" t="str">
        <f>IFERROR(IF(INDEX(Vöruskrá!$I:$I,MATCH($C364,Vöruskrá!$B:$B,0))=0,"",INDEX(Vöruskrá!$I:$I,MATCH($C364,Vöruskrá!$B:$B,0))),"")</f>
        <v>https://vefverslun.ojk-isam.is/api/BlobForward/inline/ojkisam/189951b7-effb-4203-bd14-2e1084333a72.pdf</v>
      </c>
      <c r="P364" s="184"/>
    </row>
    <row r="365" spans="1:16">
      <c r="A365" s="183">
        <v>46255</v>
      </c>
      <c r="B365" s="184" t="str">
        <f t="shared" ca="1" si="18"/>
        <v>Active</v>
      </c>
      <c r="C365" s="184" t="s">
        <v>1036</v>
      </c>
      <c r="D365" s="184" t="s">
        <v>1852</v>
      </c>
      <c r="E365" s="185"/>
      <c r="F365" s="184"/>
      <c r="G365" s="184"/>
      <c r="H365" s="184"/>
      <c r="I365" s="184" t="s">
        <v>3669</v>
      </c>
      <c r="J365" s="184"/>
      <c r="K365" s="184" t="str">
        <f>IFERROR(IF(INDEX(Vöruskrá!$C:$C,MATCH($C365,Vöruskrá!$B:$B,0))=0,"",INDEX(Vöruskrá!$C:$C,MATCH($C365,Vöruskrá!$B:$B,0))),"")</f>
        <v>Matarstund</v>
      </c>
      <c r="L365" s="184"/>
      <c r="M365" s="184"/>
      <c r="N365" s="184"/>
      <c r="O365" s="184" t="str">
        <f>IFERROR(IF(INDEX(Vöruskrá!$I:$I,MATCH($C365,Vöruskrá!$B:$B,0))=0,"",INDEX(Vöruskrá!$I:$I,MATCH($C365,Vöruskrá!$B:$B,0))),"")</f>
        <v/>
      </c>
      <c r="P365" s="184"/>
    </row>
    <row r="366" spans="1:16">
      <c r="A366" s="183">
        <v>46255</v>
      </c>
      <c r="B366" s="184" t="str">
        <f t="shared" ca="1" si="18"/>
        <v>Active</v>
      </c>
      <c r="C366" s="184" t="s">
        <v>242</v>
      </c>
      <c r="D366" s="184" t="s">
        <v>1852</v>
      </c>
      <c r="E366" s="185"/>
      <c r="F366" s="184"/>
      <c r="G366" s="184"/>
      <c r="H366" s="184"/>
      <c r="I366" s="184" t="s">
        <v>3669</v>
      </c>
      <c r="J366" s="184"/>
      <c r="K366" s="184" t="str">
        <f>IFERROR(IF(INDEX(Vöruskrá!$C:$C,MATCH($C366,Vöruskrá!$B:$B,0))=0,"",INDEX(Vöruskrá!$C:$C,MATCH($C366,Vöruskrá!$B:$B,0))),"")</f>
        <v>Mydibel</v>
      </c>
      <c r="L366" s="184"/>
      <c r="M366" s="184"/>
      <c r="N366" s="184"/>
      <c r="O366" s="184" t="str">
        <f>IFERROR(IF(INDEX(Vöruskrá!$I:$I,MATCH($C366,Vöruskrá!$B:$B,0))=0,"",INDEX(Vöruskrá!$I:$I,MATCH($C366,Vöruskrá!$B:$B,0))),"")</f>
        <v>https://vefverslun.ojk-isam.is/api/BlobForward/inline/ojkisam/189951b7-effb-4203-bd14-2e1084333a72.pdf</v>
      </c>
      <c r="P366" s="184"/>
    </row>
    <row r="367" spans="1:16">
      <c r="A367" s="183">
        <v>46255</v>
      </c>
      <c r="B367" s="184" t="str">
        <f t="shared" ca="1" si="18"/>
        <v>Active</v>
      </c>
      <c r="C367" s="184" t="s">
        <v>257</v>
      </c>
      <c r="D367" s="184" t="s">
        <v>1852</v>
      </c>
      <c r="E367" s="185"/>
      <c r="F367" s="184"/>
      <c r="G367" s="184"/>
      <c r="H367" s="184"/>
      <c r="I367" s="184" t="s">
        <v>3669</v>
      </c>
      <c r="J367" s="184"/>
      <c r="K367" s="184" t="str">
        <f>IFERROR(IF(INDEX(Vöruskrá!$C:$C,MATCH($C367,Vöruskrá!$B:$B,0))=0,"",INDEX(Vöruskrá!$C:$C,MATCH($C367,Vöruskrá!$B:$B,0))),"")</f>
        <v>Kjarnavörur hf.</v>
      </c>
      <c r="L367" s="184"/>
      <c r="M367" s="184"/>
      <c r="N367" s="184"/>
      <c r="O367" s="184" t="str">
        <f>IFERROR(IF(INDEX(Vöruskrá!$I:$I,MATCH($C367,Vöruskrá!$B:$B,0))=0,"",INDEX(Vöruskrá!$I:$I,MATCH($C367,Vöruskrá!$B:$B,0))),"")</f>
        <v>https://docs.google.com/document/d/1jjpLQLnejNxDdmA90ekhQ3HbNVINXitkS6-S1W5yeak/edit?usp=sharing</v>
      </c>
      <c r="P367" s="184"/>
    </row>
    <row r="368" spans="1:16" ht="18" customHeight="1">
      <c r="A368" s="183">
        <v>46255</v>
      </c>
      <c r="B368" s="184" t="str">
        <f t="shared" ca="1" si="18"/>
        <v>Active</v>
      </c>
      <c r="C368" s="184" t="s">
        <v>180</v>
      </c>
      <c r="D368" s="184" t="s">
        <v>1867</v>
      </c>
      <c r="E368" s="185"/>
      <c r="F368" s="184"/>
      <c r="G368" s="184"/>
      <c r="H368" s="184"/>
      <c r="I368" s="184" t="s">
        <v>3669</v>
      </c>
      <c r="J368" s="184"/>
      <c r="K368" s="184" t="str">
        <f>IFERROR(IF(INDEX(Vöruskrá!$C:$C,MATCH($C368,Vöruskrá!$B:$B,0))=0,"",INDEX(Vöruskrá!$C:$C,MATCH($C368,Vöruskrá!$B:$B,0))),"")</f>
        <v>Orkla Foods Sweden/Danól</v>
      </c>
      <c r="L368" s="184"/>
      <c r="M368" s="184"/>
      <c r="N368" s="184"/>
      <c r="O368" s="184" t="str">
        <f>IFERROR(IF(INDEX(Vöruskrá!$I:$I,MATCH($C368,Vöruskrá!$B:$B,0))=0,"",INDEX(Vöruskrá!$I:$I,MATCH($C368,Vöruskrá!$B:$B,0))),"")</f>
        <v>https://docs.google.com/document/d/1hD7vfcvl0f75johYoY3PnnS548AlpCDkNKyTSEnJezk/edit?usp=sharing</v>
      </c>
      <c r="P368" s="184"/>
    </row>
    <row r="369" spans="1:16">
      <c r="A369" s="183">
        <v>46255</v>
      </c>
      <c r="B369" s="184" t="str">
        <f t="shared" ca="1" si="18"/>
        <v>Active</v>
      </c>
      <c r="C369" s="184" t="s">
        <v>242</v>
      </c>
      <c r="D369" s="184" t="s">
        <v>1867</v>
      </c>
      <c r="E369" s="185"/>
      <c r="F369" s="184"/>
      <c r="G369" s="184"/>
      <c r="H369" s="184"/>
      <c r="I369" s="184" t="s">
        <v>3669</v>
      </c>
      <c r="J369" s="184"/>
      <c r="K369" s="184" t="str">
        <f>IFERROR(IF(INDEX(Vöruskrá!$C:$C,MATCH($C369,Vöruskrá!$B:$B,0))=0,"",INDEX(Vöruskrá!$C:$C,MATCH($C369,Vöruskrá!$B:$B,0))),"")</f>
        <v>Mydibel</v>
      </c>
      <c r="L369" s="184"/>
      <c r="M369" s="184"/>
      <c r="N369" s="184"/>
      <c r="O369" s="184" t="str">
        <f>IFERROR(IF(INDEX(Vöruskrá!$I:$I,MATCH($C369,Vöruskrá!$B:$B,0))=0,"",INDEX(Vöruskrá!$I:$I,MATCH($C369,Vöruskrá!$B:$B,0))),"")</f>
        <v>https://vefverslun.ojk-isam.is/api/BlobForward/inline/ojkisam/189951b7-effb-4203-bd14-2e1084333a72.pdf</v>
      </c>
      <c r="P369" s="184"/>
    </row>
    <row r="370" spans="1:16">
      <c r="A370" s="183">
        <v>46255</v>
      </c>
      <c r="B370" s="184" t="str">
        <f t="shared" ca="1" si="18"/>
        <v>Active</v>
      </c>
      <c r="C370" s="184" t="s">
        <v>257</v>
      </c>
      <c r="D370" s="184" t="s">
        <v>1867</v>
      </c>
      <c r="E370" s="185"/>
      <c r="F370" s="184"/>
      <c r="G370" s="184"/>
      <c r="H370" s="184"/>
      <c r="I370" s="184" t="s">
        <v>3669</v>
      </c>
      <c r="J370" s="184"/>
      <c r="K370" s="184" t="str">
        <f>IFERROR(IF(INDEX(Vöruskrá!$C:$C,MATCH($C370,Vöruskrá!$B:$B,0))=0,"",INDEX(Vöruskrá!$C:$C,MATCH($C370,Vöruskrá!$B:$B,0))),"")</f>
        <v>Kjarnavörur hf.</v>
      </c>
      <c r="L370" s="184"/>
      <c r="M370" s="184"/>
      <c r="N370" s="184"/>
      <c r="O370" s="184" t="str">
        <f>IFERROR(IF(INDEX(Vöruskrá!$I:$I,MATCH($C370,Vöruskrá!$B:$B,0))=0,"",INDEX(Vöruskrá!$I:$I,MATCH($C370,Vöruskrá!$B:$B,0))),"")</f>
        <v>https://docs.google.com/document/d/1jjpLQLnejNxDdmA90ekhQ3HbNVINXitkS6-S1W5yeak/edit?usp=sharing</v>
      </c>
      <c r="P370" s="184"/>
    </row>
    <row r="371" spans="1:16">
      <c r="A371" s="183">
        <v>46255</v>
      </c>
      <c r="B371" s="184" t="str">
        <f t="shared" ca="1" si="18"/>
        <v>Active</v>
      </c>
      <c r="C371" s="184" t="s">
        <v>52</v>
      </c>
      <c r="D371" s="184" t="s">
        <v>1885</v>
      </c>
      <c r="E371" s="185"/>
      <c r="F371" s="184"/>
      <c r="G371" s="184"/>
      <c r="H371" s="184"/>
      <c r="I371" s="184" t="s">
        <v>3669</v>
      </c>
      <c r="J371" s="184"/>
      <c r="K371" s="184" t="str">
        <f>IFERROR(IF(INDEX(Vöruskrá!$C:$C,MATCH($C371,Vöruskrá!$B:$B,0))=0,"",INDEX(Vöruskrá!$C:$C,MATCH($C371,Vöruskrá!$B:$B,0))),"")</f>
        <v>Myllan</v>
      </c>
      <c r="L371" s="184"/>
      <c r="M371" s="184"/>
      <c r="N371" s="184"/>
      <c r="O371" s="184" t="str">
        <f>IFERROR(IF(INDEX(Vöruskrá!$I:$I,MATCH($C371,Vöruskrá!$B:$B,0))=0,"",INDEX(Vöruskrá!$I:$I,MATCH($C371,Vöruskrá!$B:$B,0))),"")</f>
        <v>https://www.myllan.is/is/vorulinur/samlokubraud/heimilisbraud-heilt</v>
      </c>
      <c r="P371" s="184"/>
    </row>
    <row r="372" spans="1:16" ht="18" customHeight="1">
      <c r="A372" s="183">
        <v>46255</v>
      </c>
      <c r="B372" s="184" t="str">
        <f t="shared" ca="1" si="18"/>
        <v>Active</v>
      </c>
      <c r="C372" s="184" t="s">
        <v>157</v>
      </c>
      <c r="D372" s="184" t="s">
        <v>1885</v>
      </c>
      <c r="E372" s="185"/>
      <c r="F372" s="184"/>
      <c r="G372" s="184"/>
      <c r="H372" s="184"/>
      <c r="I372" s="184" t="s">
        <v>3669</v>
      </c>
      <c r="J372" s="184"/>
      <c r="K372" s="184" t="str">
        <f>IFERROR(IF(INDEX(Vöruskrá!$C:$C,MATCH($C372,Vöruskrá!$B:$B,0))=0,"",INDEX(Vöruskrá!$C:$C,MATCH($C372,Vöruskrá!$B:$B,0))),"")</f>
        <v>Kjarnafæði Norðlenska hf.</v>
      </c>
      <c r="L372" s="184"/>
      <c r="M372" s="184"/>
      <c r="N372" s="184"/>
      <c r="O372" s="184" t="str">
        <f>IFERROR(IF(INDEX(Vöruskrá!$I:$I,MATCH($C372,Vöruskrá!$B:$B,0))=0,"",INDEX(Vöruskrá!$I:$I,MATCH($C372,Vöruskrá!$B:$B,0))),"")</f>
        <v>https://docs.google.com/document/d/1LXzsuB69-IC_oRxF1lHfWTuKdnHk4OhCG33dUGHUGSs/edit?usp=sharing</v>
      </c>
      <c r="P372" s="184"/>
    </row>
    <row r="373" spans="1:16">
      <c r="A373" s="192">
        <v>46258</v>
      </c>
      <c r="B373" s="193"/>
      <c r="C373" s="193" t="s">
        <v>4210</v>
      </c>
      <c r="D373" s="193"/>
      <c r="E373" s="194"/>
      <c r="F373" s="193"/>
      <c r="G373" s="193"/>
      <c r="H373" s="193"/>
      <c r="I373" s="193"/>
      <c r="J373" s="193"/>
      <c r="K373" s="193"/>
      <c r="L373" s="193"/>
      <c r="M373" s="193"/>
      <c r="N373" s="193"/>
      <c r="O373" s="193"/>
      <c r="P373" s="193"/>
    </row>
    <row r="374" spans="1:16">
      <c r="A374" s="195">
        <v>46258</v>
      </c>
      <c r="B374" s="196" t="str">
        <f t="shared" ref="B374:B414" ca="1" si="19">IF($A374&lt;TODAY(),"Expired","Active")</f>
        <v>Active</v>
      </c>
      <c r="C374" s="198" t="s">
        <v>1552</v>
      </c>
      <c r="D374" s="196" t="s">
        <v>1852</v>
      </c>
      <c r="E374" s="197"/>
      <c r="F374" s="196"/>
      <c r="G374" s="196"/>
      <c r="H374" s="196"/>
      <c r="I374" s="196"/>
      <c r="J374" s="196"/>
      <c r="K374" s="196"/>
      <c r="L374" s="196"/>
      <c r="M374" s="196"/>
      <c r="N374" s="196"/>
      <c r="O374" s="196"/>
      <c r="P374" s="196"/>
    </row>
    <row r="375" spans="1:16">
      <c r="A375" s="183">
        <v>46258</v>
      </c>
      <c r="B375" s="184" t="str">
        <f t="shared" ca="1" si="19"/>
        <v>Active</v>
      </c>
      <c r="C375" s="184" t="s">
        <v>1442</v>
      </c>
      <c r="D375" s="184" t="s">
        <v>1852</v>
      </c>
      <c r="E375" s="185">
        <f>Hráefnaskrá!$D$212/1000</f>
        <v>37.5</v>
      </c>
      <c r="F375" s="184"/>
      <c r="G375" s="184"/>
      <c r="H375" s="184"/>
      <c r="I375" s="184" t="s">
        <v>3669</v>
      </c>
      <c r="J375" s="184"/>
      <c r="K375" s="184" t="str">
        <f>IFERROR(IF(INDEX(Vöruskrá!$C:$C,MATCH($C375,Vöruskrá!$B:$B,0))=0,"",INDEX(Vöruskrá!$C:$C,MATCH($C375,Vöruskrá!$B:$B,0))),"")</f>
        <v/>
      </c>
      <c r="L375" s="184"/>
      <c r="M375" s="184"/>
      <c r="N375" s="184"/>
      <c r="O375" s="184" t="str">
        <f>IFERROR(IF(INDEX(Vöruskrá!$I:$I,MATCH($C375,Vöruskrá!$B:$B,0))=0,"",INDEX(Vöruskrá!$I:$I,MATCH($C375,Vöruskrá!$B:$B,0))),"")</f>
        <v/>
      </c>
      <c r="P375" s="184"/>
    </row>
    <row r="376" spans="1:16">
      <c r="A376" s="183">
        <v>46258</v>
      </c>
      <c r="B376" s="184" t="str">
        <f t="shared" ca="1" si="19"/>
        <v>Active</v>
      </c>
      <c r="C376" s="184" t="s">
        <v>642</v>
      </c>
      <c r="D376" s="184" t="s">
        <v>1852</v>
      </c>
      <c r="E376" s="185">
        <f>Hráefnaskrá!$D$213/1000</f>
        <v>15</v>
      </c>
      <c r="F376" s="184"/>
      <c r="G376" s="184"/>
      <c r="H376" s="184"/>
      <c r="I376" s="184" t="s">
        <v>3669</v>
      </c>
      <c r="J376" s="184"/>
      <c r="K376" s="184" t="str">
        <f>IFERROR(IF(INDEX(Vöruskrá!$C:$C,MATCH($C376,Vöruskrá!$B:$B,0))=0,"",INDEX(Vöruskrá!$C:$C,MATCH($C376,Vöruskrá!$B:$B,0))),"")</f>
        <v>Garri</v>
      </c>
      <c r="L376" s="184"/>
      <c r="M376" s="184"/>
      <c r="N376" s="184"/>
      <c r="O376" s="184" t="str">
        <f>IFERROR(IF(INDEX(Vöruskrá!$I:$I,MATCH($C376,Vöruskrá!$B:$B,0))=0,"",INDEX(Vöruskrá!$I:$I,MATCH($C376,Vöruskrá!$B:$B,0))),"")</f>
        <v>https://drive.google.com/file/d/1KpmvS2RLTpOgjAXxWnqkP5oIiiwt-ypx/view?usp=sharing</v>
      </c>
      <c r="P376" s="184"/>
    </row>
    <row r="377" spans="1:16">
      <c r="A377" s="183">
        <v>46258</v>
      </c>
      <c r="B377" s="184" t="str">
        <f t="shared" ca="1" si="19"/>
        <v>Active</v>
      </c>
      <c r="C377" s="184" t="s">
        <v>864</v>
      </c>
      <c r="D377" s="184" t="s">
        <v>1852</v>
      </c>
      <c r="E377" s="185">
        <f>Hráefnaskrá!$D$214/1000</f>
        <v>10</v>
      </c>
      <c r="F377" s="184"/>
      <c r="G377" s="184"/>
      <c r="H377" s="184"/>
      <c r="I377" s="184" t="s">
        <v>3669</v>
      </c>
      <c r="J377" s="184"/>
      <c r="K377" s="184" t="str">
        <f>IFERROR(IF(INDEX(Vöruskrá!$C:$C,MATCH($C377,Vöruskrá!$B:$B,0))=0,"",INDEX(Vöruskrá!$C:$C,MATCH($C377,Vöruskrá!$B:$B,0))),"")</f>
        <v/>
      </c>
      <c r="L377" s="184"/>
      <c r="M377" s="184"/>
      <c r="N377" s="184"/>
      <c r="O377" s="184" t="str">
        <f>IFERROR(IF(INDEX(Vöruskrá!$I:$I,MATCH($C377,Vöruskrá!$B:$B,0))=0,"",INDEX(Vöruskrá!$I:$I,MATCH($C377,Vöruskrá!$B:$B,0))),"")</f>
        <v/>
      </c>
      <c r="P377" s="184"/>
    </row>
    <row r="378" spans="1:16">
      <c r="A378" s="183">
        <v>46258</v>
      </c>
      <c r="B378" s="184" t="str">
        <f t="shared" ca="1" si="19"/>
        <v>Active</v>
      </c>
      <c r="C378" s="184" t="s">
        <v>868</v>
      </c>
      <c r="D378" s="184" t="s">
        <v>1852</v>
      </c>
      <c r="E378" s="185">
        <f>Hráefnaskrá!$D$215/1000</f>
        <v>7.5</v>
      </c>
      <c r="F378" s="184"/>
      <c r="G378" s="184"/>
      <c r="H378" s="184"/>
      <c r="I378" s="184" t="s">
        <v>3669</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870</v>
      </c>
      <c r="D379" s="184" t="s">
        <v>1852</v>
      </c>
      <c r="E379" s="185">
        <f>Hráefnaskrá!$D$216/1000</f>
        <v>2.5</v>
      </c>
      <c r="F379" s="184"/>
      <c r="G379" s="184"/>
      <c r="H379" s="184"/>
      <c r="I379" s="184" t="s">
        <v>3669</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872</v>
      </c>
      <c r="D380" s="184" t="s">
        <v>1852</v>
      </c>
      <c r="E380" s="185">
        <f>Hráefnaskrá!$D$217/1000</f>
        <v>2.5</v>
      </c>
      <c r="F380" s="184"/>
      <c r="G380" s="184"/>
      <c r="H380" s="184"/>
      <c r="I380" s="184" t="s">
        <v>3669</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875</v>
      </c>
      <c r="D381" s="184" t="s">
        <v>1852</v>
      </c>
      <c r="E381" s="185">
        <f>Hráefnaskrá!$D$218/1000</f>
        <v>0.63</v>
      </c>
      <c r="F381" s="184"/>
      <c r="G381" s="184"/>
      <c r="H381" s="184"/>
      <c r="I381" s="184" t="s">
        <v>3669</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439</v>
      </c>
      <c r="D382" s="184" t="s">
        <v>1852</v>
      </c>
      <c r="E382" s="185">
        <f>Hráefnaskrá!$D$219/1000</f>
        <v>2.5</v>
      </c>
      <c r="F382" s="184"/>
      <c r="G382" s="184"/>
      <c r="H382" s="184"/>
      <c r="I382" s="184" t="s">
        <v>3669</v>
      </c>
      <c r="J382" s="184"/>
      <c r="K382" s="184" t="str">
        <f>IFERROR(IF(INDEX(Vöruskrá!$C:$C,MATCH($C382,Vöruskrá!$B:$B,0))=0,"",INDEX(Vöruskrá!$C:$C,MATCH($C382,Vöruskrá!$B:$B,0))),"")</f>
        <v>Menu SRL</v>
      </c>
      <c r="L382" s="184"/>
      <c r="M382" s="184"/>
      <c r="N382" s="184"/>
      <c r="O382" s="184" t="str">
        <f>IFERROR(IF(INDEX(Vöruskrá!$I:$I,MATCH($C382,Vöruskrá!$B:$B,0))=0,"",INDEX(Vöruskrá!$I:$I,MATCH($C382,Vöruskrá!$B:$B,0))),"")</f>
        <v>https://drive.google.com/file/d/1d9nwUjnSzxKmopD1MmL_m-j_PclKxewh/view?usp=sharing</v>
      </c>
      <c r="P382" s="184"/>
    </row>
    <row r="383" spans="1:16">
      <c r="A383" s="183">
        <v>46258</v>
      </c>
      <c r="B383" s="184" t="str">
        <f t="shared" ca="1" si="19"/>
        <v>Active</v>
      </c>
      <c r="C383" s="184" t="s">
        <v>920</v>
      </c>
      <c r="D383" s="184" t="s">
        <v>1852</v>
      </c>
      <c r="E383" s="185">
        <f>Hráefnaskrá!$D$220/1000</f>
        <v>1.5</v>
      </c>
      <c r="F383" s="184"/>
      <c r="G383" s="184"/>
      <c r="H383" s="184"/>
      <c r="I383" s="184" t="s">
        <v>3669</v>
      </c>
      <c r="J383" s="184"/>
      <c r="K383" s="184" t="str">
        <f>IFERROR(IF(INDEX(Vöruskrá!$C:$C,MATCH($C383,Vöruskrá!$B:$B,0))=0,"",INDEX(Vöruskrá!$C:$C,MATCH($C383,Vöruskrá!$B:$B,0))),"")</f>
        <v>Essential Cuisine Ltd. / Garri</v>
      </c>
      <c r="L383" s="184"/>
      <c r="M383" s="184"/>
      <c r="N383" s="184"/>
      <c r="O383" s="184" t="str">
        <f>IFERROR(IF(INDEX(Vöruskrá!$I:$I,MATCH($C383,Vöruskrá!$B:$B,0))=0,"",INDEX(Vöruskrá!$I:$I,MATCH($C383,Vöruskrá!$B:$B,0))),"")</f>
        <v>https://garri.overcastcdn.com/documents/230HALBSM1B.pdf</v>
      </c>
      <c r="P383" s="184"/>
    </row>
    <row r="384" spans="1:16">
      <c r="A384" s="183">
        <v>46258</v>
      </c>
      <c r="B384" s="184" t="str">
        <f t="shared" ca="1" si="19"/>
        <v>Active</v>
      </c>
      <c r="C384" s="184" t="s">
        <v>1438</v>
      </c>
      <c r="D384" s="184" t="s">
        <v>1852</v>
      </c>
      <c r="E384" s="185">
        <f>Hráefnaskrá!$D$221/1000</f>
        <v>0.08</v>
      </c>
      <c r="F384" s="184"/>
      <c r="G384" s="184"/>
      <c r="H384" s="184"/>
      <c r="I384" s="184" t="s">
        <v>3669</v>
      </c>
      <c r="J384" s="184"/>
      <c r="K384" s="184" t="str">
        <f>IFERROR(IF(INDEX(Vöruskrá!$C:$C,MATCH($C384,Vöruskrá!$B:$B,0))=0,"",INDEX(Vöruskrá!$C:$C,MATCH($C384,Vöruskrá!$B:$B,0))),"")</f>
        <v/>
      </c>
      <c r="L384" s="184"/>
      <c r="M384" s="184"/>
      <c r="N384" s="184"/>
      <c r="O384" s="184" t="str">
        <f>IFERROR(IF(INDEX(Vöruskrá!$I:$I,MATCH($C384,Vöruskrá!$B:$B,0))=0,"",INDEX(Vöruskrá!$I:$I,MATCH($C384,Vöruskrá!$B:$B,0))),"")</f>
        <v/>
      </c>
      <c r="P384" s="184"/>
    </row>
    <row r="385" spans="1:16">
      <c r="A385" s="183">
        <v>46258</v>
      </c>
      <c r="B385" s="184" t="str">
        <f t="shared" ca="1" si="19"/>
        <v>Active</v>
      </c>
      <c r="C385" s="184" t="s">
        <v>890</v>
      </c>
      <c r="D385" s="184" t="s">
        <v>1852</v>
      </c>
      <c r="E385" s="185">
        <f>Hráefnaskrá!$D$222/1000</f>
        <v>0.08</v>
      </c>
      <c r="F385" s="184"/>
      <c r="G385" s="184"/>
      <c r="H385" s="184"/>
      <c r="I385" s="184" t="s">
        <v>3669</v>
      </c>
      <c r="J385" s="184"/>
      <c r="K385" s="184" t="str">
        <f>IFERROR(IF(INDEX(Vöruskrá!$C:$C,MATCH($C385,Vöruskrá!$B:$B,0))=0,"",INDEX(Vöruskrá!$C:$C,MATCH($C385,Vöruskrá!$B:$B,0))),"")</f>
        <v>Nordic Spice AB/Garri</v>
      </c>
      <c r="L385" s="184"/>
      <c r="M385" s="184"/>
      <c r="N385" s="184"/>
      <c r="O385" s="184" t="str">
        <f>IFERROR(IF(INDEX(Vöruskrá!$I:$I,MATCH($C385,Vöruskrá!$B:$B,0))=0,"",INDEX(Vöruskrá!$I:$I,MATCH($C385,Vöruskrá!$B:$B,0))),"")</f>
        <v>https://garri.overcastcdn.com/documents/5001520B.pdf</v>
      </c>
      <c r="P385" s="184"/>
    </row>
    <row r="386" spans="1:16">
      <c r="A386" s="183">
        <v>46258</v>
      </c>
      <c r="B386" s="184" t="str">
        <f t="shared" ca="1" si="19"/>
        <v>Active</v>
      </c>
      <c r="C386" s="184" t="s">
        <v>701</v>
      </c>
      <c r="D386" s="184" t="s">
        <v>1852</v>
      </c>
      <c r="E386" s="185">
        <f>Hráefnaskrá!$D$223/1000</f>
        <v>0.08</v>
      </c>
      <c r="F386" s="184"/>
      <c r="G386" s="184"/>
      <c r="H386" s="184"/>
      <c r="I386" s="184" t="s">
        <v>3669</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https://drive.google.com/file/d/1NxDuZHxld5CsvYcJgTiXxTjyQty0WriF/view?usp=sharing</v>
      </c>
      <c r="P386" s="184"/>
    </row>
    <row r="387" spans="1:16">
      <c r="A387" s="183">
        <v>46258</v>
      </c>
      <c r="B387" s="184" t="str">
        <f t="shared" ca="1" si="19"/>
        <v>Active</v>
      </c>
      <c r="C387" s="184" t="s">
        <v>695</v>
      </c>
      <c r="D387" s="184" t="s">
        <v>1852</v>
      </c>
      <c r="E387" s="185">
        <f>Hráefnaskrá!$D$224/1000</f>
        <v>0.03</v>
      </c>
      <c r="F387" s="184"/>
      <c r="G387" s="184"/>
      <c r="H387" s="184"/>
      <c r="I387" s="184" t="s">
        <v>3669</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https://drive.google.com/file/d/1YGSwpHwhfND2vvwdtP6hhz_fHXH0M_4B/view?usp=sharing</v>
      </c>
      <c r="P387" s="184"/>
    </row>
    <row r="388" spans="1:16" ht="14.45" customHeight="1">
      <c r="A388" s="183">
        <v>46258</v>
      </c>
      <c r="B388" s="184" t="str">
        <f t="shared" ca="1" si="19"/>
        <v>Active</v>
      </c>
      <c r="C388" s="184" t="s">
        <v>704</v>
      </c>
      <c r="D388" s="184" t="s">
        <v>1852</v>
      </c>
      <c r="E388" s="185">
        <f>Hráefnaskrá!$D$225/1000</f>
        <v>0.1</v>
      </c>
      <c r="F388" s="184"/>
      <c r="G388" s="184"/>
      <c r="H388" s="184"/>
      <c r="I388" s="184" t="s">
        <v>3669</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https://drive.google.com/file/d/16pABGxDAo2BQ5ZBD9aqSATzh85vQmJ63/view?usp=sharing</v>
      </c>
      <c r="P388" s="184"/>
    </row>
    <row r="389" spans="1:16">
      <c r="A389" s="183">
        <v>46258</v>
      </c>
      <c r="B389" s="184" t="str">
        <f t="shared" ca="1" si="19"/>
        <v>Active</v>
      </c>
      <c r="C389" s="184" t="s">
        <v>266</v>
      </c>
      <c r="D389" s="184" t="s">
        <v>1852</v>
      </c>
      <c r="E389" s="185">
        <f>Hráefnaskrá!$D$226/1000</f>
        <v>0.75</v>
      </c>
      <c r="F389" s="184"/>
      <c r="G389" s="184"/>
      <c r="H389" s="184"/>
      <c r="I389" s="184" t="s">
        <v>3669</v>
      </c>
      <c r="J389" s="184"/>
      <c r="K389" s="184" t="str">
        <f>IFERROR(IF(INDEX(Vöruskrá!$C:$C,MATCH($C389,Vöruskrá!$B:$B,0))=0,"",INDEX(Vöruskrá!$C:$C,MATCH($C389,Vöruskrá!$B:$B,0))),"")</f>
        <v>Katla matvælaiðja ehf.</v>
      </c>
      <c r="L389" s="184"/>
      <c r="M389" s="184"/>
      <c r="N389" s="184"/>
      <c r="O389" s="184" t="str">
        <f>IFERROR(IF(INDEX(Vöruskrá!$I:$I,MATCH($C389,Vöruskrá!$B:$B,0))=0,"",INDEX(Vöruskrá!$I:$I,MATCH($C389,Vöruskrá!$B:$B,0))),"")</f>
        <v>https://drive.google.com/file/d/18_svh90eLQ1eSbJF3qr3eWDjhyhpL95Y/view?usp=sharing</v>
      </c>
      <c r="P389" s="184"/>
    </row>
    <row r="390" spans="1:16">
      <c r="A390" s="183">
        <v>46258</v>
      </c>
      <c r="B390" s="184" t="str">
        <f t="shared" ca="1" si="19"/>
        <v>Active</v>
      </c>
      <c r="C390" s="184" t="s">
        <v>1091</v>
      </c>
      <c r="D390" s="184" t="s">
        <v>1852</v>
      </c>
      <c r="E390" s="185">
        <f>Hráefnaskrá!$D$227/1000</f>
        <v>1.88</v>
      </c>
      <c r="F390" s="184"/>
      <c r="G390" s="184"/>
      <c r="H390" s="184"/>
      <c r="I390" s="184" t="s">
        <v>3669</v>
      </c>
      <c r="J390" s="184"/>
      <c r="K390" s="184" t="str">
        <f>IFERROR(IF(INDEX(Vöruskrá!$C:$C,MATCH($C390,Vöruskrá!$B:$B,0))=0,"",INDEX(Vöruskrá!$C:$C,MATCH($C390,Vöruskrá!$B:$B,0))),"")</f>
        <v>Garri</v>
      </c>
      <c r="L390" s="184"/>
      <c r="M390" s="184"/>
      <c r="N390" s="184"/>
      <c r="O390" s="184" t="str">
        <f>IFERROR(IF(INDEX(Vöruskrá!$I:$I,MATCH($C390,Vöruskrá!$B:$B,0))=0,"",INDEX(Vöruskrá!$I:$I,MATCH($C390,Vöruskrá!$B:$B,0))),"")</f>
        <v>https://garri.overcastcdn.com/documents/41023015.pdf</v>
      </c>
      <c r="P390" s="184"/>
    </row>
    <row r="391" spans="1:16">
      <c r="A391" s="183">
        <v>46258</v>
      </c>
      <c r="B391" s="184" t="str">
        <f t="shared" ca="1" si="19"/>
        <v>Active</v>
      </c>
      <c r="C391" s="184" t="s">
        <v>878</v>
      </c>
      <c r="D391" s="184" t="s">
        <v>1852</v>
      </c>
      <c r="E391" s="185">
        <f>Hráefnaskrá!$D$228/1000</f>
        <v>17.37</v>
      </c>
      <c r="F391" s="184"/>
      <c r="G391" s="184"/>
      <c r="H391" s="184"/>
      <c r="I391" s="184" t="s">
        <v>3669</v>
      </c>
      <c r="J391" s="184"/>
      <c r="K391" s="184" t="str">
        <f>IFERROR(IF(INDEX(Vöruskrá!$C:$C,MATCH($C391,Vöruskrá!$B:$B,0))=0,"",INDEX(Vöruskrá!$C:$C,MATCH($C391,Vöruskrá!$B:$B,0))),"")</f>
        <v/>
      </c>
      <c r="L391" s="184"/>
      <c r="M391" s="184"/>
      <c r="N391" s="184"/>
      <c r="O391" s="184" t="str">
        <f>IFERROR(IF(INDEX(Vöruskrá!$I:$I,MATCH($C391,Vöruskrá!$B:$B,0))=0,"",INDEX(Vöruskrá!$I:$I,MATCH($C391,Vöruskrá!$B:$B,0))),"")</f>
        <v/>
      </c>
      <c r="P391" s="184"/>
    </row>
    <row r="392" spans="1:16">
      <c r="A392" s="183">
        <v>46258</v>
      </c>
      <c r="B392" s="184" t="str">
        <f t="shared" ca="1" si="19"/>
        <v>Active</v>
      </c>
      <c r="C392" s="184" t="s">
        <v>1097</v>
      </c>
      <c r="D392" s="184" t="s">
        <v>1852</v>
      </c>
      <c r="E392" s="185"/>
      <c r="F392" s="184"/>
      <c r="G392" s="184"/>
      <c r="H392" s="184"/>
      <c r="I392" s="184" t="s">
        <v>3669</v>
      </c>
      <c r="J392" s="184"/>
      <c r="K392" s="184" t="str">
        <f>IFERROR(IF(INDEX(Vöruskrá!$C:$C,MATCH($C392,Vöruskrá!$B:$B,0))=0,"",INDEX(Vöruskrá!$C:$C,MATCH($C392,Vöruskrá!$B:$B,0))),"")</f>
        <v>ÓJK - Ísam</v>
      </c>
      <c r="L392" s="184"/>
      <c r="M392" s="184"/>
      <c r="N392" s="184"/>
      <c r="O392" s="184" t="str">
        <f>IFERROR(IF(INDEX(Vöruskrá!$I:$I,MATCH($C392,Vöruskrá!$B:$B,0))=0,"",INDEX(Vöruskrá!$I:$I,MATCH($C392,Vöruskrá!$B:$B,0))),"")</f>
        <v>https://vefverslun.ojk-isam.is/api/BlobForward/inline/ojkisam/bef943db-09be-4d78-bd72-ee6f417fb2a8.pdf</v>
      </c>
      <c r="P392" s="184"/>
    </row>
    <row r="393" spans="1:16">
      <c r="A393" s="195">
        <v>46258</v>
      </c>
      <c r="B393" s="196" t="str">
        <f t="shared" ca="1" si="19"/>
        <v>Active</v>
      </c>
      <c r="C393" s="198" t="s">
        <v>1603</v>
      </c>
      <c r="D393" s="196" t="s">
        <v>1852</v>
      </c>
      <c r="E393" s="197"/>
      <c r="F393" s="196"/>
      <c r="G393" s="196"/>
      <c r="H393" s="196"/>
      <c r="I393" s="196"/>
      <c r="J393" s="196"/>
      <c r="K393" s="196"/>
      <c r="L393" s="196"/>
      <c r="M393" s="196"/>
      <c r="N393" s="196"/>
      <c r="O393" s="196"/>
      <c r="P393" s="196"/>
    </row>
    <row r="394" spans="1:16">
      <c r="A394" s="183">
        <v>46258</v>
      </c>
      <c r="B394" s="184" t="str">
        <f t="shared" ca="1" si="19"/>
        <v>Active</v>
      </c>
      <c r="C394" s="184" t="s">
        <v>749</v>
      </c>
      <c r="D394" s="184" t="s">
        <v>1852</v>
      </c>
      <c r="E394" s="185">
        <f>Hráefnaskrá!$D$295/1000</f>
        <v>15.6</v>
      </c>
      <c r="F394" s="184"/>
      <c r="G394" s="184"/>
      <c r="H394" s="184"/>
      <c r="I394" s="184" t="s">
        <v>3669</v>
      </c>
      <c r="J394" s="184"/>
      <c r="K394" s="184" t="str">
        <f>IFERROR(IF(INDEX(Vöruskrá!$C:$C,MATCH($C394,Vöruskrá!$B:$B,0))=0,"",INDEX(Vöruskrá!$C:$C,MATCH($C394,Vöruskrá!$B:$B,0))),"")</f>
        <v>Danish Crown / Schlachtzentrum Nordfriesland</v>
      </c>
      <c r="L394" s="184"/>
      <c r="M394" s="184"/>
      <c r="N394" s="184"/>
      <c r="O394" s="184" t="str">
        <f>IFERROR(IF(INDEX(Vöruskrá!$I:$I,MATCH($C394,Vöruskrá!$B:$B,0))=0,"",INDEX(Vöruskrá!$I:$I,MATCH($C394,Vöruskrá!$B:$B,0))),"")</f>
        <v>https://drive.google.com/file/d/15huA3zVMjLLmN2ydRsMNwifWC4uSnQM_/view?usp=sharing</v>
      </c>
      <c r="P394" s="184"/>
    </row>
    <row r="395" spans="1:16">
      <c r="A395" s="183">
        <v>46258</v>
      </c>
      <c r="B395" s="184" t="str">
        <f t="shared" ca="1" si="19"/>
        <v>Active</v>
      </c>
      <c r="C395" s="184" t="s">
        <v>1442</v>
      </c>
      <c r="D395" s="184" t="s">
        <v>1852</v>
      </c>
      <c r="E395" s="185">
        <f>Hráefnaskrá!$D$296/1000</f>
        <v>15.6</v>
      </c>
      <c r="F395" s="184"/>
      <c r="G395" s="184"/>
      <c r="H395" s="184"/>
      <c r="I395" s="184" t="s">
        <v>3669</v>
      </c>
      <c r="J395" s="184"/>
      <c r="K395" s="184" t="str">
        <f>IFERROR(IF(INDEX(Vöruskrá!$C:$C,MATCH($C395,Vöruskrá!$B:$B,0))=0,"",INDEX(Vöruskrá!$C:$C,MATCH($C395,Vöruskrá!$B:$B,0))),"")</f>
        <v/>
      </c>
      <c r="L395" s="184"/>
      <c r="M395" s="184"/>
      <c r="N395" s="184"/>
      <c r="O395" s="184" t="str">
        <f>IFERROR(IF(INDEX(Vöruskrá!$I:$I,MATCH($C395,Vöruskrá!$B:$B,0))=0,"",INDEX(Vöruskrá!$I:$I,MATCH($C395,Vöruskrá!$B:$B,0))),"")</f>
        <v/>
      </c>
      <c r="P395" s="184"/>
    </row>
    <row r="396" spans="1:16">
      <c r="A396" s="183">
        <v>46258</v>
      </c>
      <c r="B396" s="184" t="str">
        <f t="shared" ca="1" si="19"/>
        <v>Active</v>
      </c>
      <c r="C396" s="184" t="s">
        <v>620</v>
      </c>
      <c r="D396" s="184" t="s">
        <v>1852</v>
      </c>
      <c r="E396" s="185">
        <f>Hráefnaskrá!$D$297/1000</f>
        <v>18.3</v>
      </c>
      <c r="F396" s="184"/>
      <c r="G396" s="184"/>
      <c r="H396" s="184"/>
      <c r="I396" s="184" t="s">
        <v>3669</v>
      </c>
      <c r="J396" s="184"/>
      <c r="K396" s="184" t="str">
        <f>IFERROR(IF(INDEX(Vöruskrá!$C:$C,MATCH($C396,Vöruskrá!$B:$B,0))=0,"",INDEX(Vöruskrá!$C:$C,MATCH($C396,Vöruskrá!$B:$B,0))),"")</f>
        <v>Ardo/Garri</v>
      </c>
      <c r="L396" s="184"/>
      <c r="M396" s="184"/>
      <c r="N396" s="184"/>
      <c r="O396" s="184" t="str">
        <f>IFERROR(IF(INDEX(Vöruskrá!$I:$I,MATCH($C396,Vöruskrá!$B:$B,0))=0,"",INDEX(Vöruskrá!$I:$I,MATCH($C396,Vöruskrá!$B:$B,0))),"")</f>
        <v>https://drive.google.com/file/d/1hoHE7x0fUgE5mqFNTDbqlU_Forp2DfIA/view?usp=sharing</v>
      </c>
      <c r="P396" s="184"/>
    </row>
    <row r="397" spans="1:16">
      <c r="A397" s="183">
        <v>46258</v>
      </c>
      <c r="B397" s="184" t="str">
        <f t="shared" ca="1" si="19"/>
        <v>Active</v>
      </c>
      <c r="C397" s="184" t="s">
        <v>527</v>
      </c>
      <c r="D397" s="184" t="s">
        <v>1852</v>
      </c>
      <c r="E397" s="185">
        <f>Hráefnaskrá!$D$298/1000</f>
        <v>10.7</v>
      </c>
      <c r="F397" s="184"/>
      <c r="G397" s="184"/>
      <c r="H397" s="184"/>
      <c r="I397" s="184" t="s">
        <v>3669</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https://drive.google.com/file/d/1Ru8eNSpjSe2Mi5eKUfH_j3s1DvtXsERI/view?usp=sharing</v>
      </c>
      <c r="P397" s="184"/>
    </row>
    <row r="398" spans="1:16">
      <c r="A398" s="183">
        <v>46258</v>
      </c>
      <c r="B398" s="184" t="str">
        <f t="shared" ca="1" si="19"/>
        <v>Active</v>
      </c>
      <c r="C398" s="184" t="s">
        <v>493</v>
      </c>
      <c r="D398" s="184" t="s">
        <v>1852</v>
      </c>
      <c r="E398" s="185">
        <f>Hráefnaskrá!$D$299/1000</f>
        <v>8.3000000000000007</v>
      </c>
      <c r="F398" s="184"/>
      <c r="G398" s="184"/>
      <c r="H398" s="184"/>
      <c r="I398" s="184" t="s">
        <v>3669</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https://drive.google.com/file/d/1qe8jA8Hk6RxXOyfM7cBQ5h9W5KAo2CVf/view?usp=sharing</v>
      </c>
      <c r="P398" s="184"/>
    </row>
    <row r="399" spans="1:16">
      <c r="A399" s="183">
        <v>46258</v>
      </c>
      <c r="B399" s="184" t="str">
        <f t="shared" ca="1" si="19"/>
        <v>Active</v>
      </c>
      <c r="C399" s="184" t="s">
        <v>439</v>
      </c>
      <c r="D399" s="184" t="s">
        <v>1852</v>
      </c>
      <c r="E399" s="185">
        <f>Hráefnaskrá!$D$300/1000</f>
        <v>4</v>
      </c>
      <c r="F399" s="184"/>
      <c r="G399" s="184"/>
      <c r="H399" s="184"/>
      <c r="I399" s="184" t="s">
        <v>3669</v>
      </c>
      <c r="J399" s="184"/>
      <c r="K399" s="184" t="str">
        <f>IFERROR(IF(INDEX(Vöruskrá!$C:$C,MATCH($C399,Vöruskrá!$B:$B,0))=0,"",INDEX(Vöruskrá!$C:$C,MATCH($C399,Vöruskrá!$B:$B,0))),"")</f>
        <v>Menu SRL</v>
      </c>
      <c r="L399" s="184"/>
      <c r="M399" s="184"/>
      <c r="N399" s="184"/>
      <c r="O399" s="184" t="str">
        <f>IFERROR(IF(INDEX(Vöruskrá!$I:$I,MATCH($C399,Vöruskrá!$B:$B,0))=0,"",INDEX(Vöruskrá!$I:$I,MATCH($C399,Vöruskrá!$B:$B,0))),"")</f>
        <v>https://drive.google.com/file/d/1d9nwUjnSzxKmopD1MmL_m-j_PclKxewh/view?usp=sharing</v>
      </c>
      <c r="P399" s="184"/>
    </row>
    <row r="400" spans="1:16">
      <c r="A400" s="183">
        <v>46258</v>
      </c>
      <c r="B400" s="184" t="str">
        <f t="shared" ca="1" si="19"/>
        <v>Active</v>
      </c>
      <c r="C400" s="184" t="s">
        <v>920</v>
      </c>
      <c r="D400" s="184" t="s">
        <v>1852</v>
      </c>
      <c r="E400" s="185">
        <f>Hráefnaskrá!$D$301/1000</f>
        <v>3</v>
      </c>
      <c r="F400" s="184"/>
      <c r="G400" s="184"/>
      <c r="H400" s="184"/>
      <c r="I400" s="184" t="s">
        <v>3669</v>
      </c>
      <c r="J400" s="184"/>
      <c r="K400" s="184" t="str">
        <f>IFERROR(IF(INDEX(Vöruskrá!$C:$C,MATCH($C400,Vöruskrá!$B:$B,0))=0,"",INDEX(Vöruskrá!$C:$C,MATCH($C400,Vöruskrá!$B:$B,0))),"")</f>
        <v>Essential Cuisine Ltd. / Garri</v>
      </c>
      <c r="L400" s="184"/>
      <c r="M400" s="184"/>
      <c r="N400" s="184"/>
      <c r="O400" s="184" t="str">
        <f>IFERROR(IF(INDEX(Vöruskrá!$I:$I,MATCH($C400,Vöruskrá!$B:$B,0))=0,"",INDEX(Vöruskrá!$I:$I,MATCH($C400,Vöruskrá!$B:$B,0))),"")</f>
        <v>https://garri.overcastcdn.com/documents/230HALBSM1B.pdf</v>
      </c>
      <c r="P400" s="184"/>
    </row>
    <row r="401" spans="1:16">
      <c r="A401" s="183">
        <v>46258</v>
      </c>
      <c r="B401" s="184" t="str">
        <f t="shared" ca="1" si="19"/>
        <v>Active</v>
      </c>
      <c r="C401" s="184" t="s">
        <v>878</v>
      </c>
      <c r="D401" s="184" t="s">
        <v>1852</v>
      </c>
      <c r="E401" s="185">
        <f>Hráefnaskrá!$D$302/1000</f>
        <v>48.3</v>
      </c>
      <c r="F401" s="184"/>
      <c r="G401" s="184"/>
      <c r="H401" s="184"/>
      <c r="I401" s="184" t="s">
        <v>3669</v>
      </c>
      <c r="J401" s="184"/>
      <c r="K401" s="184" t="str">
        <f>IFERROR(IF(INDEX(Vöruskrá!$C:$C,MATCH($C401,Vöruskrá!$B:$B,0))=0,"",INDEX(Vöruskrá!$C:$C,MATCH($C401,Vöruskrá!$B:$B,0))),"")</f>
        <v/>
      </c>
      <c r="L401" s="184"/>
      <c r="M401" s="184"/>
      <c r="N401" s="184"/>
      <c r="O401" s="184" t="str">
        <f>IFERROR(IF(INDEX(Vöruskrá!$I:$I,MATCH($C401,Vöruskrá!$B:$B,0))=0,"",INDEX(Vöruskrá!$I:$I,MATCH($C401,Vöruskrá!$B:$B,0))),"")</f>
        <v/>
      </c>
      <c r="P401" s="184"/>
    </row>
    <row r="402" spans="1:16">
      <c r="A402" s="183">
        <v>46258</v>
      </c>
      <c r="B402" s="184" t="str">
        <f t="shared" ca="1" si="19"/>
        <v>Active</v>
      </c>
      <c r="C402" s="184" t="s">
        <v>992</v>
      </c>
      <c r="D402" s="184" t="s">
        <v>1852</v>
      </c>
      <c r="E402" s="185">
        <f>Hráefnaskrá!$D$303/1000</f>
        <v>1.3</v>
      </c>
      <c r="F402" s="184"/>
      <c r="G402" s="184"/>
      <c r="H402" s="184"/>
      <c r="I402" s="184" t="s">
        <v>3669</v>
      </c>
      <c r="J402" s="184"/>
      <c r="K402" s="184" t="str">
        <f>IFERROR(IF(INDEX(Vöruskrá!$C:$C,MATCH($C402,Vöruskrá!$B:$B,0))=0,"",INDEX(Vöruskrá!$C:$C,MATCH($C402,Vöruskrá!$B:$B,0))),"")</f>
        <v>Maille / Wiik &amp; Co</v>
      </c>
      <c r="L402" s="184"/>
      <c r="M402" s="184"/>
      <c r="N402" s="184"/>
      <c r="O402" s="184" t="str">
        <f>IFERROR(IF(INDEX(Vöruskrá!$I:$I,MATCH($C402,Vöruskrá!$B:$B,0))=0,"",INDEX(Vöruskrá!$I:$I,MATCH($C402,Vöruskrá!$B:$B,0))),"")</f>
        <v>https://drive.google.com/file/d/1tP2qlM59ynKpXbAws5rHHWZcHRiBjGyQ/view?usp=sharing</v>
      </c>
      <c r="P402" s="184"/>
    </row>
    <row r="403" spans="1:16">
      <c r="A403" s="183">
        <v>46258</v>
      </c>
      <c r="B403" s="184" t="str">
        <f t="shared" ca="1" si="19"/>
        <v>Active</v>
      </c>
      <c r="C403" s="184" t="s">
        <v>307</v>
      </c>
      <c r="D403" s="184" t="s">
        <v>1852</v>
      </c>
      <c r="E403" s="185">
        <f>Hráefnaskrá!$D$304/1000</f>
        <v>2.7</v>
      </c>
      <c r="F403" s="184"/>
      <c r="G403" s="184"/>
      <c r="H403" s="184"/>
      <c r="I403" s="184" t="s">
        <v>3669</v>
      </c>
      <c r="J403" s="184"/>
      <c r="K403" s="184" t="str">
        <f>IFERROR(IF(INDEX(Vöruskrá!$C:$C,MATCH($C403,Vöruskrá!$B:$B,0))=0,"",INDEX(Vöruskrá!$C:$C,MATCH($C403,Vöruskrá!$B:$B,0))),"")</f>
        <v>Maizena / Unilever</v>
      </c>
      <c r="L403" s="184"/>
      <c r="M403" s="184"/>
      <c r="N403" s="184"/>
      <c r="O403" s="184" t="str">
        <f>IFERROR(IF(INDEX(Vöruskrá!$I:$I,MATCH($C403,Vöruskrá!$B:$B,0))=0,"",INDEX(Vöruskrá!$I:$I,MATCH($C403,Vöruskrá!$B:$B,0))),"")</f>
        <v>https://drive.google.com/file/d/1CmXprz2PFHVmxfaM0CalYclE2qYOhpF7/view?usp=sharing</v>
      </c>
      <c r="P403" s="184"/>
    </row>
    <row r="404" spans="1:16">
      <c r="A404" s="183">
        <v>46258</v>
      </c>
      <c r="B404" s="184" t="str">
        <f t="shared" ca="1" si="19"/>
        <v>Active</v>
      </c>
      <c r="C404" s="184" t="s">
        <v>266</v>
      </c>
      <c r="D404" s="184" t="s">
        <v>1852</v>
      </c>
      <c r="E404" s="185">
        <f>Hráefnaskrá!$D$305/1000</f>
        <v>1</v>
      </c>
      <c r="F404" s="184"/>
      <c r="G404" s="184"/>
      <c r="H404" s="184"/>
      <c r="I404" s="184" t="s">
        <v>3669</v>
      </c>
      <c r="J404" s="184"/>
      <c r="K404" s="184" t="str">
        <f>IFERROR(IF(INDEX(Vöruskrá!$C:$C,MATCH($C404,Vöruskrá!$B:$B,0))=0,"",INDEX(Vöruskrá!$C:$C,MATCH($C404,Vöruskrá!$B:$B,0))),"")</f>
        <v>Katla matvælaiðja ehf.</v>
      </c>
      <c r="L404" s="184"/>
      <c r="M404" s="184"/>
      <c r="N404" s="184"/>
      <c r="O404" s="184" t="str">
        <f>IFERROR(IF(INDEX(Vöruskrá!$I:$I,MATCH($C404,Vöruskrá!$B:$B,0))=0,"",INDEX(Vöruskrá!$I:$I,MATCH($C404,Vöruskrá!$B:$B,0))),"")</f>
        <v>https://drive.google.com/file/d/18_svh90eLQ1eSbJF3qr3eWDjhyhpL95Y/view?usp=sharing</v>
      </c>
      <c r="P404" s="184"/>
    </row>
    <row r="405" spans="1:16">
      <c r="A405" s="183">
        <v>46258</v>
      </c>
      <c r="B405" s="184" t="str">
        <f t="shared" ca="1" si="19"/>
        <v>Active</v>
      </c>
      <c r="C405" s="184" t="s">
        <v>988</v>
      </c>
      <c r="D405" s="184" t="s">
        <v>1852</v>
      </c>
      <c r="E405" s="185">
        <f>Hráefnaskrá!$D$306/1000</f>
        <v>0.4</v>
      </c>
      <c r="F405" s="184"/>
      <c r="G405" s="184"/>
      <c r="H405" s="184"/>
      <c r="I405" s="184" t="s">
        <v>3669</v>
      </c>
      <c r="J405" s="184"/>
      <c r="K405" s="184" t="str">
        <f>IFERROR(IF(INDEX(Vöruskrá!$C:$C,MATCH($C405,Vöruskrá!$B:$B,0))=0,"",INDEX(Vöruskrá!$C:$C,MATCH($C405,Vöruskrá!$B:$B,0))),"")</f>
        <v>Nordic Spice AB/Garri</v>
      </c>
      <c r="L405" s="184"/>
      <c r="M405" s="184"/>
      <c r="N405" s="184"/>
      <c r="O405" s="184" t="str">
        <f>IFERROR(IF(INDEX(Vöruskrá!$I:$I,MATCH($C405,Vöruskrá!$B:$B,0))=0,"",INDEX(Vöruskrá!$I:$I,MATCH($C405,Vöruskrá!$B:$B,0))),"")</f>
        <v>https://garri.overcastcdn.com/documents/5001411C.pdf</v>
      </c>
      <c r="P405" s="184"/>
    </row>
    <row r="406" spans="1:16">
      <c r="A406" s="183">
        <v>46258</v>
      </c>
      <c r="B406" s="184" t="str">
        <f t="shared" ca="1" si="19"/>
        <v>Active</v>
      </c>
      <c r="C406" s="184" t="s">
        <v>704</v>
      </c>
      <c r="D406" s="184" t="s">
        <v>1852</v>
      </c>
      <c r="E406" s="185">
        <f>Hráefnaskrá!$D$307/1000</f>
        <v>0.26700000000000002</v>
      </c>
      <c r="F406" s="184"/>
      <c r="G406" s="184"/>
      <c r="H406" s="184"/>
      <c r="I406" s="184" t="s">
        <v>3669</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https://drive.google.com/file/d/16pABGxDAo2BQ5ZBD9aqSATzh85vQmJ63/view?usp=sharing</v>
      </c>
      <c r="P406" s="184"/>
    </row>
    <row r="407" spans="1:16">
      <c r="A407" s="183">
        <v>46258</v>
      </c>
      <c r="B407" s="184" t="str">
        <f t="shared" ca="1" si="19"/>
        <v>Active</v>
      </c>
      <c r="C407" s="184" t="s">
        <v>280</v>
      </c>
      <c r="D407" s="184" t="s">
        <v>1852</v>
      </c>
      <c r="E407" s="185">
        <f>Hráefnaskrá!$D$308/1000</f>
        <v>0.2</v>
      </c>
      <c r="F407" s="184"/>
      <c r="G407" s="184"/>
      <c r="H407" s="184"/>
      <c r="I407" s="184" t="s">
        <v>3669</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https://drive.google.com/file/d/1MSRdefMEGeUCyN8gS7xeRyI53AOLv84-/view?usp=sharing</v>
      </c>
      <c r="P407" s="184"/>
    </row>
    <row r="408" spans="1:16">
      <c r="A408" s="183">
        <v>46258</v>
      </c>
      <c r="B408" s="184" t="str">
        <f t="shared" ca="1" si="19"/>
        <v>Active</v>
      </c>
      <c r="C408" s="184" t="s">
        <v>1438</v>
      </c>
      <c r="D408" s="184" t="s">
        <v>1852</v>
      </c>
      <c r="E408" s="185">
        <f>Hráefnaskrá!$D$309/1000</f>
        <v>0.11700000000000001</v>
      </c>
      <c r="F408" s="184"/>
      <c r="G408" s="184"/>
      <c r="H408" s="184"/>
      <c r="I408" s="184" t="s">
        <v>3669</v>
      </c>
      <c r="J408" s="184"/>
      <c r="K408" s="184" t="str">
        <f>IFERROR(IF(INDEX(Vöruskrá!$C:$C,MATCH($C408,Vöruskrá!$B:$B,0))=0,"",INDEX(Vöruskrá!$C:$C,MATCH($C408,Vöruskrá!$B:$B,0))),"")</f>
        <v/>
      </c>
      <c r="L408" s="184"/>
      <c r="M408" s="184"/>
      <c r="N408" s="184"/>
      <c r="O408" s="184" t="str">
        <f>IFERROR(IF(INDEX(Vöruskrá!$I:$I,MATCH($C408,Vöruskrá!$B:$B,0))=0,"",INDEX(Vöruskrá!$I:$I,MATCH($C408,Vöruskrá!$B:$B,0))),"")</f>
        <v/>
      </c>
      <c r="P408" s="184"/>
    </row>
    <row r="409" spans="1:16">
      <c r="A409" s="183">
        <v>46258</v>
      </c>
      <c r="B409" s="184" t="str">
        <f t="shared" ca="1" si="19"/>
        <v>Active</v>
      </c>
      <c r="C409" s="184" t="s">
        <v>890</v>
      </c>
      <c r="D409" s="184" t="s">
        <v>1852</v>
      </c>
      <c r="E409" s="185">
        <f>Hráefnaskrá!$D$310/1000</f>
        <v>6.7000000000000004E-2</v>
      </c>
      <c r="F409" s="184"/>
      <c r="G409" s="184"/>
      <c r="H409" s="184"/>
      <c r="I409" s="184" t="s">
        <v>3669</v>
      </c>
      <c r="J409" s="184"/>
      <c r="K409" s="184" t="str">
        <f>IFERROR(IF(INDEX(Vöruskrá!$C:$C,MATCH($C409,Vöruskrá!$B:$B,0))=0,"",INDEX(Vöruskrá!$C:$C,MATCH($C409,Vöruskrá!$B:$B,0))),"")</f>
        <v>Nordic Spice AB/Garri</v>
      </c>
      <c r="L409" s="184"/>
      <c r="M409" s="184"/>
      <c r="N409" s="184"/>
      <c r="O409" s="184" t="str">
        <f>IFERROR(IF(INDEX(Vöruskrá!$I:$I,MATCH($C409,Vöruskrá!$B:$B,0))=0,"",INDEX(Vöruskrá!$I:$I,MATCH($C409,Vöruskrá!$B:$B,0))),"")</f>
        <v>https://garri.overcastcdn.com/documents/5001520B.pdf</v>
      </c>
      <c r="P409" s="184"/>
    </row>
    <row r="410" spans="1:16">
      <c r="A410" s="183">
        <v>46258</v>
      </c>
      <c r="B410" s="184" t="str">
        <f t="shared" ca="1" si="19"/>
        <v>Active</v>
      </c>
      <c r="C410" s="184" t="s">
        <v>1097</v>
      </c>
      <c r="D410" s="184" t="s">
        <v>1852</v>
      </c>
      <c r="E410" s="185"/>
      <c r="F410" s="184"/>
      <c r="G410" s="184"/>
      <c r="H410" s="184"/>
      <c r="I410" s="184" t="s">
        <v>3669</v>
      </c>
      <c r="J410" s="184"/>
      <c r="K410" s="184" t="str">
        <f>IFERROR(IF(INDEX(Vöruskrá!$C:$C,MATCH($C410,Vöruskrá!$B:$B,0))=0,"",INDEX(Vöruskrá!$C:$C,MATCH($C410,Vöruskrá!$B:$B,0))),"")</f>
        <v>ÓJK - Ísam</v>
      </c>
      <c r="L410" s="184"/>
      <c r="M410" s="184"/>
      <c r="N410" s="184"/>
      <c r="O410" s="184" t="str">
        <f>IFERROR(IF(INDEX(Vöruskrá!$I:$I,MATCH($C410,Vöruskrá!$B:$B,0))=0,"",INDEX(Vöruskrá!$I:$I,MATCH($C410,Vöruskrá!$B:$B,0))),"")</f>
        <v>https://vefverslun.ojk-isam.is/api/BlobForward/inline/ojkisam/bef943db-09be-4d78-bd72-ee6f417fb2a8.pdf</v>
      </c>
      <c r="P410" s="184"/>
    </row>
    <row r="411" spans="1:16">
      <c r="A411" s="183">
        <v>46258</v>
      </c>
      <c r="B411" s="184" t="str">
        <f t="shared" ca="1" si="19"/>
        <v>Active</v>
      </c>
      <c r="C411" s="184" t="s">
        <v>209</v>
      </c>
      <c r="D411" s="184" t="s">
        <v>1867</v>
      </c>
      <c r="E411" s="185"/>
      <c r="F411" s="184"/>
      <c r="G411" s="184"/>
      <c r="H411" s="184"/>
      <c r="I411" s="184" t="s">
        <v>3669</v>
      </c>
      <c r="J411" s="184"/>
      <c r="K411" s="184" t="str">
        <f>IFERROR(IF(INDEX(Vöruskrá!$C:$C,MATCH($C411,Vöruskrá!$B:$B,0))=0,"",INDEX(Vöruskrá!$C:$C,MATCH($C411,Vöruskrá!$B:$B,0))),"")</f>
        <v>Álfasaga ehf. / Móðir Náttúra</v>
      </c>
      <c r="L411" s="184"/>
      <c r="M411" s="184"/>
      <c r="N411" s="184"/>
      <c r="O411" s="184" t="str">
        <f>IFERROR(IF(INDEX(Vöruskrá!$I:$I,MATCH($C411,Vöruskrá!$B:$B,0))=0,"",INDEX(Vöruskrá!$I:$I,MATCH($C411,Vöruskrá!$B:$B,0))),"")</f>
        <v>https://docs.google.com/document/d/1lFUBZ6JnrNhmfGUHlIWLvOeyf8UZVP0UP7Z3nm8HOlw/edit?usp=sharing</v>
      </c>
      <c r="P411" s="184"/>
    </row>
    <row r="412" spans="1:16">
      <c r="A412" s="183">
        <v>46258</v>
      </c>
      <c r="B412" s="184" t="str">
        <f t="shared" ca="1" si="19"/>
        <v>Active</v>
      </c>
      <c r="C412" s="184" t="s">
        <v>1097</v>
      </c>
      <c r="D412" s="184" t="s">
        <v>1867</v>
      </c>
      <c r="E412" s="185"/>
      <c r="F412" s="184"/>
      <c r="G412" s="184"/>
      <c r="H412" s="184"/>
      <c r="I412" s="184" t="s">
        <v>3669</v>
      </c>
      <c r="J412" s="184"/>
      <c r="K412" s="184" t="str">
        <f>IFERROR(IF(INDEX(Vöruskrá!$C:$C,MATCH($C412,Vöruskrá!$B:$B,0))=0,"",INDEX(Vöruskrá!$C:$C,MATCH($C412,Vöruskrá!$B:$B,0))),"")</f>
        <v>ÓJK - Ísam</v>
      </c>
      <c r="L412" s="184"/>
      <c r="M412" s="184"/>
      <c r="N412" s="184"/>
      <c r="O412" s="184" t="str">
        <f>IFERROR(IF(INDEX(Vöruskrá!$I:$I,MATCH($C412,Vöruskrá!$B:$B,0))=0,"",INDEX(Vöruskrá!$I:$I,MATCH($C412,Vöruskrá!$B:$B,0))),"")</f>
        <v>https://vefverslun.ojk-isam.is/api/BlobForward/inline/ojkisam/bef943db-09be-4d78-bd72-ee6f417fb2a8.pdf</v>
      </c>
      <c r="P412" s="184"/>
    </row>
    <row r="413" spans="1:16">
      <c r="A413" s="183">
        <v>46258</v>
      </c>
      <c r="B413" s="184" t="str">
        <f t="shared" ca="1" si="19"/>
        <v>Active</v>
      </c>
      <c r="C413" s="184" t="s">
        <v>57</v>
      </c>
      <c r="D413" s="184" t="s">
        <v>1885</v>
      </c>
      <c r="E413" s="185"/>
      <c r="F413" s="184"/>
      <c r="G413" s="184"/>
      <c r="H413" s="184"/>
      <c r="I413" s="184" t="s">
        <v>3669</v>
      </c>
      <c r="J413" s="184"/>
      <c r="K413" s="184" t="str">
        <f>IFERROR(IF(INDEX(Vöruskrá!$C:$C,MATCH($C413,Vöruskrá!$B:$B,0))=0,"",INDEX(Vöruskrá!$C:$C,MATCH($C413,Vöruskrá!$B:$B,0))),"")</f>
        <v>Myllan</v>
      </c>
      <c r="L413" s="184"/>
      <c r="M413" s="184"/>
      <c r="N413" s="184"/>
      <c r="O413" s="184" t="str">
        <f>IFERROR(IF(INDEX(Vöruskrá!$I:$I,MATCH($C413,Vöruskrá!$B:$B,0))=0,"",INDEX(Vöruskrá!$I:$I,MATCH($C413,Vöruskrá!$B:$B,0))),"")</f>
        <v>https://www.myllan.is/is/vorulinur/vegan-vorur/lifskorn-trollahafrar-chiafrae</v>
      </c>
      <c r="P413" s="184"/>
    </row>
    <row r="414" spans="1:16">
      <c r="A414" s="183">
        <v>46258</v>
      </c>
      <c r="B414" s="184" t="str">
        <f t="shared" ca="1" si="19"/>
        <v>Active</v>
      </c>
      <c r="C414" s="184" t="s">
        <v>557</v>
      </c>
      <c r="D414" s="184" t="s">
        <v>1885</v>
      </c>
      <c r="E414" s="185"/>
      <c r="F414" s="184"/>
      <c r="G414" s="184"/>
      <c r="H414" s="184"/>
      <c r="I414" s="184" t="s">
        <v>3669</v>
      </c>
      <c r="J414" s="184"/>
      <c r="K414" s="184" t="str">
        <f>IFERROR(IF(INDEX(Vöruskrá!$C:$C,MATCH($C414,Vöruskrá!$B:$B,0))=0,"",INDEX(Vöruskrá!$C:$C,MATCH($C414,Vöruskrá!$B:$B,0))),"")</f>
        <v xml:space="preserve">MS </v>
      </c>
      <c r="L414" s="184"/>
      <c r="M414" s="184"/>
      <c r="N414" s="184"/>
      <c r="O414" s="184" t="str">
        <f>IFERROR(IF(INDEX(Vöruskrá!$I:$I,MATCH($C414,Vöruskrá!$B:$B,0))=0,"",INDEX(Vöruskrá!$I:$I,MATCH($C414,Vöruskrá!$B:$B,0))),"")</f>
        <v>https://docs.google.com/document/d/1xK3OgL95T8y9Uw0YX4LaF0Ve3yT2CmntRk4Wg1oHGcM/edit?usp=sharing</v>
      </c>
      <c r="P414" s="184"/>
    </row>
    <row r="415" spans="1:16">
      <c r="A415" s="192">
        <v>46259</v>
      </c>
      <c r="B415" s="193"/>
      <c r="C415" s="193" t="s">
        <v>4210</v>
      </c>
      <c r="D415" s="193"/>
      <c r="E415" s="194"/>
      <c r="F415" s="193"/>
      <c r="G415" s="193"/>
      <c r="H415" s="193"/>
      <c r="I415" s="193"/>
      <c r="J415" s="193"/>
      <c r="K415" s="193"/>
      <c r="L415" s="193"/>
      <c r="M415" s="193"/>
      <c r="N415" s="193"/>
      <c r="O415" s="193"/>
      <c r="P415" s="193"/>
    </row>
    <row r="416" spans="1:16">
      <c r="A416" s="195">
        <v>46259</v>
      </c>
      <c r="B416" s="196" t="str">
        <f t="shared" ref="B416:B445" ca="1" si="20">IF($A416&lt;TODAY(),"Expired","Active")</f>
        <v>Active</v>
      </c>
      <c r="C416" s="198" t="s">
        <v>1557</v>
      </c>
      <c r="D416" s="196" t="s">
        <v>1852</v>
      </c>
      <c r="E416" s="197"/>
      <c r="F416" s="196"/>
      <c r="G416" s="196"/>
      <c r="H416" s="196"/>
      <c r="I416" s="196"/>
      <c r="J416" s="196"/>
      <c r="K416" s="196"/>
      <c r="L416" s="196"/>
      <c r="M416" s="196"/>
      <c r="N416" s="196"/>
      <c r="O416" s="196"/>
      <c r="P416" s="196"/>
    </row>
    <row r="417" spans="1:16" ht="18" customHeight="1">
      <c r="A417" s="183">
        <v>46259</v>
      </c>
      <c r="B417" s="184" t="str">
        <f t="shared" ca="1" si="20"/>
        <v>Active</v>
      </c>
      <c r="C417" s="184" t="s">
        <v>566</v>
      </c>
      <c r="D417" s="184" t="s">
        <v>1852</v>
      </c>
      <c r="E417" s="185">
        <f>Hráefnaskrá!$D$229/1000</f>
        <v>43.5</v>
      </c>
      <c r="F417" s="184"/>
      <c r="G417" s="184"/>
      <c r="H417" s="184"/>
      <c r="I417" s="184" t="s">
        <v>3669</v>
      </c>
      <c r="J417" s="184"/>
      <c r="K417" s="184" t="str">
        <f>IFERROR(IF(INDEX(Vöruskrá!$C:$C,MATCH($C417,Vöruskrá!$B:$B,0))=0,"",INDEX(Vöruskrá!$C:$C,MATCH($C417,Vöruskrá!$B:$B,0))),"")</f>
        <v>Hafið fiskverslun</v>
      </c>
      <c r="L417" s="184"/>
      <c r="M417" s="184"/>
      <c r="N417" s="184"/>
      <c r="O417" s="184" t="str">
        <f>IFERROR(IF(INDEX(Vöruskrá!$I:$I,MATCH($C417,Vöruskrá!$B:$B,0))=0,"",INDEX(Vöruskrá!$I:$I,MATCH($C417,Vöruskrá!$B:$B,0))),"")</f>
        <v>https://docs.google.com/document/d/16XSSnVUJ3h_-jINvQvjLPJxqQDm3-XJQ/edit?usp=sharing&amp;ouid=115242652208709673085&amp;rtpof=true&amp;sd=true</v>
      </c>
      <c r="P417" s="184"/>
    </row>
    <row r="418" spans="1:16">
      <c r="A418" s="183">
        <v>46259</v>
      </c>
      <c r="B418" s="184" t="str">
        <f t="shared" ca="1" si="20"/>
        <v>Active</v>
      </c>
      <c r="C418" s="184" t="s">
        <v>867</v>
      </c>
      <c r="D418" s="184" t="s">
        <v>1852</v>
      </c>
      <c r="E418" s="185">
        <f>Hráefnaskrá!$D$230/1000</f>
        <v>32.6</v>
      </c>
      <c r="F418" s="184"/>
      <c r="G418" s="184"/>
      <c r="H418" s="184"/>
      <c r="I418" s="184" t="s">
        <v>3669</v>
      </c>
      <c r="J418" s="184"/>
      <c r="K418" s="184" t="str">
        <f>IFERROR(IF(INDEX(Vöruskrá!$C:$C,MATCH($C418,Vöruskrá!$B:$B,0))=0,"",INDEX(Vöruskrá!$C:$C,MATCH($C418,Vöruskrá!$B:$B,0))),"")</f>
        <v/>
      </c>
      <c r="L418" s="184"/>
      <c r="M418" s="184"/>
      <c r="N418" s="184"/>
      <c r="O418" s="184" t="str">
        <f>IFERROR(IF(INDEX(Vöruskrá!$I:$I,MATCH($C418,Vöruskrá!$B:$B,0))=0,"",INDEX(Vöruskrá!$I:$I,MATCH($C418,Vöruskrá!$B:$B,0))),"")</f>
        <v/>
      </c>
      <c r="P418" s="184"/>
    </row>
    <row r="419" spans="1:16">
      <c r="A419" s="183">
        <v>46259</v>
      </c>
      <c r="B419" s="184" t="str">
        <f t="shared" ca="1" si="20"/>
        <v>Active</v>
      </c>
      <c r="C419" s="184" t="s">
        <v>868</v>
      </c>
      <c r="D419" s="184" t="s">
        <v>1852</v>
      </c>
      <c r="E419" s="185">
        <f>Hráefnaskrá!$D$231/1000</f>
        <v>4.9000000000000004</v>
      </c>
      <c r="F419" s="184"/>
      <c r="G419" s="184"/>
      <c r="H419" s="184"/>
      <c r="I419" s="184" t="s">
        <v>3669</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728</v>
      </c>
      <c r="D420" s="184" t="s">
        <v>1852</v>
      </c>
      <c r="E420" s="185">
        <f>Hráefnaskrá!$D$232/1000</f>
        <v>13</v>
      </c>
      <c r="F420" s="184"/>
      <c r="G420" s="184"/>
      <c r="H420" s="184"/>
      <c r="I420" s="184" t="s">
        <v>3669</v>
      </c>
      <c r="J420" s="184"/>
      <c r="K420" s="184" t="str">
        <f>IFERROR(IF(INDEX(Vöruskrá!$C:$C,MATCH($C420,Vöruskrá!$B:$B,0))=0,"",INDEX(Vöruskrá!$C:$C,MATCH($C420,Vöruskrá!$B:$B,0))),"")</f>
        <v xml:space="preserve">MS </v>
      </c>
      <c r="L420" s="184"/>
      <c r="M420" s="184"/>
      <c r="N420" s="184"/>
      <c r="O420" s="184" t="str">
        <f>IFERROR(IF(INDEX(Vöruskrá!$I:$I,MATCH($C420,Vöruskrá!$B:$B,0))=0,"",INDEX(Vöruskrá!$I:$I,MATCH($C420,Vöruskrá!$B:$B,0))),"")</f>
        <v>https://docs.google.com/document/d/11ja2pjvXhmq1lP-WGaLBTVRQtcrEYgg-XyiWXgW9OKI/edit?usp=sharing</v>
      </c>
      <c r="P420" s="184"/>
    </row>
    <row r="421" spans="1:16">
      <c r="A421" s="183">
        <v>46259</v>
      </c>
      <c r="B421" s="184" t="str">
        <f t="shared" ca="1" si="20"/>
        <v>Active</v>
      </c>
      <c r="C421" s="184" t="s">
        <v>390</v>
      </c>
      <c r="D421" s="184" t="s">
        <v>1852</v>
      </c>
      <c r="E421" s="185">
        <f>Hráefnaskrá!$D$233/1000</f>
        <v>3.3</v>
      </c>
      <c r="F421" s="184"/>
      <c r="G421" s="184"/>
      <c r="H421" s="184"/>
      <c r="I421" s="184" t="s">
        <v>3669</v>
      </c>
      <c r="J421" s="184"/>
      <c r="K421" s="184" t="str">
        <f>IFERROR(IF(INDEX(Vöruskrá!$C:$C,MATCH($C421,Vöruskrá!$B:$B,0))=0,"",INDEX(Vöruskrá!$C:$C,MATCH($C421,Vöruskrá!$B:$B,0))),"")</f>
        <v>MS</v>
      </c>
      <c r="L421" s="184"/>
      <c r="M421" s="184"/>
      <c r="N421" s="184"/>
      <c r="O421" s="184" t="str">
        <f>IFERROR(IF(INDEX(Vöruskrá!$I:$I,MATCH($C421,Vöruskrá!$B:$B,0))=0,"",INDEX(Vöruskrá!$I:$I,MATCH($C421,Vöruskrá!$B:$B,0))),"")</f>
        <v>https://docs.google.com/document/d/149N3quKMoWawGv9LE2FddvRhKdpdb7Cxfmhury4OOtc/edit?usp=sharing</v>
      </c>
      <c r="P421" s="184"/>
    </row>
    <row r="422" spans="1:16">
      <c r="A422" s="183">
        <v>46259</v>
      </c>
      <c r="B422" s="184" t="str">
        <f t="shared" ca="1" si="20"/>
        <v>Active</v>
      </c>
      <c r="C422" s="184" t="s">
        <v>307</v>
      </c>
      <c r="D422" s="184" t="s">
        <v>1852</v>
      </c>
      <c r="E422" s="185">
        <f>Hráefnaskrá!$D$234/1000</f>
        <v>1.6</v>
      </c>
      <c r="F422" s="184"/>
      <c r="G422" s="184"/>
      <c r="H422" s="184"/>
      <c r="I422" s="184" t="s">
        <v>3669</v>
      </c>
      <c r="J422" s="184"/>
      <c r="K422" s="184" t="str">
        <f>IFERROR(IF(INDEX(Vöruskrá!$C:$C,MATCH($C422,Vöruskrá!$B:$B,0))=0,"",INDEX(Vöruskrá!$C:$C,MATCH($C422,Vöruskrá!$B:$B,0))),"")</f>
        <v>Maizena / Unilever</v>
      </c>
      <c r="L422" s="184"/>
      <c r="M422" s="184"/>
      <c r="N422" s="184"/>
      <c r="O422" s="184" t="str">
        <f>IFERROR(IF(INDEX(Vöruskrá!$I:$I,MATCH($C422,Vöruskrá!$B:$B,0))=0,"",INDEX(Vöruskrá!$I:$I,MATCH($C422,Vöruskrá!$B:$B,0))),"")</f>
        <v>https://drive.google.com/file/d/1CmXprz2PFHVmxfaM0CalYclE2qYOhpF7/view?usp=sharing</v>
      </c>
      <c r="P422" s="184"/>
    </row>
    <row r="423" spans="1:16">
      <c r="A423" s="183">
        <v>46259</v>
      </c>
      <c r="B423" s="184" t="str">
        <f t="shared" ca="1" si="20"/>
        <v>Active</v>
      </c>
      <c r="C423" s="184" t="s">
        <v>266</v>
      </c>
      <c r="D423" s="184" t="s">
        <v>1852</v>
      </c>
      <c r="E423" s="185">
        <f>Hráefnaskrá!$D$235/1000</f>
        <v>0.43</v>
      </c>
      <c r="F423" s="184"/>
      <c r="G423" s="184"/>
      <c r="H423" s="184"/>
      <c r="I423" s="184" t="s">
        <v>3669</v>
      </c>
      <c r="J423" s="184"/>
      <c r="K423" s="184" t="str">
        <f>IFERROR(IF(INDEX(Vöruskrá!$C:$C,MATCH($C423,Vöruskrá!$B:$B,0))=0,"",INDEX(Vöruskrá!$C:$C,MATCH($C423,Vöruskrá!$B:$B,0))),"")</f>
        <v>Katla matvælaiðja ehf.</v>
      </c>
      <c r="L423" s="184"/>
      <c r="M423" s="184"/>
      <c r="N423" s="184"/>
      <c r="O423" s="184" t="str">
        <f>IFERROR(IF(INDEX(Vöruskrá!$I:$I,MATCH($C423,Vöruskrá!$B:$B,0))=0,"",INDEX(Vöruskrá!$I:$I,MATCH($C423,Vöruskrá!$B:$B,0))),"")</f>
        <v>https://drive.google.com/file/d/18_svh90eLQ1eSbJF3qr3eWDjhyhpL95Y/view?usp=sharing</v>
      </c>
      <c r="P423" s="184"/>
    </row>
    <row r="424" spans="1:16">
      <c r="A424" s="183">
        <v>46259</v>
      </c>
      <c r="B424" s="184" t="str">
        <f t="shared" ca="1" si="20"/>
        <v>Active</v>
      </c>
      <c r="C424" s="184" t="s">
        <v>704</v>
      </c>
      <c r="D424" s="184" t="s">
        <v>1852</v>
      </c>
      <c r="E424" s="185">
        <f>Hráefnaskrá!$D$236/1000</f>
        <v>7.0000000000000007E-2</v>
      </c>
      <c r="F424" s="184"/>
      <c r="G424" s="184"/>
      <c r="H424" s="184"/>
      <c r="I424" s="184" t="s">
        <v>3669</v>
      </c>
      <c r="J424" s="184"/>
      <c r="K424" s="184" t="str">
        <f>IFERROR(IF(INDEX(Vöruskrá!$C:$C,MATCH($C424,Vöruskrá!$B:$B,0))=0,"",INDEX(Vöruskrá!$C:$C,MATCH($C424,Vöruskrá!$B:$B,0))),"")</f>
        <v>Nordic Spice AB/Garri</v>
      </c>
      <c r="L424" s="184"/>
      <c r="M424" s="184"/>
      <c r="N424" s="184"/>
      <c r="O424" s="184" t="str">
        <f>IFERROR(IF(INDEX(Vöruskrá!$I:$I,MATCH($C424,Vöruskrá!$B:$B,0))=0,"",INDEX(Vöruskrá!$I:$I,MATCH($C424,Vöruskrá!$B:$B,0))),"")</f>
        <v>https://drive.google.com/file/d/16pABGxDAo2BQ5ZBD9aqSATzh85vQmJ63/view?usp=sharing</v>
      </c>
      <c r="P424" s="184"/>
    </row>
    <row r="425" spans="1:16">
      <c r="A425" s="183">
        <v>46259</v>
      </c>
      <c r="B425" s="184" t="str">
        <f t="shared" ca="1" si="20"/>
        <v>Active</v>
      </c>
      <c r="C425" s="184" t="s">
        <v>878</v>
      </c>
      <c r="D425" s="184" t="s">
        <v>1852</v>
      </c>
      <c r="E425" s="185">
        <f>Hráefnaskrá!$D$237/1000</f>
        <v>0.6</v>
      </c>
      <c r="F425" s="184"/>
      <c r="G425" s="184"/>
      <c r="H425" s="184"/>
      <c r="I425" s="184" t="s">
        <v>3669</v>
      </c>
      <c r="J425" s="184"/>
      <c r="K425" s="184" t="str">
        <f>IFERROR(IF(INDEX(Vöruskrá!$C:$C,MATCH($C425,Vöruskrá!$B:$B,0))=0,"",INDEX(Vöruskrá!$C:$C,MATCH($C425,Vöruskrá!$B:$B,0))),"")</f>
        <v/>
      </c>
      <c r="L425" s="184"/>
      <c r="M425" s="184"/>
      <c r="N425" s="184"/>
      <c r="O425" s="184" t="str">
        <f>IFERROR(IF(INDEX(Vöruskrá!$I:$I,MATCH($C425,Vöruskrá!$B:$B,0))=0,"",INDEX(Vöruskrá!$I:$I,MATCH($C425,Vöruskrá!$B:$B,0))),"")</f>
        <v/>
      </c>
      <c r="P425" s="184"/>
    </row>
    <row r="426" spans="1:16">
      <c r="A426" s="183">
        <v>46259</v>
      </c>
      <c r="B426" s="184" t="str">
        <f t="shared" ca="1" si="20"/>
        <v>Active</v>
      </c>
      <c r="C426" s="184" t="s">
        <v>324</v>
      </c>
      <c r="D426" s="184" t="s">
        <v>1852</v>
      </c>
      <c r="E426" s="185"/>
      <c r="F426" s="184"/>
      <c r="G426" s="184"/>
      <c r="H426" s="184"/>
      <c r="I426" s="184" t="s">
        <v>3669</v>
      </c>
      <c r="J426" s="184"/>
      <c r="K426" s="184" t="str">
        <f>IFERROR(IF(INDEX(Vöruskrá!$C:$C,MATCH($C426,Vöruskrá!$B:$B,0))=0,"",INDEX(Vöruskrá!$C:$C,MATCH($C426,Vöruskrá!$B:$B,0))),"")</f>
        <v>Gæðabakstur / Ömmubakstur ehf.</v>
      </c>
      <c r="L426" s="184"/>
      <c r="M426" s="184"/>
      <c r="N426" s="184"/>
      <c r="O426" s="184" t="str">
        <f>IFERROR(IF(INDEX(Vöruskrá!$I:$I,MATCH($C426,Vöruskrá!$B:$B,0))=0,"",INDEX(Vöruskrá!$I:$I,MATCH($C426,Vöruskrá!$B:$B,0))),"")</f>
        <v>https://gaedabakstur.is/vara/ommurugbraud-30-sneida/</v>
      </c>
      <c r="P426" s="184"/>
    </row>
    <row r="427" spans="1:16">
      <c r="A427" s="183">
        <v>46259</v>
      </c>
      <c r="B427" s="184" t="str">
        <f t="shared" ca="1" si="20"/>
        <v>Active</v>
      </c>
      <c r="C427" s="184" t="s">
        <v>390</v>
      </c>
      <c r="D427" s="184" t="s">
        <v>1852</v>
      </c>
      <c r="E427" s="185"/>
      <c r="F427" s="184"/>
      <c r="G427" s="184"/>
      <c r="H427" s="184"/>
      <c r="I427" s="184" t="s">
        <v>3669</v>
      </c>
      <c r="J427" s="184"/>
      <c r="K427" s="184" t="str">
        <f>IFERROR(IF(INDEX(Vöruskrá!$C:$C,MATCH($C427,Vöruskrá!$B:$B,0))=0,"",INDEX(Vöruskrá!$C:$C,MATCH($C427,Vöruskrá!$B:$B,0))),"")</f>
        <v>MS</v>
      </c>
      <c r="L427" s="184"/>
      <c r="M427" s="184"/>
      <c r="N427" s="184"/>
      <c r="O427" s="184" t="str">
        <f>IFERROR(IF(INDEX(Vöruskrá!$I:$I,MATCH($C427,Vöruskrá!$B:$B,0))=0,"",INDEX(Vöruskrá!$I:$I,MATCH($C427,Vöruskrá!$B:$B,0))),"")</f>
        <v>https://docs.google.com/document/d/149N3quKMoWawGv9LE2FddvRhKdpdb7Cxfmhury4OOtc/edit?usp=sharing</v>
      </c>
      <c r="P427" s="184"/>
    </row>
    <row r="428" spans="1:16">
      <c r="A428" s="183">
        <v>46259</v>
      </c>
      <c r="B428" s="184" t="str">
        <f t="shared" ca="1" si="20"/>
        <v>Active</v>
      </c>
      <c r="C428" s="184" t="s">
        <v>1125</v>
      </c>
      <c r="D428" s="184" t="s">
        <v>1852</v>
      </c>
      <c r="E428" s="185"/>
      <c r="F428" s="184"/>
      <c r="G428" s="184"/>
      <c r="H428" s="184"/>
      <c r="I428" s="184" t="s">
        <v>3669</v>
      </c>
      <c r="J428" s="184"/>
      <c r="K428" s="184" t="str">
        <f>IFERROR(IF(INDEX(Vöruskrá!$C:$C,MATCH($C428,Vöruskrá!$B:$B,0))=0,"",INDEX(Vöruskrá!$C:$C,MATCH($C428,Vöruskrá!$B:$B,0))),"")</f>
        <v>Matarstund</v>
      </c>
      <c r="L428" s="184"/>
      <c r="M428" s="184"/>
      <c r="N428" s="184"/>
      <c r="O428" s="184" t="str">
        <f>IFERROR(IF(INDEX(Vöruskrá!$I:$I,MATCH($C428,Vöruskrá!$B:$B,0))=0,"",INDEX(Vöruskrá!$I:$I,MATCH($C428,Vöruskrá!$B:$B,0))),"")</f>
        <v/>
      </c>
      <c r="P428" s="184"/>
    </row>
    <row r="429" spans="1:16">
      <c r="A429" s="195">
        <v>46259</v>
      </c>
      <c r="B429" s="196" t="str">
        <f t="shared" ca="1" si="20"/>
        <v>Active</v>
      </c>
      <c r="C429" s="198" t="s">
        <v>1497</v>
      </c>
      <c r="D429" s="196" t="s">
        <v>946</v>
      </c>
      <c r="E429" s="197"/>
      <c r="F429" s="196"/>
      <c r="G429" s="196"/>
      <c r="H429" s="196"/>
      <c r="I429" s="196"/>
      <c r="J429" s="196"/>
      <c r="K429" s="196"/>
      <c r="L429" s="196"/>
      <c r="M429" s="196"/>
      <c r="N429" s="196"/>
      <c r="O429" s="196"/>
      <c r="P429" s="196"/>
    </row>
    <row r="430" spans="1:16">
      <c r="A430" s="183">
        <v>46259</v>
      </c>
      <c r="B430" s="184" t="str">
        <f t="shared" ca="1" si="20"/>
        <v>Active</v>
      </c>
      <c r="C430" s="184" t="s">
        <v>792</v>
      </c>
      <c r="D430" s="184" t="s">
        <v>946</v>
      </c>
      <c r="E430" s="185">
        <f>Hráefnaskrá!$D$90/1000</f>
        <v>40</v>
      </c>
      <c r="F430" s="184"/>
      <c r="G430" s="184"/>
      <c r="H430" s="184"/>
      <c r="I430" s="184" t="s">
        <v>3669</v>
      </c>
      <c r="J430" s="184"/>
      <c r="K430" s="184" t="str">
        <f>IFERROR(IF(INDEX(Vöruskrá!$C:$C,MATCH($C430,Vöruskrá!$B:$B,0))=0,"",INDEX(Vöruskrá!$C:$C,MATCH($C430,Vöruskrá!$B:$B,0))),"")</f>
        <v>Hafið</v>
      </c>
      <c r="L430" s="184"/>
      <c r="M430" s="184"/>
      <c r="N430" s="184"/>
      <c r="O430" s="184" t="str">
        <f>IFERROR(IF(INDEX(Vöruskrá!$I:$I,MATCH($C430,Vöruskrá!$B:$B,0))=0,"",INDEX(Vöruskrá!$I:$I,MATCH($C430,Vöruskrá!$B:$B,0))),"")</f>
        <v/>
      </c>
      <c r="P430" s="184"/>
    </row>
    <row r="431" spans="1:16" ht="18" customHeight="1">
      <c r="A431" s="183">
        <v>46259</v>
      </c>
      <c r="B431" s="184" t="str">
        <f t="shared" ca="1" si="20"/>
        <v>Active</v>
      </c>
      <c r="C431" s="184" t="s">
        <v>867</v>
      </c>
      <c r="D431" s="184" t="s">
        <v>946</v>
      </c>
      <c r="E431" s="185">
        <f>Hráefnaskrá!$D$91/1000</f>
        <v>36</v>
      </c>
      <c r="F431" s="184"/>
      <c r="G431" s="184"/>
      <c r="H431" s="184"/>
      <c r="I431" s="184" t="s">
        <v>3669</v>
      </c>
      <c r="J431" s="184"/>
      <c r="K431" s="184" t="str">
        <f>IFERROR(IF(INDEX(Vöruskrá!$C:$C,MATCH($C431,Vöruskrá!$B:$B,0))=0,"",INDEX(Vöruskrá!$C:$C,MATCH($C431,Vöruskrá!$B:$B,0))),"")</f>
        <v/>
      </c>
      <c r="L431" s="184"/>
      <c r="M431" s="184"/>
      <c r="N431" s="184"/>
      <c r="O431" s="184" t="str">
        <f>IFERROR(IF(INDEX(Vöruskrá!$I:$I,MATCH($C431,Vöruskrá!$B:$B,0))=0,"",INDEX(Vöruskrá!$I:$I,MATCH($C431,Vöruskrá!$B:$B,0))),"")</f>
        <v/>
      </c>
      <c r="P431" s="184"/>
    </row>
    <row r="432" spans="1:16">
      <c r="A432" s="183">
        <v>46259</v>
      </c>
      <c r="B432" s="184" t="str">
        <f t="shared" ca="1" si="20"/>
        <v>Active</v>
      </c>
      <c r="C432" s="184" t="s">
        <v>868</v>
      </c>
      <c r="D432" s="184" t="s">
        <v>946</v>
      </c>
      <c r="E432" s="185">
        <f>Hráefnaskrá!$D$92/1000</f>
        <v>4.5</v>
      </c>
      <c r="F432" s="184"/>
      <c r="G432" s="184"/>
      <c r="H432" s="184"/>
      <c r="I432" s="184" t="s">
        <v>3669</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1091</v>
      </c>
      <c r="D433" s="184" t="s">
        <v>946</v>
      </c>
      <c r="E433" s="185">
        <f>Hráefnaskrá!$D$93/1000</f>
        <v>0.8</v>
      </c>
      <c r="F433" s="184"/>
      <c r="G433" s="184"/>
      <c r="H433" s="184"/>
      <c r="I433" s="184" t="s">
        <v>3669</v>
      </c>
      <c r="J433" s="184"/>
      <c r="K433" s="184" t="str">
        <f>IFERROR(IF(INDEX(Vöruskrá!$C:$C,MATCH($C433,Vöruskrá!$B:$B,0))=0,"",INDEX(Vöruskrá!$C:$C,MATCH($C433,Vöruskrá!$B:$B,0))),"")</f>
        <v>Garri</v>
      </c>
      <c r="L433" s="184"/>
      <c r="M433" s="184"/>
      <c r="N433" s="184"/>
      <c r="O433" s="184" t="str">
        <f>IFERROR(IF(INDEX(Vöruskrá!$I:$I,MATCH($C433,Vöruskrá!$B:$B,0))=0,"",INDEX(Vöruskrá!$I:$I,MATCH($C433,Vöruskrá!$B:$B,0))),"")</f>
        <v>https://garri.overcastcdn.com/documents/41023015.pdf</v>
      </c>
      <c r="P433" s="184"/>
    </row>
    <row r="434" spans="1:16" ht="19.5" customHeight="1">
      <c r="A434" s="183">
        <v>46259</v>
      </c>
      <c r="B434" s="184" t="str">
        <f t="shared" ca="1" si="20"/>
        <v>Active</v>
      </c>
      <c r="C434" s="184" t="s">
        <v>118</v>
      </c>
      <c r="D434" s="184" t="s">
        <v>946</v>
      </c>
      <c r="E434" s="185">
        <f>Hráefnaskrá!$D$94/1000</f>
        <v>10</v>
      </c>
      <c r="F434" s="184"/>
      <c r="G434" s="184"/>
      <c r="H434" s="184"/>
      <c r="I434" s="184" t="s">
        <v>3669</v>
      </c>
      <c r="J434" s="184"/>
      <c r="K434" s="184" t="str">
        <f>IFERROR(IF(INDEX(Vöruskrá!$C:$C,MATCH($C434,Vöruskrá!$B:$B,0))=0,"",INDEX(Vöruskrá!$C:$C,MATCH($C434,Vöruskrá!$B:$B,0))),"")</f>
        <v xml:space="preserve">FrieslandCampina/Nathan </v>
      </c>
      <c r="L434" s="184"/>
      <c r="M434" s="184"/>
      <c r="N434" s="184"/>
      <c r="O434" s="184" t="str">
        <f>IFERROR(IF(INDEX(Vöruskrá!$I:$I,MATCH($C434,Vöruskrá!$B:$B,0))=0,"",INDEX(Vöruskrá!$I:$I,MATCH($C434,Vöruskrá!$B:$B,0))),"")</f>
        <v>https://drive.google.com/file/d/1VkCiTqPDw5l0voO-OiMPXkFvU-St0eZv/view?usp=sharing</v>
      </c>
      <c r="P434" s="184"/>
    </row>
    <row r="435" spans="1:16">
      <c r="A435" s="183">
        <v>46259</v>
      </c>
      <c r="B435" s="184" t="str">
        <f t="shared" ca="1" si="20"/>
        <v>Active</v>
      </c>
      <c r="C435" s="184" t="s">
        <v>878</v>
      </c>
      <c r="D435" s="184" t="s">
        <v>946</v>
      </c>
      <c r="E435" s="185">
        <f>Hráefnaskrá!$D$95/1000</f>
        <v>5</v>
      </c>
      <c r="F435" s="184"/>
      <c r="G435" s="184"/>
      <c r="H435" s="184"/>
      <c r="I435" s="184" t="s">
        <v>3669</v>
      </c>
      <c r="J435" s="184"/>
      <c r="K435" s="184" t="str">
        <f>IFERROR(IF(INDEX(Vöruskrá!$C:$C,MATCH($C435,Vöruskrá!$B:$B,0))=0,"",INDEX(Vöruskrá!$C:$C,MATCH($C435,Vöruskrá!$B:$B,0))),"")</f>
        <v/>
      </c>
      <c r="L435" s="184"/>
      <c r="M435" s="184"/>
      <c r="N435" s="184"/>
      <c r="O435" s="184" t="str">
        <f>IFERROR(IF(INDEX(Vöruskrá!$I:$I,MATCH($C435,Vöruskrá!$B:$B,0))=0,"",INDEX(Vöruskrá!$I:$I,MATCH($C435,Vöruskrá!$B:$B,0))),"")</f>
        <v/>
      </c>
      <c r="P435" s="184"/>
    </row>
    <row r="436" spans="1:16">
      <c r="A436" s="183">
        <v>46259</v>
      </c>
      <c r="B436" s="184" t="str">
        <f t="shared" ca="1" si="20"/>
        <v>Active</v>
      </c>
      <c r="C436" s="184" t="s">
        <v>307</v>
      </c>
      <c r="D436" s="184" t="s">
        <v>946</v>
      </c>
      <c r="E436" s="185">
        <f>Hráefnaskrá!$D$96/1000</f>
        <v>1.8</v>
      </c>
      <c r="F436" s="184"/>
      <c r="G436" s="184"/>
      <c r="H436" s="184"/>
      <c r="I436" s="184" t="s">
        <v>3669</v>
      </c>
      <c r="J436" s="184"/>
      <c r="K436" s="184" t="str">
        <f>IFERROR(IF(INDEX(Vöruskrá!$C:$C,MATCH($C436,Vöruskrá!$B:$B,0))=0,"",INDEX(Vöruskrá!$C:$C,MATCH($C436,Vöruskrá!$B:$B,0))),"")</f>
        <v>Maizena / Unilever</v>
      </c>
      <c r="L436" s="184"/>
      <c r="M436" s="184"/>
      <c r="N436" s="184"/>
      <c r="O436" s="184" t="str">
        <f>IFERROR(IF(INDEX(Vöruskrá!$I:$I,MATCH($C436,Vöruskrá!$B:$B,0))=0,"",INDEX(Vöruskrá!$I:$I,MATCH($C436,Vöruskrá!$B:$B,0))),"")</f>
        <v>https://drive.google.com/file/d/1CmXprz2PFHVmxfaM0CalYclE2qYOhpF7/view?usp=sharing</v>
      </c>
      <c r="P436" s="184"/>
    </row>
    <row r="437" spans="1:16">
      <c r="A437" s="183">
        <v>46259</v>
      </c>
      <c r="B437" s="184" t="str">
        <f t="shared" ca="1" si="20"/>
        <v>Active</v>
      </c>
      <c r="C437" s="184" t="s">
        <v>266</v>
      </c>
      <c r="D437" s="184" t="s">
        <v>946</v>
      </c>
      <c r="E437" s="185">
        <f>Hráefnaskrá!$D$97/1000</f>
        <v>0.55000000000000004</v>
      </c>
      <c r="F437" s="184"/>
      <c r="G437" s="184"/>
      <c r="H437" s="184"/>
      <c r="I437" s="184" t="s">
        <v>3669</v>
      </c>
      <c r="J437" s="184"/>
      <c r="K437" s="184" t="str">
        <f>IFERROR(IF(INDEX(Vöruskrá!$C:$C,MATCH($C437,Vöruskrá!$B:$B,0))=0,"",INDEX(Vöruskrá!$C:$C,MATCH($C437,Vöruskrá!$B:$B,0))),"")</f>
        <v>Katla matvælaiðja ehf.</v>
      </c>
      <c r="L437" s="184"/>
      <c r="M437" s="184"/>
      <c r="N437" s="184"/>
      <c r="O437" s="184" t="str">
        <f>IFERROR(IF(INDEX(Vöruskrá!$I:$I,MATCH($C437,Vöruskrá!$B:$B,0))=0,"",INDEX(Vöruskrá!$I:$I,MATCH($C437,Vöruskrá!$B:$B,0))),"")</f>
        <v>https://drive.google.com/file/d/18_svh90eLQ1eSbJF3qr3eWDjhyhpL95Y/view?usp=sharing</v>
      </c>
      <c r="P437" s="184"/>
    </row>
    <row r="438" spans="1:16">
      <c r="A438" s="183">
        <v>46259</v>
      </c>
      <c r="B438" s="184" t="str">
        <f t="shared" ca="1" si="20"/>
        <v>Active</v>
      </c>
      <c r="C438" s="184" t="s">
        <v>1503</v>
      </c>
      <c r="D438" s="184" t="s">
        <v>946</v>
      </c>
      <c r="E438" s="185">
        <f>Hráefnaskrá!$D$98/1000</f>
        <v>0.4</v>
      </c>
      <c r="F438" s="184"/>
      <c r="G438" s="184"/>
      <c r="H438" s="184"/>
      <c r="I438" s="184" t="s">
        <v>3669</v>
      </c>
      <c r="J438" s="184"/>
      <c r="K438" s="184" t="str">
        <f>IFERROR(IF(INDEX(Vöruskrá!$C:$C,MATCH($C438,Vöruskrá!$B:$B,0))=0,"",INDEX(Vöruskrá!$C:$C,MATCH($C438,Vöruskrá!$B:$B,0))),"")</f>
        <v/>
      </c>
      <c r="L438" s="184"/>
      <c r="M438" s="184"/>
      <c r="N438" s="184"/>
      <c r="O438" s="184" t="str">
        <f>IFERROR(IF(INDEX(Vöruskrá!$I:$I,MATCH($C438,Vöruskrá!$B:$B,0))=0,"",INDEX(Vöruskrá!$I:$I,MATCH($C438,Vöruskrá!$B:$B,0))),"")</f>
        <v/>
      </c>
      <c r="P438" s="184"/>
    </row>
    <row r="439" spans="1:16">
      <c r="A439" s="183">
        <v>46259</v>
      </c>
      <c r="B439" s="184" t="str">
        <f t="shared" ca="1" si="20"/>
        <v>Active</v>
      </c>
      <c r="C439" s="184" t="s">
        <v>964</v>
      </c>
      <c r="D439" s="184" t="s">
        <v>946</v>
      </c>
      <c r="E439" s="185">
        <f>Hráefnaskrá!$D$99/1000</f>
        <v>0.25</v>
      </c>
      <c r="F439" s="184"/>
      <c r="G439" s="184"/>
      <c r="H439" s="184"/>
      <c r="I439" s="184" t="s">
        <v>3669</v>
      </c>
      <c r="J439" s="184"/>
      <c r="K439" s="184" t="str">
        <f>IFERROR(IF(INDEX(Vöruskrá!$C:$C,MATCH($C439,Vöruskrá!$B:$B,0))=0,"",INDEX(Vöruskrá!$C:$C,MATCH($C439,Vöruskrá!$B:$B,0))),"")</f>
        <v/>
      </c>
      <c r="L439" s="184"/>
      <c r="M439" s="184"/>
      <c r="N439" s="184"/>
      <c r="O439" s="184" t="str">
        <f>IFERROR(IF(INDEX(Vöruskrá!$I:$I,MATCH($C439,Vöruskrá!$B:$B,0))=0,"",INDEX(Vöruskrá!$I:$I,MATCH($C439,Vöruskrá!$B:$B,0))),"")</f>
        <v>https://garri.overcastcdn.com/documents/72650826.pdf</v>
      </c>
      <c r="P439" s="184"/>
    </row>
    <row r="440" spans="1:16">
      <c r="A440" s="183">
        <v>46259</v>
      </c>
      <c r="B440" s="184" t="str">
        <f t="shared" ca="1" si="20"/>
        <v>Active</v>
      </c>
      <c r="C440" s="184" t="s">
        <v>698</v>
      </c>
      <c r="D440" s="184" t="s">
        <v>946</v>
      </c>
      <c r="E440" s="185">
        <f>Hráefnaskrá!$D$100/1000</f>
        <v>0.04</v>
      </c>
      <c r="F440" s="184"/>
      <c r="G440" s="184"/>
      <c r="H440" s="184"/>
      <c r="I440" s="184" t="s">
        <v>3669</v>
      </c>
      <c r="J440" s="184"/>
      <c r="K440" s="184" t="str">
        <f>IFERROR(IF(INDEX(Vöruskrá!$C:$C,MATCH($C440,Vöruskrá!$B:$B,0))=0,"",INDEX(Vöruskrá!$C:$C,MATCH($C440,Vöruskrá!$B:$B,0))),"")</f>
        <v>Nordic Spice AB/Garri</v>
      </c>
      <c r="L440" s="184"/>
      <c r="M440" s="184"/>
      <c r="N440" s="184"/>
      <c r="O440" s="184" t="str">
        <f>IFERROR(IF(INDEX(Vöruskrá!$I:$I,MATCH($C440,Vöruskrá!$B:$B,0))=0,"",INDEX(Vöruskrá!$I:$I,MATCH($C440,Vöruskrá!$B:$B,0))),"")</f>
        <v>https://drive.google.com/file/d/1PuYXTRXCRUeqrp_SAuMrQW2WrtYD8N_-/view?usp=sharing</v>
      </c>
      <c r="P440" s="184"/>
    </row>
    <row r="441" spans="1:16">
      <c r="A441" s="183">
        <v>46259</v>
      </c>
      <c r="B441" s="184" t="str">
        <f t="shared" ca="1" si="20"/>
        <v>Active</v>
      </c>
      <c r="C441" s="184" t="s">
        <v>879</v>
      </c>
      <c r="D441" s="184" t="s">
        <v>946</v>
      </c>
      <c r="E441" s="185">
        <f>Hráefnaskrá!$D$101/1000</f>
        <v>0.06</v>
      </c>
      <c r="F441" s="184"/>
      <c r="G441" s="184"/>
      <c r="H441" s="184"/>
      <c r="I441" s="184" t="s">
        <v>3669</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https://garri.overcastcdn.com/documents/5000920C.pdf</v>
      </c>
      <c r="P441" s="184"/>
    </row>
    <row r="442" spans="1:16">
      <c r="A442" s="183">
        <v>46259</v>
      </c>
      <c r="B442" s="184" t="str">
        <f t="shared" ca="1" si="20"/>
        <v>Active</v>
      </c>
      <c r="C442" s="184" t="s">
        <v>704</v>
      </c>
      <c r="D442" s="184" t="s">
        <v>946</v>
      </c>
      <c r="E442" s="185">
        <f>Hráefnaskrá!$D$102/1000</f>
        <v>0.1</v>
      </c>
      <c r="F442" s="184"/>
      <c r="G442" s="184"/>
      <c r="H442" s="184"/>
      <c r="I442" s="184" t="s">
        <v>3669</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https://drive.google.com/file/d/16pABGxDAo2BQ5ZBD9aqSATzh85vQmJ63/view?usp=sharing</v>
      </c>
      <c r="P442" s="184"/>
    </row>
    <row r="443" spans="1:16">
      <c r="A443" s="183">
        <v>46259</v>
      </c>
      <c r="B443" s="184" t="str">
        <f t="shared" ca="1" si="20"/>
        <v>Active</v>
      </c>
      <c r="C443" s="184" t="s">
        <v>1221</v>
      </c>
      <c r="D443" s="184" t="s">
        <v>946</v>
      </c>
      <c r="E443" s="185"/>
      <c r="F443" s="184"/>
      <c r="G443" s="184"/>
      <c r="H443" s="184"/>
      <c r="I443" s="184" t="s">
        <v>3669</v>
      </c>
      <c r="J443" s="184"/>
      <c r="K443" s="184" t="str">
        <f>IFERROR(IF(INDEX(Vöruskrá!$C:$C,MATCH($C443,Vöruskrá!$B:$B,0))=0,"",INDEX(Vöruskrá!$C:$C,MATCH($C443,Vöruskrá!$B:$B,0))),"")</f>
        <v>Matarstund</v>
      </c>
      <c r="L443" s="184"/>
      <c r="M443" s="184"/>
      <c r="N443" s="184"/>
      <c r="O443" s="184" t="str">
        <f>IFERROR(IF(INDEX(Vöruskrá!$I:$I,MATCH($C443,Vöruskrá!$B:$B,0))=0,"",INDEX(Vöruskrá!$I:$I,MATCH($C443,Vöruskrá!$B:$B,0))),"")</f>
        <v>https://docs.google.com/document/d/1nkvaKxNzhGNgTPJ3N3uTSJd3j6I7AqPM/edit?usp=sharing&amp;ouid=115242652208709673085&amp;rtpof=true&amp;sd=true</v>
      </c>
      <c r="P443" s="184"/>
    </row>
    <row r="444" spans="1:16">
      <c r="A444" s="183">
        <v>46259</v>
      </c>
      <c r="B444" s="184" t="str">
        <f t="shared" ca="1" si="20"/>
        <v>Active</v>
      </c>
      <c r="C444" s="184" t="s">
        <v>68</v>
      </c>
      <c r="D444" s="184" t="s">
        <v>1885</v>
      </c>
      <c r="E444" s="185"/>
      <c r="F444" s="184"/>
      <c r="G444" s="184"/>
      <c r="H444" s="184"/>
      <c r="I444" s="184" t="s">
        <v>3669</v>
      </c>
      <c r="J444" s="184"/>
      <c r="K444" s="184" t="str">
        <f>IFERROR(IF(INDEX(Vöruskrá!$C:$C,MATCH($C444,Vöruskrá!$B:$B,0))=0,"",INDEX(Vöruskrá!$C:$C,MATCH($C444,Vöruskrá!$B:$B,0))),"")</f>
        <v>Pågen/ Ójk</v>
      </c>
      <c r="L444" s="184"/>
      <c r="M444" s="184"/>
      <c r="N444" s="184"/>
      <c r="O444" s="184" t="str">
        <f>IFERROR(IF(INDEX(Vöruskrá!$I:$I,MATCH($C444,Vöruskrá!$B:$B,0))=0,"",INDEX(Vöruskrá!$I:$I,MATCH($C444,Vöruskrá!$B:$B,0))),"")</f>
        <v>https://drive.google.com/file/d/1_xC3btJzq-zmdaQHqlJ0_0EY7KwFaCqs/view?usp=sharing</v>
      </c>
      <c r="P444" s="184"/>
    </row>
    <row r="445" spans="1:16">
      <c r="A445" s="183">
        <v>46259</v>
      </c>
      <c r="B445" s="184" t="str">
        <f t="shared" ca="1" si="20"/>
        <v>Active</v>
      </c>
      <c r="C445" s="184" t="s">
        <v>562</v>
      </c>
      <c r="D445" s="184" t="s">
        <v>1885</v>
      </c>
      <c r="E445" s="185"/>
      <c r="F445" s="184"/>
      <c r="G445" s="184"/>
      <c r="H445" s="184"/>
      <c r="I445" s="184" t="s">
        <v>3669</v>
      </c>
      <c r="J445" s="184"/>
      <c r="K445" s="184" t="str">
        <f>IFERROR(IF(INDEX(Vöruskrá!$C:$C,MATCH($C445,Vöruskrá!$B:$B,0))=0,"",INDEX(Vöruskrá!$C:$C,MATCH($C445,Vöruskrá!$B:$B,0))),"")</f>
        <v>Kjarnafæði Norðlenska hf.</v>
      </c>
      <c r="L445" s="184"/>
      <c r="M445" s="184"/>
      <c r="N445" s="184"/>
      <c r="O445" s="184" t="str">
        <f>IFERROR(IF(INDEX(Vöruskrá!$I:$I,MATCH($C445,Vöruskrá!$B:$B,0))=0,"",INDEX(Vöruskrá!$I:$I,MATCH($C445,Vöruskrá!$B:$B,0))),"")</f>
        <v>https://docs.google.com/document/d/1iXvC7kN0wGPam-zMk0XlcLESdw9tCpSF14EDgGArP38/edit?usp=sharing</v>
      </c>
      <c r="P445" s="184"/>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4214</v>
      </c>
      <c r="B1" s="177"/>
      <c r="C1" s="177"/>
      <c r="D1" s="177"/>
      <c r="E1" s="177"/>
    </row>
    <row r="2" spans="1:5">
      <c r="A2" t="s">
        <v>4131</v>
      </c>
      <c r="B2" t="s">
        <v>4215</v>
      </c>
      <c r="C2" t="s">
        <v>5</v>
      </c>
      <c r="D2" t="s">
        <v>4216</v>
      </c>
      <c r="E2" t="s">
        <v>4217</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2026-07-28T10:42:13Z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